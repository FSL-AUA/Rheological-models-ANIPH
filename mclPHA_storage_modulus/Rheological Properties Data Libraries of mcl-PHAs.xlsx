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uagpa-my.sharepoint.com/personal/leonidas_mindrinos_aua_gr/Documents/Επιφάνεια εργασίας/maraveas/Rheological_model/mcl/git/"/>
    </mc:Choice>
  </mc:AlternateContent>
  <xr:revisionPtr revIDLastSave="125" documentId="13_ncr:1_{8867F678-5577-4DC1-9594-63330F47AEE4}" xr6:coauthVersionLast="47" xr6:coauthVersionMax="47" xr10:uidLastSave="{D4DE47A0-66DE-472C-A0AF-E39967C08357}"/>
  <bookViews>
    <workbookView xWindow="-108" yWindow="-108" windowWidth="23256" windowHeight="12456" tabRatio="751" xr2:uid="{00000000-000D-0000-FFFF-FFFF00000000}"/>
  </bookViews>
  <sheets>
    <sheet name="Physchem_properties" sheetId="4" r:id="rId1"/>
    <sheet name="Thermal_properties" sheetId="5" r:id="rId2"/>
    <sheet name="Rheological_experimental_detail" sheetId="7" r:id="rId3"/>
    <sheet name="Storage_modulus_G" sheetId="12" r:id="rId4"/>
    <sheet name="converted_MPa_Storage_modulus_G" sheetId="9" r:id="rId5"/>
    <sheet name="Loss_modulus_G" sheetId="13" r:id="rId6"/>
    <sheet name="converted_MPa_Loss_modulus_G" sheetId="10" r:id="rId7"/>
    <sheet name="Angular_frequency" sheetId="11" r:id="rId8"/>
    <sheet name="Ang_freq_converted(rad.s-1)" sheetId="8" r:id="rId9"/>
    <sheet name="Temperature(°C)" sheetId="2" r:id="rId10"/>
    <sheet name="Complex_viscosity" sheetId="6" r:id="rId11"/>
    <sheet name="Tandelta" sheetId="14" r:id="rId12"/>
    <sheet name="Time(sec)" sheetId="3" r:id="rId13"/>
    <sheet name="Metadata" sheetId="15" r:id="rId14"/>
    <sheet name="Info" sheetId="1" r:id="rId15"/>
  </sheets>
  <definedNames>
    <definedName name="_xlnm._FilterDatabase" localSheetId="10" hidden="1">Complex_viscosity!$A$1:$BS$349</definedName>
    <definedName name="_xlnm._FilterDatabase" localSheetId="6" hidden="1">converted_MPa_Loss_modulus_G!$A$1:$AT$986</definedName>
    <definedName name="_xlnm._FilterDatabase" localSheetId="4" hidden="1">converted_MPa_Storage_modulus_G!$A$1:$AT$987</definedName>
    <definedName name="_xlnm._FilterDatabase" localSheetId="2" hidden="1">Rheological_experimental_detail!$A$1:$AK$632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oyhPtRyyswq886xS0F4sZ/Mrb2r57GVTvy226HDb8zY="/>
    </ext>
  </extLst>
</workbook>
</file>

<file path=xl/calcChain.xml><?xml version="1.0" encoding="utf-8"?>
<calcChain xmlns="http://schemas.openxmlformats.org/spreadsheetml/2006/main">
  <c r="C2" i="9" l="1"/>
  <c r="C3" i="9"/>
  <c r="C4" i="9"/>
  <c r="C5" i="9"/>
  <c r="C6" i="9"/>
  <c r="C7" i="9"/>
  <c r="C8" i="9"/>
  <c r="C9" i="9"/>
  <c r="C10" i="9"/>
  <c r="C11" i="9"/>
  <c r="C12" i="9"/>
  <c r="C13" i="9"/>
  <c r="C14" i="9"/>
  <c r="C16" i="9"/>
  <c r="C18" i="9"/>
  <c r="C19" i="9"/>
  <c r="C20" i="9"/>
  <c r="C21" i="9"/>
  <c r="C22" i="9"/>
  <c r="C23" i="9"/>
  <c r="C31" i="9"/>
  <c r="C32" i="9"/>
  <c r="C33" i="9"/>
  <c r="C34" i="9"/>
  <c r="C35" i="9"/>
  <c r="C36" i="9"/>
  <c r="C37" i="9"/>
  <c r="C38" i="9"/>
  <c r="C6" i="10"/>
  <c r="C16" i="10"/>
  <c r="C18" i="10"/>
  <c r="C19" i="10"/>
  <c r="C20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J27" i="10"/>
  <c r="AK27" i="10"/>
  <c r="AL27" i="10"/>
  <c r="AG27" i="10"/>
  <c r="AH27" i="10"/>
  <c r="AI27" i="10"/>
  <c r="AB27" i="10"/>
  <c r="AC27" i="10"/>
  <c r="AD27" i="10"/>
  <c r="AE27" i="10"/>
  <c r="AF27" i="10"/>
  <c r="W27" i="10"/>
  <c r="X27" i="10"/>
  <c r="Y27" i="10"/>
  <c r="Z27" i="10"/>
  <c r="AA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D19" i="10"/>
  <c r="E19" i="10"/>
  <c r="F19" i="10"/>
  <c r="G19" i="10"/>
  <c r="H19" i="10"/>
  <c r="I19" i="10"/>
  <c r="J19" i="10"/>
  <c r="K19" i="10"/>
  <c r="L19" i="10"/>
  <c r="D20" i="10"/>
  <c r="E20" i="10"/>
  <c r="F20" i="10"/>
  <c r="G20" i="10"/>
  <c r="H20" i="10"/>
  <c r="I20" i="10"/>
  <c r="J20" i="10"/>
  <c r="K20" i="10"/>
  <c r="L20" i="10"/>
  <c r="D18" i="10"/>
  <c r="E18" i="10"/>
  <c r="F18" i="10"/>
  <c r="G18" i="10"/>
  <c r="H18" i="10"/>
  <c r="I18" i="10"/>
  <c r="J18" i="10"/>
  <c r="K18" i="10"/>
  <c r="L18" i="10"/>
  <c r="C39" i="10"/>
  <c r="C27" i="10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C39" i="9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C38" i="10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F38" i="4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C35" i="10"/>
  <c r="D35" i="10"/>
  <c r="E35" i="10"/>
  <c r="F35" i="10"/>
  <c r="G35" i="10"/>
  <c r="H35" i="10"/>
  <c r="I35" i="10"/>
  <c r="J35" i="10"/>
  <c r="K35" i="10"/>
  <c r="C36" i="10"/>
  <c r="D36" i="10"/>
  <c r="E36" i="10"/>
  <c r="F36" i="10"/>
  <c r="G36" i="10"/>
  <c r="H36" i="10"/>
  <c r="I36" i="10"/>
  <c r="J36" i="10"/>
  <c r="K36" i="10"/>
  <c r="C37" i="10"/>
  <c r="D37" i="10"/>
  <c r="E37" i="10"/>
  <c r="F37" i="10"/>
  <c r="G37" i="10"/>
  <c r="H37" i="10"/>
  <c r="I37" i="10"/>
  <c r="J37" i="10"/>
  <c r="K37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C31" i="10"/>
  <c r="D37" i="9"/>
  <c r="E37" i="9"/>
  <c r="F37" i="9"/>
  <c r="G37" i="9"/>
  <c r="H37" i="9"/>
  <c r="I37" i="9"/>
  <c r="J37" i="9"/>
  <c r="K37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D35" i="9"/>
  <c r="E35" i="9"/>
  <c r="F35" i="9"/>
  <c r="G35" i="9"/>
  <c r="H35" i="9"/>
  <c r="I35" i="9"/>
  <c r="J35" i="9"/>
  <c r="K35" i="9"/>
  <c r="D36" i="9"/>
  <c r="E36" i="9"/>
  <c r="F36" i="9"/>
  <c r="G36" i="9"/>
  <c r="H36" i="9"/>
  <c r="I36" i="9"/>
  <c r="J36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C25" i="4"/>
  <c r="C24" i="4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D23" i="9"/>
  <c r="E23" i="9"/>
  <c r="F23" i="9"/>
  <c r="G23" i="9"/>
  <c r="H23" i="9"/>
  <c r="I23" i="9"/>
  <c r="J23" i="9"/>
  <c r="K23" i="9"/>
  <c r="L23" i="9"/>
  <c r="M23" i="9"/>
  <c r="N23" i="9"/>
  <c r="Y21" i="9"/>
  <c r="Z21" i="9"/>
  <c r="AA21" i="9"/>
  <c r="AB21" i="9"/>
  <c r="A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D18" i="9"/>
  <c r="E18" i="9"/>
  <c r="F18" i="9"/>
  <c r="G18" i="9"/>
  <c r="H18" i="9"/>
  <c r="I18" i="9"/>
  <c r="J18" i="9"/>
  <c r="K18" i="9"/>
  <c r="L18" i="9"/>
  <c r="D19" i="9"/>
  <c r="E19" i="9"/>
  <c r="F19" i="9"/>
  <c r="G19" i="9"/>
  <c r="H19" i="9"/>
  <c r="I19" i="9"/>
  <c r="J19" i="9"/>
  <c r="K19" i="9"/>
  <c r="L19" i="9"/>
  <c r="D20" i="9"/>
  <c r="E20" i="9"/>
  <c r="F20" i="9"/>
  <c r="G20" i="9"/>
  <c r="H20" i="9"/>
  <c r="I20" i="9"/>
  <c r="J20" i="9"/>
  <c r="K20" i="9"/>
  <c r="L20" i="9"/>
  <c r="E17" i="9"/>
  <c r="F17" i="9"/>
  <c r="G17" i="9"/>
  <c r="H17" i="9"/>
  <c r="I17" i="9"/>
  <c r="J17" i="9"/>
  <c r="K17" i="9"/>
  <c r="L17" i="9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C6" i="8"/>
  <c r="C2" i="8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73" authorId="0" shapeId="0" xr:uid="{00000000-0006-0000-0300-000001000000}">
      <text>
        <r>
          <rPr>
            <sz val="11"/>
            <color theme="1"/>
            <rFont val="Aptos Narrow"/>
            <scheme val="minor"/>
          </rPr>
          <t>======
ID#AAABqgcGBvw
tc={4462A7B5-D834-4E02-9495-60DF135D43FD}    (2025-09-03 07:03:21)
[Threaded comment]
Your version of Excel allows you to read this threaded comment; however, any edits to it will get removed if the file is opened in a newer version of Excel. Learn more: https://go.microsoft.com/fwlink/?linkid=870924
Comment:
    x2, study id 28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w3bCeZDy3dM6lumIRJHGMujdH7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W24" authorId="0" shapeId="0" xr:uid="{45C751A0-2342-4FF3-BAE3-B6AE652DEC73}">
      <text>
        <r>
          <rPr>
            <sz val="11"/>
            <color theme="1"/>
            <rFont val="Aptos Narrow"/>
            <scheme val="minor"/>
          </rPr>
          <t>Unknown User:
MPa ή Pa (δεν εδινε μοναδες στο paper)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W24" authorId="0" shapeId="0" xr:uid="{F953B169-C38D-4325-8B75-DA44A4715BD2}">
      <text>
        <r>
          <rPr>
            <sz val="11"/>
            <color theme="1"/>
            <rFont val="Aptos Narrow"/>
            <scheme val="minor"/>
          </rPr>
          <t xml:space="preserve">Unknown User:
MPa ή Pa (δεν εδινε μοναδες στο paper)
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qCxnoYyJB2qwESpPZJ5NnKEW5w=="/>
    </ext>
  </extLst>
</comments>
</file>

<file path=xl/sharedStrings.xml><?xml version="1.0" encoding="utf-8"?>
<sst xmlns="http://schemas.openxmlformats.org/spreadsheetml/2006/main" count="565" uniqueCount="162">
  <si>
    <t>Abbreviations</t>
  </si>
  <si>
    <t>C15A</t>
  </si>
  <si>
    <t>Cloisite 15A</t>
  </si>
  <si>
    <t>CNW</t>
  </si>
  <si>
    <t>cellulose nanowhiskers</t>
  </si>
  <si>
    <t>L-231</t>
  </si>
  <si>
    <t>lauroyl peroxide</t>
  </si>
  <si>
    <t>NC</t>
  </si>
  <si>
    <t>nanocellulose</t>
  </si>
  <si>
    <t>Study_id</t>
  </si>
  <si>
    <t>Instance</t>
  </si>
  <si>
    <t>initial_scl PHA ratio</t>
  </si>
  <si>
    <t>initial_3HB ratio</t>
  </si>
  <si>
    <t>initial_3HV ratio</t>
  </si>
  <si>
    <t>initial_mcl PHA ratio</t>
  </si>
  <si>
    <t>3HHx ratio</t>
  </si>
  <si>
    <t>3HHp ratio</t>
  </si>
  <si>
    <t>3HO ratio</t>
  </si>
  <si>
    <t>3HN ratio</t>
  </si>
  <si>
    <t>3HD ratio</t>
  </si>
  <si>
    <t>3HUD ratio</t>
  </si>
  <si>
    <t>3HDD ratio</t>
  </si>
  <si>
    <t>3HTriD ratio</t>
  </si>
  <si>
    <t>3HTTD ratio</t>
  </si>
  <si>
    <t>Unsaturated monomer ratio</t>
  </si>
  <si>
    <t>Uknown monomer ratio</t>
  </si>
  <si>
    <t>Mw</t>
  </si>
  <si>
    <t>Mn</t>
  </si>
  <si>
    <t>Density</t>
  </si>
  <si>
    <t>Density_units</t>
  </si>
  <si>
    <t>PDI</t>
  </si>
  <si>
    <t>Additive</t>
  </si>
  <si>
    <t>Additive1_type</t>
  </si>
  <si>
    <t>Additive1_name</t>
  </si>
  <si>
    <t>Additive1_percentage</t>
  </si>
  <si>
    <t>Additive_2</t>
  </si>
  <si>
    <t>Additive2_type</t>
  </si>
  <si>
    <t>Additive2_name</t>
  </si>
  <si>
    <t>Additive2_percentage</t>
  </si>
  <si>
    <t>final_PHA_percentage</t>
  </si>
  <si>
    <t>formulation_scl PHA ratio</t>
  </si>
  <si>
    <t>formulation_3HB ratio</t>
  </si>
  <si>
    <t>formulation_3HV ratio</t>
  </si>
  <si>
    <t>formulation_mcl PHA ratio</t>
  </si>
  <si>
    <t>formulation_3HHx ratio</t>
  </si>
  <si>
    <t>formulation_3HHp ratio</t>
  </si>
  <si>
    <t>formulation_3HO ratio</t>
  </si>
  <si>
    <t>formulation_3HN ratio</t>
  </si>
  <si>
    <t>formulation_3HD ratio</t>
  </si>
  <si>
    <t>formulation_3HUD ratio</t>
  </si>
  <si>
    <t>formulation_3HDD ratio</t>
  </si>
  <si>
    <t>formulation_3HTriD ratio</t>
  </si>
  <si>
    <t>formulation_3HTTD ratio</t>
  </si>
  <si>
    <t>formulation_Unsaturated monomer ratio</t>
  </si>
  <si>
    <t>formulation_Uknown monomer ratio</t>
  </si>
  <si>
    <t>Row No</t>
  </si>
  <si>
    <t>No</t>
  </si>
  <si>
    <t>Yes</t>
  </si>
  <si>
    <t>Filler</t>
  </si>
  <si>
    <t>Reinforcement</t>
  </si>
  <si>
    <t>g/cm3</t>
  </si>
  <si>
    <t>Crosslinking_Agent</t>
  </si>
  <si>
    <t>polymer matrix/blend</t>
  </si>
  <si>
    <t>PHB</t>
  </si>
  <si>
    <t>blend</t>
  </si>
  <si>
    <t>PHV</t>
  </si>
  <si>
    <t>Reinforcing_Filler</t>
  </si>
  <si>
    <t>Tg1</t>
  </si>
  <si>
    <t>Tg2</t>
  </si>
  <si>
    <t>Tc1</t>
  </si>
  <si>
    <t>Tc2</t>
  </si>
  <si>
    <t>Tmc</t>
  </si>
  <si>
    <t>Tm1</t>
  </si>
  <si>
    <t>Tm2</t>
  </si>
  <si>
    <t>Td5</t>
  </si>
  <si>
    <t>Tdeg</t>
  </si>
  <si>
    <t>Temperature_units</t>
  </si>
  <si>
    <t>DΗm1</t>
  </si>
  <si>
    <t>DΗm2</t>
  </si>
  <si>
    <t>DHc1</t>
  </si>
  <si>
    <t>DHc2</t>
  </si>
  <si>
    <t>Enthaply_units</t>
  </si>
  <si>
    <t>celsius</t>
  </si>
  <si>
    <t>J/g</t>
  </si>
  <si>
    <t>Test type</t>
  </si>
  <si>
    <t>constant parameters</t>
  </si>
  <si>
    <t>geometry</t>
  </si>
  <si>
    <t>plate diameter</t>
  </si>
  <si>
    <t>gap size</t>
  </si>
  <si>
    <t>morphology</t>
  </si>
  <si>
    <t>diameter</t>
  </si>
  <si>
    <t>thickness</t>
  </si>
  <si>
    <t>size units</t>
  </si>
  <si>
    <t>Angular_frequency_units</t>
  </si>
  <si>
    <t>Texp</t>
  </si>
  <si>
    <t>Texp_units</t>
  </si>
  <si>
    <t>Viscosity_units</t>
  </si>
  <si>
    <t>Modulus_units</t>
  </si>
  <si>
    <t>Strain_fixed(%)</t>
  </si>
  <si>
    <t>Frequency_experimental_fixed (Hz)</t>
  </si>
  <si>
    <t>DFS</t>
  </si>
  <si>
    <t>stress,temp</t>
  </si>
  <si>
    <t xml:space="preserve"> parallel plate</t>
  </si>
  <si>
    <t>mm</t>
  </si>
  <si>
    <t>Hz</t>
  </si>
  <si>
    <t>Pa</t>
  </si>
  <si>
    <t>DTS</t>
  </si>
  <si>
    <t>angular frequency,stress or strain</t>
  </si>
  <si>
    <t>shear rate</t>
  </si>
  <si>
    <t>Pa*s</t>
  </si>
  <si>
    <t>rad/s</t>
  </si>
  <si>
    <t>cone-plate</t>
  </si>
  <si>
    <t>time_sweep</t>
  </si>
  <si>
    <t>angular frequency,stress,temp</t>
  </si>
  <si>
    <t>angular frequency,strain</t>
  </si>
  <si>
    <t>Mpa</t>
  </si>
  <si>
    <t>Study ID</t>
  </si>
  <si>
    <t>Author</t>
  </si>
  <si>
    <t>Date</t>
  </si>
  <si>
    <t xml:space="preserve">Title </t>
  </si>
  <si>
    <t>Doi</t>
  </si>
  <si>
    <t>Bruzaud et al.</t>
  </si>
  <si>
    <t>Characterization of bionanocomposites based on medium chain length
polyhydroxyalkanoates synthesized by Pseudomonas oleovorans</t>
  </si>
  <si>
    <t>10.1016/j.polymertesting.2010.08.009</t>
  </si>
  <si>
    <t>Cruz Cruz et al.</t>
  </si>
  <si>
    <t>Characterization of medium chain length polyhydroxyalkanoate
produced from olive oil deodorizer distillate</t>
  </si>
  <si>
    <t>10.1016/j.ijbiomac.2015.10.043</t>
  </si>
  <si>
    <t>Dufresne_x000D_</t>
  </si>
  <si>
    <t>Dynamic mechanical analysis of the interphase
in bacterial polyester/cellulose whiskers natural
composites</t>
  </si>
  <si>
    <t>10.1163/156855400300183588</t>
  </si>
  <si>
    <t>Panaksri et al.</t>
  </si>
  <si>
    <t>Evaluation of 3D-Printing Scaffold Fabrication on Biosynthetic
Medium-Chain-Length Polyhydroxyalkanoate Terpolyester
as Biomaterial-Ink</t>
  </si>
  <si>
    <t xml:space="preserve">10.3390/polym13142222 </t>
  </si>
  <si>
    <t>Caputo et al.</t>
  </si>
  <si>
    <t>Influence of FFF Process Conditions on the Thermal,
Mechanical, and Rheological Properties of
Poly(hydroxybutyrate-co-hydroxy Hexanoate)_x000D_</t>
  </si>
  <si>
    <t xml:space="preserve">10.3390/polym15081817 </t>
  </si>
  <si>
    <t>Nerkar et al.</t>
  </si>
  <si>
    <t>Melt Compounded Blends of Short and Medium Chain-Length
Poly-3-hydroxyalkanoates</t>
  </si>
  <si>
    <t>10.1007/s10924-013-0635-6</t>
  </si>
  <si>
    <t>Li et al.</t>
  </si>
  <si>
    <t>Microbial production of polyhydroxyalkanoate block
copolymer by recombinant Pseudomonas putida</t>
  </si>
  <si>
    <t xml:space="preserve">10.1007/s00253-010-3069-2
</t>
  </si>
  <si>
    <t>Panaitescu et al.</t>
  </si>
  <si>
    <t>Poly(3-hydroxybutyrate) nanocomposites modified with even and odd 
chain length polyhydroxyalkanoates</t>
  </si>
  <si>
    <t xml:space="preserve">10.1016/j.ijbiomac.2023.125324 </t>
  </si>
  <si>
    <t>Dufresne et al.</t>
  </si>
  <si>
    <t>Poly(3-hydroxybutyrate) and Poly(3-hydroxyoctanoate) Blends:
Morphology and Mechanical Behavior</t>
  </si>
  <si>
    <t>10.1021/ma991854a</t>
  </si>
  <si>
    <t>Ashby et al.</t>
  </si>
  <si>
    <t>Radiation crosslinking of a bacterial medium-chain-length
poly(hydroxyalkanoate) elastomer from tallow</t>
  </si>
  <si>
    <t>10.1016/s0141-8130(98)00034-8</t>
  </si>
  <si>
    <t>Viscoelastic properties of linseed oil-based medium chain length
poly(hydroxyalkanoate) films: effects of epoxidation and curing</t>
  </si>
  <si>
    <t>10.1016/S0141-8130(00)00140-9</t>
  </si>
  <si>
    <t>Crystallinity %</t>
  </si>
  <si>
    <t>1a</t>
  </si>
  <si>
    <t>2a</t>
  </si>
  <si>
    <t>3a</t>
  </si>
  <si>
    <t>4a</t>
  </si>
  <si>
    <t>1b</t>
  </si>
  <si>
    <t>2b</t>
  </si>
  <si>
    <t>3b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</si>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</sst>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.0"/>
    <numFmt numFmtId="165" formatCode="0.000"/>
    <numFmt numFmtId="166" formatCode="0.0000"/>
    <numFmt numFmtId="167" formatCode="#,##0.000"/>
    <numFmt numFmtId="168" formatCode="0.000000"/>
    <numFmt numFmtId="169" formatCode="_-* #,##0_-;\-* #,##0_-;_-* &quot;-&quot;??_-;_-@"/>
    <numFmt numFmtId="170" formatCode="#,##0.00000"/>
    <numFmt numFmtId="171" formatCode="_-* #,##0.000000_-;\-* #,##0.000000_-;_-* &quot;-&quot;??_-;_-@"/>
    <numFmt numFmtId="172" formatCode="#,##0.000000"/>
    <numFmt numFmtId="173" formatCode="0.000000000"/>
  </numFmts>
  <fonts count="24">
    <font>
      <sz val="11"/>
      <color theme="1"/>
      <name val="Aptos Narrow"/>
      <scheme val="minor"/>
    </font>
    <font>
      <b/>
      <sz val="12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242424"/>
      <name val="Aptos Narrow"/>
    </font>
    <font>
      <i/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1D35"/>
      <name val="Arial"/>
    </font>
    <font>
      <sz val="11"/>
      <color rgb="FF242424"/>
      <name val="Arial"/>
    </font>
    <font>
      <sz val="11"/>
      <color rgb="FF000000"/>
      <name val="&quot;Aptos Narrow&quot;"/>
    </font>
    <font>
      <sz val="11"/>
      <color rgb="FF467886"/>
      <name val="Arial"/>
    </font>
    <font>
      <sz val="9"/>
      <color rgb="FF000000"/>
      <name val="Helvetica Neue"/>
    </font>
    <font>
      <b/>
      <sz val="11"/>
      <color rgb="FF000000"/>
      <name val="&quot;Aptos Narrow&quot;"/>
    </font>
    <font>
      <sz val="11"/>
      <color theme="10"/>
      <name val="Aptos Narrow"/>
    </font>
    <font>
      <u/>
      <sz val="11"/>
      <color theme="1"/>
      <name val="Aptos Narrow"/>
    </font>
    <font>
      <sz val="11"/>
      <color theme="1"/>
      <name val="&quot;Aptos Narrow&quot;"/>
    </font>
    <font>
      <sz val="11"/>
      <color rgb="FF333333"/>
      <name val="Georgia"/>
    </font>
    <font>
      <sz val="11"/>
      <color rgb="FF333333"/>
      <name val="-Apple-System"/>
    </font>
    <font>
      <sz val="11"/>
      <color theme="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C7D22"/>
        <bgColor rgb="FF3C7D22"/>
      </patternFill>
    </fill>
    <fill>
      <patternFill patternType="solid">
        <fgColor theme="0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B3E5A1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356854"/>
      </left>
      <right style="thin">
        <color rgb="FF000000"/>
      </right>
      <top style="thin">
        <color rgb="FF000000"/>
      </top>
      <bottom/>
      <diagonal/>
    </border>
    <border>
      <left style="thin">
        <color rgb="FF356854"/>
      </left>
      <right/>
      <top style="thin">
        <color rgb="FF000000"/>
      </top>
      <bottom/>
      <diagonal/>
    </border>
    <border>
      <left style="thin">
        <color rgb="FF284E3F"/>
      </left>
      <right/>
      <top style="thin">
        <color rgb="FF284E3F"/>
      </top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4" fontId="2" fillId="0" borderId="0" xfId="0" applyNumberFormat="1" applyFont="1"/>
    <xf numFmtId="0" fontId="8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center"/>
    </xf>
    <xf numFmtId="3" fontId="11" fillId="0" borderId="0" xfId="0" applyNumberFormat="1" applyFont="1"/>
    <xf numFmtId="0" fontId="8" fillId="4" borderId="6" xfId="0" applyFont="1" applyFill="1" applyBorder="1" applyAlignment="1">
      <alignment horizontal="center" vertical="center"/>
    </xf>
    <xf numFmtId="0" fontId="2" fillId="7" borderId="4" xfId="0" applyFon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2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64" fontId="2" fillId="0" borderId="0" xfId="0" applyNumberFormat="1" applyFont="1"/>
    <xf numFmtId="168" fontId="2" fillId="0" borderId="0" xfId="0" applyNumberFormat="1" applyFont="1" applyAlignment="1">
      <alignment horizontal="center"/>
    </xf>
    <xf numFmtId="170" fontId="2" fillId="0" borderId="0" xfId="0" applyNumberFormat="1" applyFont="1"/>
    <xf numFmtId="171" fontId="2" fillId="0" borderId="0" xfId="0" applyNumberFormat="1" applyFont="1" applyAlignment="1">
      <alignment horizontal="center"/>
    </xf>
    <xf numFmtId="172" fontId="2" fillId="0" borderId="0" xfId="0" applyNumberFormat="1" applyFont="1"/>
    <xf numFmtId="3" fontId="2" fillId="0" borderId="0" xfId="0" applyNumberFormat="1" applyFont="1"/>
    <xf numFmtId="1" fontId="8" fillId="2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3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center"/>
    </xf>
    <xf numFmtId="166" fontId="2" fillId="0" borderId="0" xfId="0" applyNumberFormat="1" applyFont="1"/>
    <xf numFmtId="0" fontId="5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8" fillId="4" borderId="2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2" fillId="0" borderId="4" xfId="0" applyFont="1" applyBorder="1"/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4" xfId="0" applyFont="1" applyBorder="1"/>
    <xf numFmtId="0" fontId="9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166" fontId="2" fillId="0" borderId="5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/>
    <xf numFmtId="0" fontId="2" fillId="0" borderId="16" xfId="0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2" fontId="2" fillId="0" borderId="4" xfId="0" applyNumberFormat="1" applyFont="1" applyBorder="1"/>
    <xf numFmtId="4" fontId="3" fillId="0" borderId="16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0" fillId="0" borderId="2" xfId="0" applyBorder="1"/>
    <xf numFmtId="0" fontId="3" fillId="0" borderId="17" xfId="0" applyFont="1" applyBorder="1"/>
    <xf numFmtId="0" fontId="11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" fillId="0" borderId="5" xfId="0" applyFont="1" applyBorder="1"/>
    <xf numFmtId="4" fontId="11" fillId="0" borderId="0" xfId="0" applyNumberFormat="1" applyFont="1" applyAlignment="1">
      <alignment horizontal="center"/>
    </xf>
    <xf numFmtId="166" fontId="2" fillId="0" borderId="4" xfId="0" applyNumberFormat="1" applyFont="1" applyBorder="1"/>
    <xf numFmtId="0" fontId="8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" fontId="9" fillId="2" borderId="12" xfId="0" applyNumberFormat="1" applyFont="1" applyFill="1" applyBorder="1" applyAlignment="1">
      <alignment horizontal="center"/>
    </xf>
    <xf numFmtId="2" fontId="2" fillId="0" borderId="5" xfId="0" applyNumberFormat="1" applyFont="1" applyBorder="1"/>
    <xf numFmtId="2" fontId="2" fillId="0" borderId="10" xfId="0" applyNumberFormat="1" applyFont="1" applyBorder="1"/>
    <xf numFmtId="2" fontId="0" fillId="0" borderId="4" xfId="0" applyNumberFormat="1" applyBorder="1"/>
    <xf numFmtId="2" fontId="0" fillId="0" borderId="0" xfId="0" applyNumberFormat="1"/>
    <xf numFmtId="2" fontId="2" fillId="0" borderId="11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11" fillId="0" borderId="2" xfId="0" applyFont="1" applyBorder="1" applyAlignment="1">
      <alignment horizontal="center"/>
    </xf>
    <xf numFmtId="0" fontId="0" fillId="0" borderId="16" xfId="0" applyBorder="1"/>
    <xf numFmtId="0" fontId="11" fillId="3" borderId="5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3" fontId="3" fillId="0" borderId="13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165" fontId="3" fillId="0" borderId="13" xfId="0" applyNumberFormat="1" applyFont="1" applyBorder="1" applyAlignment="1">
      <alignment horizontal="center"/>
    </xf>
    <xf numFmtId="165" fontId="2" fillId="0" borderId="4" xfId="0" applyNumberFormat="1" applyFont="1" applyBorder="1"/>
    <xf numFmtId="166" fontId="3" fillId="0" borderId="11" xfId="0" applyNumberFormat="1" applyFont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1" fillId="3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3" fontId="11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4" fontId="11" fillId="0" borderId="4" xfId="0" applyNumberFormat="1" applyFont="1" applyBorder="1" applyAlignment="1">
      <alignment horizontal="center"/>
    </xf>
    <xf numFmtId="165" fontId="2" fillId="0" borderId="13" xfId="0" applyNumberFormat="1" applyFont="1" applyBorder="1"/>
    <xf numFmtId="0" fontId="2" fillId="0" borderId="14" xfId="0" applyFont="1" applyBorder="1"/>
    <xf numFmtId="2" fontId="3" fillId="0" borderId="0" xfId="0" applyNumberFormat="1" applyFont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4" fontId="3" fillId="0" borderId="4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3" fillId="0" borderId="13" xfId="0" applyNumberFormat="1" applyFont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1" fillId="0" borderId="11" xfId="0" applyFont="1" applyBorder="1"/>
    <xf numFmtId="1" fontId="2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" fontId="9" fillId="2" borderId="15" xfId="0" applyNumberFormat="1" applyFont="1" applyFill="1" applyBorder="1" applyAlignment="1">
      <alignment horizontal="center"/>
    </xf>
    <xf numFmtId="1" fontId="3" fillId="3" borderId="16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165" fontId="0" fillId="0" borderId="4" xfId="0" applyNumberFormat="1" applyBorder="1"/>
    <xf numFmtId="165" fontId="0" fillId="0" borderId="0" xfId="0" applyNumberFormat="1"/>
    <xf numFmtId="0" fontId="23" fillId="0" borderId="4" xfId="0" applyFont="1" applyBorder="1" applyAlignment="1">
      <alignment readingOrder="1"/>
    </xf>
    <xf numFmtId="0" fontId="11" fillId="9" borderId="5" xfId="0" applyFont="1" applyFill="1" applyBorder="1" applyAlignment="1">
      <alignment horizontal="center"/>
    </xf>
    <xf numFmtId="0" fontId="0" fillId="10" borderId="0" xfId="0" applyFill="1"/>
    <xf numFmtId="0" fontId="2" fillId="10" borderId="0" xfId="0" applyFont="1" applyFill="1"/>
    <xf numFmtId="0" fontId="0" fillId="10" borderId="4" xfId="0" applyFill="1" applyBorder="1"/>
    <xf numFmtId="0" fontId="3" fillId="11" borderId="5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</cellXfs>
  <cellStyles count="1">
    <cellStyle name="Κανονικό" xfId="0" builtinId="0"/>
  </cellStyles>
  <dxfs count="2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3">
    <tableStyle name="Temperature-style" pivot="0" count="2" xr9:uid="{00000000-0011-0000-FFFF-FFFF00000000}">
      <tableStyleElement type="firstRowStripe" dxfId="27"/>
      <tableStyleElement type="secondRowStripe" dxfId="26"/>
    </tableStyle>
    <tableStyle name="Physchem_properties-style" pivot="0" count="3" xr9:uid="{00000000-0011-0000-FFFF-FFFF01000000}">
      <tableStyleElement type="headerRow" dxfId="25"/>
      <tableStyleElement type="firstRowStripe" dxfId="24"/>
      <tableStyleElement type="secondRowStripe" dxfId="23"/>
    </tableStyle>
    <tableStyle name="Physchem_properties-style 2" pivot="0" count="2" xr9:uid="{00000000-0011-0000-FFFF-FFFF02000000}">
      <tableStyleElement type="firstRowStripe" dxfId="22"/>
      <tableStyleElement type="secondRowStripe" dxfId="21"/>
    </tableStyle>
    <tableStyle name="Physchem_properties-style 3" pivot="0" count="2" xr9:uid="{00000000-0011-0000-FFFF-FFFF03000000}">
      <tableStyleElement type="firstRowStripe" dxfId="20"/>
      <tableStyleElement type="secondRowStripe" dxfId="19"/>
    </tableStyle>
    <tableStyle name="Thermal_properties-style" pivot="0" count="3" xr9:uid="{00000000-0011-0000-FFFF-FFFF04000000}">
      <tableStyleElement type="headerRow" dxfId="18"/>
      <tableStyleElement type="firstRowStripe" dxfId="17"/>
      <tableStyleElement type="secondRowStripe" dxfId="16"/>
    </tableStyle>
    <tableStyle name="Thermal_properties-style 2" pivot="0" count="2" xr9:uid="{00000000-0011-0000-FFFF-FFFF05000000}">
      <tableStyleElement type="firstRowStripe" dxfId="15"/>
      <tableStyleElement type="secondRowStripe" dxfId="14"/>
    </tableStyle>
    <tableStyle name="Complex_viscosity-style" pivot="0" count="2" xr9:uid="{00000000-0011-0000-FFFF-FFFF06000000}">
      <tableStyleElement type="firstRowStripe" dxfId="13"/>
      <tableStyleElement type="secondRowStripe" dxfId="12"/>
    </tableStyle>
    <tableStyle name="Complex_viscosity-style 2" pivot="0" count="2" xr9:uid="{00000000-0011-0000-FFFF-FFFF07000000}">
      <tableStyleElement type="firstRowStripe" dxfId="11"/>
      <tableStyleElement type="secondRowStripe" dxfId="10"/>
    </tableStyle>
    <tableStyle name="Rheological_experimental_detail-style" pivot="0" count="2" xr9:uid="{00000000-0011-0000-FFFF-FFFF08000000}">
      <tableStyleElement type="firstRowStripe" dxfId="9"/>
      <tableStyleElement type="secondRowStripe" dxfId="8"/>
    </tableStyle>
    <tableStyle name="Storage_modulus_G-style" pivot="0" count="2" xr9:uid="{00000000-0011-0000-FFFF-FFFF09000000}">
      <tableStyleElement type="firstRowStripe" dxfId="7"/>
      <tableStyleElement type="secondRowStripe" dxfId="6"/>
    </tableStyle>
    <tableStyle name="Storage_modulus_G-style 2" pivot="0" count="2" xr9:uid="{00000000-0011-0000-FFFF-FFFF0A000000}">
      <tableStyleElement type="firstRowStripe" dxfId="5"/>
      <tableStyleElement type="secondRowStripe" dxfId="4"/>
    </tableStyle>
    <tableStyle name="Loss_modulus_G-style" pivot="0" count="2" xr9:uid="{00000000-0011-0000-FFFF-FFFF0B000000}">
      <tableStyleElement type="firstRowStripe" dxfId="3"/>
      <tableStyleElement type="secondRowStripe" dxfId="2"/>
    </tableStyle>
    <tableStyle name="Tandelta-style" pivot="0" count="2" xr9:uid="{00000000-0011-0000-FFFF-FFFF0C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003"/>
  <sheetViews>
    <sheetView tabSelected="1" zoomScaleNormal="100" workbookViewId="0">
      <pane ySplit="1" topLeftCell="A26" activePane="bottomLeft" state="frozen"/>
      <selection pane="bottomLeft" activeCell="F1" sqref="F1"/>
    </sheetView>
  </sheetViews>
  <sheetFormatPr defaultColWidth="12.5546875" defaultRowHeight="15" customHeight="1"/>
  <cols>
    <col min="1" max="1" width="13.33203125" customWidth="1"/>
    <col min="2" max="2" width="13.109375" customWidth="1"/>
    <col min="3" max="3" width="18.33203125" customWidth="1"/>
    <col min="4" max="4" width="16.109375" customWidth="1"/>
    <col min="5" max="5" width="14.88671875" customWidth="1"/>
    <col min="6" max="6" width="18.88671875" customWidth="1"/>
    <col min="7" max="7" width="10.109375" customWidth="1"/>
    <col min="8" max="8" width="10.33203125" customWidth="1"/>
    <col min="9" max="9" width="12.6640625" customWidth="1"/>
    <col min="10" max="10" width="13" customWidth="1"/>
    <col min="11" max="11" width="9.44140625" customWidth="1"/>
    <col min="12" max="13" width="10.44140625" customWidth="1"/>
    <col min="14" max="15" width="11.44140625" customWidth="1"/>
    <col min="16" max="16" width="24.44140625" customWidth="1"/>
    <col min="17" max="17" width="21.44140625" customWidth="1"/>
    <col min="18" max="18" width="8.88671875" customWidth="1"/>
    <col min="19" max="19" width="9.44140625" customWidth="1"/>
    <col min="20" max="20" width="7.5546875" customWidth="1"/>
    <col min="21" max="21" width="13" customWidth="1"/>
    <col min="22" max="22" width="9.44140625" customWidth="1"/>
    <col min="23" max="23" width="8.33203125" customWidth="1"/>
    <col min="24" max="24" width="14" customWidth="1"/>
    <col min="25" max="25" width="15" customWidth="1"/>
    <col min="26" max="27" width="20" customWidth="1"/>
    <col min="28" max="28" width="14" customWidth="1"/>
    <col min="29" max="29" width="15" customWidth="1"/>
    <col min="30" max="30" width="20" customWidth="1"/>
    <col min="31" max="31" width="20.44140625" customWidth="1"/>
    <col min="32" max="32" width="27.88671875" bestFit="1" customWidth="1"/>
    <col min="33" max="33" width="24" bestFit="1" customWidth="1"/>
    <col min="34" max="45" width="20.44140625" customWidth="1"/>
    <col min="46" max="46" width="38.44140625" bestFit="1" customWidth="1"/>
    <col min="47" max="49" width="12.5546875" style="90"/>
  </cols>
  <sheetData>
    <row r="1" spans="1:48" ht="14.4">
      <c r="A1" s="137" t="s">
        <v>9</v>
      </c>
      <c r="B1" s="138" t="s">
        <v>10</v>
      </c>
      <c r="C1" s="88" t="s">
        <v>11</v>
      </c>
      <c r="D1" s="24" t="s">
        <v>12</v>
      </c>
      <c r="E1" s="24" t="s">
        <v>13</v>
      </c>
      <c r="F1" s="24" t="s">
        <v>14</v>
      </c>
      <c r="G1" s="24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24" t="s">
        <v>21</v>
      </c>
      <c r="N1" s="24" t="s">
        <v>22</v>
      </c>
      <c r="O1" s="24" t="s">
        <v>23</v>
      </c>
      <c r="P1" s="24" t="s">
        <v>24</v>
      </c>
      <c r="Q1" s="24" t="s">
        <v>25</v>
      </c>
      <c r="R1" s="24" t="s">
        <v>26</v>
      </c>
      <c r="S1" s="24" t="s">
        <v>27</v>
      </c>
      <c r="T1" s="24" t="s">
        <v>28</v>
      </c>
      <c r="U1" s="24" t="s">
        <v>29</v>
      </c>
      <c r="V1" s="24" t="s">
        <v>30</v>
      </c>
      <c r="W1" s="24" t="s">
        <v>31</v>
      </c>
      <c r="X1" s="24" t="s">
        <v>32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38</v>
      </c>
      <c r="AE1" s="24" t="s">
        <v>39</v>
      </c>
      <c r="AF1" s="88" t="s">
        <v>40</v>
      </c>
      <c r="AG1" s="24" t="s">
        <v>41</v>
      </c>
      <c r="AH1" s="24" t="s">
        <v>42</v>
      </c>
      <c r="AI1" s="24" t="s">
        <v>43</v>
      </c>
      <c r="AJ1" s="24" t="s">
        <v>44</v>
      </c>
      <c r="AK1" s="24" t="s">
        <v>45</v>
      </c>
      <c r="AL1" s="24" t="s">
        <v>46</v>
      </c>
      <c r="AM1" s="24" t="s">
        <v>47</v>
      </c>
      <c r="AN1" s="24" t="s">
        <v>48</v>
      </c>
      <c r="AO1" s="24" t="s">
        <v>49</v>
      </c>
      <c r="AP1" s="24" t="s">
        <v>50</v>
      </c>
      <c r="AQ1" s="24" t="s">
        <v>51</v>
      </c>
      <c r="AR1" s="24" t="s">
        <v>52</v>
      </c>
      <c r="AS1" s="24" t="s">
        <v>53</v>
      </c>
      <c r="AT1" s="24" t="s">
        <v>54</v>
      </c>
      <c r="AV1" s="25" t="s">
        <v>55</v>
      </c>
    </row>
    <row r="2" spans="1:48" ht="14.4">
      <c r="A2" s="93">
        <v>1</v>
      </c>
      <c r="B2" s="94">
        <v>1</v>
      </c>
      <c r="C2" s="120">
        <v>0</v>
      </c>
      <c r="D2" s="120">
        <v>0</v>
      </c>
      <c r="E2" s="120">
        <v>0</v>
      </c>
      <c r="F2" s="120">
        <v>100</v>
      </c>
      <c r="G2" s="120">
        <v>7.6</v>
      </c>
      <c r="H2" s="120">
        <v>0</v>
      </c>
      <c r="I2" s="120">
        <v>92.4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396000</v>
      </c>
      <c r="S2" s="120">
        <v>216000</v>
      </c>
      <c r="T2" s="120"/>
      <c r="U2" s="120"/>
      <c r="V2" s="120">
        <v>1.8</v>
      </c>
      <c r="W2" s="120" t="s">
        <v>56</v>
      </c>
      <c r="X2" s="120"/>
      <c r="Y2" s="95"/>
      <c r="Z2" s="120"/>
      <c r="AA2" s="120" t="s">
        <v>56</v>
      </c>
      <c r="AB2" s="120"/>
      <c r="AC2" s="120"/>
      <c r="AD2" s="120"/>
      <c r="AE2" s="120">
        <v>100</v>
      </c>
      <c r="AF2" s="236">
        <v>0</v>
      </c>
      <c r="AG2" s="95">
        <v>0</v>
      </c>
      <c r="AH2" s="95">
        <v>0</v>
      </c>
      <c r="AI2" s="95">
        <v>100</v>
      </c>
      <c r="AJ2" s="95">
        <v>7.6</v>
      </c>
      <c r="AK2" s="95">
        <v>0</v>
      </c>
      <c r="AL2" s="95">
        <v>92.4</v>
      </c>
      <c r="AM2" s="95">
        <v>0</v>
      </c>
      <c r="AN2" s="95">
        <v>0</v>
      </c>
      <c r="AO2" s="95">
        <v>0</v>
      </c>
      <c r="AP2" s="95">
        <v>0</v>
      </c>
      <c r="AQ2" s="95">
        <v>0</v>
      </c>
      <c r="AR2" s="95">
        <v>0</v>
      </c>
      <c r="AS2" s="95">
        <v>0</v>
      </c>
      <c r="AT2" s="115">
        <v>0</v>
      </c>
      <c r="AV2" s="242">
        <v>1</v>
      </c>
    </row>
    <row r="3" spans="1:48" ht="14.4">
      <c r="A3" s="92">
        <v>1</v>
      </c>
      <c r="B3" s="97">
        <v>2</v>
      </c>
      <c r="C3" s="122">
        <v>0</v>
      </c>
      <c r="D3" s="122">
        <v>0</v>
      </c>
      <c r="E3" s="122">
        <v>0</v>
      </c>
      <c r="F3" s="122">
        <v>100</v>
      </c>
      <c r="G3" s="122">
        <v>7.6</v>
      </c>
      <c r="H3" s="122">
        <v>0</v>
      </c>
      <c r="I3" s="122">
        <v>92.4</v>
      </c>
      <c r="J3" s="122">
        <v>0</v>
      </c>
      <c r="K3" s="122">
        <v>0</v>
      </c>
      <c r="L3" s="122">
        <v>0</v>
      </c>
      <c r="M3" s="122">
        <v>0</v>
      </c>
      <c r="N3" s="122">
        <v>0</v>
      </c>
      <c r="O3" s="122">
        <v>0</v>
      </c>
      <c r="P3" s="122">
        <v>0</v>
      </c>
      <c r="Q3" s="122">
        <v>0</v>
      </c>
      <c r="R3" s="122">
        <v>396000</v>
      </c>
      <c r="S3" s="122">
        <v>216000</v>
      </c>
      <c r="T3" s="122"/>
      <c r="U3" s="122"/>
      <c r="V3" s="122">
        <v>1.8</v>
      </c>
      <c r="W3" s="122" t="s">
        <v>57</v>
      </c>
      <c r="X3" s="122" t="s">
        <v>58</v>
      </c>
      <c r="Y3" s="96" t="s">
        <v>1</v>
      </c>
      <c r="Z3" s="122">
        <v>1</v>
      </c>
      <c r="AA3" s="122" t="s">
        <v>56</v>
      </c>
      <c r="AB3" s="122"/>
      <c r="AC3" s="122"/>
      <c r="AD3" s="122"/>
      <c r="AE3" s="122">
        <v>99</v>
      </c>
      <c r="AF3" s="237">
        <v>0</v>
      </c>
      <c r="AG3" s="96">
        <v>0</v>
      </c>
      <c r="AH3" s="96">
        <v>0</v>
      </c>
      <c r="AI3" s="96">
        <v>99</v>
      </c>
      <c r="AJ3" s="96">
        <v>7.524</v>
      </c>
      <c r="AK3" s="96">
        <v>0</v>
      </c>
      <c r="AL3" s="96">
        <v>91.475999999999999</v>
      </c>
      <c r="AM3" s="96">
        <v>0</v>
      </c>
      <c r="AN3" s="96">
        <v>0</v>
      </c>
      <c r="AO3" s="96">
        <v>0</v>
      </c>
      <c r="AP3" s="96">
        <v>0</v>
      </c>
      <c r="AQ3" s="96">
        <v>0</v>
      </c>
      <c r="AR3" s="96">
        <v>0</v>
      </c>
      <c r="AS3" s="96">
        <v>0</v>
      </c>
      <c r="AT3" s="117">
        <v>0</v>
      </c>
      <c r="AV3" s="242">
        <v>2</v>
      </c>
    </row>
    <row r="4" spans="1:48" ht="14.4">
      <c r="A4" s="92">
        <v>1</v>
      </c>
      <c r="B4" s="97">
        <v>3</v>
      </c>
      <c r="C4" s="122">
        <v>0</v>
      </c>
      <c r="D4" s="122">
        <v>0</v>
      </c>
      <c r="E4" s="122">
        <v>0</v>
      </c>
      <c r="F4" s="122">
        <v>100</v>
      </c>
      <c r="G4" s="122">
        <v>7.6</v>
      </c>
      <c r="H4" s="122">
        <v>0</v>
      </c>
      <c r="I4" s="122">
        <v>92.4</v>
      </c>
      <c r="J4" s="122">
        <v>0</v>
      </c>
      <c r="K4" s="122">
        <v>0</v>
      </c>
      <c r="L4" s="122">
        <v>0</v>
      </c>
      <c r="M4" s="122">
        <v>0</v>
      </c>
      <c r="N4" s="122">
        <v>0</v>
      </c>
      <c r="O4" s="122">
        <v>0</v>
      </c>
      <c r="P4" s="122">
        <v>0</v>
      </c>
      <c r="Q4" s="122">
        <v>0</v>
      </c>
      <c r="R4" s="122">
        <v>396000</v>
      </c>
      <c r="S4" s="122">
        <v>216000</v>
      </c>
      <c r="T4" s="122"/>
      <c r="U4" s="122"/>
      <c r="V4" s="122">
        <v>1.8</v>
      </c>
      <c r="W4" s="122" t="s">
        <v>57</v>
      </c>
      <c r="X4" s="122" t="s">
        <v>58</v>
      </c>
      <c r="Y4" s="96" t="s">
        <v>1</v>
      </c>
      <c r="Z4" s="122">
        <v>2.5</v>
      </c>
      <c r="AA4" s="122" t="s">
        <v>56</v>
      </c>
      <c r="AB4" s="122"/>
      <c r="AC4" s="122"/>
      <c r="AD4" s="122"/>
      <c r="AE4" s="122">
        <v>97.5</v>
      </c>
      <c r="AF4" s="237">
        <v>0</v>
      </c>
      <c r="AG4" s="96">
        <v>0</v>
      </c>
      <c r="AH4" s="96">
        <v>0</v>
      </c>
      <c r="AI4" s="96">
        <v>97.5</v>
      </c>
      <c r="AJ4" s="96">
        <v>7.41</v>
      </c>
      <c r="AK4" s="96">
        <v>0</v>
      </c>
      <c r="AL4" s="96">
        <v>90.09</v>
      </c>
      <c r="AM4" s="96">
        <v>0</v>
      </c>
      <c r="AN4" s="96">
        <v>0</v>
      </c>
      <c r="AO4" s="96">
        <v>0</v>
      </c>
      <c r="AP4" s="96">
        <v>0</v>
      </c>
      <c r="AQ4" s="96">
        <v>0</v>
      </c>
      <c r="AR4" s="96">
        <v>0</v>
      </c>
      <c r="AS4" s="96">
        <v>0</v>
      </c>
      <c r="AT4" s="117">
        <v>0</v>
      </c>
      <c r="AV4" s="242">
        <v>3</v>
      </c>
    </row>
    <row r="5" spans="1:48" ht="14.4">
      <c r="A5" s="92">
        <v>1</v>
      </c>
      <c r="B5" s="97">
        <v>4</v>
      </c>
      <c r="C5" s="122">
        <v>0</v>
      </c>
      <c r="D5" s="122">
        <v>0</v>
      </c>
      <c r="E5" s="122">
        <v>0</v>
      </c>
      <c r="F5" s="122">
        <v>100</v>
      </c>
      <c r="G5" s="122">
        <v>7.6</v>
      </c>
      <c r="H5" s="122">
        <v>0</v>
      </c>
      <c r="I5" s="122">
        <v>92.4</v>
      </c>
      <c r="J5" s="122">
        <v>0</v>
      </c>
      <c r="K5" s="122">
        <v>0</v>
      </c>
      <c r="L5" s="122">
        <v>0</v>
      </c>
      <c r="M5" s="122">
        <v>0</v>
      </c>
      <c r="N5" s="122">
        <v>0</v>
      </c>
      <c r="O5" s="122">
        <v>0</v>
      </c>
      <c r="P5" s="122">
        <v>0</v>
      </c>
      <c r="Q5" s="122">
        <v>0</v>
      </c>
      <c r="R5" s="122">
        <v>396000</v>
      </c>
      <c r="S5" s="122">
        <v>216000</v>
      </c>
      <c r="T5" s="122"/>
      <c r="U5" s="122"/>
      <c r="V5" s="122">
        <v>1.8</v>
      </c>
      <c r="W5" s="122" t="s">
        <v>57</v>
      </c>
      <c r="X5" s="122" t="s">
        <v>58</v>
      </c>
      <c r="Y5" s="96" t="s">
        <v>1</v>
      </c>
      <c r="Z5" s="122">
        <v>5</v>
      </c>
      <c r="AA5" s="122" t="s">
        <v>56</v>
      </c>
      <c r="AB5" s="122"/>
      <c r="AC5" s="122"/>
      <c r="AD5" s="122"/>
      <c r="AE5" s="122">
        <v>95</v>
      </c>
      <c r="AF5" s="237">
        <v>0</v>
      </c>
      <c r="AG5" s="96">
        <v>0</v>
      </c>
      <c r="AH5" s="96">
        <v>0</v>
      </c>
      <c r="AI5" s="96">
        <v>95</v>
      </c>
      <c r="AJ5" s="96">
        <v>7.22</v>
      </c>
      <c r="AK5" s="96">
        <v>0</v>
      </c>
      <c r="AL5" s="96">
        <v>87.78</v>
      </c>
      <c r="AM5" s="96">
        <v>0</v>
      </c>
      <c r="AN5" s="96">
        <v>0</v>
      </c>
      <c r="AO5" s="96">
        <v>0</v>
      </c>
      <c r="AP5" s="96">
        <v>0</v>
      </c>
      <c r="AQ5" s="96">
        <v>0</v>
      </c>
      <c r="AR5" s="96">
        <v>0</v>
      </c>
      <c r="AS5" s="96">
        <v>0</v>
      </c>
      <c r="AT5" s="117">
        <v>0</v>
      </c>
      <c r="AV5" s="242">
        <v>4</v>
      </c>
    </row>
    <row r="6" spans="1:48" ht="14.4">
      <c r="A6" s="93">
        <v>2</v>
      </c>
      <c r="B6" s="94">
        <v>1</v>
      </c>
      <c r="C6" s="120">
        <v>0</v>
      </c>
      <c r="D6" s="120">
        <v>0</v>
      </c>
      <c r="E6" s="120">
        <v>0</v>
      </c>
      <c r="F6" s="120">
        <v>100</v>
      </c>
      <c r="G6" s="120">
        <v>12</v>
      </c>
      <c r="H6" s="120">
        <v>0</v>
      </c>
      <c r="I6" s="120">
        <v>48</v>
      </c>
      <c r="J6" s="120">
        <v>0</v>
      </c>
      <c r="K6" s="120">
        <v>31</v>
      </c>
      <c r="L6" s="120">
        <v>0</v>
      </c>
      <c r="M6" s="120">
        <v>8</v>
      </c>
      <c r="N6" s="120">
        <v>0</v>
      </c>
      <c r="O6" s="120">
        <v>1</v>
      </c>
      <c r="P6" s="120">
        <v>0</v>
      </c>
      <c r="Q6" s="120">
        <v>0</v>
      </c>
      <c r="R6" s="120">
        <v>30000</v>
      </c>
      <c r="S6" s="120"/>
      <c r="T6" s="120"/>
      <c r="U6" s="120"/>
      <c r="V6" s="120">
        <v>1.5</v>
      </c>
      <c r="W6" s="120" t="s">
        <v>56</v>
      </c>
      <c r="X6" s="120"/>
      <c r="Y6" s="120"/>
      <c r="Z6" s="120"/>
      <c r="AA6" s="120" t="s">
        <v>56</v>
      </c>
      <c r="AB6" s="120"/>
      <c r="AC6" s="120"/>
      <c r="AD6" s="120"/>
      <c r="AE6" s="120">
        <v>100</v>
      </c>
      <c r="AF6" s="237">
        <v>0</v>
      </c>
      <c r="AG6" s="96">
        <v>0</v>
      </c>
      <c r="AH6" s="96">
        <v>0</v>
      </c>
      <c r="AI6" s="96">
        <v>100</v>
      </c>
      <c r="AJ6" s="96">
        <v>12</v>
      </c>
      <c r="AK6" s="96">
        <v>0</v>
      </c>
      <c r="AL6" s="96">
        <v>48</v>
      </c>
      <c r="AM6" s="96">
        <v>0</v>
      </c>
      <c r="AN6" s="96">
        <v>31</v>
      </c>
      <c r="AO6" s="96">
        <v>0</v>
      </c>
      <c r="AP6" s="96">
        <v>8</v>
      </c>
      <c r="AQ6" s="96">
        <v>0</v>
      </c>
      <c r="AR6" s="96">
        <v>1</v>
      </c>
      <c r="AS6" s="96">
        <v>0</v>
      </c>
      <c r="AT6" s="117">
        <v>0</v>
      </c>
      <c r="AV6" s="242">
        <v>5</v>
      </c>
    </row>
    <row r="7" spans="1:48" ht="14.4">
      <c r="A7" s="93">
        <v>3</v>
      </c>
      <c r="B7" s="247" t="s">
        <v>154</v>
      </c>
      <c r="C7" s="120">
        <v>0</v>
      </c>
      <c r="D7" s="120">
        <v>0</v>
      </c>
      <c r="E7" s="120">
        <v>0</v>
      </c>
      <c r="F7" s="120">
        <v>100</v>
      </c>
      <c r="G7" s="120"/>
      <c r="H7" s="120">
        <v>0</v>
      </c>
      <c r="I7" s="120">
        <v>86</v>
      </c>
      <c r="J7" s="120">
        <v>0</v>
      </c>
      <c r="K7" s="120"/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14</v>
      </c>
      <c r="R7" s="120"/>
      <c r="S7" s="120"/>
      <c r="T7" s="120"/>
      <c r="U7" s="120"/>
      <c r="V7" s="120"/>
      <c r="W7" s="120" t="s">
        <v>56</v>
      </c>
      <c r="X7" s="120"/>
      <c r="Y7" s="120"/>
      <c r="Z7" s="120"/>
      <c r="AA7" s="120" t="s">
        <v>56</v>
      </c>
      <c r="AB7" s="120"/>
      <c r="AC7" s="120"/>
      <c r="AD7" s="120"/>
      <c r="AE7" s="120">
        <v>100</v>
      </c>
      <c r="AF7" s="237">
        <v>0</v>
      </c>
      <c r="AG7" s="96">
        <v>0</v>
      </c>
      <c r="AH7" s="96">
        <v>0</v>
      </c>
      <c r="AI7" s="96">
        <v>100</v>
      </c>
      <c r="AJ7" s="96">
        <v>0</v>
      </c>
      <c r="AK7" s="96">
        <v>0</v>
      </c>
      <c r="AL7" s="96">
        <v>86</v>
      </c>
      <c r="AM7" s="96">
        <v>0</v>
      </c>
      <c r="AN7" s="96">
        <v>0</v>
      </c>
      <c r="AO7" s="96">
        <v>0</v>
      </c>
      <c r="AP7" s="96">
        <v>0</v>
      </c>
      <c r="AQ7" s="96">
        <v>0</v>
      </c>
      <c r="AR7" s="96">
        <v>0</v>
      </c>
      <c r="AS7" s="96">
        <v>0</v>
      </c>
      <c r="AT7" s="117">
        <v>14</v>
      </c>
      <c r="AV7" s="242">
        <v>6</v>
      </c>
    </row>
    <row r="8" spans="1:48" ht="14.4">
      <c r="A8" s="92">
        <v>3</v>
      </c>
      <c r="B8" s="248" t="s">
        <v>155</v>
      </c>
      <c r="C8" s="122">
        <v>0</v>
      </c>
      <c r="D8" s="122">
        <v>0</v>
      </c>
      <c r="E8" s="122">
        <v>0</v>
      </c>
      <c r="F8" s="122">
        <v>100</v>
      </c>
      <c r="G8" s="122"/>
      <c r="H8" s="122">
        <v>0</v>
      </c>
      <c r="I8" s="122">
        <v>86</v>
      </c>
      <c r="J8" s="122">
        <v>0</v>
      </c>
      <c r="K8" s="122"/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14</v>
      </c>
      <c r="R8" s="122"/>
      <c r="S8" s="122"/>
      <c r="T8" s="122"/>
      <c r="U8" s="122"/>
      <c r="V8" s="122"/>
      <c r="W8" s="122" t="s">
        <v>57</v>
      </c>
      <c r="X8" s="96" t="s">
        <v>59</v>
      </c>
      <c r="Y8" s="96" t="s">
        <v>3</v>
      </c>
      <c r="Z8" s="122">
        <v>1</v>
      </c>
      <c r="AA8" s="122" t="s">
        <v>56</v>
      </c>
      <c r="AB8" s="122"/>
      <c r="AC8" s="122"/>
      <c r="AD8" s="122"/>
      <c r="AE8" s="122">
        <v>99</v>
      </c>
      <c r="AF8" s="237">
        <v>0</v>
      </c>
      <c r="AG8" s="96">
        <v>0</v>
      </c>
      <c r="AH8" s="96">
        <v>0</v>
      </c>
      <c r="AI8" s="96">
        <v>99</v>
      </c>
      <c r="AJ8" s="96">
        <v>0</v>
      </c>
      <c r="AK8" s="96">
        <v>0</v>
      </c>
      <c r="AL8" s="96">
        <v>85.14</v>
      </c>
      <c r="AM8" s="96">
        <v>0</v>
      </c>
      <c r="AN8" s="96">
        <v>0</v>
      </c>
      <c r="AO8" s="96">
        <v>0</v>
      </c>
      <c r="AP8" s="96">
        <v>0</v>
      </c>
      <c r="AQ8" s="96">
        <v>0</v>
      </c>
      <c r="AR8" s="96">
        <v>0</v>
      </c>
      <c r="AS8" s="96">
        <v>0</v>
      </c>
      <c r="AT8" s="117">
        <v>13.86</v>
      </c>
      <c r="AV8" s="242">
        <v>7</v>
      </c>
    </row>
    <row r="9" spans="1:48" ht="14.4">
      <c r="A9" s="92">
        <v>3</v>
      </c>
      <c r="B9" s="248" t="s">
        <v>156</v>
      </c>
      <c r="C9" s="122">
        <v>0</v>
      </c>
      <c r="D9" s="122">
        <v>0</v>
      </c>
      <c r="E9" s="122">
        <v>0</v>
      </c>
      <c r="F9" s="122">
        <v>100</v>
      </c>
      <c r="G9" s="122"/>
      <c r="H9" s="122">
        <v>0</v>
      </c>
      <c r="I9" s="122">
        <v>86</v>
      </c>
      <c r="J9" s="122">
        <v>0</v>
      </c>
      <c r="K9" s="122"/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14</v>
      </c>
      <c r="R9" s="122"/>
      <c r="S9" s="122"/>
      <c r="T9" s="122"/>
      <c r="U9" s="122"/>
      <c r="V9" s="122"/>
      <c r="W9" s="122" t="s">
        <v>57</v>
      </c>
      <c r="X9" s="96" t="s">
        <v>59</v>
      </c>
      <c r="Y9" s="96" t="s">
        <v>3</v>
      </c>
      <c r="Z9" s="122">
        <v>3</v>
      </c>
      <c r="AA9" s="122" t="s">
        <v>56</v>
      </c>
      <c r="AB9" s="122"/>
      <c r="AC9" s="122"/>
      <c r="AD9" s="122"/>
      <c r="AE9" s="122">
        <v>97</v>
      </c>
      <c r="AF9" s="237">
        <v>0</v>
      </c>
      <c r="AG9" s="96">
        <v>0</v>
      </c>
      <c r="AH9" s="96">
        <v>0</v>
      </c>
      <c r="AI9" s="96">
        <v>97</v>
      </c>
      <c r="AJ9" s="96">
        <v>0</v>
      </c>
      <c r="AK9" s="96">
        <v>0</v>
      </c>
      <c r="AL9" s="96">
        <v>83.42</v>
      </c>
      <c r="AM9" s="96">
        <v>0</v>
      </c>
      <c r="AN9" s="96">
        <v>0</v>
      </c>
      <c r="AO9" s="96">
        <v>0</v>
      </c>
      <c r="AP9" s="96">
        <v>0</v>
      </c>
      <c r="AQ9" s="96">
        <v>0</v>
      </c>
      <c r="AR9" s="96">
        <v>0</v>
      </c>
      <c r="AS9" s="96">
        <v>0</v>
      </c>
      <c r="AT9" s="117">
        <v>13.58</v>
      </c>
      <c r="AV9" s="242">
        <v>8</v>
      </c>
    </row>
    <row r="10" spans="1:48" ht="14.4">
      <c r="A10" s="92">
        <v>3</v>
      </c>
      <c r="B10" s="248" t="s">
        <v>157</v>
      </c>
      <c r="C10" s="122">
        <v>0</v>
      </c>
      <c r="D10" s="122">
        <v>0</v>
      </c>
      <c r="E10" s="122">
        <v>0</v>
      </c>
      <c r="F10" s="122">
        <v>100</v>
      </c>
      <c r="G10" s="122"/>
      <c r="H10" s="122">
        <v>0</v>
      </c>
      <c r="I10" s="122">
        <v>86</v>
      </c>
      <c r="J10" s="122">
        <v>0</v>
      </c>
      <c r="K10" s="122"/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2">
        <v>14</v>
      </c>
      <c r="R10" s="122"/>
      <c r="S10" s="122"/>
      <c r="T10" s="122"/>
      <c r="U10" s="122"/>
      <c r="V10" s="122"/>
      <c r="W10" s="122" t="s">
        <v>57</v>
      </c>
      <c r="X10" s="96" t="s">
        <v>59</v>
      </c>
      <c r="Y10" s="96" t="s">
        <v>3</v>
      </c>
      <c r="Z10" s="122">
        <v>6</v>
      </c>
      <c r="AA10" s="122" t="s">
        <v>56</v>
      </c>
      <c r="AB10" s="122"/>
      <c r="AC10" s="122"/>
      <c r="AD10" s="122"/>
      <c r="AE10" s="122">
        <v>94</v>
      </c>
      <c r="AF10" s="237">
        <v>0</v>
      </c>
      <c r="AG10" s="96">
        <v>0</v>
      </c>
      <c r="AH10" s="96">
        <v>0</v>
      </c>
      <c r="AI10" s="96">
        <v>94</v>
      </c>
      <c r="AJ10" s="96">
        <v>0</v>
      </c>
      <c r="AK10" s="96">
        <v>0</v>
      </c>
      <c r="AL10" s="96">
        <v>80.84</v>
      </c>
      <c r="AM10" s="96">
        <v>0</v>
      </c>
      <c r="AN10" s="96">
        <v>0</v>
      </c>
      <c r="AO10" s="96">
        <v>0</v>
      </c>
      <c r="AP10" s="96">
        <v>0</v>
      </c>
      <c r="AQ10" s="96">
        <v>0</v>
      </c>
      <c r="AR10" s="96">
        <v>0</v>
      </c>
      <c r="AS10" s="96">
        <v>0</v>
      </c>
      <c r="AT10" s="117">
        <v>13.16</v>
      </c>
      <c r="AV10" s="242">
        <v>9</v>
      </c>
    </row>
    <row r="11" spans="1:48" ht="14.4">
      <c r="A11" s="92">
        <v>3</v>
      </c>
      <c r="B11" s="248" t="s">
        <v>158</v>
      </c>
      <c r="C11" s="122">
        <v>0</v>
      </c>
      <c r="D11" s="122">
        <v>0</v>
      </c>
      <c r="E11" s="122">
        <v>0</v>
      </c>
      <c r="F11" s="122">
        <v>100</v>
      </c>
      <c r="G11" s="122"/>
      <c r="H11" s="122">
        <v>0</v>
      </c>
      <c r="I11" s="122">
        <v>86</v>
      </c>
      <c r="J11" s="122">
        <v>0</v>
      </c>
      <c r="K11" s="122"/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14</v>
      </c>
      <c r="R11" s="122"/>
      <c r="S11" s="122"/>
      <c r="T11" s="122"/>
      <c r="U11" s="122"/>
      <c r="V11" s="122"/>
      <c r="W11" s="122" t="s">
        <v>56</v>
      </c>
      <c r="X11" s="122"/>
      <c r="Y11" s="122"/>
      <c r="Z11" s="122"/>
      <c r="AA11" s="122" t="s">
        <v>56</v>
      </c>
      <c r="AB11" s="122"/>
      <c r="AC11" s="122"/>
      <c r="AD11" s="122"/>
      <c r="AE11" s="122">
        <v>100</v>
      </c>
      <c r="AF11" s="237">
        <v>0</v>
      </c>
      <c r="AG11" s="96">
        <v>0</v>
      </c>
      <c r="AH11" s="96">
        <v>0</v>
      </c>
      <c r="AI11" s="96">
        <v>100</v>
      </c>
      <c r="AJ11" s="96">
        <v>0</v>
      </c>
      <c r="AK11" s="96">
        <v>0</v>
      </c>
      <c r="AL11" s="96">
        <v>86</v>
      </c>
      <c r="AM11" s="96">
        <v>0</v>
      </c>
      <c r="AN11" s="96">
        <v>0</v>
      </c>
      <c r="AO11" s="96">
        <v>0</v>
      </c>
      <c r="AP11" s="96">
        <v>0</v>
      </c>
      <c r="AQ11" s="96">
        <v>0</v>
      </c>
      <c r="AR11" s="96">
        <v>0</v>
      </c>
      <c r="AS11" s="96">
        <v>0</v>
      </c>
      <c r="AT11" s="117">
        <v>14</v>
      </c>
      <c r="AV11" s="242">
        <v>10</v>
      </c>
    </row>
    <row r="12" spans="1:48" ht="14.4">
      <c r="A12" s="92">
        <v>3</v>
      </c>
      <c r="B12" s="248" t="s">
        <v>159</v>
      </c>
      <c r="C12" s="122">
        <v>0</v>
      </c>
      <c r="D12" s="122">
        <v>0</v>
      </c>
      <c r="E12" s="122">
        <v>0</v>
      </c>
      <c r="F12" s="122">
        <v>100</v>
      </c>
      <c r="G12" s="122"/>
      <c r="H12" s="122">
        <v>0</v>
      </c>
      <c r="I12" s="122">
        <v>86</v>
      </c>
      <c r="J12" s="122">
        <v>0</v>
      </c>
      <c r="K12" s="122"/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2">
        <v>14</v>
      </c>
      <c r="R12" s="122"/>
      <c r="S12" s="122"/>
      <c r="T12" s="122"/>
      <c r="U12" s="122"/>
      <c r="V12" s="122"/>
      <c r="W12" s="122" t="s">
        <v>57</v>
      </c>
      <c r="X12" s="96" t="s">
        <v>59</v>
      </c>
      <c r="Y12" s="96" t="s">
        <v>3</v>
      </c>
      <c r="Z12" s="122">
        <v>1</v>
      </c>
      <c r="AA12" s="122" t="s">
        <v>56</v>
      </c>
      <c r="AB12" s="122"/>
      <c r="AC12" s="122"/>
      <c r="AD12" s="122"/>
      <c r="AE12" s="122">
        <v>99</v>
      </c>
      <c r="AF12" s="237">
        <v>0</v>
      </c>
      <c r="AG12" s="96">
        <v>0</v>
      </c>
      <c r="AH12" s="96">
        <v>0</v>
      </c>
      <c r="AI12" s="96">
        <v>99</v>
      </c>
      <c r="AJ12" s="96">
        <v>0</v>
      </c>
      <c r="AK12" s="96">
        <v>0</v>
      </c>
      <c r="AL12" s="96">
        <v>85.14</v>
      </c>
      <c r="AM12" s="96">
        <v>0</v>
      </c>
      <c r="AN12" s="96">
        <v>0</v>
      </c>
      <c r="AO12" s="96">
        <v>0</v>
      </c>
      <c r="AP12" s="96">
        <v>0</v>
      </c>
      <c r="AQ12" s="96">
        <v>0</v>
      </c>
      <c r="AR12" s="96">
        <v>0</v>
      </c>
      <c r="AS12" s="96">
        <v>0</v>
      </c>
      <c r="AT12" s="117">
        <v>13.86</v>
      </c>
      <c r="AV12" s="242">
        <v>11</v>
      </c>
    </row>
    <row r="13" spans="1:48" ht="14.4">
      <c r="A13" s="92">
        <v>3</v>
      </c>
      <c r="B13" s="248" t="s">
        <v>160</v>
      </c>
      <c r="C13" s="122">
        <v>0</v>
      </c>
      <c r="D13" s="122">
        <v>0</v>
      </c>
      <c r="E13" s="122">
        <v>0</v>
      </c>
      <c r="F13" s="122">
        <v>100</v>
      </c>
      <c r="G13" s="122"/>
      <c r="H13" s="122">
        <v>0</v>
      </c>
      <c r="I13" s="122">
        <v>86</v>
      </c>
      <c r="J13" s="122">
        <v>0</v>
      </c>
      <c r="K13" s="122"/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14</v>
      </c>
      <c r="R13" s="122"/>
      <c r="S13" s="122"/>
      <c r="T13" s="122"/>
      <c r="U13" s="122"/>
      <c r="V13" s="122"/>
      <c r="W13" s="122" t="s">
        <v>57</v>
      </c>
      <c r="X13" s="96" t="s">
        <v>59</v>
      </c>
      <c r="Y13" s="96" t="s">
        <v>3</v>
      </c>
      <c r="Z13" s="122">
        <v>3</v>
      </c>
      <c r="AA13" s="122" t="s">
        <v>56</v>
      </c>
      <c r="AB13" s="122"/>
      <c r="AC13" s="122"/>
      <c r="AD13" s="122"/>
      <c r="AE13" s="122">
        <v>97</v>
      </c>
      <c r="AF13" s="237">
        <v>0</v>
      </c>
      <c r="AG13" s="96">
        <v>0</v>
      </c>
      <c r="AH13" s="96">
        <v>0</v>
      </c>
      <c r="AI13" s="96">
        <v>97</v>
      </c>
      <c r="AJ13" s="96">
        <v>0</v>
      </c>
      <c r="AK13" s="96">
        <v>0</v>
      </c>
      <c r="AL13" s="96">
        <v>83.42</v>
      </c>
      <c r="AM13" s="96">
        <v>0</v>
      </c>
      <c r="AN13" s="96">
        <v>0</v>
      </c>
      <c r="AO13" s="96">
        <v>0</v>
      </c>
      <c r="AP13" s="96">
        <v>0</v>
      </c>
      <c r="AQ13" s="96">
        <v>0</v>
      </c>
      <c r="AR13" s="96">
        <v>0</v>
      </c>
      <c r="AS13" s="96">
        <v>0</v>
      </c>
      <c r="AT13" s="117">
        <v>13.58</v>
      </c>
      <c r="AV13" s="242">
        <v>12</v>
      </c>
    </row>
    <row r="14" spans="1:48" ht="14.4">
      <c r="A14" s="92">
        <v>3</v>
      </c>
      <c r="B14" s="248" t="s">
        <v>161</v>
      </c>
      <c r="C14" s="122">
        <v>0</v>
      </c>
      <c r="D14" s="122">
        <v>0</v>
      </c>
      <c r="E14" s="122">
        <v>0</v>
      </c>
      <c r="F14" s="122">
        <v>100</v>
      </c>
      <c r="G14" s="122"/>
      <c r="H14" s="122">
        <v>0</v>
      </c>
      <c r="I14" s="122">
        <v>86</v>
      </c>
      <c r="J14" s="122">
        <v>0</v>
      </c>
      <c r="K14" s="122"/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14</v>
      </c>
      <c r="R14" s="122"/>
      <c r="S14" s="122"/>
      <c r="T14" s="122"/>
      <c r="U14" s="122"/>
      <c r="V14" s="122"/>
      <c r="W14" s="122" t="s">
        <v>57</v>
      </c>
      <c r="X14" s="96" t="s">
        <v>59</v>
      </c>
      <c r="Y14" s="96" t="s">
        <v>3</v>
      </c>
      <c r="Z14" s="122">
        <v>6</v>
      </c>
      <c r="AA14" s="122" t="s">
        <v>56</v>
      </c>
      <c r="AB14" s="122"/>
      <c r="AC14" s="122"/>
      <c r="AD14" s="122"/>
      <c r="AE14" s="122">
        <v>94</v>
      </c>
      <c r="AF14" s="237">
        <v>0</v>
      </c>
      <c r="AG14" s="96">
        <v>0</v>
      </c>
      <c r="AH14" s="96">
        <v>0</v>
      </c>
      <c r="AI14" s="96">
        <v>94</v>
      </c>
      <c r="AJ14" s="96">
        <v>0</v>
      </c>
      <c r="AK14" s="96">
        <v>0</v>
      </c>
      <c r="AL14" s="96">
        <v>80.84</v>
      </c>
      <c r="AM14" s="96">
        <v>0</v>
      </c>
      <c r="AN14" s="96">
        <v>0</v>
      </c>
      <c r="AO14" s="96">
        <v>0</v>
      </c>
      <c r="AP14" s="96">
        <v>0</v>
      </c>
      <c r="AQ14" s="96">
        <v>0</v>
      </c>
      <c r="AR14" s="96">
        <v>0</v>
      </c>
      <c r="AS14" s="96">
        <v>0</v>
      </c>
      <c r="AT14" s="117">
        <v>13.16</v>
      </c>
      <c r="AV14" s="242">
        <v>13</v>
      </c>
    </row>
    <row r="15" spans="1:48" ht="14.4">
      <c r="A15" s="93">
        <v>4</v>
      </c>
      <c r="B15" s="94">
        <v>1</v>
      </c>
      <c r="C15" s="120">
        <v>0</v>
      </c>
      <c r="D15" s="120">
        <v>0</v>
      </c>
      <c r="E15" s="120">
        <v>0</v>
      </c>
      <c r="F15" s="120">
        <v>100</v>
      </c>
      <c r="G15" s="120">
        <v>3.3</v>
      </c>
      <c r="H15" s="120">
        <v>0</v>
      </c>
      <c r="I15" s="120">
        <v>32.200000000000003</v>
      </c>
      <c r="J15" s="120">
        <v>0</v>
      </c>
      <c r="K15" s="120">
        <v>64.5</v>
      </c>
      <c r="L15" s="120">
        <v>0</v>
      </c>
      <c r="M15" s="120">
        <v>0</v>
      </c>
      <c r="N15" s="120">
        <v>0</v>
      </c>
      <c r="O15" s="120">
        <v>0</v>
      </c>
      <c r="P15" s="120">
        <v>0</v>
      </c>
      <c r="Q15" s="120">
        <v>0</v>
      </c>
      <c r="R15" s="120"/>
      <c r="S15" s="120"/>
      <c r="T15" s="120"/>
      <c r="U15" s="120"/>
      <c r="V15" s="120"/>
      <c r="W15" s="120" t="s">
        <v>56</v>
      </c>
      <c r="X15" s="120"/>
      <c r="Y15" s="120"/>
      <c r="Z15" s="120"/>
      <c r="AA15" s="120" t="s">
        <v>56</v>
      </c>
      <c r="AB15" s="120"/>
      <c r="AC15" s="120"/>
      <c r="AD15" s="120"/>
      <c r="AE15" s="120">
        <v>100</v>
      </c>
      <c r="AF15" s="237">
        <v>0</v>
      </c>
      <c r="AG15" s="96">
        <v>0</v>
      </c>
      <c r="AH15" s="96">
        <v>0</v>
      </c>
      <c r="AI15" s="96">
        <v>100</v>
      </c>
      <c r="AJ15" s="96">
        <v>3.3</v>
      </c>
      <c r="AK15" s="96">
        <v>0</v>
      </c>
      <c r="AL15" s="96">
        <v>32.200000000000003</v>
      </c>
      <c r="AM15" s="96">
        <v>0</v>
      </c>
      <c r="AN15" s="96">
        <v>64.5</v>
      </c>
      <c r="AO15" s="96">
        <v>0</v>
      </c>
      <c r="AP15" s="96">
        <v>0</v>
      </c>
      <c r="AQ15" s="96">
        <v>0</v>
      </c>
      <c r="AR15" s="96">
        <v>0</v>
      </c>
      <c r="AS15" s="96">
        <v>0</v>
      </c>
      <c r="AT15" s="117">
        <v>0</v>
      </c>
      <c r="AV15" s="242">
        <v>14</v>
      </c>
    </row>
    <row r="16" spans="1:48" ht="14.4">
      <c r="A16" s="93">
        <v>5</v>
      </c>
      <c r="B16" s="94">
        <v>1</v>
      </c>
      <c r="C16" s="120">
        <v>94</v>
      </c>
      <c r="D16" s="120">
        <v>94</v>
      </c>
      <c r="E16" s="120">
        <v>0</v>
      </c>
      <c r="F16" s="120">
        <v>6</v>
      </c>
      <c r="G16" s="120">
        <v>6</v>
      </c>
      <c r="H16" s="120">
        <v>0</v>
      </c>
      <c r="I16" s="120">
        <v>0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120">
        <v>0</v>
      </c>
      <c r="Q16" s="120">
        <v>0</v>
      </c>
      <c r="R16" s="120">
        <v>163000</v>
      </c>
      <c r="S16" s="120"/>
      <c r="T16" s="120">
        <v>1.2</v>
      </c>
      <c r="U16" s="95" t="s">
        <v>60</v>
      </c>
      <c r="V16" s="120">
        <v>1.35</v>
      </c>
      <c r="W16" s="120" t="s">
        <v>56</v>
      </c>
      <c r="X16" s="120"/>
      <c r="Y16" s="120"/>
      <c r="Z16" s="120"/>
      <c r="AA16" s="120" t="s">
        <v>56</v>
      </c>
      <c r="AB16" s="120"/>
      <c r="AC16" s="120"/>
      <c r="AD16" s="120"/>
      <c r="AE16" s="120">
        <v>100</v>
      </c>
      <c r="AF16" s="237">
        <v>94</v>
      </c>
      <c r="AG16" s="96">
        <v>94</v>
      </c>
      <c r="AH16" s="96">
        <v>0</v>
      </c>
      <c r="AI16" s="96">
        <v>6</v>
      </c>
      <c r="AJ16" s="96">
        <v>6</v>
      </c>
      <c r="AK16" s="96">
        <v>0</v>
      </c>
      <c r="AL16" s="96">
        <v>0</v>
      </c>
      <c r="AM16" s="96">
        <v>0</v>
      </c>
      <c r="AN16" s="96">
        <v>0</v>
      </c>
      <c r="AO16" s="96">
        <v>0</v>
      </c>
      <c r="AP16" s="96">
        <v>0</v>
      </c>
      <c r="AQ16" s="96">
        <v>0</v>
      </c>
      <c r="AR16" s="96">
        <v>0</v>
      </c>
      <c r="AS16" s="96">
        <v>0</v>
      </c>
      <c r="AT16" s="117">
        <v>0</v>
      </c>
      <c r="AV16" s="242">
        <v>15</v>
      </c>
    </row>
    <row r="17" spans="1:48" ht="14.4">
      <c r="A17" s="93">
        <v>6</v>
      </c>
      <c r="B17" s="187">
        <v>1</v>
      </c>
      <c r="C17" s="120">
        <v>0</v>
      </c>
      <c r="D17" s="120">
        <v>0</v>
      </c>
      <c r="E17" s="120">
        <v>0</v>
      </c>
      <c r="F17" s="120">
        <v>100</v>
      </c>
      <c r="G17" s="120">
        <v>2</v>
      </c>
      <c r="H17" s="120">
        <v>0</v>
      </c>
      <c r="I17" s="120">
        <v>98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0</v>
      </c>
      <c r="P17" s="120">
        <v>0</v>
      </c>
      <c r="Q17" s="120">
        <v>0</v>
      </c>
      <c r="R17" s="120">
        <v>172000</v>
      </c>
      <c r="S17" s="120"/>
      <c r="T17" s="120"/>
      <c r="U17" s="120"/>
      <c r="V17" s="120">
        <v>1.75</v>
      </c>
      <c r="W17" s="243" t="s">
        <v>56</v>
      </c>
      <c r="X17" s="120"/>
      <c r="Y17" s="95"/>
      <c r="Z17" s="120"/>
      <c r="AA17" s="120" t="s">
        <v>56</v>
      </c>
      <c r="AB17" s="120"/>
      <c r="AC17" s="95"/>
      <c r="AD17" s="120"/>
      <c r="AE17" s="95">
        <v>100</v>
      </c>
      <c r="AF17" s="237">
        <v>0</v>
      </c>
      <c r="AG17" s="96">
        <v>0</v>
      </c>
      <c r="AH17" s="96">
        <v>0</v>
      </c>
      <c r="AI17" s="96">
        <v>100</v>
      </c>
      <c r="AJ17" s="96">
        <v>2</v>
      </c>
      <c r="AK17" s="96">
        <v>0</v>
      </c>
      <c r="AL17" s="96">
        <v>98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</v>
      </c>
      <c r="AS17" s="96">
        <v>0</v>
      </c>
      <c r="AT17" s="117">
        <v>0</v>
      </c>
      <c r="AV17" s="242">
        <v>16</v>
      </c>
    </row>
    <row r="18" spans="1:48" ht="14.4">
      <c r="A18" s="92">
        <v>6</v>
      </c>
      <c r="B18" s="188">
        <v>2</v>
      </c>
      <c r="C18" s="122">
        <v>0</v>
      </c>
      <c r="D18" s="122">
        <v>0</v>
      </c>
      <c r="E18" s="122">
        <v>0</v>
      </c>
      <c r="F18" s="122">
        <v>100</v>
      </c>
      <c r="G18" s="122">
        <v>2</v>
      </c>
      <c r="H18" s="122">
        <v>0</v>
      </c>
      <c r="I18" s="122">
        <v>98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2">
        <v>0</v>
      </c>
      <c r="R18" s="122">
        <v>172000</v>
      </c>
      <c r="S18" s="122"/>
      <c r="T18" s="122"/>
      <c r="U18" s="122"/>
      <c r="V18" s="122">
        <v>1.75</v>
      </c>
      <c r="W18" s="122" t="s">
        <v>57</v>
      </c>
      <c r="X18" s="122" t="s">
        <v>61</v>
      </c>
      <c r="Y18" s="96" t="s">
        <v>5</v>
      </c>
      <c r="Z18" s="122">
        <v>0.06</v>
      </c>
      <c r="AA18" s="122" t="s">
        <v>56</v>
      </c>
      <c r="AB18" s="122"/>
      <c r="AC18" s="96"/>
      <c r="AD18" s="122"/>
      <c r="AE18" s="96">
        <v>99.94</v>
      </c>
      <c r="AF18" s="237">
        <v>0</v>
      </c>
      <c r="AG18" s="96">
        <v>0</v>
      </c>
      <c r="AH18" s="96">
        <v>0</v>
      </c>
      <c r="AI18" s="96">
        <v>99.94</v>
      </c>
      <c r="AJ18" s="96">
        <v>1.9987999999999999</v>
      </c>
      <c r="AK18" s="96">
        <v>0</v>
      </c>
      <c r="AL18" s="96">
        <v>97.941199999999995</v>
      </c>
      <c r="AM18" s="96">
        <v>0</v>
      </c>
      <c r="AN18" s="96">
        <v>0</v>
      </c>
      <c r="AO18" s="96">
        <v>0</v>
      </c>
      <c r="AP18" s="96">
        <v>0</v>
      </c>
      <c r="AQ18" s="96">
        <v>0</v>
      </c>
      <c r="AR18" s="96">
        <v>0</v>
      </c>
      <c r="AS18" s="96">
        <v>0</v>
      </c>
      <c r="AT18" s="117">
        <v>0</v>
      </c>
      <c r="AV18" s="242">
        <v>17</v>
      </c>
    </row>
    <row r="19" spans="1:48" ht="14.4">
      <c r="A19" s="92">
        <v>6</v>
      </c>
      <c r="B19" s="188">
        <v>3</v>
      </c>
      <c r="C19" s="122">
        <v>0</v>
      </c>
      <c r="D19" s="122">
        <v>0</v>
      </c>
      <c r="E19" s="122">
        <v>0</v>
      </c>
      <c r="F19" s="122">
        <v>100</v>
      </c>
      <c r="G19" s="122">
        <v>2</v>
      </c>
      <c r="H19" s="122">
        <v>0</v>
      </c>
      <c r="I19" s="122">
        <v>98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172000</v>
      </c>
      <c r="S19" s="122"/>
      <c r="T19" s="122"/>
      <c r="U19" s="122"/>
      <c r="V19" s="122">
        <v>1.75</v>
      </c>
      <c r="W19" s="122" t="s">
        <v>57</v>
      </c>
      <c r="X19" s="122" t="s">
        <v>61</v>
      </c>
      <c r="Y19" s="96" t="s">
        <v>5</v>
      </c>
      <c r="Z19" s="122">
        <v>0.2</v>
      </c>
      <c r="AA19" s="122" t="s">
        <v>56</v>
      </c>
      <c r="AB19" s="122"/>
      <c r="AC19" s="96"/>
      <c r="AD19" s="122"/>
      <c r="AE19" s="96">
        <v>99.8</v>
      </c>
      <c r="AF19" s="237">
        <v>0</v>
      </c>
      <c r="AG19" s="96">
        <v>0</v>
      </c>
      <c r="AH19" s="96">
        <v>0</v>
      </c>
      <c r="AI19" s="96">
        <v>99.8</v>
      </c>
      <c r="AJ19" s="96">
        <v>1.996</v>
      </c>
      <c r="AK19" s="96">
        <v>0</v>
      </c>
      <c r="AL19" s="96">
        <v>97.804000000000002</v>
      </c>
      <c r="AM19" s="96">
        <v>0</v>
      </c>
      <c r="AN19" s="96">
        <v>0</v>
      </c>
      <c r="AO19" s="96">
        <v>0</v>
      </c>
      <c r="AP19" s="96">
        <v>0</v>
      </c>
      <c r="AQ19" s="96">
        <v>0</v>
      </c>
      <c r="AR19" s="96">
        <v>0</v>
      </c>
      <c r="AS19" s="96">
        <v>0</v>
      </c>
      <c r="AT19" s="117">
        <v>0</v>
      </c>
      <c r="AV19" s="242">
        <v>18</v>
      </c>
    </row>
    <row r="20" spans="1:48" ht="14.4">
      <c r="A20" s="92">
        <v>6</v>
      </c>
      <c r="B20" s="188">
        <v>4</v>
      </c>
      <c r="C20" s="122">
        <v>0</v>
      </c>
      <c r="D20" s="122">
        <v>0</v>
      </c>
      <c r="E20" s="122">
        <v>0</v>
      </c>
      <c r="F20" s="122">
        <v>100</v>
      </c>
      <c r="G20" s="122">
        <v>2</v>
      </c>
      <c r="H20" s="122">
        <v>0</v>
      </c>
      <c r="I20" s="122">
        <v>98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122">
        <v>0</v>
      </c>
      <c r="R20" s="122">
        <v>172000</v>
      </c>
      <c r="S20" s="122"/>
      <c r="T20" s="122"/>
      <c r="U20" s="122"/>
      <c r="V20" s="122">
        <v>1.75</v>
      </c>
      <c r="W20" s="122" t="s">
        <v>57</v>
      </c>
      <c r="X20" s="122" t="s">
        <v>61</v>
      </c>
      <c r="Y20" s="96" t="s">
        <v>5</v>
      </c>
      <c r="Z20" s="122">
        <v>0.5</v>
      </c>
      <c r="AA20" s="122" t="s">
        <v>56</v>
      </c>
      <c r="AB20" s="122"/>
      <c r="AC20" s="96"/>
      <c r="AD20" s="122"/>
      <c r="AE20" s="96">
        <v>99.5</v>
      </c>
      <c r="AF20" s="237">
        <v>0</v>
      </c>
      <c r="AG20" s="96">
        <v>0</v>
      </c>
      <c r="AH20" s="96">
        <v>0</v>
      </c>
      <c r="AI20" s="96">
        <v>99.5</v>
      </c>
      <c r="AJ20" s="96">
        <v>1.99</v>
      </c>
      <c r="AK20" s="96">
        <v>0</v>
      </c>
      <c r="AL20" s="96">
        <v>97.51</v>
      </c>
      <c r="AM20" s="96">
        <v>0</v>
      </c>
      <c r="AN20" s="96">
        <v>0</v>
      </c>
      <c r="AO20" s="96">
        <v>0</v>
      </c>
      <c r="AP20" s="96">
        <v>0</v>
      </c>
      <c r="AQ20" s="96">
        <v>0</v>
      </c>
      <c r="AR20" s="96">
        <v>0</v>
      </c>
      <c r="AS20" s="96">
        <v>0</v>
      </c>
      <c r="AT20" s="117">
        <v>0</v>
      </c>
      <c r="AV20" s="242">
        <v>19</v>
      </c>
    </row>
    <row r="21" spans="1:48" ht="15.75" customHeight="1">
      <c r="A21" s="92">
        <v>6</v>
      </c>
      <c r="B21" s="97">
        <v>5</v>
      </c>
      <c r="C21" s="122">
        <v>0</v>
      </c>
      <c r="D21" s="122">
        <v>0</v>
      </c>
      <c r="E21" s="122">
        <v>0</v>
      </c>
      <c r="F21" s="122">
        <v>100</v>
      </c>
      <c r="G21" s="122">
        <v>2</v>
      </c>
      <c r="H21" s="122">
        <v>0</v>
      </c>
      <c r="I21" s="122">
        <v>98</v>
      </c>
      <c r="J21" s="122">
        <v>0</v>
      </c>
      <c r="K21" s="122">
        <v>0</v>
      </c>
      <c r="L21" s="122">
        <v>0</v>
      </c>
      <c r="M21" s="122">
        <v>0</v>
      </c>
      <c r="N21" s="122">
        <v>0</v>
      </c>
      <c r="O21" s="122">
        <v>0</v>
      </c>
      <c r="P21" s="122">
        <v>0</v>
      </c>
      <c r="Q21" s="122">
        <v>0</v>
      </c>
      <c r="R21" s="122">
        <v>172000</v>
      </c>
      <c r="S21" s="122"/>
      <c r="T21" s="122"/>
      <c r="U21" s="122"/>
      <c r="V21" s="122">
        <v>1.75</v>
      </c>
      <c r="W21" s="122" t="s">
        <v>57</v>
      </c>
      <c r="X21" s="122" t="s">
        <v>61</v>
      </c>
      <c r="Y21" s="96" t="s">
        <v>5</v>
      </c>
      <c r="Z21" s="122">
        <v>0.1</v>
      </c>
      <c r="AA21" s="122" t="s">
        <v>56</v>
      </c>
      <c r="AB21" s="122"/>
      <c r="AC21" s="96"/>
      <c r="AD21" s="122"/>
      <c r="AE21" s="96">
        <v>99.9</v>
      </c>
      <c r="AF21" s="237">
        <v>0</v>
      </c>
      <c r="AG21" s="96">
        <v>0</v>
      </c>
      <c r="AH21" s="96">
        <v>0</v>
      </c>
      <c r="AI21" s="96">
        <v>99.9</v>
      </c>
      <c r="AJ21" s="96">
        <v>1.9980000000000002</v>
      </c>
      <c r="AK21" s="96">
        <v>0</v>
      </c>
      <c r="AL21" s="96">
        <v>97.902000000000001</v>
      </c>
      <c r="AM21" s="96">
        <v>0</v>
      </c>
      <c r="AN21" s="96">
        <v>0</v>
      </c>
      <c r="AO21" s="96">
        <v>0</v>
      </c>
      <c r="AP21" s="96">
        <v>0</v>
      </c>
      <c r="AQ21" s="96">
        <v>0</v>
      </c>
      <c r="AR21" s="96">
        <v>0</v>
      </c>
      <c r="AS21" s="96">
        <v>0</v>
      </c>
      <c r="AT21" s="117">
        <v>0</v>
      </c>
      <c r="AV21" s="242">
        <v>20</v>
      </c>
    </row>
    <row r="22" spans="1:48" ht="15.75" customHeight="1">
      <c r="A22" s="92">
        <v>6</v>
      </c>
      <c r="B22" s="97">
        <v>6</v>
      </c>
      <c r="C22" s="122">
        <v>0</v>
      </c>
      <c r="D22" s="122">
        <v>0</v>
      </c>
      <c r="E22" s="122">
        <v>0</v>
      </c>
      <c r="F22" s="122">
        <v>100</v>
      </c>
      <c r="G22" s="122">
        <v>2</v>
      </c>
      <c r="H22" s="122">
        <v>0</v>
      </c>
      <c r="I22" s="122">
        <v>98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122">
        <v>0</v>
      </c>
      <c r="R22" s="122">
        <v>172000</v>
      </c>
      <c r="S22" s="122"/>
      <c r="T22" s="122"/>
      <c r="U22" s="122"/>
      <c r="V22" s="122">
        <v>1.75</v>
      </c>
      <c r="W22" s="122" t="s">
        <v>57</v>
      </c>
      <c r="X22" s="122" t="s">
        <v>61</v>
      </c>
      <c r="Y22" s="96" t="s">
        <v>5</v>
      </c>
      <c r="Z22" s="122">
        <v>0.1</v>
      </c>
      <c r="AA22" s="122" t="s">
        <v>56</v>
      </c>
      <c r="AB22" s="122"/>
      <c r="AC22" s="96"/>
      <c r="AD22" s="122"/>
      <c r="AE22" s="96">
        <v>99.9</v>
      </c>
      <c r="AF22" s="237">
        <v>0</v>
      </c>
      <c r="AG22" s="96">
        <v>0</v>
      </c>
      <c r="AH22" s="96">
        <v>0</v>
      </c>
      <c r="AI22" s="96">
        <v>99.9</v>
      </c>
      <c r="AJ22" s="96">
        <v>1.9980000000000002</v>
      </c>
      <c r="AK22" s="96">
        <v>0</v>
      </c>
      <c r="AL22" s="96">
        <v>97.902000000000001</v>
      </c>
      <c r="AM22" s="96">
        <v>0</v>
      </c>
      <c r="AN22" s="96">
        <v>0</v>
      </c>
      <c r="AO22" s="96">
        <v>0</v>
      </c>
      <c r="AP22" s="96">
        <v>0</v>
      </c>
      <c r="AQ22" s="96">
        <v>0</v>
      </c>
      <c r="AR22" s="96">
        <v>0</v>
      </c>
      <c r="AS22" s="96">
        <v>0</v>
      </c>
      <c r="AT22" s="117">
        <v>0</v>
      </c>
      <c r="AV22" s="242">
        <v>21</v>
      </c>
    </row>
    <row r="23" spans="1:48" ht="15.75" customHeight="1">
      <c r="A23" s="92">
        <v>6</v>
      </c>
      <c r="B23" s="97">
        <v>7</v>
      </c>
      <c r="C23" s="122">
        <v>0</v>
      </c>
      <c r="D23" s="122">
        <v>0</v>
      </c>
      <c r="E23" s="122">
        <v>0</v>
      </c>
      <c r="F23" s="122">
        <v>100</v>
      </c>
      <c r="G23" s="122">
        <v>2</v>
      </c>
      <c r="H23" s="122">
        <v>0</v>
      </c>
      <c r="I23" s="122">
        <v>98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2">
        <v>0</v>
      </c>
      <c r="R23" s="122">
        <v>172000</v>
      </c>
      <c r="S23" s="122"/>
      <c r="T23" s="122"/>
      <c r="U23" s="122"/>
      <c r="V23" s="122">
        <v>1.75</v>
      </c>
      <c r="W23" s="122" t="s">
        <v>57</v>
      </c>
      <c r="X23" s="122" t="s">
        <v>61</v>
      </c>
      <c r="Y23" s="96" t="s">
        <v>5</v>
      </c>
      <c r="Z23" s="122">
        <v>0.1</v>
      </c>
      <c r="AA23" s="122" t="s">
        <v>56</v>
      </c>
      <c r="AB23" s="122"/>
      <c r="AC23" s="122"/>
      <c r="AD23" s="122"/>
      <c r="AE23" s="96">
        <v>99.9</v>
      </c>
      <c r="AF23" s="237">
        <v>0</v>
      </c>
      <c r="AG23" s="96">
        <v>0</v>
      </c>
      <c r="AH23" s="96">
        <v>0</v>
      </c>
      <c r="AI23" s="96">
        <v>99.9</v>
      </c>
      <c r="AJ23" s="96">
        <v>1.9980000000000002</v>
      </c>
      <c r="AK23" s="96">
        <v>0</v>
      </c>
      <c r="AL23" s="96">
        <v>97.902000000000001</v>
      </c>
      <c r="AM23" s="96">
        <v>0</v>
      </c>
      <c r="AN23" s="96">
        <v>0</v>
      </c>
      <c r="AO23" s="96">
        <v>0</v>
      </c>
      <c r="AP23" s="96">
        <v>0</v>
      </c>
      <c r="AQ23" s="96">
        <v>0</v>
      </c>
      <c r="AR23" s="96">
        <v>0</v>
      </c>
      <c r="AS23" s="96">
        <v>0</v>
      </c>
      <c r="AT23" s="117">
        <v>0</v>
      </c>
      <c r="AV23" s="242">
        <v>22</v>
      </c>
    </row>
    <row r="24" spans="1:48" ht="15.75" customHeight="1">
      <c r="A24" s="93">
        <v>7</v>
      </c>
      <c r="B24" s="187">
        <v>1</v>
      </c>
      <c r="C24" s="95">
        <f t="shared" ref="C24:C25" si="0">SUM(D24:E24)</f>
        <v>86</v>
      </c>
      <c r="D24" s="95">
        <v>72.900000000000006</v>
      </c>
      <c r="E24" s="95">
        <v>13.1</v>
      </c>
      <c r="F24" s="95">
        <v>14</v>
      </c>
      <c r="G24" s="95">
        <v>0</v>
      </c>
      <c r="H24" s="95">
        <v>14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126"/>
      <c r="S24" s="126"/>
      <c r="T24" s="126"/>
      <c r="U24" s="126"/>
      <c r="V24" s="126"/>
      <c r="W24" s="95" t="s">
        <v>56</v>
      </c>
      <c r="X24" s="120"/>
      <c r="Y24" s="120"/>
      <c r="Z24" s="120"/>
      <c r="AA24" s="120" t="s">
        <v>56</v>
      </c>
      <c r="AB24" s="120"/>
      <c r="AC24" s="120"/>
      <c r="AD24" s="120"/>
      <c r="AE24" s="120">
        <v>100</v>
      </c>
      <c r="AF24" s="237">
        <v>86</v>
      </c>
      <c r="AG24" s="96">
        <v>72.900000000000006</v>
      </c>
      <c r="AH24" s="96">
        <v>13.1</v>
      </c>
      <c r="AI24" s="96">
        <v>14</v>
      </c>
      <c r="AJ24" s="96">
        <v>0</v>
      </c>
      <c r="AK24" s="96">
        <v>14</v>
      </c>
      <c r="AL24" s="96">
        <v>0</v>
      </c>
      <c r="AM24" s="96">
        <v>0</v>
      </c>
      <c r="AN24" s="96">
        <v>0</v>
      </c>
      <c r="AO24" s="96">
        <v>0</v>
      </c>
      <c r="AP24" s="96">
        <v>0</v>
      </c>
      <c r="AQ24" s="96">
        <v>0</v>
      </c>
      <c r="AR24" s="96">
        <v>0</v>
      </c>
      <c r="AS24" s="96">
        <v>0</v>
      </c>
      <c r="AT24" s="117">
        <v>0</v>
      </c>
      <c r="AU24" s="96"/>
      <c r="AV24" s="242">
        <v>23</v>
      </c>
    </row>
    <row r="25" spans="1:48" ht="15.75" customHeight="1">
      <c r="A25" s="92">
        <v>7</v>
      </c>
      <c r="B25" s="188">
        <v>2</v>
      </c>
      <c r="C25" s="96">
        <f t="shared" si="0"/>
        <v>0</v>
      </c>
      <c r="D25" s="96">
        <v>0</v>
      </c>
      <c r="E25" s="96">
        <v>0</v>
      </c>
      <c r="F25" s="96">
        <v>100</v>
      </c>
      <c r="G25" s="96">
        <v>0</v>
      </c>
      <c r="H25" s="96">
        <v>100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0</v>
      </c>
      <c r="Q25" s="96">
        <v>0</v>
      </c>
      <c r="R25" s="90"/>
      <c r="S25" s="90"/>
      <c r="T25" s="90"/>
      <c r="U25" s="90"/>
      <c r="V25" s="90"/>
      <c r="W25" s="96" t="s">
        <v>57</v>
      </c>
      <c r="X25" s="208" t="s">
        <v>62</v>
      </c>
      <c r="Y25" s="96" t="s">
        <v>63</v>
      </c>
      <c r="Z25" s="96">
        <v>71.5</v>
      </c>
      <c r="AA25" s="96" t="s">
        <v>57</v>
      </c>
      <c r="AB25" s="96" t="s">
        <v>64</v>
      </c>
      <c r="AC25" s="96" t="s">
        <v>65</v>
      </c>
      <c r="AD25" s="96">
        <v>12.7</v>
      </c>
      <c r="AE25" s="96">
        <v>15.8</v>
      </c>
      <c r="AF25" s="237">
        <v>0</v>
      </c>
      <c r="AG25" s="96">
        <v>0</v>
      </c>
      <c r="AH25" s="96">
        <v>0</v>
      </c>
      <c r="AI25" s="96">
        <v>15.8</v>
      </c>
      <c r="AJ25" s="96">
        <v>0</v>
      </c>
      <c r="AK25" s="96">
        <v>15.8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</v>
      </c>
      <c r="AR25" s="96">
        <v>0</v>
      </c>
      <c r="AS25" s="96">
        <v>0</v>
      </c>
      <c r="AT25" s="117">
        <v>0</v>
      </c>
      <c r="AU25" s="96"/>
      <c r="AV25" s="242">
        <v>24</v>
      </c>
    </row>
    <row r="26" spans="1:48" ht="15.75" customHeight="1">
      <c r="A26" s="103">
        <v>7</v>
      </c>
      <c r="B26" s="209">
        <v>3</v>
      </c>
      <c r="C26" s="155">
        <v>51.9</v>
      </c>
      <c r="D26" s="155">
        <v>0</v>
      </c>
      <c r="E26" s="155">
        <v>51.9</v>
      </c>
      <c r="F26" s="155">
        <v>49.1</v>
      </c>
      <c r="G26" s="155">
        <v>0</v>
      </c>
      <c r="H26" s="155">
        <v>49.1</v>
      </c>
      <c r="I26" s="155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156">
        <v>0</v>
      </c>
      <c r="P26" s="156">
        <v>0</v>
      </c>
      <c r="Q26" s="156">
        <v>0</v>
      </c>
      <c r="R26" s="155"/>
      <c r="S26" s="155"/>
      <c r="T26" s="155"/>
      <c r="U26" s="155"/>
      <c r="V26" s="155"/>
      <c r="W26" s="156" t="s">
        <v>57</v>
      </c>
      <c r="X26" s="207" t="s">
        <v>62</v>
      </c>
      <c r="Y26" s="156" t="s">
        <v>63</v>
      </c>
      <c r="Z26" s="156">
        <v>71.5</v>
      </c>
      <c r="AA26" s="156" t="s">
        <v>56</v>
      </c>
      <c r="AB26" s="155"/>
      <c r="AC26" s="155"/>
      <c r="AD26" s="155"/>
      <c r="AE26" s="155">
        <v>28.5</v>
      </c>
      <c r="AF26" s="237">
        <v>14.791499999999999</v>
      </c>
      <c r="AG26" s="96">
        <v>0</v>
      </c>
      <c r="AH26" s="96">
        <v>14.791499999999999</v>
      </c>
      <c r="AI26" s="96">
        <v>13.993500000000001</v>
      </c>
      <c r="AJ26" s="96">
        <v>0</v>
      </c>
      <c r="AK26" s="96">
        <v>13.993500000000001</v>
      </c>
      <c r="AL26" s="96">
        <v>0</v>
      </c>
      <c r="AM26" s="96">
        <v>0</v>
      </c>
      <c r="AN26" s="96">
        <v>0</v>
      </c>
      <c r="AO26" s="96">
        <v>0</v>
      </c>
      <c r="AP26" s="96">
        <v>0</v>
      </c>
      <c r="AQ26" s="96">
        <v>0</v>
      </c>
      <c r="AR26" s="96">
        <v>0</v>
      </c>
      <c r="AS26" s="96">
        <v>0</v>
      </c>
      <c r="AT26" s="117">
        <v>0</v>
      </c>
      <c r="AV26" s="242">
        <v>25</v>
      </c>
    </row>
    <row r="27" spans="1:48" ht="15.75" customHeight="1">
      <c r="A27" s="125">
        <v>8</v>
      </c>
      <c r="B27" s="187">
        <v>1</v>
      </c>
      <c r="C27" s="9">
        <v>0</v>
      </c>
      <c r="D27" s="9">
        <v>0</v>
      </c>
      <c r="E27" s="9">
        <v>0</v>
      </c>
      <c r="F27" s="9">
        <v>100</v>
      </c>
      <c r="G27" s="9">
        <v>3.8</v>
      </c>
      <c r="H27" s="9">
        <v>0</v>
      </c>
      <c r="I27" s="9">
        <v>85.9</v>
      </c>
      <c r="J27" s="9">
        <v>0</v>
      </c>
      <c r="K27" s="9">
        <v>8.5</v>
      </c>
      <c r="L27" s="9">
        <v>0</v>
      </c>
      <c r="M27" s="9">
        <v>0</v>
      </c>
      <c r="N27" s="9">
        <v>0</v>
      </c>
      <c r="O27" s="9">
        <v>0</v>
      </c>
      <c r="P27" s="26">
        <v>0</v>
      </c>
      <c r="Q27" s="26">
        <v>1.8</v>
      </c>
      <c r="R27" s="26">
        <v>140000</v>
      </c>
      <c r="S27" s="9"/>
      <c r="T27" s="3"/>
      <c r="U27" s="3"/>
      <c r="V27" s="9">
        <v>2.1</v>
      </c>
      <c r="W27" s="9" t="s">
        <v>57</v>
      </c>
      <c r="X27" s="219" t="s">
        <v>62</v>
      </c>
      <c r="Y27" s="9" t="s">
        <v>63</v>
      </c>
      <c r="Z27" s="9">
        <v>90</v>
      </c>
      <c r="AA27" s="9" t="s">
        <v>56</v>
      </c>
      <c r="AB27" s="9"/>
      <c r="AC27" s="9"/>
      <c r="AD27" s="9"/>
      <c r="AE27" s="96">
        <v>10</v>
      </c>
      <c r="AF27" s="237">
        <v>0</v>
      </c>
      <c r="AG27" s="96">
        <v>0</v>
      </c>
      <c r="AH27" s="96">
        <v>0</v>
      </c>
      <c r="AI27" s="96">
        <v>10</v>
      </c>
      <c r="AJ27" s="96">
        <v>0.38</v>
      </c>
      <c r="AK27" s="96">
        <v>0</v>
      </c>
      <c r="AL27" s="96">
        <v>8.59</v>
      </c>
      <c r="AM27" s="96">
        <v>0</v>
      </c>
      <c r="AN27" s="96">
        <v>0.85</v>
      </c>
      <c r="AO27" s="96">
        <v>0</v>
      </c>
      <c r="AP27" s="96">
        <v>0</v>
      </c>
      <c r="AQ27" s="96">
        <v>0</v>
      </c>
      <c r="AR27" s="96">
        <v>0</v>
      </c>
      <c r="AS27" s="96">
        <v>0</v>
      </c>
      <c r="AT27" s="117">
        <v>0.18</v>
      </c>
      <c r="AV27" s="242">
        <v>26</v>
      </c>
    </row>
    <row r="28" spans="1:48" ht="15.75" customHeight="1">
      <c r="A28" s="125">
        <v>8</v>
      </c>
      <c r="B28" s="188">
        <v>2</v>
      </c>
      <c r="C28" s="9">
        <v>0</v>
      </c>
      <c r="D28" s="9">
        <v>0</v>
      </c>
      <c r="E28" s="9">
        <v>0</v>
      </c>
      <c r="F28" s="9">
        <v>100</v>
      </c>
      <c r="G28" s="9">
        <v>0</v>
      </c>
      <c r="H28" s="9">
        <v>22.9</v>
      </c>
      <c r="I28" s="9">
        <v>0</v>
      </c>
      <c r="J28" s="9">
        <v>72.099999999999994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26">
        <v>0</v>
      </c>
      <c r="Q28" s="26">
        <v>5</v>
      </c>
      <c r="R28" s="26">
        <v>110000</v>
      </c>
      <c r="S28" s="9"/>
      <c r="T28" s="9"/>
      <c r="U28" s="9"/>
      <c r="V28" s="9">
        <v>2.2000000000000002</v>
      </c>
      <c r="W28" s="9" t="s">
        <v>57</v>
      </c>
      <c r="X28" s="219" t="s">
        <v>62</v>
      </c>
      <c r="Y28" s="9" t="s">
        <v>63</v>
      </c>
      <c r="Z28" s="9">
        <v>90</v>
      </c>
      <c r="AA28" s="9" t="s">
        <v>56</v>
      </c>
      <c r="AB28" s="9"/>
      <c r="AC28" s="9"/>
      <c r="AD28" s="9"/>
      <c r="AE28" s="96">
        <v>10</v>
      </c>
      <c r="AF28" s="237">
        <v>0</v>
      </c>
      <c r="AG28" s="96">
        <v>0</v>
      </c>
      <c r="AH28" s="96">
        <v>0</v>
      </c>
      <c r="AI28" s="96">
        <v>10</v>
      </c>
      <c r="AJ28" s="96">
        <v>0</v>
      </c>
      <c r="AK28" s="96">
        <v>2.29</v>
      </c>
      <c r="AL28" s="96">
        <v>0</v>
      </c>
      <c r="AM28" s="96">
        <v>7.21</v>
      </c>
      <c r="AN28" s="96">
        <v>0</v>
      </c>
      <c r="AO28" s="96">
        <v>0</v>
      </c>
      <c r="AP28" s="96">
        <v>0</v>
      </c>
      <c r="AQ28" s="96">
        <v>0</v>
      </c>
      <c r="AR28" s="96">
        <v>0</v>
      </c>
      <c r="AS28" s="96">
        <v>0</v>
      </c>
      <c r="AT28" s="117">
        <v>0.5</v>
      </c>
      <c r="AV28" s="242">
        <v>27</v>
      </c>
    </row>
    <row r="29" spans="1:48" ht="15.75" customHeight="1">
      <c r="A29" s="125">
        <v>8</v>
      </c>
      <c r="B29" s="188">
        <v>3</v>
      </c>
      <c r="C29" s="9">
        <v>0</v>
      </c>
      <c r="D29" s="9">
        <v>0</v>
      </c>
      <c r="E29" s="9">
        <v>0</v>
      </c>
      <c r="F29" s="9">
        <v>100</v>
      </c>
      <c r="G29" s="9">
        <v>3.8</v>
      </c>
      <c r="H29" s="9">
        <v>0</v>
      </c>
      <c r="I29" s="9">
        <v>85.9</v>
      </c>
      <c r="J29" s="9">
        <v>0</v>
      </c>
      <c r="K29" s="9">
        <v>8.5</v>
      </c>
      <c r="L29" s="9">
        <v>0</v>
      </c>
      <c r="M29" s="9">
        <v>0</v>
      </c>
      <c r="N29" s="9">
        <v>0</v>
      </c>
      <c r="O29" s="9">
        <v>0</v>
      </c>
      <c r="P29" s="26">
        <v>0</v>
      </c>
      <c r="Q29" s="26">
        <v>1.8</v>
      </c>
      <c r="R29" s="26">
        <v>140000</v>
      </c>
      <c r="S29" s="9"/>
      <c r="T29" s="3"/>
      <c r="U29" s="3"/>
      <c r="V29" s="9">
        <v>2.1</v>
      </c>
      <c r="W29" s="9" t="s">
        <v>57</v>
      </c>
      <c r="X29" s="219" t="s">
        <v>62</v>
      </c>
      <c r="Y29" s="9" t="s">
        <v>63</v>
      </c>
      <c r="Z29" s="9">
        <v>85.5</v>
      </c>
      <c r="AA29" s="9" t="s">
        <v>57</v>
      </c>
      <c r="AB29" s="219" t="s">
        <v>66</v>
      </c>
      <c r="AC29" s="9" t="s">
        <v>7</v>
      </c>
      <c r="AD29" s="9">
        <v>5</v>
      </c>
      <c r="AE29" s="96">
        <v>9.5</v>
      </c>
      <c r="AF29" s="237">
        <v>0</v>
      </c>
      <c r="AG29" s="96">
        <v>0</v>
      </c>
      <c r="AH29" s="96">
        <v>0</v>
      </c>
      <c r="AI29" s="96">
        <v>9.5</v>
      </c>
      <c r="AJ29" s="96">
        <v>0.36099999999999999</v>
      </c>
      <c r="AK29" s="96">
        <v>0</v>
      </c>
      <c r="AL29" s="96">
        <v>8.1605000000000008</v>
      </c>
      <c r="AM29" s="96">
        <v>0</v>
      </c>
      <c r="AN29" s="96">
        <v>0.8075</v>
      </c>
      <c r="AO29" s="96">
        <v>0</v>
      </c>
      <c r="AP29" s="96">
        <v>0</v>
      </c>
      <c r="AQ29" s="96">
        <v>0</v>
      </c>
      <c r="AR29" s="96">
        <v>0</v>
      </c>
      <c r="AS29" s="96">
        <v>0</v>
      </c>
      <c r="AT29" s="117">
        <v>0.17100000000000001</v>
      </c>
      <c r="AV29" s="242">
        <v>28</v>
      </c>
    </row>
    <row r="30" spans="1:48" ht="15.75" customHeight="1">
      <c r="A30" s="220">
        <v>8</v>
      </c>
      <c r="B30" s="209">
        <v>4</v>
      </c>
      <c r="C30" s="156">
        <v>0</v>
      </c>
      <c r="D30" s="156">
        <v>0</v>
      </c>
      <c r="E30" s="156">
        <v>0</v>
      </c>
      <c r="F30" s="156">
        <v>100</v>
      </c>
      <c r="G30" s="156">
        <v>0</v>
      </c>
      <c r="H30" s="156">
        <v>22.9</v>
      </c>
      <c r="I30" s="156">
        <v>0</v>
      </c>
      <c r="J30" s="156">
        <v>72.099999999999994</v>
      </c>
      <c r="K30" s="156">
        <v>0</v>
      </c>
      <c r="L30" s="156">
        <v>0</v>
      </c>
      <c r="M30" s="156">
        <v>0</v>
      </c>
      <c r="N30" s="156">
        <v>0</v>
      </c>
      <c r="O30" s="156">
        <v>0</v>
      </c>
      <c r="P30" s="155">
        <v>0</v>
      </c>
      <c r="Q30" s="155">
        <v>5</v>
      </c>
      <c r="R30" s="155">
        <v>110000</v>
      </c>
      <c r="S30" s="156"/>
      <c r="T30" s="156"/>
      <c r="U30" s="156"/>
      <c r="V30" s="156">
        <v>2.2000000000000002</v>
      </c>
      <c r="W30" s="156" t="s">
        <v>57</v>
      </c>
      <c r="X30" s="207" t="s">
        <v>62</v>
      </c>
      <c r="Y30" s="156" t="s">
        <v>63</v>
      </c>
      <c r="Z30" s="156">
        <v>85.5</v>
      </c>
      <c r="AA30" s="156" t="s">
        <v>57</v>
      </c>
      <c r="AB30" s="207" t="s">
        <v>66</v>
      </c>
      <c r="AC30" s="156" t="s">
        <v>7</v>
      </c>
      <c r="AD30" s="156">
        <v>5</v>
      </c>
      <c r="AE30" s="156">
        <v>9.5</v>
      </c>
      <c r="AF30" s="237">
        <v>0</v>
      </c>
      <c r="AG30" s="96">
        <v>0</v>
      </c>
      <c r="AH30" s="96">
        <v>0</v>
      </c>
      <c r="AI30" s="96">
        <v>9.5</v>
      </c>
      <c r="AJ30" s="96">
        <v>0</v>
      </c>
      <c r="AK30" s="96">
        <v>2.1755</v>
      </c>
      <c r="AL30" s="96">
        <v>0</v>
      </c>
      <c r="AM30" s="96">
        <v>6.849499999999999</v>
      </c>
      <c r="AN30" s="96">
        <v>0</v>
      </c>
      <c r="AO30" s="96">
        <v>0</v>
      </c>
      <c r="AP30" s="96">
        <v>0</v>
      </c>
      <c r="AQ30" s="96">
        <v>0</v>
      </c>
      <c r="AR30" s="96">
        <v>0</v>
      </c>
      <c r="AS30" s="96">
        <v>0</v>
      </c>
      <c r="AT30" s="117">
        <v>0.47499999999999998</v>
      </c>
      <c r="AV30" s="242">
        <v>29</v>
      </c>
    </row>
    <row r="31" spans="1:48" ht="15.75" customHeight="1">
      <c r="A31" s="125">
        <v>9</v>
      </c>
      <c r="B31" s="229">
        <v>1</v>
      </c>
      <c r="C31" s="9">
        <v>0</v>
      </c>
      <c r="D31" s="9">
        <v>0</v>
      </c>
      <c r="E31" s="9">
        <v>0</v>
      </c>
      <c r="F31" s="9">
        <v>100</v>
      </c>
      <c r="G31" s="9"/>
      <c r="H31" s="9">
        <v>0</v>
      </c>
      <c r="I31" s="9">
        <v>86</v>
      </c>
      <c r="J31" s="9">
        <v>0</v>
      </c>
      <c r="K31" s="9"/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9">
        <v>14</v>
      </c>
      <c r="R31" s="26"/>
      <c r="S31" s="9"/>
      <c r="T31" s="9"/>
      <c r="U31" s="9"/>
      <c r="V31" s="9"/>
      <c r="W31" s="9" t="s">
        <v>57</v>
      </c>
      <c r="X31" s="219" t="s">
        <v>62</v>
      </c>
      <c r="Y31" s="9" t="s">
        <v>63</v>
      </c>
      <c r="Z31" s="9">
        <v>90</v>
      </c>
      <c r="AA31" s="9" t="s">
        <v>56</v>
      </c>
      <c r="AB31" s="9"/>
      <c r="AC31" s="9"/>
      <c r="AD31" s="9"/>
      <c r="AE31" s="96">
        <v>10</v>
      </c>
      <c r="AF31" s="237">
        <v>0</v>
      </c>
      <c r="AG31" s="96">
        <v>0</v>
      </c>
      <c r="AH31" s="96">
        <v>0</v>
      </c>
      <c r="AI31" s="96">
        <v>10</v>
      </c>
      <c r="AJ31" s="96">
        <v>0</v>
      </c>
      <c r="AK31" s="96">
        <v>0</v>
      </c>
      <c r="AL31" s="96">
        <v>8.6</v>
      </c>
      <c r="AM31" s="96">
        <v>0</v>
      </c>
      <c r="AN31" s="96">
        <v>0</v>
      </c>
      <c r="AO31" s="96">
        <v>0</v>
      </c>
      <c r="AP31" s="96">
        <v>0</v>
      </c>
      <c r="AQ31" s="96">
        <v>0</v>
      </c>
      <c r="AR31" s="96">
        <v>0</v>
      </c>
      <c r="AS31" s="96">
        <v>0</v>
      </c>
      <c r="AT31" s="117">
        <v>1.4</v>
      </c>
      <c r="AV31" s="242">
        <v>30</v>
      </c>
    </row>
    <row r="32" spans="1:48" ht="15.75" customHeight="1">
      <c r="A32" s="125">
        <v>9</v>
      </c>
      <c r="B32" s="229">
        <v>2</v>
      </c>
      <c r="C32" s="9">
        <v>0</v>
      </c>
      <c r="D32" s="9">
        <v>0</v>
      </c>
      <c r="E32" s="9">
        <v>0</v>
      </c>
      <c r="F32" s="9">
        <v>100</v>
      </c>
      <c r="G32" s="9"/>
      <c r="H32" s="9">
        <v>0</v>
      </c>
      <c r="I32" s="9">
        <v>86</v>
      </c>
      <c r="J32" s="9">
        <v>0</v>
      </c>
      <c r="K32" s="9"/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9">
        <v>14</v>
      </c>
      <c r="R32" s="26"/>
      <c r="S32" s="9"/>
      <c r="T32" s="9"/>
      <c r="U32" s="9"/>
      <c r="V32" s="9"/>
      <c r="W32" s="9" t="s">
        <v>57</v>
      </c>
      <c r="X32" s="219" t="s">
        <v>62</v>
      </c>
      <c r="Y32" s="9" t="s">
        <v>63</v>
      </c>
      <c r="Z32" s="9">
        <v>80</v>
      </c>
      <c r="AA32" s="9" t="s">
        <v>56</v>
      </c>
      <c r="AB32" s="9"/>
      <c r="AC32" s="9"/>
      <c r="AD32" s="9"/>
      <c r="AE32" s="96">
        <v>20</v>
      </c>
      <c r="AF32" s="237">
        <v>0</v>
      </c>
      <c r="AG32" s="96">
        <v>0</v>
      </c>
      <c r="AH32" s="96">
        <v>0</v>
      </c>
      <c r="AI32" s="96">
        <v>20</v>
      </c>
      <c r="AJ32" s="96">
        <v>0</v>
      </c>
      <c r="AK32" s="96">
        <v>0</v>
      </c>
      <c r="AL32" s="96">
        <v>17.2</v>
      </c>
      <c r="AM32" s="96">
        <v>0</v>
      </c>
      <c r="AN32" s="96">
        <v>0</v>
      </c>
      <c r="AO32" s="96">
        <v>0</v>
      </c>
      <c r="AP32" s="96">
        <v>0</v>
      </c>
      <c r="AQ32" s="96">
        <v>0</v>
      </c>
      <c r="AR32" s="96">
        <v>0</v>
      </c>
      <c r="AS32" s="96">
        <v>0</v>
      </c>
      <c r="AT32" s="117">
        <v>2.8</v>
      </c>
      <c r="AV32" s="242">
        <v>31</v>
      </c>
    </row>
    <row r="33" spans="1:48" ht="15.75" customHeight="1">
      <c r="A33" s="125">
        <v>9</v>
      </c>
      <c r="B33" s="229">
        <v>3</v>
      </c>
      <c r="C33" s="9">
        <v>0</v>
      </c>
      <c r="D33" s="9">
        <v>0</v>
      </c>
      <c r="E33" s="9">
        <v>0</v>
      </c>
      <c r="F33" s="9">
        <v>100</v>
      </c>
      <c r="G33" s="9"/>
      <c r="H33" s="9">
        <v>0</v>
      </c>
      <c r="I33" s="9">
        <v>86</v>
      </c>
      <c r="J33" s="9">
        <v>0</v>
      </c>
      <c r="K33" s="9"/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9">
        <v>14</v>
      </c>
      <c r="R33" s="26"/>
      <c r="S33" s="9"/>
      <c r="T33" s="9"/>
      <c r="U33" s="9"/>
      <c r="V33" s="9"/>
      <c r="W33" s="9" t="s">
        <v>57</v>
      </c>
      <c r="X33" s="219" t="s">
        <v>62</v>
      </c>
      <c r="Y33" s="9" t="s">
        <v>63</v>
      </c>
      <c r="Z33" s="9">
        <v>65</v>
      </c>
      <c r="AA33" s="9" t="s">
        <v>56</v>
      </c>
      <c r="AB33" s="9"/>
      <c r="AC33" s="9"/>
      <c r="AD33" s="9"/>
      <c r="AE33" s="96">
        <v>35</v>
      </c>
      <c r="AF33" s="237">
        <v>0</v>
      </c>
      <c r="AG33" s="96">
        <v>0</v>
      </c>
      <c r="AH33" s="96">
        <v>0</v>
      </c>
      <c r="AI33" s="96">
        <v>35</v>
      </c>
      <c r="AJ33" s="96">
        <v>0</v>
      </c>
      <c r="AK33" s="96">
        <v>0</v>
      </c>
      <c r="AL33" s="96">
        <v>30.1</v>
      </c>
      <c r="AM33" s="96">
        <v>0</v>
      </c>
      <c r="AN33" s="96">
        <v>0</v>
      </c>
      <c r="AO33" s="96">
        <v>0</v>
      </c>
      <c r="AP33" s="96">
        <v>0</v>
      </c>
      <c r="AQ33" s="96">
        <v>0</v>
      </c>
      <c r="AR33" s="96">
        <v>0</v>
      </c>
      <c r="AS33" s="96">
        <v>0</v>
      </c>
      <c r="AT33" s="117">
        <v>4.9000000000000004</v>
      </c>
      <c r="AV33" s="242">
        <v>32</v>
      </c>
    </row>
    <row r="34" spans="1:48" ht="15.75" customHeight="1">
      <c r="A34" s="125">
        <v>9</v>
      </c>
      <c r="B34" s="229">
        <v>4</v>
      </c>
      <c r="C34" s="9">
        <v>0</v>
      </c>
      <c r="D34" s="9">
        <v>0</v>
      </c>
      <c r="E34" s="9">
        <v>0</v>
      </c>
      <c r="F34" s="9">
        <v>100</v>
      </c>
      <c r="G34" s="9"/>
      <c r="H34" s="9">
        <v>0</v>
      </c>
      <c r="I34" s="9">
        <v>86</v>
      </c>
      <c r="J34" s="9">
        <v>0</v>
      </c>
      <c r="K34" s="9"/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9">
        <v>14</v>
      </c>
      <c r="R34" s="26"/>
      <c r="S34" s="9"/>
      <c r="T34" s="9"/>
      <c r="U34" s="9"/>
      <c r="V34" s="9"/>
      <c r="W34" s="9" t="s">
        <v>57</v>
      </c>
      <c r="X34" s="9" t="s">
        <v>64</v>
      </c>
      <c r="Y34" s="9" t="s">
        <v>63</v>
      </c>
      <c r="Z34" s="9">
        <v>50</v>
      </c>
      <c r="AA34" s="9" t="s">
        <v>56</v>
      </c>
      <c r="AB34" s="9"/>
      <c r="AC34" s="9"/>
      <c r="AD34" s="9"/>
      <c r="AE34" s="96">
        <v>50</v>
      </c>
      <c r="AF34" s="237">
        <v>0</v>
      </c>
      <c r="AG34" s="96">
        <v>0</v>
      </c>
      <c r="AH34" s="96">
        <v>0</v>
      </c>
      <c r="AI34" s="96">
        <v>50</v>
      </c>
      <c r="AJ34" s="96">
        <v>0</v>
      </c>
      <c r="AK34" s="96">
        <v>0</v>
      </c>
      <c r="AL34" s="96">
        <v>43</v>
      </c>
      <c r="AM34" s="96">
        <v>0</v>
      </c>
      <c r="AN34" s="96">
        <v>0</v>
      </c>
      <c r="AO34" s="96">
        <v>0</v>
      </c>
      <c r="AP34" s="96">
        <v>0</v>
      </c>
      <c r="AQ34" s="96">
        <v>0</v>
      </c>
      <c r="AR34" s="96">
        <v>0</v>
      </c>
      <c r="AS34" s="96">
        <v>0</v>
      </c>
      <c r="AT34" s="117">
        <v>7</v>
      </c>
      <c r="AV34" s="242">
        <v>33</v>
      </c>
    </row>
    <row r="35" spans="1:48" ht="15.75" customHeight="1">
      <c r="A35" s="125">
        <v>9</v>
      </c>
      <c r="B35" s="229">
        <v>5</v>
      </c>
      <c r="C35" s="9">
        <v>0</v>
      </c>
      <c r="D35" s="9">
        <v>0</v>
      </c>
      <c r="E35" s="9">
        <v>0</v>
      </c>
      <c r="F35" s="9">
        <v>100</v>
      </c>
      <c r="G35" s="9"/>
      <c r="H35" s="9">
        <v>0</v>
      </c>
      <c r="I35" s="9">
        <v>86</v>
      </c>
      <c r="J35" s="9">
        <v>0</v>
      </c>
      <c r="K35" s="9"/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9">
        <v>14</v>
      </c>
      <c r="R35" s="26"/>
      <c r="S35" s="9"/>
      <c r="T35" s="9"/>
      <c r="U35" s="9"/>
      <c r="V35" s="9"/>
      <c r="W35" s="9" t="s">
        <v>57</v>
      </c>
      <c r="X35" s="9" t="s">
        <v>64</v>
      </c>
      <c r="Y35" s="9" t="s">
        <v>63</v>
      </c>
      <c r="Z35" s="9">
        <v>20</v>
      </c>
      <c r="AA35" s="9" t="s">
        <v>56</v>
      </c>
      <c r="AB35" s="9"/>
      <c r="AC35" s="9"/>
      <c r="AD35" s="9"/>
      <c r="AE35" s="96">
        <v>80</v>
      </c>
      <c r="AF35" s="237">
        <v>0</v>
      </c>
      <c r="AG35" s="96">
        <v>0</v>
      </c>
      <c r="AH35" s="96">
        <v>0</v>
      </c>
      <c r="AI35" s="96">
        <v>80</v>
      </c>
      <c r="AJ35" s="96">
        <v>0</v>
      </c>
      <c r="AK35" s="96">
        <v>0</v>
      </c>
      <c r="AL35" s="96">
        <v>68.8</v>
      </c>
      <c r="AM35" s="96">
        <v>0</v>
      </c>
      <c r="AN35" s="96">
        <v>0</v>
      </c>
      <c r="AO35" s="96">
        <v>0</v>
      </c>
      <c r="AP35" s="96">
        <v>0</v>
      </c>
      <c r="AQ35" s="96">
        <v>0</v>
      </c>
      <c r="AR35" s="96">
        <v>0</v>
      </c>
      <c r="AS35" s="96">
        <v>0</v>
      </c>
      <c r="AT35" s="117">
        <v>11.2</v>
      </c>
      <c r="AV35" s="242">
        <v>34</v>
      </c>
    </row>
    <row r="36" spans="1:48" ht="15.75" customHeight="1">
      <c r="A36" s="125">
        <v>9</v>
      </c>
      <c r="B36" s="229">
        <v>6</v>
      </c>
      <c r="C36" s="9">
        <v>0</v>
      </c>
      <c r="D36" s="9">
        <v>0</v>
      </c>
      <c r="E36" s="9">
        <v>0</v>
      </c>
      <c r="F36" s="9">
        <v>100</v>
      </c>
      <c r="G36" s="9"/>
      <c r="H36" s="9">
        <v>0</v>
      </c>
      <c r="I36" s="9">
        <v>86</v>
      </c>
      <c r="J36" s="9">
        <v>0</v>
      </c>
      <c r="K36" s="9"/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9">
        <v>14</v>
      </c>
      <c r="R36" s="26"/>
      <c r="S36" s="9"/>
      <c r="T36" s="9"/>
      <c r="U36" s="9"/>
      <c r="V36" s="9"/>
      <c r="W36" s="9" t="s">
        <v>57</v>
      </c>
      <c r="X36" s="9" t="s">
        <v>64</v>
      </c>
      <c r="Y36" s="9" t="s">
        <v>63</v>
      </c>
      <c r="Z36" s="9">
        <v>10</v>
      </c>
      <c r="AA36" s="9" t="s">
        <v>56</v>
      </c>
      <c r="AB36" s="9"/>
      <c r="AC36" s="9"/>
      <c r="AD36" s="9"/>
      <c r="AE36" s="96">
        <v>90</v>
      </c>
      <c r="AF36" s="237">
        <v>0</v>
      </c>
      <c r="AG36" s="96">
        <v>0</v>
      </c>
      <c r="AH36" s="96">
        <v>0</v>
      </c>
      <c r="AI36" s="96">
        <v>90</v>
      </c>
      <c r="AJ36" s="96">
        <v>0</v>
      </c>
      <c r="AK36" s="96">
        <v>0</v>
      </c>
      <c r="AL36" s="96">
        <v>77.400000000000006</v>
      </c>
      <c r="AM36" s="96">
        <v>0</v>
      </c>
      <c r="AN36" s="96">
        <v>0</v>
      </c>
      <c r="AO36" s="96">
        <v>0</v>
      </c>
      <c r="AP36" s="96">
        <v>0</v>
      </c>
      <c r="AQ36" s="96">
        <v>0</v>
      </c>
      <c r="AR36" s="96">
        <v>0</v>
      </c>
      <c r="AS36" s="96">
        <v>0</v>
      </c>
      <c r="AT36" s="117">
        <v>12.6</v>
      </c>
      <c r="AV36" s="242">
        <v>35</v>
      </c>
    </row>
    <row r="37" spans="1:48" ht="15.75" customHeight="1">
      <c r="A37" s="125">
        <v>9</v>
      </c>
      <c r="B37" s="188">
        <v>7</v>
      </c>
      <c r="C37" s="96">
        <v>0</v>
      </c>
      <c r="D37" s="96">
        <v>0</v>
      </c>
      <c r="E37" s="96">
        <v>0</v>
      </c>
      <c r="F37" s="96">
        <v>100</v>
      </c>
      <c r="G37" s="96"/>
      <c r="H37" s="96">
        <v>0</v>
      </c>
      <c r="I37" s="96">
        <v>86</v>
      </c>
      <c r="J37" s="96">
        <v>0</v>
      </c>
      <c r="K37" s="96"/>
      <c r="L37" s="122">
        <v>0</v>
      </c>
      <c r="M37" s="122">
        <v>0</v>
      </c>
      <c r="N37" s="122">
        <v>0</v>
      </c>
      <c r="O37" s="122">
        <v>0</v>
      </c>
      <c r="P37" s="122">
        <v>0</v>
      </c>
      <c r="Q37" s="96">
        <v>14</v>
      </c>
      <c r="R37" s="122"/>
      <c r="S37" s="96"/>
      <c r="T37" s="96"/>
      <c r="U37" s="96"/>
      <c r="V37" s="96"/>
      <c r="W37" s="96" t="s">
        <v>56</v>
      </c>
      <c r="X37" s="96"/>
      <c r="Y37" s="96"/>
      <c r="Z37" s="96"/>
      <c r="AA37" s="96" t="s">
        <v>56</v>
      </c>
      <c r="AB37" s="96"/>
      <c r="AC37" s="96"/>
      <c r="AD37" s="96"/>
      <c r="AE37" s="96">
        <v>100</v>
      </c>
      <c r="AF37" s="237">
        <v>0</v>
      </c>
      <c r="AG37" s="96">
        <v>0</v>
      </c>
      <c r="AH37" s="96">
        <v>0</v>
      </c>
      <c r="AI37" s="96">
        <v>100</v>
      </c>
      <c r="AJ37" s="96">
        <v>0</v>
      </c>
      <c r="AK37" s="96">
        <v>0</v>
      </c>
      <c r="AL37" s="96">
        <v>86</v>
      </c>
      <c r="AM37" s="96">
        <v>0</v>
      </c>
      <c r="AN37" s="96">
        <v>0</v>
      </c>
      <c r="AO37" s="96">
        <v>0</v>
      </c>
      <c r="AP37" s="96">
        <v>0</v>
      </c>
      <c r="AQ37" s="96">
        <v>0</v>
      </c>
      <c r="AR37" s="96">
        <v>0</v>
      </c>
      <c r="AS37" s="96">
        <v>0</v>
      </c>
      <c r="AT37" s="117">
        <v>14</v>
      </c>
      <c r="AV37" s="242">
        <v>36</v>
      </c>
    </row>
    <row r="38" spans="1:48" ht="15.75" customHeight="1">
      <c r="A38" s="93">
        <v>10</v>
      </c>
      <c r="B38" s="187">
        <v>1</v>
      </c>
      <c r="C38" s="95">
        <v>0</v>
      </c>
      <c r="D38" s="95">
        <v>0</v>
      </c>
      <c r="E38" s="95">
        <v>0</v>
      </c>
      <c r="F38" s="95">
        <f>SUM(G38:P38)</f>
        <v>104</v>
      </c>
      <c r="G38" s="95">
        <v>5</v>
      </c>
      <c r="H38" s="95">
        <v>0</v>
      </c>
      <c r="I38" s="95">
        <v>20</v>
      </c>
      <c r="J38" s="95">
        <v>0</v>
      </c>
      <c r="K38" s="95">
        <v>49</v>
      </c>
      <c r="L38" s="120">
        <v>0</v>
      </c>
      <c r="M38" s="120">
        <v>16</v>
      </c>
      <c r="N38" s="120">
        <v>0</v>
      </c>
      <c r="O38" s="120">
        <v>3</v>
      </c>
      <c r="P38" s="120">
        <v>11</v>
      </c>
      <c r="Q38" s="95">
        <v>0</v>
      </c>
      <c r="R38" s="120">
        <v>415000</v>
      </c>
      <c r="S38" s="95">
        <v>147000</v>
      </c>
      <c r="T38" s="95"/>
      <c r="U38" s="95"/>
      <c r="V38" s="95">
        <v>2.8</v>
      </c>
      <c r="W38" s="95" t="s">
        <v>56</v>
      </c>
      <c r="X38" s="95"/>
      <c r="Y38" s="95"/>
      <c r="Z38" s="95"/>
      <c r="AA38" s="95" t="s">
        <v>56</v>
      </c>
      <c r="AB38" s="95"/>
      <c r="AC38" s="95"/>
      <c r="AD38" s="95"/>
      <c r="AE38" s="95">
        <v>100</v>
      </c>
      <c r="AF38" s="238">
        <v>0</v>
      </c>
      <c r="AG38" s="156">
        <v>0</v>
      </c>
      <c r="AH38" s="156">
        <v>0</v>
      </c>
      <c r="AI38" s="156">
        <v>104</v>
      </c>
      <c r="AJ38" s="156">
        <v>5</v>
      </c>
      <c r="AK38" s="156">
        <v>0</v>
      </c>
      <c r="AL38" s="156">
        <v>20</v>
      </c>
      <c r="AM38" s="156">
        <v>0</v>
      </c>
      <c r="AN38" s="156">
        <v>49</v>
      </c>
      <c r="AO38" s="156">
        <v>0</v>
      </c>
      <c r="AP38" s="156">
        <v>16</v>
      </c>
      <c r="AQ38" s="156">
        <v>0</v>
      </c>
      <c r="AR38" s="156">
        <v>3</v>
      </c>
      <c r="AS38" s="156">
        <v>11</v>
      </c>
      <c r="AT38" s="118">
        <v>0</v>
      </c>
      <c r="AV38" s="242">
        <v>37</v>
      </c>
    </row>
    <row r="39" spans="1:48" ht="15.75" customHeight="1">
      <c r="A39" s="139">
        <v>11</v>
      </c>
      <c r="B39" s="140">
        <v>1</v>
      </c>
      <c r="C39" s="181">
        <v>1</v>
      </c>
      <c r="D39" s="181">
        <v>1</v>
      </c>
      <c r="E39" s="181">
        <v>0</v>
      </c>
      <c r="F39" s="181">
        <v>99</v>
      </c>
      <c r="G39" s="181">
        <v>2</v>
      </c>
      <c r="H39" s="181">
        <v>0</v>
      </c>
      <c r="I39" s="181">
        <v>25</v>
      </c>
      <c r="J39" s="181">
        <v>0</v>
      </c>
      <c r="K39" s="181">
        <v>14</v>
      </c>
      <c r="L39" s="181">
        <v>0</v>
      </c>
      <c r="M39" s="181">
        <v>7</v>
      </c>
      <c r="N39" s="181">
        <v>0</v>
      </c>
      <c r="O39" s="181">
        <v>2</v>
      </c>
      <c r="P39" s="181">
        <v>49</v>
      </c>
      <c r="Q39" s="181">
        <v>0</v>
      </c>
      <c r="R39" s="181"/>
      <c r="S39" s="181">
        <v>30000</v>
      </c>
      <c r="T39" s="181"/>
      <c r="U39" s="181"/>
      <c r="V39" s="181">
        <v>2</v>
      </c>
      <c r="W39" s="181" t="s">
        <v>56</v>
      </c>
      <c r="X39" s="181"/>
      <c r="Y39" s="181"/>
      <c r="Z39" s="181"/>
      <c r="AA39" s="181" t="s">
        <v>56</v>
      </c>
      <c r="AB39" s="181"/>
      <c r="AC39" s="181"/>
      <c r="AD39" s="181"/>
      <c r="AE39" s="182">
        <v>100</v>
      </c>
      <c r="AF39" s="181">
        <v>1</v>
      </c>
      <c r="AG39" s="181">
        <v>1</v>
      </c>
      <c r="AH39" s="181">
        <v>0</v>
      </c>
      <c r="AI39" s="181">
        <v>99</v>
      </c>
      <c r="AJ39" s="181">
        <v>2</v>
      </c>
      <c r="AK39" s="181">
        <v>0</v>
      </c>
      <c r="AL39" s="181">
        <v>25</v>
      </c>
      <c r="AM39" s="181">
        <v>0</v>
      </c>
      <c r="AN39" s="181">
        <v>14</v>
      </c>
      <c r="AO39" s="181">
        <v>0</v>
      </c>
      <c r="AP39" s="181">
        <v>7</v>
      </c>
      <c r="AQ39" s="181">
        <v>0</v>
      </c>
      <c r="AR39" s="181">
        <v>2</v>
      </c>
      <c r="AS39" s="181">
        <v>49</v>
      </c>
      <c r="AT39" s="182">
        <v>0</v>
      </c>
      <c r="AV39" s="242">
        <v>38</v>
      </c>
    </row>
    <row r="40" spans="1:48" ht="15.75" customHeight="1">
      <c r="A40" s="125"/>
      <c r="B40" s="97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V40" s="242"/>
    </row>
    <row r="41" spans="1:48" ht="15.75" customHeight="1">
      <c r="A41" s="23"/>
      <c r="B41" s="1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</row>
    <row r="42" spans="1:48" ht="15.75" customHeight="1">
      <c r="A42" s="23"/>
      <c r="B42" s="1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</row>
    <row r="43" spans="1:48" ht="15.75" customHeight="1">
      <c r="A43" s="23"/>
      <c r="B43" s="1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</row>
    <row r="44" spans="1:48" ht="15.75" customHeight="1">
      <c r="A44" s="23"/>
      <c r="B44" s="15"/>
      <c r="C44" s="26"/>
      <c r="D44" s="26"/>
      <c r="E44" s="26"/>
      <c r="F44" s="26"/>
      <c r="G44" s="28"/>
      <c r="H44" s="28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</row>
    <row r="45" spans="1:48" ht="15.75" customHeight="1">
      <c r="A45" s="23"/>
      <c r="B45" s="15"/>
      <c r="C45" s="26"/>
      <c r="D45" s="26"/>
      <c r="E45" s="26"/>
      <c r="F45" s="26"/>
      <c r="G45" s="28"/>
      <c r="H45" s="28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</row>
    <row r="46" spans="1:48" ht="15.75" customHeight="1">
      <c r="A46" s="23"/>
      <c r="B46" s="15"/>
      <c r="C46" s="26"/>
      <c r="D46" s="26"/>
      <c r="E46" s="26"/>
      <c r="F46" s="26"/>
      <c r="G46" s="28"/>
      <c r="H46" s="28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</row>
    <row r="47" spans="1:48" ht="15.75" customHeight="1">
      <c r="A47" s="23"/>
      <c r="B47" s="15"/>
      <c r="C47" s="26"/>
      <c r="D47" s="26"/>
      <c r="E47" s="26"/>
      <c r="F47" s="26"/>
      <c r="G47" s="28"/>
      <c r="H47" s="28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</row>
    <row r="48" spans="1:48" ht="15.75" customHeight="1">
      <c r="A48" s="23"/>
      <c r="B48" s="1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</row>
    <row r="49" spans="1:46" ht="15.75" customHeight="1">
      <c r="A49" s="23"/>
      <c r="B49" s="1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</row>
    <row r="50" spans="1:46" ht="15.75" customHeight="1">
      <c r="A50" s="23"/>
      <c r="B50" s="1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</row>
    <row r="51" spans="1:46" ht="15.75" customHeight="1">
      <c r="A51" s="23"/>
      <c r="B51" s="1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</row>
    <row r="52" spans="1:46" ht="15.75" customHeight="1">
      <c r="A52" s="23"/>
      <c r="B52" s="1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</row>
    <row r="53" spans="1:46" ht="15.75" customHeight="1">
      <c r="A53" s="23"/>
      <c r="B53" s="1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</row>
    <row r="54" spans="1:46" ht="15.75" customHeight="1">
      <c r="A54" s="23"/>
      <c r="B54" s="1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</row>
    <row r="55" spans="1:46" ht="15.75" customHeight="1">
      <c r="A55" s="23"/>
      <c r="B55" s="1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</row>
    <row r="56" spans="1:46" ht="15.75" customHeight="1">
      <c r="A56" s="23"/>
      <c r="B56" s="1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</row>
    <row r="57" spans="1:46" ht="15.75" customHeight="1">
      <c r="A57" s="23"/>
      <c r="B57" s="1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</row>
    <row r="58" spans="1:46" ht="15.75" customHeight="1">
      <c r="A58" s="23"/>
      <c r="B58" s="1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</row>
    <row r="59" spans="1:46" ht="15.75" customHeight="1">
      <c r="A59" s="23"/>
      <c r="B59" s="1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</row>
    <row r="60" spans="1:46" ht="15.75" customHeight="1">
      <c r="A60" s="23"/>
      <c r="B60" s="1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</row>
    <row r="61" spans="1:46" ht="15.75" customHeight="1">
      <c r="A61" s="23"/>
      <c r="B61" s="1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</row>
    <row r="62" spans="1:46" ht="15.75" customHeight="1">
      <c r="A62" s="23"/>
      <c r="B62" s="1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</row>
    <row r="63" spans="1:46" ht="15.75" customHeight="1">
      <c r="A63" s="23"/>
      <c r="B63" s="1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</row>
    <row r="64" spans="1:46" ht="15.75" customHeight="1">
      <c r="A64" s="23"/>
      <c r="B64" s="1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</row>
    <row r="65" spans="1:46" ht="15.75" customHeight="1">
      <c r="A65" s="23"/>
      <c r="B65" s="1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</row>
    <row r="66" spans="1:46" ht="15.75" customHeight="1">
      <c r="A66" s="23"/>
      <c r="B66" s="1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</row>
    <row r="67" spans="1:46" ht="15.75" customHeight="1">
      <c r="A67" s="23"/>
      <c r="B67" s="1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</row>
    <row r="68" spans="1:46" ht="15.75" customHeight="1">
      <c r="A68" s="23"/>
      <c r="B68" s="1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</row>
    <row r="69" spans="1:46" ht="15.75" customHeight="1">
      <c r="A69" s="23"/>
      <c r="B69" s="1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</row>
    <row r="70" spans="1:46" ht="15.75" customHeight="1">
      <c r="A70" s="23"/>
      <c r="B70" s="1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</row>
    <row r="71" spans="1:46" ht="15.75" customHeight="1">
      <c r="A71" s="23"/>
      <c r="B71" s="1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</row>
    <row r="72" spans="1:46" ht="15.75" customHeight="1">
      <c r="A72" s="23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</row>
    <row r="73" spans="1:46" ht="15.75" customHeight="1">
      <c r="A73" s="23"/>
      <c r="B73" s="1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</row>
    <row r="74" spans="1:46" ht="15.75" customHeight="1">
      <c r="A74" s="23"/>
      <c r="B74" s="15"/>
      <c r="C74" s="26"/>
      <c r="D74" s="26"/>
      <c r="E74" s="26"/>
      <c r="F74" s="26"/>
      <c r="G74" s="28"/>
      <c r="H74" s="28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</row>
    <row r="75" spans="1:46" ht="15.75" customHeight="1">
      <c r="A75" s="23"/>
      <c r="B75" s="15"/>
      <c r="C75" s="26"/>
      <c r="D75" s="26"/>
      <c r="E75" s="26"/>
      <c r="F75" s="26"/>
      <c r="G75" s="28"/>
      <c r="H75" s="28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</row>
    <row r="76" spans="1:46" ht="15.75" customHeight="1">
      <c r="A76" s="23"/>
      <c r="B76" s="15"/>
      <c r="C76" s="26"/>
      <c r="D76" s="26"/>
      <c r="E76" s="26"/>
      <c r="F76" s="26"/>
      <c r="G76" s="28"/>
      <c r="H76" s="28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</row>
    <row r="77" spans="1:46" ht="15.75" customHeight="1">
      <c r="A77" s="23"/>
      <c r="B77" s="15"/>
      <c r="C77" s="26"/>
      <c r="D77" s="26"/>
      <c r="E77" s="26"/>
      <c r="F77" s="26"/>
      <c r="G77" s="28"/>
      <c r="H77" s="28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7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</row>
    <row r="78" spans="1:46" ht="15.75" customHeight="1">
      <c r="A78" s="23"/>
      <c r="B78" s="15"/>
      <c r="C78" s="26"/>
      <c r="D78" s="26"/>
      <c r="E78" s="26"/>
      <c r="F78" s="26"/>
      <c r="G78" s="28"/>
      <c r="H78" s="28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7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</row>
    <row r="79" spans="1:46" ht="15.75" customHeight="1">
      <c r="A79" s="23"/>
      <c r="B79" s="15"/>
      <c r="C79" s="26"/>
      <c r="D79" s="26"/>
      <c r="E79" s="26"/>
      <c r="F79" s="26"/>
      <c r="G79" s="28"/>
      <c r="H79" s="28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7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</row>
    <row r="80" spans="1:46" ht="15.75" customHeight="1">
      <c r="A80" s="23"/>
      <c r="B80" s="15"/>
      <c r="C80" s="26"/>
      <c r="D80" s="26"/>
      <c r="E80" s="26"/>
      <c r="F80" s="26"/>
      <c r="G80" s="28"/>
      <c r="H80" s="28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</row>
    <row r="81" spans="1:46" ht="15.75" customHeight="1">
      <c r="A81" s="23"/>
      <c r="B81" s="15"/>
      <c r="C81" s="26"/>
      <c r="D81" s="26"/>
      <c r="E81" s="26"/>
      <c r="F81" s="26"/>
      <c r="G81" s="28"/>
      <c r="H81" s="28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</row>
    <row r="82" spans="1:46" ht="15.75" customHeight="1">
      <c r="A82" s="23"/>
      <c r="B82" s="15"/>
      <c r="C82" s="26"/>
      <c r="D82" s="26"/>
      <c r="E82" s="26"/>
      <c r="F82" s="26"/>
      <c r="G82" s="28"/>
      <c r="H82" s="28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</row>
    <row r="83" spans="1:46" ht="15.75" customHeight="1">
      <c r="A83" s="23"/>
      <c r="B83" s="15"/>
      <c r="C83" s="26"/>
      <c r="D83" s="29"/>
      <c r="E83" s="29"/>
      <c r="F83" s="26"/>
      <c r="G83" s="28"/>
      <c r="H83" s="28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</row>
    <row r="84" spans="1:46" ht="15.75" customHeight="1">
      <c r="A84" s="23"/>
      <c r="B84" s="15"/>
      <c r="C84" s="26"/>
      <c r="D84" s="26"/>
      <c r="E84" s="26"/>
      <c r="F84" s="26"/>
      <c r="G84" s="28"/>
      <c r="H84" s="28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</row>
    <row r="85" spans="1:46" ht="15.75" customHeight="1">
      <c r="A85" s="23"/>
      <c r="B85" s="15"/>
      <c r="C85" s="29"/>
      <c r="D85" s="26"/>
      <c r="E85" s="26"/>
      <c r="F85" s="26"/>
      <c r="G85" s="28"/>
      <c r="H85" s="28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</row>
    <row r="86" spans="1:46" ht="15.75" customHeight="1">
      <c r="A86" s="23"/>
      <c r="B86" s="1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9"/>
      <c r="Z86" s="29"/>
      <c r="AA86" s="29"/>
      <c r="AB86" s="29"/>
      <c r="AC86" s="29"/>
      <c r="AD86" s="29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</row>
    <row r="87" spans="1:46" ht="15.75" customHeight="1">
      <c r="A87" s="23"/>
      <c r="B87" s="1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</row>
    <row r="88" spans="1:46" ht="15.75" customHeight="1">
      <c r="A88" s="23"/>
      <c r="B88" s="1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</row>
    <row r="89" spans="1:46" ht="15.75" customHeight="1">
      <c r="A89" s="23"/>
      <c r="B89" s="1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</row>
    <row r="90" spans="1:46" ht="15.75" customHeight="1">
      <c r="A90" s="13"/>
      <c r="B90" s="14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</row>
    <row r="91" spans="1:46" ht="15.75" customHeight="1">
      <c r="A91" s="13"/>
      <c r="B91" s="14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</row>
    <row r="92" spans="1:46" ht="15.75" customHeight="1">
      <c r="A92" s="13"/>
      <c r="B92" s="14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7"/>
      <c r="U92" s="27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</row>
    <row r="93" spans="1:46" ht="15.75" customHeight="1">
      <c r="A93" s="13"/>
      <c r="B93" s="14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</row>
    <row r="94" spans="1:46" ht="15.75" customHeight="1">
      <c r="A94" s="13"/>
      <c r="B94" s="14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</row>
    <row r="95" spans="1:46" ht="15.75" customHeight="1">
      <c r="A95" s="13"/>
      <c r="B95" s="14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</row>
    <row r="96" spans="1:46" ht="15.75" customHeight="1">
      <c r="A96" s="13"/>
      <c r="B96" s="14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</row>
    <row r="97" spans="1:46" ht="15.75" customHeight="1">
      <c r="A97" s="13"/>
      <c r="B97" s="14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</row>
    <row r="98" spans="1:46" ht="15.75" customHeight="1">
      <c r="A98" s="13"/>
      <c r="B98" s="14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</row>
    <row r="99" spans="1:46" ht="15.75" customHeight="1">
      <c r="A99" s="13"/>
      <c r="B99" s="14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</row>
    <row r="100" spans="1:46" ht="15.75" customHeight="1">
      <c r="A100" s="13"/>
      <c r="B100" s="14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</row>
    <row r="101" spans="1:46" ht="15.75" customHeight="1">
      <c r="A101" s="13"/>
      <c r="B101" s="14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</row>
    <row r="102" spans="1:46" ht="15.75" customHeight="1">
      <c r="A102" s="13"/>
      <c r="B102" s="1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</row>
    <row r="103" spans="1:46" ht="15.75" customHeight="1">
      <c r="A103" s="13"/>
      <c r="B103" s="1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</row>
    <row r="104" spans="1:46" ht="15.75" customHeight="1">
      <c r="A104" s="13"/>
      <c r="B104" s="1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</row>
    <row r="105" spans="1:46" ht="15.75" customHeight="1">
      <c r="A105" s="13"/>
      <c r="B105" s="1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</row>
    <row r="106" spans="1:46" ht="15.75" customHeight="1">
      <c r="A106" s="13"/>
      <c r="B106" s="1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</row>
    <row r="107" spans="1:46" ht="15.75" customHeight="1">
      <c r="A107" s="13"/>
      <c r="B107" s="1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</row>
    <row r="108" spans="1:46" ht="15.75" customHeight="1">
      <c r="A108" s="13"/>
      <c r="B108" s="1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</row>
    <row r="109" spans="1:46" ht="15.75" customHeight="1">
      <c r="A109" s="13"/>
      <c r="B109" s="1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</row>
    <row r="110" spans="1:46" ht="15.75" customHeight="1">
      <c r="A110" s="13"/>
      <c r="B110" s="1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</row>
    <row r="111" spans="1:46" ht="15.75" customHeight="1">
      <c r="A111" s="13"/>
      <c r="B111" s="1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</row>
    <row r="112" spans="1:46" ht="15.75" customHeight="1">
      <c r="A112" s="13"/>
      <c r="B112" s="1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</row>
    <row r="113" spans="1:46" ht="15.75" customHeight="1">
      <c r="A113" s="13"/>
      <c r="B113" s="1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</row>
    <row r="114" spans="1:46" ht="15.75" customHeight="1">
      <c r="A114" s="13"/>
      <c r="B114" s="1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</row>
    <row r="115" spans="1:46" ht="15.75" customHeight="1">
      <c r="A115" s="13"/>
      <c r="B115" s="1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</row>
    <row r="116" spans="1:46" ht="15.75" customHeight="1">
      <c r="A116" s="13"/>
      <c r="B116" s="1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</row>
    <row r="117" spans="1:46" ht="15.75" customHeight="1">
      <c r="A117" s="13"/>
      <c r="B117" s="1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</row>
    <row r="118" spans="1:46" ht="15.75" customHeight="1">
      <c r="A118" s="13"/>
      <c r="B118" s="14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</row>
    <row r="119" spans="1:46" ht="15.75" customHeight="1">
      <c r="A119" s="13"/>
      <c r="B119" s="14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</row>
    <row r="120" spans="1:46" ht="15.75" customHeight="1">
      <c r="A120" s="13"/>
      <c r="B120" s="14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</row>
    <row r="121" spans="1:46" ht="15.75" customHeight="1">
      <c r="A121" s="13"/>
      <c r="B121" s="14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</row>
    <row r="122" spans="1:46" ht="15.75" customHeight="1">
      <c r="A122" s="13"/>
      <c r="B122" s="14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</row>
    <row r="123" spans="1:46" ht="15.75" customHeight="1">
      <c r="A123" s="13"/>
      <c r="B123" s="14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</row>
    <row r="124" spans="1:46" ht="15.75" customHeight="1">
      <c r="A124" s="13"/>
      <c r="B124" s="14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</row>
    <row r="125" spans="1:46" ht="15.75" customHeight="1">
      <c r="A125" s="13"/>
      <c r="B125" s="14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</row>
    <row r="126" spans="1:46" ht="15.75" customHeight="1">
      <c r="A126" s="13"/>
      <c r="B126" s="14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</row>
    <row r="127" spans="1:46" ht="15.75" customHeight="1">
      <c r="A127" s="13"/>
      <c r="B127" s="14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</row>
    <row r="128" spans="1:46" ht="15.75" customHeight="1">
      <c r="A128" s="13"/>
      <c r="B128" s="14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7"/>
      <c r="U128" s="27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</row>
    <row r="129" spans="1:46" ht="15.75" customHeight="1">
      <c r="A129" s="13"/>
      <c r="B129" s="14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7"/>
      <c r="U129" s="27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</row>
    <row r="130" spans="1:46" ht="15.75" customHeight="1">
      <c r="A130" s="13"/>
      <c r="B130" s="14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7"/>
      <c r="U130" s="27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</row>
    <row r="131" spans="1:46" ht="15.75" customHeight="1">
      <c r="A131" s="13"/>
      <c r="B131" s="14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7"/>
      <c r="U131" s="27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</row>
    <row r="132" spans="1:46" ht="15.75" customHeight="1">
      <c r="A132" s="13"/>
      <c r="B132" s="14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7"/>
      <c r="U132" s="27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</row>
    <row r="133" spans="1:46" ht="15.75" customHeight="1">
      <c r="A133" s="13"/>
      <c r="B133" s="14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7"/>
      <c r="U133" s="27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</row>
    <row r="134" spans="1:46" ht="15.75" customHeight="1">
      <c r="A134" s="13"/>
      <c r="B134" s="14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7"/>
      <c r="U134" s="27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</row>
    <row r="135" spans="1:46" ht="15.75" customHeight="1">
      <c r="A135" s="13"/>
      <c r="B135" s="14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7"/>
      <c r="U135" s="27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</row>
    <row r="136" spans="1:46" ht="15.75" customHeight="1">
      <c r="A136" s="13"/>
      <c r="B136" s="14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7"/>
      <c r="U136" s="27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</row>
    <row r="137" spans="1:46" ht="15.75" customHeight="1">
      <c r="A137" s="13"/>
      <c r="B137" s="14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7"/>
      <c r="U137" s="27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</row>
    <row r="138" spans="1:46" ht="15.75" customHeight="1">
      <c r="A138" s="13"/>
      <c r="B138" s="14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7"/>
      <c r="U138" s="27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</row>
    <row r="139" spans="1:46" ht="15.75" customHeight="1">
      <c r="A139" s="13"/>
      <c r="B139" s="14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7"/>
      <c r="U139" s="27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</row>
    <row r="140" spans="1:46" ht="15.75" customHeight="1">
      <c r="A140" s="13"/>
      <c r="B140" s="14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7"/>
      <c r="U140" s="27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</row>
    <row r="141" spans="1:46" ht="15.75" customHeight="1">
      <c r="A141" s="13"/>
      <c r="B141" s="14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7"/>
      <c r="U141" s="27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</row>
    <row r="142" spans="1:46" ht="15.75" customHeight="1">
      <c r="A142" s="13"/>
      <c r="B142" s="14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7"/>
      <c r="U142" s="27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</row>
    <row r="143" spans="1:46" ht="15.75" customHeight="1">
      <c r="A143" s="13"/>
      <c r="B143" s="14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</row>
    <row r="144" spans="1:46" ht="15.75" customHeight="1">
      <c r="A144" s="13"/>
      <c r="B144" s="14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</row>
    <row r="145" spans="1:46" ht="15.75" customHeight="1">
      <c r="A145" s="13"/>
      <c r="B145" s="14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</row>
    <row r="146" spans="1:46" ht="15.75" customHeight="1">
      <c r="A146" s="13"/>
      <c r="B146" s="14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</row>
    <row r="147" spans="1:46" ht="15.75" customHeight="1">
      <c r="A147" s="13"/>
      <c r="B147" s="14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</row>
    <row r="148" spans="1:46" ht="15.75" customHeight="1">
      <c r="A148" s="13"/>
      <c r="B148" s="14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</row>
    <row r="149" spans="1:46" ht="15.75" customHeight="1">
      <c r="A149" s="13"/>
      <c r="B149" s="14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</row>
    <row r="150" spans="1:46" ht="15.75" customHeight="1">
      <c r="A150" s="13"/>
      <c r="B150" s="14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</row>
    <row r="151" spans="1:46" ht="15.75" customHeight="1">
      <c r="A151" s="21"/>
      <c r="B151" s="22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</row>
    <row r="152" spans="1:46" ht="15.75" customHeight="1">
      <c r="A152" s="21"/>
      <c r="B152" s="22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</row>
    <row r="153" spans="1:46" ht="15.75" customHeight="1">
      <c r="A153" s="21"/>
      <c r="B153" s="22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</row>
    <row r="154" spans="1:46" ht="15.75" customHeight="1">
      <c r="A154" s="21"/>
      <c r="B154" s="22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</row>
    <row r="155" spans="1:46" ht="15.75" customHeight="1">
      <c r="A155" s="21"/>
      <c r="B155" s="22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</row>
    <row r="156" spans="1:46" ht="15.75" customHeight="1">
      <c r="A156" s="21"/>
      <c r="B156" s="22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</row>
    <row r="157" spans="1:46" ht="15.75" customHeight="1">
      <c r="A157" s="21"/>
      <c r="B157" s="22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</row>
    <row r="158" spans="1:46" ht="15.75" customHeight="1">
      <c r="A158" s="13"/>
      <c r="B158" s="1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</row>
    <row r="159" spans="1:46" ht="15.75" customHeight="1">
      <c r="A159" s="13"/>
      <c r="B159" s="1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</row>
    <row r="160" spans="1:46" ht="15.75" customHeight="1">
      <c r="A160" s="13"/>
      <c r="B160" s="1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</row>
    <row r="161" spans="1:46" ht="15.75" customHeight="1">
      <c r="A161" s="13"/>
      <c r="B161" s="1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</row>
    <row r="162" spans="1:46" ht="15.75" customHeight="1">
      <c r="A162" s="13"/>
      <c r="B162" s="1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</row>
    <row r="163" spans="1:46" ht="15.75" customHeight="1">
      <c r="A163" s="13"/>
      <c r="B163" s="1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</row>
    <row r="164" spans="1:46" ht="15.75" customHeight="1">
      <c r="A164" s="13"/>
      <c r="B164" s="15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</row>
    <row r="165" spans="1:46" ht="15.75" customHeight="1">
      <c r="A165" s="13"/>
      <c r="B165" s="15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</row>
    <row r="166" spans="1:46" ht="15.75" customHeight="1">
      <c r="A166" s="13"/>
      <c r="B166" s="15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</row>
    <row r="167" spans="1:46" ht="15.75" customHeight="1">
      <c r="A167" s="13"/>
      <c r="B167" s="15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</row>
    <row r="168" spans="1:46" ht="15.75" customHeight="1">
      <c r="A168" s="13"/>
      <c r="B168" s="1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</row>
    <row r="169" spans="1:46" ht="15.75" customHeight="1">
      <c r="A169" s="13"/>
      <c r="B169" s="1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7"/>
      <c r="AA169" s="27"/>
      <c r="AB169" s="27"/>
      <c r="AC169" s="26"/>
      <c r="AD169" s="27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</row>
    <row r="170" spans="1:46" ht="15.75" customHeight="1">
      <c r="A170" s="13"/>
      <c r="B170" s="1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7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</row>
    <row r="171" spans="1:46" ht="15.75" customHeight="1">
      <c r="A171" s="13"/>
      <c r="B171" s="1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7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</row>
    <row r="172" spans="1:46" ht="15.75" customHeight="1">
      <c r="A172" s="23"/>
      <c r="B172" s="1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7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</row>
    <row r="173" spans="1:46" ht="15.75" customHeight="1">
      <c r="A173" s="23"/>
      <c r="B173" s="1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7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</row>
    <row r="174" spans="1:46" ht="15.75" customHeight="1">
      <c r="A174" s="23"/>
      <c r="B174" s="1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7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</row>
    <row r="175" spans="1:46" ht="15.75" customHeight="1">
      <c r="A175" s="23"/>
      <c r="B175" s="1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7"/>
      <c r="U175" s="26"/>
      <c r="V175" s="26"/>
      <c r="W175" s="26"/>
      <c r="X175" s="26"/>
      <c r="Y175" s="26"/>
      <c r="Z175" s="26"/>
      <c r="AA175" s="26"/>
      <c r="AB175" s="26"/>
      <c r="AC175" s="26"/>
      <c r="AD175" s="27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</row>
    <row r="176" spans="1:46" ht="15.75" customHeight="1">
      <c r="A176" s="13"/>
      <c r="B176" s="1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7"/>
      <c r="U176" s="27"/>
      <c r="V176" s="26"/>
      <c r="W176" s="26"/>
      <c r="X176" s="26"/>
      <c r="Y176" s="26"/>
      <c r="Z176" s="26"/>
      <c r="AA176" s="26"/>
      <c r="AB176" s="26"/>
      <c r="AC176" s="26"/>
      <c r="AD176" s="27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</row>
    <row r="177" spans="1:46" ht="15.75" customHeight="1">
      <c r="A177" s="13"/>
      <c r="B177" s="1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7"/>
      <c r="U177" s="27"/>
      <c r="V177" s="26"/>
      <c r="W177" s="26"/>
      <c r="X177" s="26"/>
      <c r="Y177" s="26"/>
      <c r="Z177" s="26"/>
      <c r="AA177" s="26"/>
      <c r="AB177" s="26"/>
      <c r="AC177" s="26"/>
      <c r="AD177" s="27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</row>
    <row r="178" spans="1:46" ht="15.75" customHeight="1">
      <c r="A178" s="13"/>
      <c r="B178" s="1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7"/>
      <c r="U178" s="27"/>
      <c r="V178" s="26"/>
      <c r="W178" s="26"/>
      <c r="X178" s="26"/>
      <c r="Y178" s="26"/>
      <c r="Z178" s="26"/>
      <c r="AA178" s="26"/>
      <c r="AB178" s="26"/>
      <c r="AC178" s="26"/>
      <c r="AD178" s="27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</row>
    <row r="179" spans="1:46" ht="15.75" customHeight="1">
      <c r="A179" s="13"/>
      <c r="B179" s="1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7"/>
      <c r="U179" s="27"/>
      <c r="V179" s="26"/>
      <c r="W179" s="26"/>
      <c r="X179" s="26"/>
      <c r="Y179" s="26"/>
      <c r="Z179" s="26"/>
      <c r="AA179" s="26"/>
      <c r="AB179" s="26"/>
      <c r="AC179" s="26"/>
      <c r="AD179" s="27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</row>
    <row r="180" spans="1:46" ht="15.75" customHeight="1">
      <c r="A180" s="13"/>
      <c r="B180" s="1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7"/>
      <c r="U180" s="27"/>
      <c r="V180" s="26"/>
      <c r="W180" s="26"/>
      <c r="X180" s="26"/>
      <c r="Y180" s="26"/>
      <c r="Z180" s="26"/>
      <c r="AA180" s="26"/>
      <c r="AB180" s="26"/>
      <c r="AC180" s="26"/>
      <c r="AD180" s="27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</row>
    <row r="181" spans="1:46" ht="15.75" customHeight="1">
      <c r="A181" s="13"/>
      <c r="B181" s="1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7"/>
      <c r="U181" s="27"/>
      <c r="V181" s="26"/>
      <c r="W181" s="26"/>
      <c r="X181" s="26"/>
      <c r="Y181" s="26"/>
      <c r="Z181" s="26"/>
      <c r="AA181" s="26"/>
      <c r="AB181" s="26"/>
      <c r="AC181" s="26"/>
      <c r="AD181" s="27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</row>
    <row r="182" spans="1:46" ht="15.75" customHeight="1">
      <c r="A182" s="13"/>
      <c r="B182" s="1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7"/>
      <c r="U182" s="27"/>
      <c r="V182" s="26"/>
      <c r="W182" s="26"/>
      <c r="X182" s="26"/>
      <c r="Y182" s="26"/>
      <c r="Z182" s="26"/>
      <c r="AA182" s="26"/>
      <c r="AB182" s="26"/>
      <c r="AC182" s="26"/>
      <c r="AD182" s="27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</row>
    <row r="183" spans="1:46" ht="15.75" customHeight="1">
      <c r="A183" s="13"/>
      <c r="B183" s="14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7"/>
      <c r="U183" s="27"/>
      <c r="V183" s="26"/>
      <c r="W183" s="26"/>
      <c r="X183" s="26"/>
      <c r="Y183" s="26"/>
      <c r="Z183" s="26"/>
      <c r="AA183" s="26"/>
      <c r="AB183" s="26"/>
      <c r="AC183" s="26"/>
      <c r="AD183" s="27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</row>
    <row r="184" spans="1:46" ht="15.75" customHeight="1">
      <c r="A184" s="13"/>
      <c r="B184" s="14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9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</row>
    <row r="185" spans="1:46" ht="15.75" customHeight="1">
      <c r="A185" s="13"/>
      <c r="B185" s="14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</row>
    <row r="186" spans="1:46" ht="15.75" customHeight="1">
      <c r="A186" s="13"/>
      <c r="B186" s="14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</row>
    <row r="187" spans="1:46" ht="15.75" customHeight="1">
      <c r="A187" s="13"/>
      <c r="B187" s="14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</row>
    <row r="188" spans="1:46" ht="15.75" customHeight="1">
      <c r="A188" s="13"/>
      <c r="B188" s="14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9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</row>
    <row r="189" spans="1:46" ht="15.75" customHeight="1">
      <c r="A189" s="13"/>
      <c r="B189" s="14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</row>
    <row r="190" spans="1:46" ht="15.75" customHeight="1">
      <c r="A190" s="13"/>
      <c r="B190" s="14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</row>
    <row r="191" spans="1:46" ht="15.75" customHeight="1">
      <c r="A191" s="13"/>
      <c r="B191" s="14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</row>
    <row r="192" spans="1:46" ht="15.75" customHeight="1">
      <c r="A192" s="13"/>
      <c r="B192" s="14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</row>
    <row r="193" spans="1:46" ht="15.75" customHeight="1">
      <c r="A193" s="13"/>
      <c r="B193" s="14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</row>
    <row r="194" spans="1:46" ht="15.75" customHeight="1">
      <c r="A194" s="13"/>
      <c r="B194" s="14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</row>
    <row r="195" spans="1:46" ht="15.75" customHeight="1">
      <c r="A195" s="23"/>
      <c r="B195" s="1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</row>
    <row r="196" spans="1:46" ht="15.75" customHeight="1">
      <c r="A196" s="23"/>
      <c r="B196" s="1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</row>
    <row r="197" spans="1:46" ht="15.75" customHeight="1">
      <c r="A197" s="13"/>
      <c r="B197" s="1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7"/>
      <c r="Z197" s="27"/>
      <c r="AA197" s="27"/>
      <c r="AB197" s="27"/>
      <c r="AC197" s="26"/>
      <c r="AD197" s="27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</row>
    <row r="198" spans="1:46" ht="15.75" customHeight="1">
      <c r="A198" s="13"/>
      <c r="B198" s="1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7"/>
      <c r="Z198" s="27"/>
      <c r="AA198" s="27"/>
      <c r="AB198" s="27"/>
      <c r="AC198" s="26"/>
      <c r="AD198" s="27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</row>
    <row r="199" spans="1:46" ht="15.75" customHeight="1">
      <c r="A199" s="13"/>
      <c r="B199" s="1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7"/>
      <c r="Z199" s="27"/>
      <c r="AA199" s="27"/>
      <c r="AB199" s="27"/>
      <c r="AC199" s="26"/>
      <c r="AD199" s="27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</row>
    <row r="200" spans="1:46" ht="15.75" customHeight="1">
      <c r="A200" s="13"/>
      <c r="B200" s="1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</row>
    <row r="201" spans="1:46" ht="15.75" customHeight="1">
      <c r="A201" s="23"/>
      <c r="B201" s="1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</row>
    <row r="202" spans="1:46" ht="15.75" customHeight="1">
      <c r="A202" s="23"/>
      <c r="B202" s="1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</row>
    <row r="203" spans="1:46" ht="15.75" customHeight="1">
      <c r="A203" s="23"/>
      <c r="B203" s="1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</row>
    <row r="204" spans="1:46" ht="15.75" customHeight="1">
      <c r="A204" s="23"/>
      <c r="B204" s="1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</row>
    <row r="205" spans="1:46" ht="15.75" customHeight="1">
      <c r="A205" s="23"/>
      <c r="B205" s="1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</row>
    <row r="206" spans="1:46" ht="15.75" customHeight="1">
      <c r="A206" s="23"/>
      <c r="B206" s="1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</row>
    <row r="207" spans="1:46" ht="15.75" customHeight="1">
      <c r="A207" s="23"/>
      <c r="B207" s="1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</row>
    <row r="208" spans="1:46" ht="15.75" customHeight="1">
      <c r="A208" s="23"/>
      <c r="B208" s="1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</row>
    <row r="209" spans="1:46" ht="15.75" customHeight="1">
      <c r="A209" s="23"/>
      <c r="B209" s="1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</row>
    <row r="210" spans="1:46" ht="15.75" customHeight="1">
      <c r="A210" s="23"/>
      <c r="B210" s="1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</row>
    <row r="211" spans="1:46" ht="15.75" customHeight="1">
      <c r="A211" s="23"/>
      <c r="B211" s="1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</row>
    <row r="212" spans="1:46" ht="15.75" customHeight="1">
      <c r="A212" s="23"/>
      <c r="B212" s="1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</row>
    <row r="213" spans="1:46" ht="15.75" customHeight="1">
      <c r="A213" s="23"/>
      <c r="B213" s="1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</row>
    <row r="214" spans="1:46" ht="15.75" customHeight="1">
      <c r="A214" s="23"/>
      <c r="B214" s="15"/>
      <c r="C214" s="26"/>
      <c r="D214" s="26"/>
      <c r="E214" s="26"/>
      <c r="F214" s="26"/>
      <c r="G214" s="28"/>
      <c r="H214" s="2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</row>
    <row r="215" spans="1:46" ht="15.75" customHeight="1">
      <c r="A215" s="23"/>
      <c r="B215" s="15"/>
      <c r="C215" s="26"/>
      <c r="D215" s="26"/>
      <c r="E215" s="26"/>
      <c r="F215" s="26"/>
      <c r="G215" s="28"/>
      <c r="H215" s="28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</row>
    <row r="216" spans="1:46" ht="15.75" customHeight="1">
      <c r="A216" s="23"/>
      <c r="B216" s="15"/>
      <c r="C216" s="26"/>
      <c r="D216" s="26"/>
      <c r="E216" s="26"/>
      <c r="F216" s="26"/>
      <c r="G216" s="28"/>
      <c r="H216" s="2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</row>
    <row r="217" spans="1:46" ht="15.75" customHeight="1">
      <c r="A217" s="23"/>
      <c r="B217" s="1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7"/>
      <c r="U217" s="27"/>
      <c r="V217" s="26"/>
      <c r="W217" s="26"/>
      <c r="X217" s="26"/>
      <c r="Y217" s="27"/>
      <c r="Z217" s="27"/>
      <c r="AA217" s="27"/>
      <c r="AB217" s="27"/>
      <c r="AC217" s="26"/>
      <c r="AD217" s="27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</row>
    <row r="218" spans="1:46" ht="15.75" customHeight="1">
      <c r="A218" s="23"/>
      <c r="B218" s="1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7"/>
      <c r="U218" s="26"/>
      <c r="V218" s="26"/>
      <c r="W218" s="26"/>
      <c r="X218" s="26"/>
      <c r="Y218" s="26"/>
      <c r="Z218" s="26"/>
      <c r="AA218" s="26"/>
      <c r="AB218" s="26"/>
      <c r="AC218" s="26"/>
      <c r="AD218" s="27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</row>
    <row r="219" spans="1:46" ht="15.75" customHeight="1">
      <c r="A219" s="13"/>
      <c r="B219" s="1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7"/>
      <c r="U219" s="27"/>
      <c r="V219" s="26"/>
      <c r="W219" s="26"/>
      <c r="X219" s="26"/>
      <c r="Y219" s="26"/>
      <c r="Z219" s="26"/>
      <c r="AA219" s="26"/>
      <c r="AB219" s="26"/>
      <c r="AC219" s="26"/>
      <c r="AD219" s="27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</row>
    <row r="220" spans="1:46" ht="15.75" customHeight="1">
      <c r="A220" s="13"/>
      <c r="B220" s="14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7"/>
      <c r="U220" s="27"/>
      <c r="V220" s="26"/>
      <c r="W220" s="26"/>
      <c r="X220" s="26"/>
      <c r="Y220" s="26"/>
      <c r="Z220" s="26"/>
      <c r="AA220" s="26"/>
      <c r="AB220" s="26"/>
      <c r="AC220" s="26"/>
      <c r="AD220" s="27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</row>
    <row r="221" spans="1:46" ht="15.75" customHeight="1">
      <c r="A221" s="13"/>
      <c r="B221" s="14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7"/>
      <c r="U221" s="27"/>
      <c r="V221" s="26"/>
      <c r="W221" s="26"/>
      <c r="X221" s="26"/>
      <c r="Y221" s="26"/>
      <c r="Z221" s="26"/>
      <c r="AA221" s="26"/>
      <c r="AB221" s="26"/>
      <c r="AC221" s="26"/>
      <c r="AD221" s="27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</row>
    <row r="222" spans="1:46" ht="15.75" customHeight="1">
      <c r="A222" s="13"/>
      <c r="B222" s="14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7"/>
      <c r="U222" s="27"/>
      <c r="V222" s="26"/>
      <c r="W222" s="26"/>
      <c r="X222" s="26"/>
      <c r="Y222" s="27"/>
      <c r="Z222" s="27"/>
      <c r="AA222" s="27"/>
      <c r="AB222" s="27"/>
      <c r="AC222" s="26"/>
      <c r="AD222" s="27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</row>
    <row r="223" spans="1:46" ht="15.75" customHeight="1">
      <c r="A223" s="13"/>
      <c r="B223" s="14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7"/>
      <c r="U223" s="27"/>
      <c r="V223" s="26"/>
      <c r="W223" s="26"/>
      <c r="X223" s="26"/>
      <c r="Y223" s="27"/>
      <c r="Z223" s="27"/>
      <c r="AA223" s="27"/>
      <c r="AB223" s="27"/>
      <c r="AC223" s="26"/>
      <c r="AD223" s="27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</row>
    <row r="224" spans="1:46" ht="15.75" customHeight="1">
      <c r="A224" s="13"/>
      <c r="B224" s="14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7"/>
      <c r="U224" s="27"/>
      <c r="V224" s="26"/>
      <c r="W224" s="26"/>
      <c r="X224" s="26"/>
      <c r="Y224" s="27"/>
      <c r="Z224" s="27"/>
      <c r="AA224" s="27"/>
      <c r="AB224" s="27"/>
      <c r="AC224" s="26"/>
      <c r="AD224" s="27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</row>
    <row r="225" spans="1:46" ht="15.75" customHeight="1">
      <c r="A225" s="13"/>
      <c r="B225" s="14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7"/>
      <c r="U225" s="27"/>
      <c r="V225" s="26"/>
      <c r="W225" s="26"/>
      <c r="X225" s="26"/>
      <c r="Y225" s="27"/>
      <c r="Z225" s="27"/>
      <c r="AA225" s="27"/>
      <c r="AB225" s="27"/>
      <c r="AC225" s="26"/>
      <c r="AD225" s="27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</row>
    <row r="226" spans="1:46" ht="15.75" customHeight="1">
      <c r="A226" s="13"/>
      <c r="B226" s="14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7"/>
      <c r="U226" s="27"/>
      <c r="V226" s="26"/>
      <c r="W226" s="26"/>
      <c r="X226" s="26"/>
      <c r="Y226" s="27"/>
      <c r="Z226" s="27"/>
      <c r="AA226" s="27"/>
      <c r="AB226" s="27"/>
      <c r="AC226" s="26"/>
      <c r="AD226" s="27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</row>
    <row r="227" spans="1:46" ht="15.75" customHeight="1">
      <c r="A227" s="13"/>
      <c r="B227" s="14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</row>
    <row r="228" spans="1:46" ht="15.75" customHeight="1">
      <c r="A228" s="13"/>
      <c r="B228" s="14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</row>
    <row r="229" spans="1:46" ht="15.75" customHeight="1">
      <c r="A229" s="13"/>
      <c r="B229" s="14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</row>
    <row r="230" spans="1:46" ht="15.75" customHeight="1">
      <c r="A230" s="13"/>
      <c r="B230" s="14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</row>
    <row r="231" spans="1:46" ht="15.75" customHeight="1">
      <c r="A231" s="13"/>
      <c r="B231" s="14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</row>
    <row r="232" spans="1:46" ht="15.75" customHeight="1">
      <c r="A232" s="13"/>
      <c r="B232" s="14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</row>
    <row r="233" spans="1:46" ht="15.75" customHeight="1">
      <c r="A233" s="13"/>
      <c r="B233" s="14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</row>
    <row r="234" spans="1:46" ht="15.75" customHeight="1">
      <c r="A234" s="13"/>
      <c r="B234" s="14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</row>
    <row r="235" spans="1:46" ht="15.75" customHeight="1">
      <c r="A235" s="13"/>
      <c r="B235" s="14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</row>
    <row r="236" spans="1:46" ht="15.75" customHeight="1">
      <c r="A236" s="13"/>
      <c r="B236" s="14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</row>
    <row r="237" spans="1:46" ht="15.75" customHeight="1">
      <c r="A237" s="13"/>
      <c r="B237" s="14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7"/>
      <c r="U237" s="27"/>
      <c r="V237" s="26"/>
      <c r="W237" s="26"/>
      <c r="X237" s="26"/>
      <c r="Y237" s="27"/>
      <c r="Z237" s="27"/>
      <c r="AA237" s="27"/>
      <c r="AB237" s="27"/>
      <c r="AC237" s="26"/>
      <c r="AD237" s="27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</row>
    <row r="238" spans="1:46" ht="15.75" customHeight="1">
      <c r="A238" s="13"/>
      <c r="B238" s="14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7"/>
      <c r="U238" s="27"/>
      <c r="V238" s="26"/>
      <c r="W238" s="26"/>
      <c r="X238" s="26"/>
      <c r="Y238" s="27"/>
      <c r="Z238" s="27"/>
      <c r="AA238" s="27"/>
      <c r="AB238" s="27"/>
      <c r="AC238" s="26"/>
      <c r="AD238" s="27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</row>
    <row r="239" spans="1:46" ht="15.75" customHeight="1">
      <c r="A239" s="23"/>
      <c r="B239" s="1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7"/>
      <c r="U239" s="27"/>
      <c r="V239" s="26"/>
      <c r="W239" s="26"/>
      <c r="X239" s="26"/>
      <c r="Y239" s="27"/>
      <c r="Z239" s="27"/>
      <c r="AA239" s="27"/>
      <c r="AB239" s="27"/>
      <c r="AC239" s="26"/>
      <c r="AD239" s="27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</row>
    <row r="240" spans="1:46" ht="15.75" customHeight="1">
      <c r="A240" s="23"/>
      <c r="B240" s="1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7"/>
      <c r="U240" s="27"/>
      <c r="V240" s="26"/>
      <c r="W240" s="26"/>
      <c r="X240" s="26"/>
      <c r="Y240" s="27"/>
      <c r="Z240" s="27"/>
      <c r="AA240" s="27"/>
      <c r="AB240" s="27"/>
      <c r="AC240" s="26"/>
      <c r="AD240" s="27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</row>
    <row r="241" spans="1:46" ht="15.75" customHeight="1">
      <c r="A241" s="23"/>
      <c r="B241" s="1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7"/>
      <c r="U241" s="27"/>
      <c r="V241" s="26"/>
      <c r="W241" s="26"/>
      <c r="X241" s="26"/>
      <c r="Y241" s="27"/>
      <c r="Z241" s="27"/>
      <c r="AA241" s="27"/>
      <c r="AB241" s="27"/>
      <c r="AC241" s="26"/>
      <c r="AD241" s="27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</row>
    <row r="242" spans="1:46" ht="15.75" customHeight="1">
      <c r="A242" s="23"/>
      <c r="B242" s="1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7"/>
      <c r="Z242" s="27"/>
      <c r="AA242" s="27"/>
      <c r="AB242" s="27"/>
      <c r="AC242" s="26"/>
      <c r="AD242" s="27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</row>
    <row r="243" spans="1:46" ht="15.75" customHeight="1">
      <c r="A243" s="23"/>
      <c r="B243" s="1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7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</row>
    <row r="244" spans="1:46" ht="15.75" customHeight="1">
      <c r="A244" s="23"/>
      <c r="B244" s="1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7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</row>
    <row r="245" spans="1:46" ht="15.75" customHeight="1">
      <c r="A245" s="23"/>
      <c r="B245" s="1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7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</row>
    <row r="246" spans="1:46" ht="15.75" customHeight="1">
      <c r="A246" s="23"/>
      <c r="B246" s="1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7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</row>
    <row r="247" spans="1:46" ht="15.75" customHeight="1">
      <c r="A247" s="23"/>
      <c r="B247" s="1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7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</row>
    <row r="248" spans="1:46" ht="15.75" customHeight="1">
      <c r="A248" s="23"/>
      <c r="B248" s="1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7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</row>
    <row r="249" spans="1:46" ht="15.75" customHeight="1">
      <c r="A249" s="23"/>
      <c r="B249" s="1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7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</row>
    <row r="250" spans="1:46" ht="15.75" customHeight="1">
      <c r="A250" s="23"/>
      <c r="B250" s="1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7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</row>
    <row r="251" spans="1:46" ht="15.75" customHeight="1">
      <c r="A251" s="13"/>
      <c r="B251" s="1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</row>
    <row r="252" spans="1:46" ht="15.75" customHeight="1">
      <c r="A252" s="13"/>
      <c r="B252" s="1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</row>
    <row r="253" spans="1:46" ht="15.75" customHeight="1">
      <c r="A253" s="13"/>
      <c r="B253" s="1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</row>
    <row r="254" spans="1:46" ht="15.75" customHeight="1">
      <c r="A254" s="13"/>
      <c r="B254" s="1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</row>
    <row r="255" spans="1:46" ht="15.75" customHeight="1">
      <c r="A255" s="13"/>
      <c r="B255" s="1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7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</row>
    <row r="256" spans="1:46" ht="15.75" customHeight="1">
      <c r="A256" s="13"/>
      <c r="B256" s="1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7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</row>
    <row r="257" spans="1:46" ht="15.75" customHeight="1">
      <c r="A257" s="13"/>
      <c r="B257" s="1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</row>
    <row r="258" spans="1:46" ht="15.75" customHeight="1">
      <c r="A258" s="13"/>
      <c r="B258" s="1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</row>
    <row r="259" spans="1:46" ht="15.75" customHeight="1">
      <c r="A259" s="13"/>
      <c r="B259" s="1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</row>
    <row r="260" spans="1:46" ht="15.75" customHeight="1">
      <c r="A260" s="13"/>
      <c r="B260" s="1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</row>
    <row r="261" spans="1:46" ht="15.75" customHeight="1">
      <c r="A261" s="13"/>
      <c r="B261" s="1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</row>
    <row r="262" spans="1:46" ht="15.75" customHeight="1">
      <c r="A262" s="13"/>
      <c r="B262" s="1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</row>
    <row r="263" spans="1:46" ht="15.75" customHeight="1">
      <c r="A263" s="13"/>
      <c r="B263" s="1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</row>
    <row r="264" spans="1:46" ht="15.75" customHeight="1">
      <c r="A264" s="23"/>
      <c r="B264" s="1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</row>
    <row r="265" spans="1:46" ht="15.75" customHeight="1">
      <c r="A265" s="23"/>
      <c r="B265" s="1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</row>
    <row r="266" spans="1:46" ht="15.75" customHeight="1">
      <c r="A266" s="23"/>
      <c r="B266" s="1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</row>
    <row r="267" spans="1:46" ht="15.75" customHeight="1">
      <c r="A267" s="23"/>
      <c r="B267" s="1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</row>
    <row r="268" spans="1:46" ht="15.75" customHeight="1">
      <c r="A268" s="23"/>
      <c r="B268" s="1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</row>
    <row r="269" spans="1:46" ht="15.75" customHeight="1">
      <c r="A269" s="23"/>
      <c r="B269" s="1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</row>
    <row r="270" spans="1:46" ht="15.75" customHeight="1">
      <c r="A270" s="23"/>
      <c r="B270" s="1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</row>
    <row r="271" spans="1:46" ht="15.75" customHeight="1">
      <c r="A271" s="23"/>
      <c r="B271" s="1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</row>
    <row r="272" spans="1:46" ht="15.75" customHeight="1">
      <c r="A272" s="23"/>
      <c r="B272" s="1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</row>
    <row r="273" spans="1:46" ht="15.75" customHeight="1">
      <c r="A273" s="23"/>
      <c r="B273" s="1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</row>
    <row r="274" spans="1:46" ht="15.75" customHeight="1">
      <c r="A274" s="23"/>
      <c r="B274" s="1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</row>
    <row r="275" spans="1:46" ht="15.75" customHeight="1">
      <c r="A275" s="23"/>
      <c r="B275" s="1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</row>
    <row r="276" spans="1:46" ht="15.75" customHeight="1">
      <c r="A276" s="23"/>
      <c r="B276" s="1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</row>
    <row r="277" spans="1:46" ht="15.75" customHeight="1">
      <c r="A277" s="23"/>
      <c r="B277" s="1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</row>
    <row r="278" spans="1:46" ht="15.75" customHeight="1">
      <c r="A278" s="23"/>
      <c r="B278" s="1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7"/>
      <c r="U278" s="27"/>
      <c r="V278" s="26"/>
      <c r="W278" s="26"/>
      <c r="X278" s="26"/>
      <c r="Y278" s="27"/>
      <c r="Z278" s="27"/>
      <c r="AA278" s="27"/>
      <c r="AB278" s="27"/>
      <c r="AC278" s="26"/>
      <c r="AD278" s="27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</row>
    <row r="279" spans="1:46" ht="15.75" customHeight="1">
      <c r="A279" s="23"/>
      <c r="B279" s="1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7"/>
      <c r="U279" s="27"/>
      <c r="V279" s="26"/>
      <c r="W279" s="26"/>
      <c r="X279" s="26"/>
      <c r="Y279" s="26"/>
      <c r="Z279" s="26"/>
      <c r="AA279" s="26"/>
      <c r="AB279" s="26"/>
      <c r="AC279" s="26"/>
      <c r="AD279" s="27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</row>
    <row r="280" spans="1:46" ht="15.75" customHeight="1">
      <c r="A280" s="23"/>
      <c r="B280" s="1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7"/>
      <c r="U280" s="27"/>
      <c r="V280" s="26"/>
      <c r="W280" s="26"/>
      <c r="X280" s="26"/>
      <c r="Y280" s="26"/>
      <c r="Z280" s="26"/>
      <c r="AA280" s="26"/>
      <c r="AB280" s="26"/>
      <c r="AC280" s="26"/>
      <c r="AD280" s="27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</row>
    <row r="281" spans="1:46" ht="15.75" customHeight="1">
      <c r="A281" s="23"/>
      <c r="B281" s="1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7"/>
      <c r="U281" s="27"/>
      <c r="V281" s="26"/>
      <c r="W281" s="26"/>
      <c r="X281" s="26"/>
      <c r="Y281" s="26"/>
      <c r="Z281" s="26"/>
      <c r="AA281" s="26"/>
      <c r="AB281" s="26"/>
      <c r="AC281" s="26"/>
      <c r="AD281" s="27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</row>
    <row r="282" spans="1:46" ht="15.75" customHeight="1">
      <c r="A282" s="23"/>
      <c r="B282" s="1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7"/>
      <c r="U282" s="27"/>
      <c r="V282" s="26"/>
      <c r="W282" s="26"/>
      <c r="X282" s="26"/>
      <c r="Y282" s="26"/>
      <c r="Z282" s="27"/>
      <c r="AA282" s="27"/>
      <c r="AB282" s="27"/>
      <c r="AC282" s="26"/>
      <c r="AD282" s="27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</row>
    <row r="283" spans="1:46" ht="15.75" customHeight="1">
      <c r="A283" s="23"/>
      <c r="B283" s="1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7"/>
      <c r="U283" s="27"/>
      <c r="V283" s="26"/>
      <c r="W283" s="26"/>
      <c r="X283" s="26"/>
      <c r="Y283" s="26"/>
      <c r="Z283" s="27"/>
      <c r="AA283" s="27"/>
      <c r="AB283" s="27"/>
      <c r="AC283" s="26"/>
      <c r="AD283" s="27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</row>
    <row r="284" spans="1:46" ht="15.75" customHeight="1">
      <c r="A284" s="23"/>
      <c r="B284" s="1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7"/>
      <c r="U284" s="27"/>
      <c r="V284" s="26"/>
      <c r="W284" s="26"/>
      <c r="X284" s="26"/>
      <c r="Y284" s="26"/>
      <c r="Z284" s="26"/>
      <c r="AA284" s="26"/>
      <c r="AB284" s="26"/>
      <c r="AC284" s="26"/>
      <c r="AD284" s="27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</row>
    <row r="285" spans="1:46" ht="15.75" customHeight="1">
      <c r="A285" s="23"/>
      <c r="B285" s="15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7"/>
      <c r="U285" s="27"/>
      <c r="V285" s="26"/>
      <c r="W285" s="26"/>
      <c r="X285" s="26"/>
      <c r="Y285" s="26"/>
      <c r="Z285" s="26"/>
      <c r="AA285" s="26"/>
      <c r="AB285" s="26"/>
      <c r="AC285" s="26"/>
      <c r="AD285" s="27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</row>
    <row r="286" spans="1:46" ht="15.75" customHeight="1">
      <c r="A286" s="23"/>
      <c r="B286" s="15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30"/>
      <c r="U286" s="27"/>
      <c r="V286" s="26"/>
      <c r="W286" s="26"/>
      <c r="X286" s="26"/>
      <c r="Y286" s="26"/>
      <c r="Z286" s="26"/>
      <c r="AA286" s="26"/>
      <c r="AB286" s="26"/>
      <c r="AC286" s="26"/>
      <c r="AD286" s="27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</row>
    <row r="287" spans="1:46" ht="15.75" customHeight="1">
      <c r="A287" s="23"/>
      <c r="B287" s="15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7"/>
      <c r="U287" s="27"/>
      <c r="V287" s="26"/>
      <c r="W287" s="26"/>
      <c r="X287" s="26"/>
      <c r="Y287" s="26"/>
      <c r="Z287" s="27"/>
      <c r="AA287" s="27"/>
      <c r="AB287" s="27"/>
      <c r="AC287" s="26"/>
      <c r="AD287" s="27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</row>
    <row r="288" spans="1:46" ht="15.75" customHeight="1">
      <c r="A288" s="23"/>
      <c r="B288" s="15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</row>
    <row r="289" spans="1:46" ht="15.75" customHeight="1">
      <c r="A289" s="23"/>
      <c r="B289" s="15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</row>
    <row r="290" spans="1:46" ht="15.75" customHeight="1">
      <c r="A290" s="23"/>
      <c r="B290" s="15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</row>
    <row r="291" spans="1:46" ht="15.75" customHeight="1">
      <c r="A291" s="23"/>
      <c r="B291" s="15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</row>
    <row r="292" spans="1:46" ht="15.75" customHeight="1">
      <c r="A292" s="23"/>
      <c r="B292" s="15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7"/>
      <c r="U292" s="27"/>
      <c r="V292" s="26"/>
      <c r="W292" s="26"/>
      <c r="X292" s="26"/>
      <c r="Y292" s="27"/>
      <c r="Z292" s="27"/>
      <c r="AA292" s="27"/>
      <c r="AB292" s="27"/>
      <c r="AC292" s="26"/>
      <c r="AD292" s="27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</row>
    <row r="293" spans="1:46" ht="15.75" customHeight="1">
      <c r="A293" s="23"/>
      <c r="B293" s="15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7"/>
      <c r="U293" s="27"/>
      <c r="V293" s="26"/>
      <c r="W293" s="26"/>
      <c r="X293" s="26"/>
      <c r="Y293" s="27"/>
      <c r="Z293" s="27"/>
      <c r="AA293" s="27"/>
      <c r="AB293" s="27"/>
      <c r="AC293" s="26"/>
      <c r="AD293" s="27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</row>
    <row r="294" spans="1:46" ht="15.75" customHeight="1">
      <c r="A294" s="23"/>
      <c r="B294" s="15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7"/>
      <c r="U294" s="27"/>
      <c r="V294" s="26"/>
      <c r="W294" s="26"/>
      <c r="X294" s="26"/>
      <c r="Y294" s="27"/>
      <c r="Z294" s="27"/>
      <c r="AA294" s="27"/>
      <c r="AB294" s="27"/>
      <c r="AC294" s="26"/>
      <c r="AD294" s="27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</row>
    <row r="295" spans="1:46" ht="15.75" customHeight="1">
      <c r="A295" s="23"/>
      <c r="B295" s="15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7"/>
      <c r="U295" s="27"/>
      <c r="V295" s="26"/>
      <c r="W295" s="26"/>
      <c r="X295" s="26"/>
      <c r="Y295" s="27"/>
      <c r="Z295" s="27"/>
      <c r="AA295" s="27"/>
      <c r="AB295" s="27"/>
      <c r="AC295" s="26"/>
      <c r="AD295" s="27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</row>
    <row r="296" spans="1:46" ht="15.75" customHeight="1">
      <c r="A296" s="23"/>
      <c r="B296" s="1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7"/>
      <c r="Z296" s="27"/>
      <c r="AA296" s="27"/>
      <c r="AB296" s="27"/>
      <c r="AC296" s="26"/>
      <c r="AD296" s="27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</row>
    <row r="297" spans="1:46" ht="15.75" customHeight="1">
      <c r="A297" s="13"/>
      <c r="B297" s="14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7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</row>
    <row r="298" spans="1:46" ht="15.75" customHeight="1">
      <c r="A298" s="13"/>
      <c r="B298" s="14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7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</row>
    <row r="299" spans="1:46" ht="15.75" customHeight="1">
      <c r="A299" s="13"/>
      <c r="B299" s="14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7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</row>
    <row r="300" spans="1:46" ht="15.75" customHeight="1">
      <c r="A300" s="13"/>
      <c r="B300" s="14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</row>
    <row r="301" spans="1:46" ht="15.75" customHeight="1">
      <c r="A301" s="13"/>
      <c r="B301" s="14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</row>
    <row r="302" spans="1:46" ht="15.75" customHeight="1">
      <c r="A302" s="13"/>
      <c r="B302" s="14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</row>
    <row r="303" spans="1:46" ht="15.75" customHeight="1">
      <c r="A303" s="13"/>
      <c r="B303" s="14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</row>
    <row r="304" spans="1:46" ht="15.75" customHeight="1">
      <c r="A304" s="13"/>
      <c r="B304" s="14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</row>
    <row r="305" spans="1:46" ht="15.75" customHeight="1">
      <c r="A305" s="13"/>
      <c r="B305" s="14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</row>
    <row r="306" spans="1:46" ht="15.75" customHeight="1">
      <c r="A306" s="13"/>
      <c r="B306" s="14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</row>
    <row r="307" spans="1:46" ht="15.75" customHeight="1">
      <c r="A307" s="13"/>
      <c r="B307" s="14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7"/>
      <c r="U307" s="27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</row>
    <row r="308" spans="1:46" ht="15.75" customHeight="1">
      <c r="A308" s="13"/>
      <c r="B308" s="14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7"/>
      <c r="U308" s="27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</row>
    <row r="309" spans="1:46" ht="15.75" customHeight="1">
      <c r="A309" s="13"/>
      <c r="B309" s="14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7"/>
      <c r="U309" s="27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</row>
    <row r="310" spans="1:46" ht="15.75" customHeight="1">
      <c r="A310" s="13"/>
      <c r="B310" s="14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</row>
    <row r="311" spans="1:46" ht="15.75" customHeight="1">
      <c r="A311" s="13"/>
      <c r="B311" s="14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</row>
    <row r="312" spans="1:46" ht="15.75" customHeight="1">
      <c r="A312" s="23"/>
      <c r="B312" s="15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</row>
    <row r="313" spans="1:46" ht="15.75" customHeight="1">
      <c r="A313" s="23"/>
      <c r="B313" s="15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</row>
    <row r="314" spans="1:46" ht="15.75" customHeight="1">
      <c r="A314" s="23"/>
      <c r="B314" s="1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</row>
    <row r="315" spans="1:46" ht="15.75" customHeight="1">
      <c r="A315" s="23"/>
      <c r="B315" s="1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</row>
    <row r="316" spans="1:46" ht="15.75" customHeight="1">
      <c r="A316" s="23"/>
      <c r="B316" s="1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</row>
    <row r="317" spans="1:46" ht="15.75" customHeight="1">
      <c r="A317" s="23"/>
      <c r="B317" s="1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</row>
    <row r="318" spans="1:46" ht="15.75" customHeight="1">
      <c r="A318" s="23"/>
      <c r="B318" s="1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</row>
    <row r="319" spans="1:46" ht="15.75" customHeight="1">
      <c r="A319" s="23"/>
      <c r="B319" s="1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</row>
    <row r="320" spans="1:46" ht="15.75" customHeight="1">
      <c r="A320" s="23"/>
      <c r="B320" s="1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</row>
    <row r="321" spans="1:46" ht="15.75" customHeight="1">
      <c r="A321" s="23"/>
      <c r="B321" s="1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</row>
    <row r="322" spans="1:46" ht="15.75" customHeight="1">
      <c r="A322" s="23"/>
      <c r="B322" s="1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</row>
    <row r="323" spans="1:46" ht="15.75" customHeight="1">
      <c r="A323" s="23"/>
      <c r="B323" s="15"/>
      <c r="C323" s="26"/>
      <c r="D323" s="26"/>
      <c r="E323" s="26"/>
      <c r="F323" s="26"/>
      <c r="G323" s="28"/>
      <c r="H323" s="2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</row>
    <row r="324" spans="1:46" ht="15.75" customHeight="1">
      <c r="A324" s="23"/>
      <c r="B324" s="15"/>
      <c r="C324" s="26"/>
      <c r="D324" s="26"/>
      <c r="E324" s="26"/>
      <c r="F324" s="26"/>
      <c r="G324" s="28"/>
      <c r="H324" s="28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</row>
    <row r="325" spans="1:46" ht="15.75" customHeight="1">
      <c r="A325" s="23"/>
      <c r="B325" s="15"/>
      <c r="C325" s="26"/>
      <c r="D325" s="26"/>
      <c r="E325" s="26"/>
      <c r="F325" s="26"/>
      <c r="G325" s="28"/>
      <c r="H325" s="28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</row>
    <row r="326" spans="1:46" ht="15.75" customHeight="1">
      <c r="A326" s="23"/>
      <c r="B326" s="15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</row>
    <row r="327" spans="1:46" ht="15.75" customHeight="1">
      <c r="A327" s="23"/>
      <c r="B327" s="15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</row>
    <row r="328" spans="1:46" ht="15.75" customHeight="1">
      <c r="A328" s="13"/>
      <c r="B328" s="15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</row>
    <row r="329" spans="1:46" ht="15.75" customHeight="1">
      <c r="A329" s="13"/>
      <c r="B329" s="15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</row>
    <row r="330" spans="1:46" ht="15.75" customHeight="1">
      <c r="A330" s="13"/>
      <c r="B330" s="15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</row>
    <row r="331" spans="1:46" ht="15.75" customHeight="1">
      <c r="A331" s="13"/>
      <c r="B331" s="15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</row>
    <row r="332" spans="1:46" ht="15.75" customHeight="1">
      <c r="A332" s="13"/>
      <c r="B332" s="15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</row>
    <row r="333" spans="1:46" ht="15.75" customHeight="1">
      <c r="A333" s="13"/>
      <c r="B333" s="15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</row>
    <row r="334" spans="1:46" ht="15.75" customHeight="1">
      <c r="A334" s="23"/>
      <c r="B334" s="15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</row>
    <row r="335" spans="1:46" ht="15.75" customHeight="1">
      <c r="A335" s="23"/>
      <c r="B335" s="1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</row>
    <row r="336" spans="1:46" ht="15.75" customHeight="1">
      <c r="A336" s="23"/>
      <c r="B336" s="1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</row>
    <row r="337" spans="1:46" ht="15.75" customHeight="1">
      <c r="A337" s="23"/>
      <c r="B337" s="1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</row>
    <row r="338" spans="1:46" ht="15.75" customHeight="1">
      <c r="A338" s="13"/>
      <c r="B338" s="14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</row>
    <row r="339" spans="1:46" ht="15.75" customHeight="1">
      <c r="A339" s="13"/>
      <c r="B339" s="14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</row>
    <row r="340" spans="1:46" ht="15.75" customHeight="1">
      <c r="A340" s="13"/>
      <c r="B340" s="1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</row>
    <row r="341" spans="1:46" ht="15.75" customHeight="1">
      <c r="A341" s="13"/>
      <c r="B341" s="1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</row>
    <row r="342" spans="1:46" ht="15.75" customHeight="1">
      <c r="A342" s="13"/>
      <c r="B342" s="1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</row>
    <row r="343" spans="1:46" ht="15.75" customHeight="1">
      <c r="A343" s="13"/>
      <c r="B343" s="1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</row>
    <row r="344" spans="1:46" ht="15.75" customHeight="1">
      <c r="A344" s="13"/>
      <c r="B344" s="1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</row>
    <row r="345" spans="1:46" ht="15.75" customHeight="1">
      <c r="A345" s="13"/>
      <c r="B345" s="1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</row>
    <row r="346" spans="1:46" ht="15.75" customHeight="1">
      <c r="A346" s="13"/>
      <c r="B346" s="14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</row>
    <row r="347" spans="1:46" ht="15.75" customHeight="1">
      <c r="A347" s="13"/>
      <c r="B347" s="14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</row>
    <row r="348" spans="1:46" ht="15.75" customHeight="1">
      <c r="A348" s="13"/>
      <c r="B348" s="14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</row>
    <row r="349" spans="1:46" ht="15.75" customHeight="1">
      <c r="A349" s="13"/>
      <c r="B349" s="14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</row>
    <row r="350" spans="1:46" ht="15.75" customHeight="1">
      <c r="A350" s="13"/>
      <c r="B350" s="14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</row>
    <row r="351" spans="1:46" ht="15.75" customHeight="1">
      <c r="A351" s="13"/>
      <c r="B351" s="14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</row>
    <row r="352" spans="1:46" ht="15.75" customHeight="1">
      <c r="A352" s="13"/>
      <c r="B352" s="14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</row>
    <row r="353" spans="1:46" ht="15.75" customHeight="1">
      <c r="A353" s="13"/>
      <c r="B353" s="14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</row>
    <row r="354" spans="1:46" ht="15.75" customHeight="1">
      <c r="A354" s="13"/>
      <c r="B354" s="1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</row>
    <row r="355" spans="1:46" ht="15.75" customHeight="1">
      <c r="A355" s="13"/>
      <c r="B355" s="14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</row>
    <row r="356" spans="1:46" ht="15.75" customHeight="1">
      <c r="A356" s="13"/>
      <c r="B356" s="14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</row>
    <row r="357" spans="1:46" ht="15.75" customHeight="1">
      <c r="A357" s="13"/>
      <c r="B357" s="14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</row>
    <row r="358" spans="1:46" ht="15.75" customHeight="1">
      <c r="A358" s="12"/>
      <c r="B358" s="18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</row>
    <row r="359" spans="1:46" ht="15.75" customHeight="1">
      <c r="A359" s="12"/>
      <c r="B359" s="18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</row>
    <row r="360" spans="1:46" ht="15.75" customHeight="1">
      <c r="A360" s="12"/>
      <c r="B360" s="18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</row>
    <row r="361" spans="1:46" ht="15.75" customHeight="1">
      <c r="A361" s="12"/>
      <c r="B361" s="18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</row>
    <row r="362" spans="1:46" ht="15.75" customHeight="1">
      <c r="A362" s="12"/>
      <c r="B362" s="18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</row>
    <row r="363" spans="1:46" ht="15.75" customHeight="1">
      <c r="A363" s="12"/>
      <c r="B363" s="18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</row>
    <row r="364" spans="1:46" ht="15.75" customHeight="1">
      <c r="A364" s="12"/>
      <c r="B364" s="18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</row>
    <row r="365" spans="1:46" ht="15.75" customHeight="1">
      <c r="A365" s="12"/>
      <c r="B365" s="18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</row>
    <row r="366" spans="1:46" ht="15.75" customHeight="1">
      <c r="A366" s="12"/>
      <c r="B366" s="18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</row>
    <row r="367" spans="1:46" ht="15.75" customHeight="1">
      <c r="A367" s="12"/>
      <c r="B367" s="18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</row>
    <row r="368" spans="1:46" ht="15.75" customHeight="1">
      <c r="A368" s="12"/>
      <c r="B368" s="18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</row>
    <row r="369" spans="1:46" ht="15.75" customHeight="1">
      <c r="A369" s="12"/>
      <c r="B369" s="18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</row>
    <row r="370" spans="1:46" ht="15.75" customHeight="1">
      <c r="A370" s="12"/>
      <c r="B370" s="18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</row>
    <row r="371" spans="1:46" ht="15.75" customHeight="1">
      <c r="A371" s="12"/>
      <c r="B371" s="18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</row>
    <row r="372" spans="1:46" ht="15.75" customHeight="1">
      <c r="A372" s="12"/>
      <c r="B372" s="18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</row>
    <row r="373" spans="1:46" ht="15.75" customHeight="1">
      <c r="A373" s="12"/>
      <c r="B373" s="18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</row>
    <row r="374" spans="1:46" ht="15.75" customHeight="1">
      <c r="A374" s="12"/>
      <c r="B374" s="18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</row>
    <row r="375" spans="1:46" ht="15.75" customHeight="1">
      <c r="A375" s="12"/>
      <c r="B375" s="18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</row>
    <row r="376" spans="1:46" ht="15.75" customHeight="1">
      <c r="A376" s="12"/>
      <c r="B376" s="18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</row>
    <row r="377" spans="1:46" ht="15.75" customHeight="1">
      <c r="A377" s="12"/>
      <c r="B377" s="18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</row>
    <row r="378" spans="1:46" ht="15.75" customHeight="1">
      <c r="A378" s="12"/>
      <c r="B378" s="18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7"/>
      <c r="U378" s="27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</row>
    <row r="379" spans="1:46" ht="15.75" customHeight="1">
      <c r="A379" s="12"/>
      <c r="B379" s="18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7"/>
      <c r="U379" s="27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</row>
    <row r="380" spans="1:46" ht="15.75" customHeight="1">
      <c r="A380" s="12"/>
      <c r="B380" s="18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</row>
    <row r="381" spans="1:46" ht="15.75" customHeight="1">
      <c r="A381" s="12"/>
      <c r="B381" s="18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</row>
    <row r="382" spans="1:46" ht="15.75" customHeight="1">
      <c r="A382" s="12"/>
      <c r="B382" s="18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</row>
    <row r="383" spans="1:46" ht="15.75" customHeight="1">
      <c r="A383" s="12"/>
      <c r="B383" s="18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</row>
    <row r="384" spans="1:46" ht="15.75" customHeight="1">
      <c r="A384" s="12"/>
      <c r="B384" s="18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</row>
    <row r="385" spans="1:46" ht="15.75" customHeight="1">
      <c r="A385" s="12"/>
      <c r="B385" s="18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</row>
    <row r="386" spans="1:46" ht="15.75" customHeight="1">
      <c r="A386" s="12"/>
      <c r="B386" s="18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</row>
    <row r="387" spans="1:46" ht="15.75" customHeight="1">
      <c r="A387" s="12"/>
      <c r="B387" s="18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</row>
    <row r="388" spans="1:46" ht="15.75" customHeight="1">
      <c r="A388" s="12"/>
      <c r="B388" s="18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</row>
    <row r="389" spans="1:46" ht="15.75" customHeight="1">
      <c r="A389" s="12"/>
      <c r="B389" s="18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</row>
    <row r="390" spans="1:46" ht="15.75" customHeight="1">
      <c r="A390" s="12"/>
      <c r="B390" s="18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</row>
    <row r="391" spans="1:46" ht="15.75" customHeight="1">
      <c r="A391" s="12"/>
      <c r="B391" s="18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</row>
    <row r="392" spans="1:46" ht="15.75" customHeight="1">
      <c r="A392" s="12"/>
      <c r="B392" s="18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</row>
    <row r="393" spans="1:46" ht="15.75" customHeight="1">
      <c r="A393" s="12"/>
      <c r="B393" s="18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</row>
    <row r="394" spans="1:46" ht="15.75" customHeight="1">
      <c r="A394" s="12"/>
      <c r="B394" s="18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</row>
    <row r="395" spans="1:46" ht="15.75" customHeight="1">
      <c r="A395" s="12"/>
      <c r="B395" s="18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</row>
    <row r="396" spans="1:46" ht="15.75" customHeight="1">
      <c r="A396" s="12"/>
      <c r="B396" s="18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</row>
    <row r="397" spans="1:46" ht="15.75" customHeight="1">
      <c r="A397" s="12"/>
      <c r="B397" s="18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</row>
    <row r="398" spans="1:46" ht="15.75" customHeight="1">
      <c r="A398" s="12"/>
      <c r="B398" s="18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</row>
    <row r="399" spans="1:46" ht="15.75" customHeight="1">
      <c r="A399" s="12"/>
      <c r="B399" s="18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</row>
    <row r="400" spans="1:46" ht="15.75" customHeight="1">
      <c r="A400" s="12"/>
      <c r="B400" s="18"/>
      <c r="C400" s="29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</row>
    <row r="401" spans="1:46" ht="15.75" customHeight="1">
      <c r="A401" s="12"/>
      <c r="B401" s="18"/>
      <c r="C401" s="29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</row>
    <row r="402" spans="1:46" ht="15.75" customHeight="1">
      <c r="A402" s="12"/>
      <c r="B402" s="18"/>
      <c r="C402" s="29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</row>
    <row r="403" spans="1:46" ht="15.75" customHeight="1">
      <c r="A403" s="12"/>
      <c r="B403" s="18"/>
      <c r="C403" s="29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</row>
    <row r="404" spans="1:46" ht="15.75" customHeight="1">
      <c r="A404" s="12"/>
      <c r="B404" s="18"/>
      <c r="C404" s="29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</row>
    <row r="405" spans="1:46" ht="15.75" customHeight="1">
      <c r="A405" s="12"/>
      <c r="B405" s="18"/>
      <c r="C405" s="29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</row>
    <row r="406" spans="1:46" ht="15.75" customHeight="1">
      <c r="A406" s="12"/>
      <c r="B406" s="18"/>
      <c r="C406" s="29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</row>
    <row r="407" spans="1:46" ht="15.75" customHeight="1">
      <c r="A407" s="12"/>
      <c r="B407" s="18"/>
      <c r="C407" s="29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</row>
    <row r="408" spans="1:46" ht="15.75" customHeight="1">
      <c r="A408" s="12"/>
      <c r="B408" s="18"/>
      <c r="C408" s="29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</row>
    <row r="409" spans="1:46" ht="15.75" customHeight="1">
      <c r="A409" s="12"/>
      <c r="B409" s="18"/>
      <c r="C409" s="29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</row>
    <row r="410" spans="1:46" ht="15.75" customHeight="1">
      <c r="A410" s="12"/>
      <c r="B410" s="18"/>
      <c r="C410" s="29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</row>
    <row r="411" spans="1:46" ht="15.75" customHeight="1">
      <c r="A411" s="12"/>
      <c r="B411" s="18"/>
      <c r="C411" s="29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</row>
    <row r="412" spans="1:46" ht="15.75" customHeight="1">
      <c r="A412" s="12"/>
      <c r="B412" s="18"/>
      <c r="C412" s="29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</row>
    <row r="413" spans="1:46" ht="15.75" customHeight="1">
      <c r="A413" s="12"/>
      <c r="B413" s="18"/>
      <c r="C413" s="29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</row>
    <row r="414" spans="1:46" ht="15.75" customHeight="1">
      <c r="A414" s="12"/>
      <c r="B414" s="18"/>
      <c r="C414" s="29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</row>
    <row r="415" spans="1:46" ht="15.75" customHeight="1">
      <c r="A415" s="12"/>
      <c r="B415" s="18"/>
      <c r="C415" s="29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</row>
    <row r="416" spans="1:46" ht="15.75" customHeight="1">
      <c r="A416" s="12"/>
      <c r="B416" s="18"/>
      <c r="C416" s="29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</row>
    <row r="417" spans="1:46" ht="15.75" customHeight="1">
      <c r="A417" s="12"/>
      <c r="B417" s="18"/>
      <c r="C417" s="29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</row>
    <row r="418" spans="1:46" ht="15.75" customHeight="1">
      <c r="A418" s="12"/>
      <c r="B418" s="18"/>
      <c r="C418" s="29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</row>
    <row r="419" spans="1:46" ht="15.75" customHeight="1">
      <c r="A419" s="12"/>
      <c r="B419" s="18"/>
      <c r="C419" s="29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</row>
    <row r="420" spans="1:46" ht="15.75" customHeight="1">
      <c r="A420" s="12"/>
      <c r="B420" s="18"/>
      <c r="C420" s="29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</row>
    <row r="421" spans="1:46" ht="15.75" customHeight="1">
      <c r="A421" s="12"/>
      <c r="B421" s="18"/>
      <c r="C421" s="29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</row>
    <row r="422" spans="1:46" ht="15.75" customHeight="1">
      <c r="A422" s="12"/>
      <c r="B422" s="18"/>
      <c r="C422" s="29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</row>
    <row r="423" spans="1:46" ht="15.75" customHeight="1">
      <c r="A423" s="12"/>
      <c r="B423" s="18"/>
      <c r="C423" s="29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</row>
    <row r="424" spans="1:46" ht="15.75" customHeight="1">
      <c r="A424" s="12"/>
      <c r="B424" s="18"/>
      <c r="C424" s="29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</row>
    <row r="425" spans="1:46" ht="15.75" customHeight="1">
      <c r="A425" s="12"/>
      <c r="B425" s="18"/>
      <c r="C425" s="29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</row>
    <row r="426" spans="1:46" ht="15.75" customHeight="1">
      <c r="A426" s="12"/>
      <c r="B426" s="18"/>
      <c r="C426" s="29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</row>
    <row r="427" spans="1:46" ht="15.75" customHeight="1">
      <c r="A427" s="12"/>
      <c r="B427" s="18"/>
      <c r="C427" s="29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</row>
    <row r="428" spans="1:46" ht="15.75" customHeight="1">
      <c r="A428" s="12"/>
      <c r="B428" s="18"/>
      <c r="C428" s="29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</row>
    <row r="429" spans="1:46" ht="15.75" customHeight="1">
      <c r="A429" s="12"/>
      <c r="B429" s="18"/>
      <c r="C429" s="29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</row>
    <row r="430" spans="1:46" ht="15.75" customHeight="1">
      <c r="A430" s="12"/>
      <c r="B430" s="18"/>
      <c r="C430" s="29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</row>
    <row r="431" spans="1:46" ht="15.75" customHeight="1">
      <c r="A431" s="12"/>
      <c r="B431" s="18"/>
      <c r="C431" s="29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</row>
    <row r="432" spans="1:46" ht="15.75" customHeight="1">
      <c r="A432" s="12"/>
      <c r="B432" s="18"/>
      <c r="C432" s="29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</row>
    <row r="433" spans="1:46" ht="15.75" customHeight="1">
      <c r="A433" s="12"/>
      <c r="B433" s="18"/>
      <c r="C433" s="29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</row>
    <row r="434" spans="1:46" ht="15.75" customHeight="1">
      <c r="A434" s="12"/>
      <c r="B434" s="18"/>
      <c r="C434" s="29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</row>
    <row r="435" spans="1:46" ht="15.75" customHeight="1">
      <c r="A435" s="12"/>
      <c r="B435" s="18"/>
      <c r="C435" s="29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</row>
    <row r="436" spans="1:46" ht="15.75" customHeight="1">
      <c r="A436" s="12"/>
      <c r="B436" s="18"/>
      <c r="C436" s="29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</row>
    <row r="437" spans="1:46" ht="15.75" customHeight="1">
      <c r="A437" s="12"/>
      <c r="B437" s="18"/>
      <c r="C437" s="29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</row>
    <row r="438" spans="1:46" ht="15.75" customHeight="1">
      <c r="A438" s="12"/>
      <c r="B438" s="18"/>
      <c r="C438" s="29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</row>
    <row r="439" spans="1:46" ht="15.75" customHeight="1">
      <c r="A439" s="12"/>
      <c r="B439" s="18"/>
      <c r="C439" s="29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</row>
    <row r="440" spans="1:46" ht="15.75" customHeight="1">
      <c r="A440" s="12"/>
      <c r="B440" s="18"/>
      <c r="C440" s="29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</row>
    <row r="441" spans="1:46" ht="15.75" customHeight="1">
      <c r="A441" s="12"/>
      <c r="B441" s="18"/>
      <c r="C441" s="29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</row>
    <row r="442" spans="1:46" ht="15.75" customHeight="1">
      <c r="A442" s="12"/>
      <c r="B442" s="18"/>
      <c r="C442" s="29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</row>
    <row r="443" spans="1:46" ht="15.75" customHeight="1">
      <c r="A443" s="12"/>
      <c r="B443" s="18"/>
      <c r="C443" s="29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</row>
    <row r="444" spans="1:46" ht="15.75" customHeight="1">
      <c r="A444" s="12"/>
      <c r="B444" s="18"/>
      <c r="C444" s="29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</row>
    <row r="445" spans="1:46" ht="15.75" customHeight="1">
      <c r="A445" s="12"/>
      <c r="B445" s="18"/>
      <c r="C445" s="29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</row>
    <row r="446" spans="1:46" ht="15.75" customHeight="1">
      <c r="A446" s="12"/>
      <c r="B446" s="18"/>
      <c r="C446" s="29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</row>
    <row r="447" spans="1:46" ht="15.75" customHeight="1">
      <c r="A447" s="12"/>
      <c r="B447" s="18"/>
      <c r="C447" s="29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</row>
    <row r="448" spans="1:46" ht="15.75" customHeight="1">
      <c r="A448" s="12"/>
      <c r="B448" s="18"/>
      <c r="C448" s="29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</row>
    <row r="449" spans="1:46" ht="15.75" customHeight="1">
      <c r="A449" s="12"/>
      <c r="B449" s="18"/>
      <c r="C449" s="29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</row>
    <row r="450" spans="1:46" ht="15.75" customHeight="1">
      <c r="A450" s="12"/>
      <c r="B450" s="18"/>
      <c r="C450" s="29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</row>
    <row r="451" spans="1:46" ht="15.75" customHeight="1">
      <c r="A451" s="12"/>
      <c r="B451" s="18"/>
      <c r="C451" s="29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</row>
    <row r="452" spans="1:46" ht="15.75" customHeight="1">
      <c r="A452" s="12"/>
      <c r="B452" s="18"/>
      <c r="C452" s="29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</row>
    <row r="453" spans="1:46" ht="15.75" customHeight="1">
      <c r="A453" s="12"/>
      <c r="B453" s="18"/>
      <c r="C453" s="29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</row>
    <row r="454" spans="1:46" ht="15.75" customHeight="1">
      <c r="A454" s="12"/>
      <c r="B454" s="18"/>
      <c r="C454" s="29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</row>
    <row r="455" spans="1:46" ht="15.75" customHeight="1">
      <c r="A455" s="12"/>
      <c r="B455" s="18"/>
      <c r="C455" s="29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</row>
    <row r="456" spans="1:46" ht="15.75" customHeight="1">
      <c r="A456" s="12"/>
      <c r="B456" s="18"/>
      <c r="C456" s="29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</row>
    <row r="457" spans="1:46" ht="15.75" customHeight="1">
      <c r="A457" s="12"/>
      <c r="B457" s="18"/>
      <c r="C457" s="29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</row>
    <row r="458" spans="1:46" ht="15.75" customHeight="1">
      <c r="A458" s="12"/>
      <c r="B458" s="18"/>
      <c r="C458" s="29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</row>
    <row r="459" spans="1:46" ht="15.75" customHeight="1">
      <c r="A459" s="12"/>
      <c r="B459" s="18"/>
      <c r="C459" s="29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</row>
    <row r="460" spans="1:46" ht="15.75" customHeight="1">
      <c r="A460" s="12"/>
      <c r="B460" s="18"/>
      <c r="C460" s="29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</row>
    <row r="461" spans="1:46" ht="15.75" customHeight="1">
      <c r="A461" s="12"/>
      <c r="B461" s="18"/>
      <c r="C461" s="29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</row>
    <row r="462" spans="1:46" ht="15.75" customHeight="1">
      <c r="A462" s="12"/>
      <c r="B462" s="18"/>
      <c r="C462" s="29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</row>
    <row r="463" spans="1:46" ht="15.75" customHeight="1">
      <c r="A463" s="12"/>
      <c r="B463" s="18"/>
      <c r="C463" s="29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</row>
    <row r="464" spans="1:46" ht="15.75" customHeight="1">
      <c r="A464" s="12"/>
      <c r="B464" s="18"/>
      <c r="C464" s="29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</row>
    <row r="465" spans="1:46" ht="15.75" customHeight="1">
      <c r="A465" s="12"/>
      <c r="B465" s="18"/>
      <c r="C465" s="29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</row>
    <row r="466" spans="1:46" ht="15.75" customHeight="1">
      <c r="A466" s="12"/>
      <c r="B466" s="18"/>
      <c r="C466" s="29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</row>
    <row r="467" spans="1:46" ht="15.75" customHeight="1">
      <c r="A467" s="12"/>
      <c r="B467" s="18"/>
      <c r="C467" s="29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</row>
    <row r="468" spans="1:46" ht="15.75" customHeight="1">
      <c r="A468" s="12"/>
      <c r="B468" s="18"/>
      <c r="C468" s="29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</row>
    <row r="469" spans="1:46" ht="15.75" customHeight="1">
      <c r="A469" s="12"/>
      <c r="B469" s="18"/>
      <c r="C469" s="29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</row>
    <row r="470" spans="1:46" ht="15.75" customHeight="1">
      <c r="A470" s="12"/>
      <c r="B470" s="18"/>
      <c r="C470" s="29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</row>
    <row r="471" spans="1:46" ht="15.75" customHeight="1">
      <c r="A471" s="12"/>
      <c r="B471" s="18"/>
      <c r="C471" s="29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</row>
    <row r="472" spans="1:46" ht="15.75" customHeight="1">
      <c r="A472" s="12"/>
      <c r="B472" s="18"/>
      <c r="C472" s="29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</row>
    <row r="473" spans="1:46" ht="15.75" customHeight="1">
      <c r="A473" s="12"/>
      <c r="B473" s="18"/>
      <c r="C473" s="29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</row>
    <row r="474" spans="1:46" ht="15.75" customHeight="1">
      <c r="A474" s="12"/>
      <c r="B474" s="18"/>
      <c r="C474" s="29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</row>
    <row r="475" spans="1:46" ht="15.75" customHeight="1">
      <c r="A475" s="12"/>
      <c r="B475" s="18"/>
      <c r="C475" s="29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</row>
    <row r="476" spans="1:46" ht="15.75" customHeight="1">
      <c r="A476" s="12"/>
      <c r="B476" s="18"/>
      <c r="C476" s="29"/>
      <c r="D476" s="26"/>
      <c r="E476" s="26"/>
      <c r="F476" s="26"/>
      <c r="G476" s="26"/>
      <c r="H476" s="26"/>
      <c r="I476" s="26"/>
      <c r="J476" s="26"/>
      <c r="K476" s="26"/>
      <c r="L476" s="27"/>
      <c r="M476" s="26"/>
      <c r="N476" s="27"/>
      <c r="O476" s="26"/>
      <c r="P476" s="26"/>
      <c r="Q476" s="26"/>
      <c r="R476" s="26"/>
      <c r="S476" s="26"/>
      <c r="T476" s="27"/>
      <c r="U476" s="27"/>
      <c r="V476" s="26"/>
      <c r="W476" s="26"/>
      <c r="X476" s="26"/>
      <c r="Y476" s="27"/>
      <c r="Z476" s="27"/>
      <c r="AA476" s="27"/>
      <c r="AB476" s="27"/>
      <c r="AC476" s="26"/>
      <c r="AD476" s="27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</row>
    <row r="477" spans="1:46" ht="15.75" customHeight="1">
      <c r="A477" s="12"/>
      <c r="B477" s="18"/>
      <c r="C477" s="29"/>
      <c r="D477" s="26"/>
      <c r="E477" s="26"/>
      <c r="F477" s="26"/>
      <c r="G477" s="26"/>
      <c r="H477" s="26"/>
      <c r="I477" s="26"/>
      <c r="J477" s="26"/>
      <c r="K477" s="26"/>
      <c r="L477" s="27"/>
      <c r="M477" s="26"/>
      <c r="N477" s="27"/>
      <c r="O477" s="26"/>
      <c r="P477" s="26"/>
      <c r="Q477" s="26"/>
      <c r="R477" s="26"/>
      <c r="S477" s="26"/>
      <c r="T477" s="27"/>
      <c r="U477" s="27"/>
      <c r="V477" s="26"/>
      <c r="W477" s="26"/>
      <c r="X477" s="26"/>
      <c r="Y477" s="26"/>
      <c r="Z477" s="26"/>
      <c r="AA477" s="26"/>
      <c r="AB477" s="26"/>
      <c r="AC477" s="26"/>
      <c r="AD477" s="27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</row>
    <row r="478" spans="1:46" ht="15.75" customHeight="1">
      <c r="A478" s="12"/>
      <c r="B478" s="18"/>
      <c r="C478" s="29"/>
      <c r="D478" s="26"/>
      <c r="E478" s="26"/>
      <c r="F478" s="26"/>
      <c r="G478" s="26"/>
      <c r="H478" s="26"/>
      <c r="I478" s="26"/>
      <c r="J478" s="26"/>
      <c r="K478" s="26"/>
      <c r="L478" s="27"/>
      <c r="M478" s="26"/>
      <c r="N478" s="27"/>
      <c r="O478" s="26"/>
      <c r="P478" s="26"/>
      <c r="Q478" s="26"/>
      <c r="R478" s="26"/>
      <c r="S478" s="26"/>
      <c r="T478" s="27"/>
      <c r="U478" s="27"/>
      <c r="V478" s="26"/>
      <c r="W478" s="26"/>
      <c r="X478" s="26"/>
      <c r="Y478" s="26"/>
      <c r="Z478" s="26"/>
      <c r="AA478" s="26"/>
      <c r="AB478" s="26"/>
      <c r="AC478" s="26"/>
      <c r="AD478" s="27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</row>
    <row r="479" spans="1:46" ht="15.75" customHeight="1">
      <c r="A479" s="12"/>
      <c r="B479" s="18"/>
      <c r="C479" s="29"/>
      <c r="D479" s="26"/>
      <c r="E479" s="26"/>
      <c r="F479" s="26"/>
      <c r="G479" s="26"/>
      <c r="H479" s="26"/>
      <c r="I479" s="26"/>
      <c r="J479" s="26"/>
      <c r="K479" s="26"/>
      <c r="L479" s="27"/>
      <c r="M479" s="26"/>
      <c r="N479" s="27"/>
      <c r="O479" s="26"/>
      <c r="P479" s="26"/>
      <c r="Q479" s="26"/>
      <c r="R479" s="26"/>
      <c r="S479" s="26"/>
      <c r="T479" s="27"/>
      <c r="U479" s="27"/>
      <c r="V479" s="26"/>
      <c r="W479" s="26"/>
      <c r="X479" s="26"/>
      <c r="Y479" s="26"/>
      <c r="Z479" s="26"/>
      <c r="AA479" s="26"/>
      <c r="AB479" s="26"/>
      <c r="AC479" s="26"/>
      <c r="AD479" s="27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</row>
    <row r="480" spans="1:46" ht="15.75" customHeight="1">
      <c r="A480" s="12"/>
      <c r="B480" s="18"/>
      <c r="C480" s="26"/>
      <c r="D480" s="26"/>
      <c r="E480" s="26"/>
      <c r="F480" s="26"/>
      <c r="G480" s="26"/>
      <c r="H480" s="26"/>
      <c r="I480" s="26"/>
      <c r="J480" s="26"/>
      <c r="K480" s="26"/>
      <c r="L480" s="27"/>
      <c r="M480" s="26"/>
      <c r="N480" s="27"/>
      <c r="O480" s="26"/>
      <c r="P480" s="26"/>
      <c r="Q480" s="26"/>
      <c r="R480" s="26"/>
      <c r="S480" s="26"/>
      <c r="T480" s="27"/>
      <c r="U480" s="27"/>
      <c r="V480" s="26"/>
      <c r="W480" s="26"/>
      <c r="X480" s="26"/>
      <c r="Y480" s="27"/>
      <c r="Z480" s="27"/>
      <c r="AA480" s="27"/>
      <c r="AB480" s="27"/>
      <c r="AC480" s="26"/>
      <c r="AD480" s="27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</row>
    <row r="481" spans="1:46" ht="15.75" customHeight="1">
      <c r="A481" s="12"/>
      <c r="B481" s="18"/>
      <c r="C481" s="26"/>
      <c r="D481" s="26"/>
      <c r="E481" s="26"/>
      <c r="F481" s="26"/>
      <c r="G481" s="26"/>
      <c r="H481" s="26"/>
      <c r="I481" s="26"/>
      <c r="J481" s="26"/>
      <c r="K481" s="26"/>
      <c r="L481" s="27"/>
      <c r="M481" s="26"/>
      <c r="N481" s="27"/>
      <c r="O481" s="26"/>
      <c r="P481" s="26"/>
      <c r="Q481" s="26"/>
      <c r="R481" s="26"/>
      <c r="S481" s="26"/>
      <c r="T481" s="27"/>
      <c r="U481" s="27"/>
      <c r="V481" s="26"/>
      <c r="W481" s="26"/>
      <c r="X481" s="26"/>
      <c r="Y481" s="27"/>
      <c r="Z481" s="27"/>
      <c r="AA481" s="27"/>
      <c r="AB481" s="27"/>
      <c r="AC481" s="26"/>
      <c r="AD481" s="27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</row>
    <row r="482" spans="1:46" ht="15.75" customHeight="1">
      <c r="A482" s="12"/>
      <c r="B482" s="18"/>
      <c r="C482" s="26"/>
      <c r="D482" s="26"/>
      <c r="E482" s="26"/>
      <c r="F482" s="26"/>
      <c r="G482" s="26"/>
      <c r="H482" s="26"/>
      <c r="I482" s="26"/>
      <c r="J482" s="26"/>
      <c r="K482" s="26"/>
      <c r="L482" s="27"/>
      <c r="M482" s="26"/>
      <c r="N482" s="27"/>
      <c r="O482" s="26"/>
      <c r="P482" s="26"/>
      <c r="Q482" s="26"/>
      <c r="R482" s="26"/>
      <c r="S482" s="26"/>
      <c r="T482" s="27"/>
      <c r="U482" s="27"/>
      <c r="V482" s="26"/>
      <c r="W482" s="26"/>
      <c r="X482" s="26"/>
      <c r="Y482" s="27"/>
      <c r="Z482" s="27"/>
      <c r="AA482" s="27"/>
      <c r="AB482" s="27"/>
      <c r="AC482" s="26"/>
      <c r="AD482" s="27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</row>
    <row r="483" spans="1:46" ht="15.75" customHeight="1">
      <c r="A483" s="12"/>
      <c r="B483" s="18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</row>
    <row r="484" spans="1:46" ht="15.75" customHeight="1">
      <c r="A484" s="12"/>
      <c r="B484" s="18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</row>
    <row r="485" spans="1:46" ht="15.75" customHeight="1">
      <c r="A485" s="12"/>
      <c r="B485" s="18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</row>
    <row r="486" spans="1:46" ht="15.75" customHeight="1">
      <c r="A486" s="12"/>
      <c r="B486" s="18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</row>
    <row r="487" spans="1:46" ht="15.75" customHeight="1">
      <c r="A487" s="12"/>
      <c r="B487" s="18"/>
      <c r="C487" s="26"/>
      <c r="D487" s="27"/>
      <c r="E487" s="27"/>
      <c r="F487" s="27"/>
      <c r="G487" s="27"/>
      <c r="H487" s="27"/>
      <c r="I487" s="27"/>
      <c r="J487" s="27"/>
      <c r="K487" s="27"/>
      <c r="L487" s="27"/>
      <c r="M487" s="26"/>
      <c r="N487" s="27"/>
      <c r="O487" s="26"/>
      <c r="P487" s="26"/>
      <c r="Q487" s="26"/>
      <c r="R487" s="26"/>
      <c r="S487" s="26"/>
      <c r="T487" s="27"/>
      <c r="U487" s="27"/>
      <c r="V487" s="26"/>
      <c r="W487" s="26"/>
      <c r="X487" s="26"/>
      <c r="Y487" s="27"/>
      <c r="Z487" s="27"/>
      <c r="AA487" s="27"/>
      <c r="AB487" s="27"/>
      <c r="AC487" s="26"/>
      <c r="AD487" s="27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</row>
    <row r="488" spans="1:46" ht="15.75" customHeight="1">
      <c r="A488" s="12"/>
      <c r="B488" s="18"/>
      <c r="C488" s="26"/>
      <c r="D488" s="27"/>
      <c r="E488" s="27"/>
      <c r="F488" s="27"/>
      <c r="G488" s="27"/>
      <c r="H488" s="27"/>
      <c r="I488" s="27"/>
      <c r="J488" s="27"/>
      <c r="K488" s="27"/>
      <c r="L488" s="27"/>
      <c r="M488" s="26"/>
      <c r="N488" s="27"/>
      <c r="O488" s="26"/>
      <c r="P488" s="26"/>
      <c r="Q488" s="26"/>
      <c r="R488" s="26"/>
      <c r="S488" s="26"/>
      <c r="T488" s="27"/>
      <c r="U488" s="27"/>
      <c r="V488" s="26"/>
      <c r="W488" s="26"/>
      <c r="X488" s="26"/>
      <c r="Y488" s="27"/>
      <c r="Z488" s="27"/>
      <c r="AA488" s="27"/>
      <c r="AB488" s="27"/>
      <c r="AC488" s="26"/>
      <c r="AD488" s="27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</row>
    <row r="489" spans="1:46" ht="15.75" customHeight="1">
      <c r="A489" s="12"/>
      <c r="B489" s="18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6"/>
      <c r="N489" s="27"/>
      <c r="O489" s="26"/>
      <c r="P489" s="26"/>
      <c r="Q489" s="26"/>
      <c r="R489" s="26"/>
      <c r="S489" s="26"/>
      <c r="T489" s="27"/>
      <c r="U489" s="27"/>
      <c r="V489" s="26"/>
      <c r="W489" s="26"/>
      <c r="X489" s="26"/>
      <c r="Y489" s="27"/>
      <c r="Z489" s="27"/>
      <c r="AA489" s="27"/>
      <c r="AB489" s="27"/>
      <c r="AC489" s="26"/>
      <c r="AD489" s="27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</row>
    <row r="490" spans="1:46" ht="15.75" customHeight="1">
      <c r="A490" s="12"/>
      <c r="B490" s="18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6"/>
      <c r="N490" s="27"/>
      <c r="O490" s="26"/>
      <c r="P490" s="26"/>
      <c r="Q490" s="26"/>
      <c r="R490" s="26"/>
      <c r="S490" s="26"/>
      <c r="T490" s="27"/>
      <c r="U490" s="27"/>
      <c r="V490" s="26"/>
      <c r="W490" s="26"/>
      <c r="X490" s="26"/>
      <c r="Y490" s="27"/>
      <c r="Z490" s="27"/>
      <c r="AA490" s="27"/>
      <c r="AB490" s="27"/>
      <c r="AC490" s="26"/>
      <c r="AD490" s="27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</row>
    <row r="491" spans="1:46" ht="15.75" customHeight="1">
      <c r="A491" s="12"/>
      <c r="B491" s="18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6"/>
      <c r="N491" s="27"/>
      <c r="O491" s="26"/>
      <c r="P491" s="26"/>
      <c r="Q491" s="26"/>
      <c r="R491" s="26"/>
      <c r="S491" s="26"/>
      <c r="T491" s="27"/>
      <c r="U491" s="27"/>
      <c r="V491" s="26"/>
      <c r="W491" s="26"/>
      <c r="X491" s="26"/>
      <c r="Y491" s="27"/>
      <c r="Z491" s="27"/>
      <c r="AA491" s="27"/>
      <c r="AB491" s="27"/>
      <c r="AC491" s="26"/>
      <c r="AD491" s="27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</row>
    <row r="492" spans="1:46" ht="15.75" customHeight="1">
      <c r="A492" s="12"/>
      <c r="B492" s="18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6"/>
      <c r="N492" s="27"/>
      <c r="O492" s="26"/>
      <c r="P492" s="26"/>
      <c r="Q492" s="26"/>
      <c r="R492" s="26"/>
      <c r="S492" s="26"/>
      <c r="T492" s="27"/>
      <c r="U492" s="27"/>
      <c r="V492" s="26"/>
      <c r="W492" s="26"/>
      <c r="X492" s="26"/>
      <c r="Y492" s="27"/>
      <c r="Z492" s="27"/>
      <c r="AA492" s="27"/>
      <c r="AB492" s="27"/>
      <c r="AC492" s="26"/>
      <c r="AD492" s="27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</row>
    <row r="493" spans="1:46" ht="15.75" customHeight="1">
      <c r="A493" s="12"/>
      <c r="B493" s="18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6"/>
      <c r="N493" s="27"/>
      <c r="O493" s="26"/>
      <c r="P493" s="26"/>
      <c r="Q493" s="26"/>
      <c r="R493" s="26"/>
      <c r="S493" s="26"/>
      <c r="T493" s="27"/>
      <c r="U493" s="27"/>
      <c r="V493" s="26"/>
      <c r="W493" s="26"/>
      <c r="X493" s="26"/>
      <c r="Y493" s="27"/>
      <c r="Z493" s="27"/>
      <c r="AA493" s="27"/>
      <c r="AB493" s="27"/>
      <c r="AC493" s="26"/>
      <c r="AD493" s="27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</row>
    <row r="494" spans="1:46" ht="15.75" customHeight="1">
      <c r="A494" s="12"/>
      <c r="B494" s="18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6"/>
      <c r="N494" s="27"/>
      <c r="O494" s="26"/>
      <c r="P494" s="26"/>
      <c r="Q494" s="26"/>
      <c r="R494" s="26"/>
      <c r="S494" s="26"/>
      <c r="T494" s="27"/>
      <c r="U494" s="27"/>
      <c r="V494" s="26"/>
      <c r="W494" s="26"/>
      <c r="X494" s="26"/>
      <c r="Y494" s="27"/>
      <c r="Z494" s="27"/>
      <c r="AA494" s="27"/>
      <c r="AB494" s="27"/>
      <c r="AC494" s="26"/>
      <c r="AD494" s="27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</row>
    <row r="495" spans="1:46" ht="15.75" customHeight="1">
      <c r="A495" s="12"/>
      <c r="B495" s="18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6"/>
      <c r="N495" s="27"/>
      <c r="O495" s="26"/>
      <c r="P495" s="26"/>
      <c r="Q495" s="26"/>
      <c r="R495" s="26"/>
      <c r="S495" s="26"/>
      <c r="T495" s="27"/>
      <c r="U495" s="27"/>
      <c r="V495" s="26"/>
      <c r="W495" s="26"/>
      <c r="X495" s="26"/>
      <c r="Y495" s="27"/>
      <c r="Z495" s="27"/>
      <c r="AA495" s="27"/>
      <c r="AB495" s="27"/>
      <c r="AC495" s="26"/>
      <c r="AD495" s="27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</row>
    <row r="496" spans="1:46" ht="15.75" customHeight="1">
      <c r="A496" s="12"/>
      <c r="B496" s="18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6"/>
      <c r="N496" s="27"/>
      <c r="O496" s="26"/>
      <c r="P496" s="26"/>
      <c r="Q496" s="26"/>
      <c r="R496" s="26"/>
      <c r="S496" s="26"/>
      <c r="T496" s="27"/>
      <c r="U496" s="27"/>
      <c r="V496" s="26"/>
      <c r="W496" s="26"/>
      <c r="X496" s="26"/>
      <c r="Y496" s="27"/>
      <c r="Z496" s="27"/>
      <c r="AA496" s="27"/>
      <c r="AB496" s="27"/>
      <c r="AC496" s="26"/>
      <c r="AD496" s="27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</row>
    <row r="497" spans="1:46" ht="15.75" customHeight="1">
      <c r="A497" s="12"/>
      <c r="B497" s="18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6"/>
      <c r="N497" s="27"/>
      <c r="O497" s="26"/>
      <c r="P497" s="26"/>
      <c r="Q497" s="26"/>
      <c r="R497" s="26"/>
      <c r="S497" s="26"/>
      <c r="T497" s="27"/>
      <c r="U497" s="27"/>
      <c r="V497" s="26"/>
      <c r="W497" s="26"/>
      <c r="X497" s="26"/>
      <c r="Y497" s="27"/>
      <c r="Z497" s="27"/>
      <c r="AA497" s="27"/>
      <c r="AB497" s="27"/>
      <c r="AC497" s="26"/>
      <c r="AD497" s="27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</row>
    <row r="498" spans="1:46" ht="15.75" customHeight="1">
      <c r="A498" s="12"/>
      <c r="B498" s="18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6"/>
      <c r="N498" s="27"/>
      <c r="O498" s="26"/>
      <c r="P498" s="26"/>
      <c r="Q498" s="26"/>
      <c r="R498" s="26"/>
      <c r="S498" s="26"/>
      <c r="T498" s="27"/>
      <c r="U498" s="27"/>
      <c r="V498" s="26"/>
      <c r="W498" s="26"/>
      <c r="X498" s="26"/>
      <c r="Y498" s="27"/>
      <c r="Z498" s="27"/>
      <c r="AA498" s="27"/>
      <c r="AB498" s="27"/>
      <c r="AC498" s="26"/>
      <c r="AD498" s="27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</row>
    <row r="499" spans="1:46" ht="15.75" customHeight="1">
      <c r="A499" s="12"/>
      <c r="B499" s="18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6"/>
      <c r="N499" s="27"/>
      <c r="O499" s="26"/>
      <c r="P499" s="26"/>
      <c r="Q499" s="26"/>
      <c r="R499" s="26"/>
      <c r="S499" s="26"/>
      <c r="T499" s="27"/>
      <c r="U499" s="27"/>
      <c r="V499" s="26"/>
      <c r="W499" s="26"/>
      <c r="X499" s="26"/>
      <c r="Y499" s="27"/>
      <c r="Z499" s="27"/>
      <c r="AA499" s="27"/>
      <c r="AB499" s="27"/>
      <c r="AC499" s="26"/>
      <c r="AD499" s="27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</row>
    <row r="500" spans="1:46" ht="15.75" customHeight="1">
      <c r="A500" s="12"/>
      <c r="B500" s="18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6"/>
      <c r="N500" s="27"/>
      <c r="O500" s="26"/>
      <c r="P500" s="26"/>
      <c r="Q500" s="26"/>
      <c r="R500" s="26"/>
      <c r="S500" s="26"/>
      <c r="T500" s="27"/>
      <c r="U500" s="27"/>
      <c r="V500" s="26"/>
      <c r="W500" s="26"/>
      <c r="X500" s="26"/>
      <c r="Y500" s="27"/>
      <c r="Z500" s="27"/>
      <c r="AA500" s="27"/>
      <c r="AB500" s="27"/>
      <c r="AC500" s="26"/>
      <c r="AD500" s="27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</row>
    <row r="501" spans="1:46" ht="15.75" customHeight="1">
      <c r="A501" s="12"/>
      <c r="B501" s="18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6"/>
      <c r="N501" s="27"/>
      <c r="O501" s="26"/>
      <c r="P501" s="26"/>
      <c r="Q501" s="26"/>
      <c r="R501" s="26"/>
      <c r="S501" s="26"/>
      <c r="T501" s="27"/>
      <c r="U501" s="27"/>
      <c r="V501" s="26"/>
      <c r="W501" s="26"/>
      <c r="X501" s="26"/>
      <c r="Y501" s="27"/>
      <c r="Z501" s="27"/>
      <c r="AA501" s="27"/>
      <c r="AB501" s="27"/>
      <c r="AC501" s="26"/>
      <c r="AD501" s="27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</row>
    <row r="502" spans="1:46" ht="15.75" customHeight="1">
      <c r="A502" s="12"/>
      <c r="B502" s="18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6"/>
      <c r="N502" s="27"/>
      <c r="O502" s="26"/>
      <c r="P502" s="26"/>
      <c r="Q502" s="26"/>
      <c r="R502" s="26"/>
      <c r="S502" s="26"/>
      <c r="T502" s="27"/>
      <c r="U502" s="27"/>
      <c r="V502" s="26"/>
      <c r="W502" s="26"/>
      <c r="X502" s="26"/>
      <c r="Y502" s="27"/>
      <c r="Z502" s="27"/>
      <c r="AA502" s="27"/>
      <c r="AB502" s="27"/>
      <c r="AC502" s="26"/>
      <c r="AD502" s="27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</row>
    <row r="503" spans="1:46" ht="15.75" customHeight="1">
      <c r="A503" s="12"/>
      <c r="B503" s="18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6"/>
      <c r="N503" s="27"/>
      <c r="O503" s="26"/>
      <c r="P503" s="26"/>
      <c r="Q503" s="26"/>
      <c r="R503" s="26"/>
      <c r="S503" s="26"/>
      <c r="T503" s="27"/>
      <c r="U503" s="27"/>
      <c r="V503" s="26"/>
      <c r="W503" s="26"/>
      <c r="X503" s="26"/>
      <c r="Y503" s="27"/>
      <c r="Z503" s="27"/>
      <c r="AA503" s="27"/>
      <c r="AB503" s="27"/>
      <c r="AC503" s="26"/>
      <c r="AD503" s="27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</row>
    <row r="504" spans="1:46" ht="15.75" customHeight="1">
      <c r="A504" s="12"/>
      <c r="B504" s="18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6"/>
      <c r="N504" s="27"/>
      <c r="O504" s="26"/>
      <c r="P504" s="26"/>
      <c r="Q504" s="26"/>
      <c r="R504" s="26"/>
      <c r="S504" s="26"/>
      <c r="T504" s="27"/>
      <c r="U504" s="27"/>
      <c r="V504" s="26"/>
      <c r="W504" s="26"/>
      <c r="X504" s="26"/>
      <c r="Y504" s="27"/>
      <c r="Z504" s="27"/>
      <c r="AA504" s="27"/>
      <c r="AB504" s="27"/>
      <c r="AC504" s="26"/>
      <c r="AD504" s="27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</row>
    <row r="505" spans="1:46" ht="15.75" customHeight="1"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6"/>
      <c r="N505" s="27"/>
      <c r="O505" s="26"/>
      <c r="P505" s="26"/>
      <c r="Q505" s="26"/>
      <c r="R505" s="26"/>
      <c r="S505" s="26"/>
      <c r="T505" s="27"/>
      <c r="U505" s="27"/>
      <c r="V505" s="26"/>
      <c r="W505" s="26"/>
      <c r="X505" s="26"/>
      <c r="Y505" s="27"/>
      <c r="Z505" s="27"/>
      <c r="AA505" s="27"/>
      <c r="AB505" s="27"/>
      <c r="AC505" s="26"/>
      <c r="AD505" s="27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</row>
    <row r="506" spans="1:46" ht="15.75" customHeight="1"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6"/>
      <c r="N506" s="27"/>
      <c r="O506" s="26"/>
      <c r="P506" s="26"/>
      <c r="Q506" s="26"/>
      <c r="R506" s="26"/>
      <c r="S506" s="26"/>
      <c r="T506" s="27"/>
      <c r="U506" s="27"/>
      <c r="V506" s="26"/>
      <c r="W506" s="26"/>
      <c r="X506" s="26"/>
      <c r="Y506" s="27"/>
      <c r="Z506" s="27"/>
      <c r="AA506" s="27"/>
      <c r="AB506" s="27"/>
      <c r="AC506" s="26"/>
      <c r="AD506" s="27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</row>
    <row r="507" spans="1:46" ht="15.75" customHeight="1"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6"/>
      <c r="N507" s="27"/>
      <c r="O507" s="26"/>
      <c r="P507" s="26"/>
      <c r="Q507" s="26"/>
      <c r="R507" s="26"/>
      <c r="S507" s="26"/>
      <c r="T507" s="27"/>
      <c r="U507" s="27"/>
      <c r="V507" s="26"/>
      <c r="W507" s="26"/>
      <c r="X507" s="26"/>
      <c r="Y507" s="27"/>
      <c r="Z507" s="27"/>
      <c r="AA507" s="27"/>
      <c r="AB507" s="27"/>
      <c r="AC507" s="26"/>
      <c r="AD507" s="27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</row>
    <row r="508" spans="1:46" ht="15.75" customHeight="1"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6"/>
      <c r="N508" s="27"/>
      <c r="O508" s="26"/>
      <c r="P508" s="26"/>
      <c r="Q508" s="26"/>
      <c r="R508" s="26"/>
      <c r="S508" s="26"/>
      <c r="T508" s="27"/>
      <c r="U508" s="27"/>
      <c r="V508" s="26"/>
      <c r="W508" s="26"/>
      <c r="X508" s="26"/>
      <c r="Y508" s="27"/>
      <c r="Z508" s="27"/>
      <c r="AA508" s="27"/>
      <c r="AB508" s="27"/>
      <c r="AC508" s="26"/>
      <c r="AD508" s="27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</row>
    <row r="509" spans="1:46" ht="15.75" customHeight="1"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6"/>
      <c r="N509" s="27"/>
      <c r="O509" s="26"/>
      <c r="P509" s="26"/>
      <c r="Q509" s="26"/>
      <c r="R509" s="26"/>
      <c r="S509" s="26"/>
      <c r="T509" s="27"/>
      <c r="U509" s="27"/>
      <c r="V509" s="26"/>
      <c r="W509" s="26"/>
      <c r="X509" s="26"/>
      <c r="Y509" s="27"/>
      <c r="Z509" s="27"/>
      <c r="AA509" s="27"/>
      <c r="AB509" s="27"/>
      <c r="AC509" s="26"/>
      <c r="AD509" s="27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</row>
    <row r="510" spans="1:46" ht="15.75" customHeight="1"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6"/>
      <c r="N510" s="27"/>
      <c r="O510" s="26"/>
      <c r="P510" s="26"/>
      <c r="Q510" s="26"/>
      <c r="R510" s="26"/>
      <c r="S510" s="26"/>
      <c r="T510" s="27"/>
      <c r="U510" s="27"/>
      <c r="V510" s="26"/>
      <c r="W510" s="26"/>
      <c r="X510" s="26"/>
      <c r="Y510" s="27"/>
      <c r="Z510" s="27"/>
      <c r="AA510" s="27"/>
      <c r="AB510" s="27"/>
      <c r="AC510" s="26"/>
      <c r="AD510" s="27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</row>
    <row r="511" spans="1:46" ht="15.75" customHeight="1"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6"/>
      <c r="N511" s="27"/>
      <c r="O511" s="26"/>
      <c r="P511" s="26"/>
      <c r="Q511" s="26"/>
      <c r="R511" s="26"/>
      <c r="S511" s="26"/>
      <c r="T511" s="27"/>
      <c r="U511" s="27"/>
      <c r="V511" s="26"/>
      <c r="W511" s="26"/>
      <c r="X511" s="26"/>
      <c r="Y511" s="27"/>
      <c r="Z511" s="27"/>
      <c r="AA511" s="27"/>
      <c r="AB511" s="27"/>
      <c r="AC511" s="26"/>
      <c r="AD511" s="27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</row>
    <row r="512" spans="1:46" ht="15.75" customHeight="1"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6"/>
      <c r="N512" s="27"/>
      <c r="O512" s="26"/>
      <c r="P512" s="26"/>
      <c r="Q512" s="26"/>
      <c r="R512" s="26"/>
      <c r="S512" s="26"/>
      <c r="T512" s="27"/>
      <c r="U512" s="27"/>
      <c r="V512" s="26"/>
      <c r="W512" s="26"/>
      <c r="X512" s="26"/>
      <c r="Y512" s="27"/>
      <c r="Z512" s="27"/>
      <c r="AA512" s="27"/>
      <c r="AB512" s="27"/>
      <c r="AC512" s="26"/>
      <c r="AD512" s="27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</row>
    <row r="513" spans="3:46" ht="15.75" customHeight="1"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6"/>
      <c r="N513" s="27"/>
      <c r="O513" s="26"/>
      <c r="P513" s="26"/>
      <c r="Q513" s="26"/>
      <c r="R513" s="26"/>
      <c r="S513" s="26"/>
      <c r="T513" s="27"/>
      <c r="U513" s="27"/>
      <c r="V513" s="26"/>
      <c r="W513" s="26"/>
      <c r="X513" s="26"/>
      <c r="Y513" s="27"/>
      <c r="Z513" s="27"/>
      <c r="AA513" s="27"/>
      <c r="AB513" s="27"/>
      <c r="AC513" s="26"/>
      <c r="AD513" s="27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</row>
    <row r="514" spans="3:46" ht="15.75" customHeight="1"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6"/>
      <c r="N514" s="27"/>
      <c r="O514" s="26"/>
      <c r="P514" s="26"/>
      <c r="Q514" s="26"/>
      <c r="R514" s="26"/>
      <c r="S514" s="26"/>
      <c r="T514" s="27"/>
      <c r="U514" s="27"/>
      <c r="V514" s="26"/>
      <c r="W514" s="26"/>
      <c r="X514" s="26"/>
      <c r="Y514" s="27"/>
      <c r="Z514" s="27"/>
      <c r="AA514" s="27"/>
      <c r="AB514" s="27"/>
      <c r="AC514" s="26"/>
      <c r="AD514" s="27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</row>
    <row r="515" spans="3:46" ht="15.75" customHeight="1"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6"/>
      <c r="N515" s="27"/>
      <c r="O515" s="26"/>
      <c r="P515" s="26"/>
      <c r="Q515" s="26"/>
      <c r="R515" s="26"/>
      <c r="S515" s="26"/>
      <c r="T515" s="27"/>
      <c r="U515" s="27"/>
      <c r="V515" s="26"/>
      <c r="W515" s="26"/>
      <c r="X515" s="26"/>
      <c r="Y515" s="27"/>
      <c r="Z515" s="27"/>
      <c r="AA515" s="27"/>
      <c r="AB515" s="27"/>
      <c r="AC515" s="26"/>
      <c r="AD515" s="27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</row>
    <row r="516" spans="3:46" ht="15.75" customHeight="1"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6"/>
      <c r="N516" s="27"/>
      <c r="O516" s="26"/>
      <c r="P516" s="26"/>
      <c r="Q516" s="26"/>
      <c r="R516" s="26"/>
      <c r="S516" s="26"/>
      <c r="T516" s="27"/>
      <c r="U516" s="27"/>
      <c r="V516" s="26"/>
      <c r="W516" s="26"/>
      <c r="X516" s="26"/>
      <c r="Y516" s="27"/>
      <c r="Z516" s="27"/>
      <c r="AA516" s="27"/>
      <c r="AB516" s="27"/>
      <c r="AC516" s="26"/>
      <c r="AD516" s="27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</row>
    <row r="517" spans="3:46" ht="15.75" customHeight="1"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6"/>
      <c r="N517" s="27"/>
      <c r="O517" s="26"/>
      <c r="P517" s="26"/>
      <c r="Q517" s="26"/>
      <c r="R517" s="26"/>
      <c r="S517" s="26"/>
      <c r="T517" s="27"/>
      <c r="U517" s="27"/>
      <c r="V517" s="26"/>
      <c r="W517" s="26"/>
      <c r="X517" s="26"/>
      <c r="Y517" s="27"/>
      <c r="Z517" s="27"/>
      <c r="AA517" s="27"/>
      <c r="AB517" s="27"/>
      <c r="AC517" s="26"/>
      <c r="AD517" s="27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</row>
    <row r="518" spans="3:46" ht="15.75" customHeight="1"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6"/>
      <c r="N518" s="27"/>
      <c r="O518" s="26"/>
      <c r="P518" s="26"/>
      <c r="Q518" s="26"/>
      <c r="R518" s="26"/>
      <c r="S518" s="26"/>
      <c r="T518" s="27"/>
      <c r="U518" s="27"/>
      <c r="V518" s="26"/>
      <c r="W518" s="26"/>
      <c r="X518" s="26"/>
      <c r="Y518" s="27"/>
      <c r="Z518" s="27"/>
      <c r="AA518" s="27"/>
      <c r="AB518" s="27"/>
      <c r="AC518" s="26"/>
      <c r="AD518" s="27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</row>
    <row r="519" spans="3:46" ht="15.75" customHeight="1"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6"/>
      <c r="N519" s="27"/>
      <c r="O519" s="26"/>
      <c r="P519" s="26"/>
      <c r="Q519" s="26"/>
      <c r="R519" s="26"/>
      <c r="S519" s="26"/>
      <c r="T519" s="27"/>
      <c r="U519" s="27"/>
      <c r="V519" s="26"/>
      <c r="W519" s="26"/>
      <c r="X519" s="26"/>
      <c r="Y519" s="27"/>
      <c r="Z519" s="27"/>
      <c r="AA519" s="27"/>
      <c r="AB519" s="27"/>
      <c r="AC519" s="26"/>
      <c r="AD519" s="27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</row>
    <row r="520" spans="3:46" ht="15.75" customHeight="1"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6"/>
      <c r="N520" s="27"/>
      <c r="O520" s="26"/>
      <c r="P520" s="26"/>
      <c r="Q520" s="26"/>
      <c r="R520" s="26"/>
      <c r="S520" s="26"/>
      <c r="T520" s="27"/>
      <c r="U520" s="27"/>
      <c r="V520" s="26"/>
      <c r="W520" s="26"/>
      <c r="X520" s="26"/>
      <c r="Y520" s="27"/>
      <c r="Z520" s="27"/>
      <c r="AA520" s="27"/>
      <c r="AB520" s="27"/>
      <c r="AC520" s="26"/>
      <c r="AD520" s="27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</row>
    <row r="521" spans="3:46" ht="15.75" customHeight="1"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6"/>
      <c r="N521" s="27"/>
      <c r="O521" s="26"/>
      <c r="P521" s="26"/>
      <c r="Q521" s="26"/>
      <c r="R521" s="26"/>
      <c r="S521" s="26"/>
      <c r="T521" s="27"/>
      <c r="U521" s="27"/>
      <c r="V521" s="26"/>
      <c r="W521" s="26"/>
      <c r="X521" s="26"/>
      <c r="Y521" s="27"/>
      <c r="Z521" s="27"/>
      <c r="AA521" s="27"/>
      <c r="AB521" s="27"/>
      <c r="AC521" s="26"/>
      <c r="AD521" s="27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</row>
    <row r="522" spans="3:46" ht="15.75" customHeight="1"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6"/>
      <c r="N522" s="27"/>
      <c r="O522" s="26"/>
      <c r="P522" s="26"/>
      <c r="Q522" s="26"/>
      <c r="R522" s="26"/>
      <c r="S522" s="26"/>
      <c r="T522" s="27"/>
      <c r="U522" s="27"/>
      <c r="V522" s="26"/>
      <c r="W522" s="26"/>
      <c r="X522" s="26"/>
      <c r="Y522" s="27"/>
      <c r="Z522" s="27"/>
      <c r="AA522" s="27"/>
      <c r="AB522" s="27"/>
      <c r="AC522" s="26"/>
      <c r="AD522" s="27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</row>
    <row r="523" spans="3:46" ht="15.75" customHeight="1"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6"/>
      <c r="N523" s="27"/>
      <c r="O523" s="26"/>
      <c r="P523" s="26"/>
      <c r="Q523" s="26"/>
      <c r="R523" s="26"/>
      <c r="S523" s="26"/>
      <c r="T523" s="27"/>
      <c r="U523" s="27"/>
      <c r="V523" s="26"/>
      <c r="W523" s="26"/>
      <c r="X523" s="26"/>
      <c r="Y523" s="27"/>
      <c r="Z523" s="27"/>
      <c r="AA523" s="27"/>
      <c r="AB523" s="27"/>
      <c r="AC523" s="26"/>
      <c r="AD523" s="27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</row>
    <row r="524" spans="3:46" ht="15.75" customHeight="1"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6"/>
      <c r="N524" s="27"/>
      <c r="O524" s="26"/>
      <c r="P524" s="26"/>
      <c r="Q524" s="26"/>
      <c r="R524" s="26"/>
      <c r="S524" s="26"/>
      <c r="T524" s="27"/>
      <c r="U524" s="27"/>
      <c r="V524" s="26"/>
      <c r="W524" s="26"/>
      <c r="X524" s="26"/>
      <c r="Y524" s="27"/>
      <c r="Z524" s="27"/>
      <c r="AA524" s="27"/>
      <c r="AB524" s="27"/>
      <c r="AC524" s="26"/>
      <c r="AD524" s="27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</row>
    <row r="525" spans="3:46" ht="15.75" customHeight="1"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6"/>
      <c r="N525" s="27"/>
      <c r="O525" s="26"/>
      <c r="P525" s="26"/>
      <c r="Q525" s="26"/>
      <c r="R525" s="26"/>
      <c r="S525" s="26"/>
      <c r="T525" s="27"/>
      <c r="U525" s="27"/>
      <c r="V525" s="26"/>
      <c r="W525" s="26"/>
      <c r="X525" s="26"/>
      <c r="Y525" s="27"/>
      <c r="Z525" s="27"/>
      <c r="AA525" s="27"/>
      <c r="AB525" s="27"/>
      <c r="AC525" s="26"/>
      <c r="AD525" s="27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</row>
    <row r="526" spans="3:46" ht="15.75" customHeight="1"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6"/>
      <c r="N526" s="27"/>
      <c r="O526" s="26"/>
      <c r="P526" s="26"/>
      <c r="Q526" s="26"/>
      <c r="R526" s="26"/>
      <c r="S526" s="26"/>
      <c r="T526" s="27"/>
      <c r="U526" s="27"/>
      <c r="V526" s="26"/>
      <c r="W526" s="26"/>
      <c r="X526" s="26"/>
      <c r="Y526" s="27"/>
      <c r="Z526" s="27"/>
      <c r="AA526" s="27"/>
      <c r="AB526" s="27"/>
      <c r="AC526" s="26"/>
      <c r="AD526" s="27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</row>
    <row r="527" spans="3:46" ht="15.75" customHeight="1"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6"/>
      <c r="N527" s="27"/>
      <c r="O527" s="26"/>
      <c r="P527" s="26"/>
      <c r="Q527" s="26"/>
      <c r="R527" s="26"/>
      <c r="S527" s="26"/>
      <c r="T527" s="27"/>
      <c r="U527" s="27"/>
      <c r="V527" s="26"/>
      <c r="W527" s="26"/>
      <c r="X527" s="26"/>
      <c r="Y527" s="27"/>
      <c r="Z527" s="27"/>
      <c r="AA527" s="27"/>
      <c r="AB527" s="27"/>
      <c r="AC527" s="26"/>
      <c r="AD527" s="27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</row>
    <row r="528" spans="3:46" ht="15.75" customHeight="1"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6"/>
      <c r="N528" s="27"/>
      <c r="O528" s="26"/>
      <c r="P528" s="26"/>
      <c r="Q528" s="26"/>
      <c r="R528" s="26"/>
      <c r="S528" s="26"/>
      <c r="T528" s="27"/>
      <c r="U528" s="27"/>
      <c r="V528" s="26"/>
      <c r="W528" s="26"/>
      <c r="X528" s="26"/>
      <c r="Y528" s="27"/>
      <c r="Z528" s="27"/>
      <c r="AA528" s="27"/>
      <c r="AB528" s="27"/>
      <c r="AC528" s="26"/>
      <c r="AD528" s="27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</row>
    <row r="529" spans="3:46" ht="15.75" customHeight="1"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6"/>
      <c r="N529" s="27"/>
      <c r="O529" s="26"/>
      <c r="P529" s="26"/>
      <c r="Q529" s="26"/>
      <c r="R529" s="26"/>
      <c r="S529" s="26"/>
      <c r="T529" s="27"/>
      <c r="U529" s="27"/>
      <c r="V529" s="26"/>
      <c r="W529" s="26"/>
      <c r="X529" s="26"/>
      <c r="Y529" s="27"/>
      <c r="Z529" s="27"/>
      <c r="AA529" s="27"/>
      <c r="AB529" s="27"/>
      <c r="AC529" s="26"/>
      <c r="AD529" s="27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</row>
    <row r="530" spans="3:46" ht="15.75" customHeight="1"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6"/>
      <c r="N530" s="27"/>
      <c r="O530" s="26"/>
      <c r="P530" s="26"/>
      <c r="Q530" s="26"/>
      <c r="R530" s="26"/>
      <c r="S530" s="26"/>
      <c r="T530" s="27"/>
      <c r="U530" s="27"/>
      <c r="V530" s="26"/>
      <c r="W530" s="26"/>
      <c r="X530" s="26"/>
      <c r="Y530" s="27"/>
      <c r="Z530" s="27"/>
      <c r="AA530" s="27"/>
      <c r="AB530" s="27"/>
      <c r="AC530" s="26"/>
      <c r="AD530" s="27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</row>
    <row r="531" spans="3:46" ht="15.75" customHeight="1"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6"/>
      <c r="N531" s="27"/>
      <c r="O531" s="26"/>
      <c r="P531" s="26"/>
      <c r="Q531" s="26"/>
      <c r="R531" s="26"/>
      <c r="S531" s="26"/>
      <c r="T531" s="27"/>
      <c r="U531" s="27"/>
      <c r="V531" s="26"/>
      <c r="W531" s="26"/>
      <c r="X531" s="26"/>
      <c r="Y531" s="27"/>
      <c r="Z531" s="27"/>
      <c r="AA531" s="27"/>
      <c r="AB531" s="27"/>
      <c r="AC531" s="26"/>
      <c r="AD531" s="27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</row>
    <row r="532" spans="3:46" ht="15.75" customHeight="1"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6"/>
      <c r="N532" s="27"/>
      <c r="O532" s="26"/>
      <c r="P532" s="26"/>
      <c r="Q532" s="26"/>
      <c r="R532" s="26"/>
      <c r="S532" s="26"/>
      <c r="T532" s="27"/>
      <c r="U532" s="27"/>
      <c r="V532" s="26"/>
      <c r="W532" s="26"/>
      <c r="X532" s="26"/>
      <c r="Y532" s="27"/>
      <c r="Z532" s="27"/>
      <c r="AA532" s="27"/>
      <c r="AB532" s="27"/>
      <c r="AC532" s="26"/>
      <c r="AD532" s="27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</row>
    <row r="533" spans="3:46" ht="15.75" customHeight="1"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6"/>
      <c r="N533" s="27"/>
      <c r="O533" s="26"/>
      <c r="P533" s="26"/>
      <c r="Q533" s="26"/>
      <c r="R533" s="26"/>
      <c r="S533" s="26"/>
      <c r="T533" s="27"/>
      <c r="U533" s="27"/>
      <c r="V533" s="26"/>
      <c r="W533" s="26"/>
      <c r="X533" s="26"/>
      <c r="Y533" s="27"/>
      <c r="Z533" s="27"/>
      <c r="AA533" s="27"/>
      <c r="AB533" s="27"/>
      <c r="AC533" s="26"/>
      <c r="AD533" s="27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</row>
    <row r="534" spans="3:46" ht="15.75" customHeight="1"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6"/>
      <c r="N534" s="27"/>
      <c r="O534" s="26"/>
      <c r="P534" s="26"/>
      <c r="Q534" s="26"/>
      <c r="R534" s="26"/>
      <c r="S534" s="26"/>
      <c r="T534" s="27"/>
      <c r="U534" s="27"/>
      <c r="V534" s="26"/>
      <c r="W534" s="26"/>
      <c r="X534" s="26"/>
      <c r="Y534" s="27"/>
      <c r="Z534" s="27"/>
      <c r="AA534" s="27"/>
      <c r="AB534" s="27"/>
      <c r="AC534" s="26"/>
      <c r="AD534" s="27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</row>
    <row r="535" spans="3:46" ht="15.75" customHeight="1"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6"/>
      <c r="N535" s="27"/>
      <c r="O535" s="26"/>
      <c r="P535" s="26"/>
      <c r="Q535" s="26"/>
      <c r="R535" s="26"/>
      <c r="S535" s="26"/>
      <c r="T535" s="27"/>
      <c r="U535" s="27"/>
      <c r="V535" s="26"/>
      <c r="W535" s="26"/>
      <c r="X535" s="26"/>
      <c r="Y535" s="27"/>
      <c r="Z535" s="27"/>
      <c r="AA535" s="27"/>
      <c r="AB535" s="27"/>
      <c r="AC535" s="26"/>
      <c r="AD535" s="27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</row>
    <row r="536" spans="3:46" ht="15.75" customHeight="1"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6"/>
      <c r="N536" s="27"/>
      <c r="O536" s="26"/>
      <c r="P536" s="26"/>
      <c r="Q536" s="26"/>
      <c r="R536" s="26"/>
      <c r="S536" s="26"/>
      <c r="T536" s="27"/>
      <c r="U536" s="27"/>
      <c r="V536" s="26"/>
      <c r="W536" s="26"/>
      <c r="X536" s="26"/>
      <c r="Y536" s="27"/>
      <c r="Z536" s="27"/>
      <c r="AA536" s="27"/>
      <c r="AB536" s="27"/>
      <c r="AC536" s="26"/>
      <c r="AD536" s="27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</row>
    <row r="537" spans="3:46" ht="15.75" customHeight="1"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6"/>
      <c r="N537" s="27"/>
      <c r="O537" s="26"/>
      <c r="P537" s="26"/>
      <c r="Q537" s="26"/>
      <c r="R537" s="26"/>
      <c r="S537" s="26"/>
      <c r="T537" s="27"/>
      <c r="U537" s="27"/>
      <c r="V537" s="26"/>
      <c r="W537" s="26"/>
      <c r="X537" s="26"/>
      <c r="Y537" s="27"/>
      <c r="Z537" s="27"/>
      <c r="AA537" s="27"/>
      <c r="AB537" s="27"/>
      <c r="AC537" s="26"/>
      <c r="AD537" s="27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</row>
    <row r="538" spans="3:46" ht="15.75" customHeight="1"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6"/>
      <c r="N538" s="27"/>
      <c r="O538" s="26"/>
      <c r="P538" s="26"/>
      <c r="Q538" s="26"/>
      <c r="R538" s="26"/>
      <c r="S538" s="26"/>
      <c r="T538" s="27"/>
      <c r="U538" s="27"/>
      <c r="V538" s="26"/>
      <c r="W538" s="26"/>
      <c r="X538" s="26"/>
      <c r="Y538" s="27"/>
      <c r="Z538" s="27"/>
      <c r="AA538" s="27"/>
      <c r="AB538" s="27"/>
      <c r="AC538" s="26"/>
      <c r="AD538" s="27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</row>
    <row r="539" spans="3:46" ht="15.75" customHeight="1"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6"/>
      <c r="N539" s="27"/>
      <c r="O539" s="26"/>
      <c r="P539" s="26"/>
      <c r="Q539" s="26"/>
      <c r="R539" s="26"/>
      <c r="S539" s="26"/>
      <c r="T539" s="27"/>
      <c r="U539" s="27"/>
      <c r="V539" s="26"/>
      <c r="W539" s="26"/>
      <c r="X539" s="26"/>
      <c r="Y539" s="27"/>
      <c r="Z539" s="27"/>
      <c r="AA539" s="27"/>
      <c r="AB539" s="27"/>
      <c r="AC539" s="26"/>
      <c r="AD539" s="27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</row>
    <row r="540" spans="3:46" ht="15.75" customHeight="1"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6"/>
      <c r="N540" s="27"/>
      <c r="O540" s="26"/>
      <c r="P540" s="26"/>
      <c r="Q540" s="26"/>
      <c r="R540" s="26"/>
      <c r="S540" s="26"/>
      <c r="T540" s="27"/>
      <c r="U540" s="27"/>
      <c r="V540" s="26"/>
      <c r="W540" s="26"/>
      <c r="X540" s="26"/>
      <c r="Y540" s="27"/>
      <c r="Z540" s="27"/>
      <c r="AA540" s="27"/>
      <c r="AB540" s="27"/>
      <c r="AC540" s="26"/>
      <c r="AD540" s="27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</row>
    <row r="541" spans="3:46" ht="15.75" customHeight="1"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6"/>
      <c r="N541" s="27"/>
      <c r="O541" s="26"/>
      <c r="P541" s="26"/>
      <c r="Q541" s="26"/>
      <c r="R541" s="26"/>
      <c r="S541" s="26"/>
      <c r="T541" s="27"/>
      <c r="U541" s="27"/>
      <c r="V541" s="26"/>
      <c r="W541" s="26"/>
      <c r="X541" s="26"/>
      <c r="Y541" s="27"/>
      <c r="Z541" s="27"/>
      <c r="AA541" s="27"/>
      <c r="AB541" s="27"/>
      <c r="AC541" s="26"/>
      <c r="AD541" s="27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</row>
    <row r="542" spans="3:46" ht="15.75" customHeight="1"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6"/>
      <c r="N542" s="27"/>
      <c r="O542" s="26"/>
      <c r="P542" s="26"/>
      <c r="Q542" s="26"/>
      <c r="R542" s="26"/>
      <c r="S542" s="26"/>
      <c r="T542" s="27"/>
      <c r="U542" s="27"/>
      <c r="V542" s="26"/>
      <c r="W542" s="26"/>
      <c r="X542" s="26"/>
      <c r="Y542" s="27"/>
      <c r="Z542" s="27"/>
      <c r="AA542" s="27"/>
      <c r="AB542" s="27"/>
      <c r="AC542" s="26"/>
      <c r="AD542" s="27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</row>
    <row r="543" spans="3:46" ht="15.75" customHeight="1"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6"/>
      <c r="N543" s="27"/>
      <c r="O543" s="26"/>
      <c r="P543" s="26"/>
      <c r="Q543" s="26"/>
      <c r="R543" s="26"/>
      <c r="S543" s="26"/>
      <c r="T543" s="27"/>
      <c r="U543" s="27"/>
      <c r="V543" s="26"/>
      <c r="W543" s="26"/>
      <c r="X543" s="26"/>
      <c r="Y543" s="27"/>
      <c r="Z543" s="27"/>
      <c r="AA543" s="27"/>
      <c r="AB543" s="27"/>
      <c r="AC543" s="26"/>
      <c r="AD543" s="27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</row>
    <row r="544" spans="3:46" ht="15.75" customHeight="1"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6"/>
      <c r="N544" s="27"/>
      <c r="O544" s="26"/>
      <c r="P544" s="26"/>
      <c r="Q544" s="26"/>
      <c r="R544" s="26"/>
      <c r="S544" s="26"/>
      <c r="T544" s="27"/>
      <c r="U544" s="27"/>
      <c r="V544" s="26"/>
      <c r="W544" s="26"/>
      <c r="X544" s="26"/>
      <c r="Y544" s="27"/>
      <c r="Z544" s="27"/>
      <c r="AA544" s="27"/>
      <c r="AB544" s="27"/>
      <c r="AC544" s="26"/>
      <c r="AD544" s="27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</row>
    <row r="545" spans="3:46" ht="15.75" customHeight="1"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6"/>
      <c r="N545" s="27"/>
      <c r="O545" s="26"/>
      <c r="P545" s="26"/>
      <c r="Q545" s="26"/>
      <c r="R545" s="26"/>
      <c r="S545" s="26"/>
      <c r="T545" s="27"/>
      <c r="U545" s="27"/>
      <c r="V545" s="26"/>
      <c r="W545" s="26"/>
      <c r="X545" s="26"/>
      <c r="Y545" s="27"/>
      <c r="Z545" s="27"/>
      <c r="AA545" s="27"/>
      <c r="AB545" s="27"/>
      <c r="AC545" s="26"/>
      <c r="AD545" s="27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</row>
    <row r="546" spans="3:46" ht="15.75" customHeight="1"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6"/>
      <c r="N546" s="27"/>
      <c r="O546" s="26"/>
      <c r="P546" s="26"/>
      <c r="Q546" s="26"/>
      <c r="R546" s="26"/>
      <c r="S546" s="26"/>
      <c r="T546" s="27"/>
      <c r="U546" s="27"/>
      <c r="V546" s="26"/>
      <c r="W546" s="26"/>
      <c r="X546" s="26"/>
      <c r="Y546" s="27"/>
      <c r="Z546" s="27"/>
      <c r="AA546" s="27"/>
      <c r="AB546" s="27"/>
      <c r="AC546" s="26"/>
      <c r="AD546" s="27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</row>
    <row r="547" spans="3:46" ht="15.75" customHeight="1"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6"/>
      <c r="N547" s="27"/>
      <c r="O547" s="26"/>
      <c r="P547" s="26"/>
      <c r="Q547" s="26"/>
      <c r="R547" s="26"/>
      <c r="S547" s="26"/>
      <c r="T547" s="27"/>
      <c r="U547" s="27"/>
      <c r="V547" s="26"/>
      <c r="W547" s="26"/>
      <c r="X547" s="26"/>
      <c r="Y547" s="27"/>
      <c r="Z547" s="27"/>
      <c r="AA547" s="27"/>
      <c r="AB547" s="27"/>
      <c r="AC547" s="26"/>
      <c r="AD547" s="27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</row>
    <row r="548" spans="3:46" ht="15.75" customHeight="1"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6"/>
      <c r="N548" s="27"/>
      <c r="O548" s="26"/>
      <c r="P548" s="26"/>
      <c r="Q548" s="26"/>
      <c r="R548" s="26"/>
      <c r="S548" s="26"/>
      <c r="T548" s="27"/>
      <c r="U548" s="27"/>
      <c r="V548" s="26"/>
      <c r="W548" s="26"/>
      <c r="X548" s="26"/>
      <c r="Y548" s="27"/>
      <c r="Z548" s="27"/>
      <c r="AA548" s="27"/>
      <c r="AB548" s="27"/>
      <c r="AC548" s="26"/>
      <c r="AD548" s="27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</row>
    <row r="549" spans="3:46" ht="15.75" customHeight="1"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6"/>
      <c r="N549" s="27"/>
      <c r="O549" s="26"/>
      <c r="P549" s="26"/>
      <c r="Q549" s="26"/>
      <c r="R549" s="26"/>
      <c r="S549" s="26"/>
      <c r="T549" s="27"/>
      <c r="U549" s="27"/>
      <c r="V549" s="26"/>
      <c r="W549" s="26"/>
      <c r="X549" s="26"/>
      <c r="Y549" s="27"/>
      <c r="Z549" s="27"/>
      <c r="AA549" s="27"/>
      <c r="AB549" s="27"/>
      <c r="AC549" s="26"/>
      <c r="AD549" s="27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</row>
    <row r="550" spans="3:46" ht="15.75" customHeight="1"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6"/>
      <c r="N550" s="27"/>
      <c r="O550" s="26"/>
      <c r="P550" s="26"/>
      <c r="Q550" s="26"/>
      <c r="R550" s="26"/>
      <c r="S550" s="26"/>
      <c r="T550" s="27"/>
      <c r="U550" s="27"/>
      <c r="V550" s="26"/>
      <c r="W550" s="26"/>
      <c r="X550" s="26"/>
      <c r="Y550" s="27"/>
      <c r="Z550" s="27"/>
      <c r="AA550" s="27"/>
      <c r="AB550" s="27"/>
      <c r="AC550" s="26"/>
      <c r="AD550" s="27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</row>
    <row r="551" spans="3:46" ht="15.75" customHeight="1"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6"/>
      <c r="N551" s="27"/>
      <c r="O551" s="26"/>
      <c r="P551" s="26"/>
      <c r="Q551" s="26"/>
      <c r="R551" s="26"/>
      <c r="S551" s="26"/>
      <c r="T551" s="27"/>
      <c r="U551" s="27"/>
      <c r="V551" s="26"/>
      <c r="W551" s="26"/>
      <c r="X551" s="26"/>
      <c r="Y551" s="27"/>
      <c r="Z551" s="27"/>
      <c r="AA551" s="27"/>
      <c r="AB551" s="27"/>
      <c r="AC551" s="26"/>
      <c r="AD551" s="27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</row>
    <row r="552" spans="3:46" ht="15.75" customHeight="1"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6"/>
      <c r="N552" s="27"/>
      <c r="O552" s="26"/>
      <c r="P552" s="26"/>
      <c r="Q552" s="26"/>
      <c r="R552" s="26"/>
      <c r="S552" s="26"/>
      <c r="T552" s="27"/>
      <c r="U552" s="27"/>
      <c r="V552" s="26"/>
      <c r="W552" s="26"/>
      <c r="X552" s="26"/>
      <c r="Y552" s="27"/>
      <c r="Z552" s="27"/>
      <c r="AA552" s="27"/>
      <c r="AB552" s="27"/>
      <c r="AC552" s="26"/>
      <c r="AD552" s="27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</row>
    <row r="553" spans="3:46" ht="15.75" customHeight="1"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6"/>
      <c r="N553" s="27"/>
      <c r="O553" s="26"/>
      <c r="P553" s="26"/>
      <c r="Q553" s="26"/>
      <c r="R553" s="26"/>
      <c r="S553" s="26"/>
      <c r="T553" s="27"/>
      <c r="U553" s="27"/>
      <c r="V553" s="26"/>
      <c r="W553" s="26"/>
      <c r="X553" s="26"/>
      <c r="Y553" s="27"/>
      <c r="Z553" s="27"/>
      <c r="AA553" s="27"/>
      <c r="AB553" s="27"/>
      <c r="AC553" s="26"/>
      <c r="AD553" s="27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</row>
    <row r="554" spans="3:46" ht="15.75" customHeight="1"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6"/>
      <c r="N554" s="27"/>
      <c r="O554" s="26"/>
      <c r="P554" s="26"/>
      <c r="Q554" s="26"/>
      <c r="R554" s="26"/>
      <c r="S554" s="26"/>
      <c r="T554" s="27"/>
      <c r="U554" s="27"/>
      <c r="V554" s="26"/>
      <c r="W554" s="26"/>
      <c r="X554" s="26"/>
      <c r="Y554" s="27"/>
      <c r="Z554" s="27"/>
      <c r="AA554" s="27"/>
      <c r="AB554" s="27"/>
      <c r="AC554" s="26"/>
      <c r="AD554" s="27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</row>
    <row r="555" spans="3:46" ht="15.75" customHeight="1"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6"/>
      <c r="N555" s="27"/>
      <c r="O555" s="26"/>
      <c r="P555" s="26"/>
      <c r="Q555" s="26"/>
      <c r="R555" s="26"/>
      <c r="S555" s="26"/>
      <c r="T555" s="27"/>
      <c r="U555" s="27"/>
      <c r="V555" s="26"/>
      <c r="W555" s="26"/>
      <c r="X555" s="26"/>
      <c r="Y555" s="27"/>
      <c r="Z555" s="27"/>
      <c r="AA555" s="27"/>
      <c r="AB555" s="27"/>
      <c r="AC555" s="26"/>
      <c r="AD555" s="27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</row>
    <row r="556" spans="3:46" ht="15.75" customHeight="1"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6"/>
      <c r="N556" s="27"/>
      <c r="O556" s="26"/>
      <c r="P556" s="26"/>
      <c r="Q556" s="26"/>
      <c r="R556" s="26"/>
      <c r="S556" s="26"/>
      <c r="T556" s="27"/>
      <c r="U556" s="27"/>
      <c r="V556" s="26"/>
      <c r="W556" s="26"/>
      <c r="X556" s="26"/>
      <c r="Y556" s="27"/>
      <c r="Z556" s="27"/>
      <c r="AA556" s="27"/>
      <c r="AB556" s="27"/>
      <c r="AC556" s="26"/>
      <c r="AD556" s="27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</row>
    <row r="557" spans="3:46" ht="15.75" customHeight="1"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6"/>
      <c r="N557" s="27"/>
      <c r="O557" s="26"/>
      <c r="P557" s="26"/>
      <c r="Q557" s="26"/>
      <c r="R557" s="26"/>
      <c r="S557" s="26"/>
      <c r="T557" s="27"/>
      <c r="U557" s="27"/>
      <c r="V557" s="26"/>
      <c r="W557" s="26"/>
      <c r="X557" s="26"/>
      <c r="Y557" s="27"/>
      <c r="Z557" s="27"/>
      <c r="AA557" s="27"/>
      <c r="AB557" s="27"/>
      <c r="AC557" s="26"/>
      <c r="AD557" s="27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</row>
    <row r="558" spans="3:46" ht="15.75" customHeight="1"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6"/>
      <c r="N558" s="27"/>
      <c r="O558" s="26"/>
      <c r="P558" s="26"/>
      <c r="Q558" s="26"/>
      <c r="R558" s="26"/>
      <c r="S558" s="26"/>
      <c r="T558" s="27"/>
      <c r="U558" s="27"/>
      <c r="V558" s="26"/>
      <c r="W558" s="26"/>
      <c r="X558" s="26"/>
      <c r="Y558" s="27"/>
      <c r="Z558" s="27"/>
      <c r="AA558" s="27"/>
      <c r="AB558" s="27"/>
      <c r="AC558" s="26"/>
      <c r="AD558" s="27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</row>
    <row r="559" spans="3:46" ht="15.75" customHeight="1"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6"/>
      <c r="N559" s="27"/>
      <c r="O559" s="26"/>
      <c r="P559" s="26"/>
      <c r="Q559" s="26"/>
      <c r="R559" s="26"/>
      <c r="S559" s="26"/>
      <c r="T559" s="27"/>
      <c r="U559" s="27"/>
      <c r="V559" s="26"/>
      <c r="W559" s="26"/>
      <c r="X559" s="26"/>
      <c r="Y559" s="27"/>
      <c r="Z559" s="27"/>
      <c r="AA559" s="27"/>
      <c r="AB559" s="27"/>
      <c r="AC559" s="26"/>
      <c r="AD559" s="27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</row>
    <row r="560" spans="3:46" ht="15.75" customHeight="1"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6"/>
      <c r="N560" s="27"/>
      <c r="O560" s="26"/>
      <c r="P560" s="26"/>
      <c r="Q560" s="26"/>
      <c r="R560" s="26"/>
      <c r="S560" s="26"/>
      <c r="T560" s="27"/>
      <c r="U560" s="27"/>
      <c r="V560" s="26"/>
      <c r="W560" s="26"/>
      <c r="X560" s="26"/>
      <c r="Y560" s="27"/>
      <c r="Z560" s="27"/>
      <c r="AA560" s="27"/>
      <c r="AB560" s="27"/>
      <c r="AC560" s="26"/>
      <c r="AD560" s="27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</row>
    <row r="561" spans="3:46" ht="15.75" customHeight="1"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6"/>
      <c r="N561" s="27"/>
      <c r="O561" s="26"/>
      <c r="P561" s="26"/>
      <c r="Q561" s="26"/>
      <c r="R561" s="26"/>
      <c r="S561" s="26"/>
      <c r="T561" s="27"/>
      <c r="U561" s="27"/>
      <c r="V561" s="26"/>
      <c r="W561" s="26"/>
      <c r="X561" s="26"/>
      <c r="Y561" s="27"/>
      <c r="Z561" s="27"/>
      <c r="AA561" s="27"/>
      <c r="AB561" s="27"/>
      <c r="AC561" s="26"/>
      <c r="AD561" s="27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</row>
    <row r="562" spans="3:46" ht="15.75" customHeight="1"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6"/>
      <c r="N562" s="27"/>
      <c r="O562" s="26"/>
      <c r="P562" s="26"/>
      <c r="Q562" s="26"/>
      <c r="R562" s="26"/>
      <c r="S562" s="26"/>
      <c r="T562" s="27"/>
      <c r="U562" s="27"/>
      <c r="V562" s="26"/>
      <c r="W562" s="26"/>
      <c r="X562" s="26"/>
      <c r="Y562" s="27"/>
      <c r="Z562" s="27"/>
      <c r="AA562" s="27"/>
      <c r="AB562" s="27"/>
      <c r="AC562" s="26"/>
      <c r="AD562" s="27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</row>
    <row r="563" spans="3:46" ht="15.75" customHeight="1"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6"/>
      <c r="N563" s="27"/>
      <c r="O563" s="26"/>
      <c r="P563" s="26"/>
      <c r="Q563" s="26"/>
      <c r="R563" s="26"/>
      <c r="S563" s="26"/>
      <c r="T563" s="27"/>
      <c r="U563" s="27"/>
      <c r="V563" s="26"/>
      <c r="W563" s="26"/>
      <c r="X563" s="26"/>
      <c r="Y563" s="27"/>
      <c r="Z563" s="27"/>
      <c r="AA563" s="27"/>
      <c r="AB563" s="27"/>
      <c r="AC563" s="26"/>
      <c r="AD563" s="27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</row>
    <row r="564" spans="3:46" ht="15.75" customHeight="1"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6"/>
      <c r="N564" s="27"/>
      <c r="O564" s="26"/>
      <c r="P564" s="26"/>
      <c r="Q564" s="26"/>
      <c r="R564" s="26"/>
      <c r="S564" s="26"/>
      <c r="T564" s="27"/>
      <c r="U564" s="27"/>
      <c r="V564" s="26"/>
      <c r="W564" s="26"/>
      <c r="X564" s="26"/>
      <c r="Y564" s="27"/>
      <c r="Z564" s="27"/>
      <c r="AA564" s="27"/>
      <c r="AB564" s="27"/>
      <c r="AC564" s="26"/>
      <c r="AD564" s="27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</row>
    <row r="565" spans="3:46" ht="15.75" customHeight="1"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6"/>
      <c r="N565" s="27"/>
      <c r="O565" s="26"/>
      <c r="P565" s="26"/>
      <c r="Q565" s="26"/>
      <c r="R565" s="26"/>
      <c r="S565" s="26"/>
      <c r="T565" s="27"/>
      <c r="U565" s="27"/>
      <c r="V565" s="26"/>
      <c r="W565" s="26"/>
      <c r="X565" s="26"/>
      <c r="Y565" s="27"/>
      <c r="Z565" s="27"/>
      <c r="AA565" s="27"/>
      <c r="AB565" s="27"/>
      <c r="AC565" s="26"/>
      <c r="AD565" s="27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</row>
    <row r="566" spans="3:46" ht="15.75" customHeight="1"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6"/>
      <c r="N566" s="27"/>
      <c r="O566" s="26"/>
      <c r="P566" s="26"/>
      <c r="Q566" s="26"/>
      <c r="R566" s="26"/>
      <c r="S566" s="26"/>
      <c r="T566" s="27"/>
      <c r="U566" s="27"/>
      <c r="V566" s="26"/>
      <c r="W566" s="26"/>
      <c r="X566" s="26"/>
      <c r="Y566" s="27"/>
      <c r="Z566" s="27"/>
      <c r="AA566" s="27"/>
      <c r="AB566" s="27"/>
      <c r="AC566" s="26"/>
      <c r="AD566" s="27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</row>
    <row r="567" spans="3:46" ht="15.75" customHeight="1"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6"/>
      <c r="N567" s="27"/>
      <c r="O567" s="26"/>
      <c r="P567" s="26"/>
      <c r="Q567" s="26"/>
      <c r="R567" s="26"/>
      <c r="S567" s="26"/>
      <c r="T567" s="27"/>
      <c r="U567" s="27"/>
      <c r="V567" s="26"/>
      <c r="W567" s="26"/>
      <c r="X567" s="26"/>
      <c r="Y567" s="27"/>
      <c r="Z567" s="27"/>
      <c r="AA567" s="27"/>
      <c r="AB567" s="27"/>
      <c r="AC567" s="26"/>
      <c r="AD567" s="27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</row>
    <row r="568" spans="3:46" ht="15.75" customHeight="1"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6"/>
      <c r="N568" s="27"/>
      <c r="O568" s="26"/>
      <c r="P568" s="26"/>
      <c r="Q568" s="26"/>
      <c r="R568" s="26"/>
      <c r="S568" s="26"/>
      <c r="T568" s="27"/>
      <c r="U568" s="27"/>
      <c r="V568" s="26"/>
      <c r="W568" s="26"/>
      <c r="X568" s="26"/>
      <c r="Y568" s="27"/>
      <c r="Z568" s="27"/>
      <c r="AA568" s="27"/>
      <c r="AB568" s="27"/>
      <c r="AC568" s="26"/>
      <c r="AD568" s="27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</row>
    <row r="569" spans="3:46" ht="15.75" customHeight="1"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6"/>
      <c r="N569" s="27"/>
      <c r="O569" s="26"/>
      <c r="P569" s="26"/>
      <c r="Q569" s="26"/>
      <c r="R569" s="26"/>
      <c r="S569" s="26"/>
      <c r="T569" s="27"/>
      <c r="U569" s="27"/>
      <c r="V569" s="26"/>
      <c r="W569" s="26"/>
      <c r="X569" s="26"/>
      <c r="Y569" s="27"/>
      <c r="Z569" s="27"/>
      <c r="AA569" s="27"/>
      <c r="AB569" s="27"/>
      <c r="AC569" s="26"/>
      <c r="AD569" s="27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</row>
    <row r="570" spans="3:46" ht="15.75" customHeight="1"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6"/>
      <c r="N570" s="27"/>
      <c r="O570" s="26"/>
      <c r="P570" s="26"/>
      <c r="Q570" s="26"/>
      <c r="R570" s="26"/>
      <c r="S570" s="26"/>
      <c r="T570" s="27"/>
      <c r="U570" s="27"/>
      <c r="V570" s="26"/>
      <c r="W570" s="26"/>
      <c r="X570" s="26"/>
      <c r="Y570" s="27"/>
      <c r="Z570" s="27"/>
      <c r="AA570" s="27"/>
      <c r="AB570" s="27"/>
      <c r="AC570" s="26"/>
      <c r="AD570" s="27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</row>
    <row r="571" spans="3:46" ht="15.75" customHeight="1"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6"/>
      <c r="N571" s="27"/>
      <c r="O571" s="26"/>
      <c r="P571" s="26"/>
      <c r="Q571" s="26"/>
      <c r="R571" s="26"/>
      <c r="S571" s="26"/>
      <c r="T571" s="27"/>
      <c r="U571" s="27"/>
      <c r="V571" s="26"/>
      <c r="W571" s="26"/>
      <c r="X571" s="26"/>
      <c r="Y571" s="27"/>
      <c r="Z571" s="27"/>
      <c r="AA571" s="27"/>
      <c r="AB571" s="27"/>
      <c r="AC571" s="26"/>
      <c r="AD571" s="27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</row>
    <row r="572" spans="3:46" ht="15.75" customHeight="1"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6"/>
      <c r="N572" s="27"/>
      <c r="O572" s="26"/>
      <c r="P572" s="26"/>
      <c r="Q572" s="26"/>
      <c r="R572" s="26"/>
      <c r="S572" s="26"/>
      <c r="T572" s="27"/>
      <c r="U572" s="27"/>
      <c r="V572" s="26"/>
      <c r="W572" s="26"/>
      <c r="X572" s="26"/>
      <c r="Y572" s="27"/>
      <c r="Z572" s="27"/>
      <c r="AA572" s="27"/>
      <c r="AB572" s="27"/>
      <c r="AC572" s="26"/>
      <c r="AD572" s="27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</row>
    <row r="573" spans="3:46" ht="15.75" customHeight="1"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6"/>
      <c r="N573" s="27"/>
      <c r="O573" s="26"/>
      <c r="P573" s="26"/>
      <c r="Q573" s="26"/>
      <c r="R573" s="26"/>
      <c r="S573" s="26"/>
      <c r="T573" s="27"/>
      <c r="U573" s="27"/>
      <c r="V573" s="26"/>
      <c r="W573" s="26"/>
      <c r="X573" s="26"/>
      <c r="Y573" s="27"/>
      <c r="Z573" s="27"/>
      <c r="AA573" s="27"/>
      <c r="AB573" s="27"/>
      <c r="AC573" s="26"/>
      <c r="AD573" s="27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</row>
    <row r="574" spans="3:46" ht="15.75" customHeight="1"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6"/>
      <c r="N574" s="27"/>
      <c r="O574" s="26"/>
      <c r="P574" s="26"/>
      <c r="Q574" s="26"/>
      <c r="R574" s="26"/>
      <c r="S574" s="26"/>
      <c r="T574" s="27"/>
      <c r="U574" s="27"/>
      <c r="V574" s="26"/>
      <c r="W574" s="26"/>
      <c r="X574" s="26"/>
      <c r="Y574" s="27"/>
      <c r="Z574" s="27"/>
      <c r="AA574" s="27"/>
      <c r="AB574" s="27"/>
      <c r="AC574" s="26"/>
      <c r="AD574" s="27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</row>
    <row r="575" spans="3:46" ht="15.75" customHeight="1"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6"/>
      <c r="N575" s="27"/>
      <c r="O575" s="26"/>
      <c r="P575" s="26"/>
      <c r="Q575" s="26"/>
      <c r="R575" s="26"/>
      <c r="S575" s="26"/>
      <c r="T575" s="27"/>
      <c r="U575" s="27"/>
      <c r="V575" s="26"/>
      <c r="W575" s="26"/>
      <c r="X575" s="26"/>
      <c r="Y575" s="27"/>
      <c r="Z575" s="27"/>
      <c r="AA575" s="27"/>
      <c r="AB575" s="27"/>
      <c r="AC575" s="26"/>
      <c r="AD575" s="27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</row>
    <row r="576" spans="3:46" ht="15.75" customHeight="1"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6"/>
      <c r="N576" s="27"/>
      <c r="O576" s="26"/>
      <c r="P576" s="26"/>
      <c r="Q576" s="26"/>
      <c r="R576" s="26"/>
      <c r="S576" s="26"/>
      <c r="T576" s="27"/>
      <c r="U576" s="27"/>
      <c r="V576" s="26"/>
      <c r="W576" s="26"/>
      <c r="X576" s="26"/>
      <c r="Y576" s="27"/>
      <c r="Z576" s="27"/>
      <c r="AA576" s="27"/>
      <c r="AB576" s="27"/>
      <c r="AC576" s="26"/>
      <c r="AD576" s="27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</row>
    <row r="577" spans="3:46" ht="15.75" customHeight="1"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6"/>
      <c r="N577" s="27"/>
      <c r="O577" s="26"/>
      <c r="P577" s="26"/>
      <c r="Q577" s="26"/>
      <c r="R577" s="26"/>
      <c r="S577" s="26"/>
      <c r="T577" s="27"/>
      <c r="U577" s="27"/>
      <c r="V577" s="26"/>
      <c r="W577" s="26"/>
      <c r="X577" s="26"/>
      <c r="Y577" s="27"/>
      <c r="Z577" s="27"/>
      <c r="AA577" s="27"/>
      <c r="AB577" s="27"/>
      <c r="AC577" s="26"/>
      <c r="AD577" s="27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</row>
    <row r="578" spans="3:46" ht="15.75" customHeight="1"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6"/>
      <c r="N578" s="27"/>
      <c r="O578" s="26"/>
      <c r="P578" s="26"/>
      <c r="Q578" s="26"/>
      <c r="R578" s="26"/>
      <c r="S578" s="26"/>
      <c r="T578" s="27"/>
      <c r="U578" s="27"/>
      <c r="V578" s="26"/>
      <c r="W578" s="26"/>
      <c r="X578" s="26"/>
      <c r="Y578" s="27"/>
      <c r="Z578" s="27"/>
      <c r="AA578" s="27"/>
      <c r="AB578" s="27"/>
      <c r="AC578" s="26"/>
      <c r="AD578" s="27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</row>
    <row r="579" spans="3:46" ht="15.75" customHeight="1"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6"/>
      <c r="N579" s="27"/>
      <c r="O579" s="26"/>
      <c r="P579" s="26"/>
      <c r="Q579" s="26"/>
      <c r="R579" s="26"/>
      <c r="S579" s="26"/>
      <c r="T579" s="27"/>
      <c r="U579" s="27"/>
      <c r="V579" s="26"/>
      <c r="W579" s="26"/>
      <c r="X579" s="26"/>
      <c r="Y579" s="27"/>
      <c r="Z579" s="27"/>
      <c r="AA579" s="27"/>
      <c r="AB579" s="27"/>
      <c r="AC579" s="26"/>
      <c r="AD579" s="27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</row>
    <row r="580" spans="3:46" ht="15.75" customHeight="1"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6"/>
      <c r="N580" s="27"/>
      <c r="O580" s="26"/>
      <c r="P580" s="26"/>
      <c r="Q580" s="26"/>
      <c r="R580" s="26"/>
      <c r="S580" s="26"/>
      <c r="T580" s="27"/>
      <c r="U580" s="27"/>
      <c r="V580" s="26"/>
      <c r="W580" s="26"/>
      <c r="X580" s="26"/>
      <c r="Y580" s="27"/>
      <c r="Z580" s="27"/>
      <c r="AA580" s="27"/>
      <c r="AB580" s="27"/>
      <c r="AC580" s="26"/>
      <c r="AD580" s="27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</row>
    <row r="581" spans="3:46" ht="15.75" customHeight="1"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6"/>
      <c r="N581" s="27"/>
      <c r="O581" s="26"/>
      <c r="P581" s="26"/>
      <c r="Q581" s="26"/>
      <c r="R581" s="26"/>
      <c r="S581" s="26"/>
      <c r="T581" s="27"/>
      <c r="U581" s="27"/>
      <c r="V581" s="26"/>
      <c r="W581" s="26"/>
      <c r="X581" s="26"/>
      <c r="Y581" s="27"/>
      <c r="Z581" s="27"/>
      <c r="AA581" s="27"/>
      <c r="AB581" s="27"/>
      <c r="AC581" s="26"/>
      <c r="AD581" s="27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</row>
    <row r="582" spans="3:46" ht="15.75" customHeight="1"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6"/>
      <c r="N582" s="27"/>
      <c r="O582" s="26"/>
      <c r="P582" s="26"/>
      <c r="Q582" s="26"/>
      <c r="R582" s="26"/>
      <c r="S582" s="26"/>
      <c r="T582" s="27"/>
      <c r="U582" s="27"/>
      <c r="V582" s="26"/>
      <c r="W582" s="26"/>
      <c r="X582" s="26"/>
      <c r="Y582" s="27"/>
      <c r="Z582" s="27"/>
      <c r="AA582" s="27"/>
      <c r="AB582" s="27"/>
      <c r="AC582" s="26"/>
      <c r="AD582" s="27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</row>
    <row r="583" spans="3:46" ht="15.75" customHeight="1"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6"/>
      <c r="N583" s="27"/>
      <c r="O583" s="26"/>
      <c r="P583" s="26"/>
      <c r="Q583" s="26"/>
      <c r="R583" s="26"/>
      <c r="S583" s="26"/>
      <c r="T583" s="27"/>
      <c r="U583" s="27"/>
      <c r="V583" s="26"/>
      <c r="W583" s="26"/>
      <c r="X583" s="26"/>
      <c r="Y583" s="27"/>
      <c r="Z583" s="27"/>
      <c r="AA583" s="27"/>
      <c r="AB583" s="27"/>
      <c r="AC583" s="26"/>
      <c r="AD583" s="27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</row>
    <row r="584" spans="3:46" ht="15.75" customHeight="1"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6"/>
      <c r="N584" s="27"/>
      <c r="O584" s="26"/>
      <c r="P584" s="26"/>
      <c r="Q584" s="26"/>
      <c r="R584" s="26"/>
      <c r="S584" s="26"/>
      <c r="T584" s="27"/>
      <c r="U584" s="27"/>
      <c r="V584" s="26"/>
      <c r="W584" s="26"/>
      <c r="X584" s="26"/>
      <c r="Y584" s="27"/>
      <c r="Z584" s="27"/>
      <c r="AA584" s="27"/>
      <c r="AB584" s="27"/>
      <c r="AC584" s="26"/>
      <c r="AD584" s="27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</row>
    <row r="585" spans="3:46" ht="15.75" customHeight="1"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6"/>
      <c r="N585" s="27"/>
      <c r="O585" s="26"/>
      <c r="P585" s="26"/>
      <c r="Q585" s="26"/>
      <c r="R585" s="26"/>
      <c r="S585" s="26"/>
      <c r="T585" s="27"/>
      <c r="U585" s="27"/>
      <c r="V585" s="26"/>
      <c r="W585" s="26"/>
      <c r="X585" s="26"/>
      <c r="Y585" s="27"/>
      <c r="Z585" s="27"/>
      <c r="AA585" s="27"/>
      <c r="AB585" s="27"/>
      <c r="AC585" s="26"/>
      <c r="AD585" s="27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</row>
    <row r="586" spans="3:46" ht="15.75" customHeight="1"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6"/>
      <c r="N586" s="27"/>
      <c r="O586" s="26"/>
      <c r="P586" s="26"/>
      <c r="Q586" s="26"/>
      <c r="R586" s="26"/>
      <c r="S586" s="26"/>
      <c r="T586" s="27"/>
      <c r="U586" s="27"/>
      <c r="V586" s="26"/>
      <c r="W586" s="26"/>
      <c r="X586" s="26"/>
      <c r="Y586" s="27"/>
      <c r="Z586" s="27"/>
      <c r="AA586" s="27"/>
      <c r="AB586" s="27"/>
      <c r="AC586" s="26"/>
      <c r="AD586" s="27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</row>
    <row r="587" spans="3:46" ht="15.75" customHeight="1"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6"/>
      <c r="N587" s="27"/>
      <c r="O587" s="26"/>
      <c r="P587" s="26"/>
      <c r="Q587" s="26"/>
      <c r="R587" s="26"/>
      <c r="S587" s="26"/>
      <c r="T587" s="27"/>
      <c r="U587" s="27"/>
      <c r="V587" s="26"/>
      <c r="W587" s="26"/>
      <c r="X587" s="26"/>
      <c r="Y587" s="27"/>
      <c r="Z587" s="27"/>
      <c r="AA587" s="27"/>
      <c r="AB587" s="27"/>
      <c r="AC587" s="26"/>
      <c r="AD587" s="27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</row>
    <row r="588" spans="3:46" ht="15.75" customHeight="1"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6"/>
      <c r="N588" s="27"/>
      <c r="O588" s="26"/>
      <c r="P588" s="26"/>
      <c r="Q588" s="26"/>
      <c r="R588" s="26"/>
      <c r="S588" s="26"/>
      <c r="T588" s="27"/>
      <c r="U588" s="27"/>
      <c r="V588" s="26"/>
      <c r="W588" s="26"/>
      <c r="X588" s="26"/>
      <c r="Y588" s="27"/>
      <c r="Z588" s="27"/>
      <c r="AA588" s="27"/>
      <c r="AB588" s="27"/>
      <c r="AC588" s="26"/>
      <c r="AD588" s="27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</row>
    <row r="589" spans="3:46" ht="15.75" customHeight="1"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6"/>
      <c r="N589" s="27"/>
      <c r="O589" s="26"/>
      <c r="P589" s="26"/>
      <c r="Q589" s="26"/>
      <c r="R589" s="26"/>
      <c r="S589" s="26"/>
      <c r="T589" s="27"/>
      <c r="U589" s="27"/>
      <c r="V589" s="26"/>
      <c r="W589" s="26"/>
      <c r="X589" s="26"/>
      <c r="Y589" s="27"/>
      <c r="Z589" s="27"/>
      <c r="AA589" s="27"/>
      <c r="AB589" s="27"/>
      <c r="AC589" s="26"/>
      <c r="AD589" s="27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</row>
    <row r="590" spans="3:46" ht="15.75" customHeight="1"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6"/>
      <c r="N590" s="27"/>
      <c r="O590" s="26"/>
      <c r="P590" s="26"/>
      <c r="Q590" s="26"/>
      <c r="R590" s="26"/>
      <c r="S590" s="26"/>
      <c r="T590" s="27"/>
      <c r="U590" s="27"/>
      <c r="V590" s="26"/>
      <c r="W590" s="26"/>
      <c r="X590" s="26"/>
      <c r="Y590" s="27"/>
      <c r="Z590" s="27"/>
      <c r="AA590" s="27"/>
      <c r="AB590" s="27"/>
      <c r="AC590" s="26"/>
      <c r="AD590" s="27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</row>
    <row r="591" spans="3:46" ht="15.75" customHeight="1"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6"/>
      <c r="N591" s="27"/>
      <c r="O591" s="26"/>
      <c r="P591" s="26"/>
      <c r="Q591" s="26"/>
      <c r="R591" s="26"/>
      <c r="S591" s="26"/>
      <c r="T591" s="27"/>
      <c r="U591" s="27"/>
      <c r="V591" s="26"/>
      <c r="W591" s="26"/>
      <c r="X591" s="26"/>
      <c r="Y591" s="27"/>
      <c r="Z591" s="27"/>
      <c r="AA591" s="27"/>
      <c r="AB591" s="27"/>
      <c r="AC591" s="26"/>
      <c r="AD591" s="27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</row>
    <row r="592" spans="3:46" ht="15.75" customHeight="1"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6"/>
      <c r="N592" s="27"/>
      <c r="O592" s="26"/>
      <c r="P592" s="26"/>
      <c r="Q592" s="26"/>
      <c r="R592" s="26"/>
      <c r="S592" s="26"/>
      <c r="T592" s="27"/>
      <c r="U592" s="27"/>
      <c r="V592" s="26"/>
      <c r="W592" s="26"/>
      <c r="X592" s="26"/>
      <c r="Y592" s="27"/>
      <c r="Z592" s="27"/>
      <c r="AA592" s="27"/>
      <c r="AB592" s="27"/>
      <c r="AC592" s="26"/>
      <c r="AD592" s="27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</row>
    <row r="593" spans="3:46" ht="15.75" customHeight="1"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6"/>
      <c r="N593" s="27"/>
      <c r="O593" s="26"/>
      <c r="P593" s="26"/>
      <c r="Q593" s="26"/>
      <c r="R593" s="26"/>
      <c r="S593" s="26"/>
      <c r="T593" s="27"/>
      <c r="U593" s="27"/>
      <c r="V593" s="26"/>
      <c r="W593" s="26"/>
      <c r="X593" s="26"/>
      <c r="Y593" s="27"/>
      <c r="Z593" s="27"/>
      <c r="AA593" s="27"/>
      <c r="AB593" s="27"/>
      <c r="AC593" s="26"/>
      <c r="AD593" s="27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</row>
    <row r="594" spans="3:46" ht="15.75" customHeight="1"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6"/>
      <c r="N594" s="27"/>
      <c r="O594" s="26"/>
      <c r="P594" s="26"/>
      <c r="Q594" s="26"/>
      <c r="R594" s="26"/>
      <c r="S594" s="26"/>
      <c r="T594" s="27"/>
      <c r="U594" s="27"/>
      <c r="V594" s="26"/>
      <c r="W594" s="26"/>
      <c r="X594" s="26"/>
      <c r="Y594" s="27"/>
      <c r="Z594" s="27"/>
      <c r="AA594" s="27"/>
      <c r="AB594" s="27"/>
      <c r="AC594" s="26"/>
      <c r="AD594" s="27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</row>
    <row r="595" spans="3:46" ht="15.75" customHeight="1"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6"/>
      <c r="N595" s="27"/>
      <c r="O595" s="26"/>
      <c r="P595" s="26"/>
      <c r="Q595" s="26"/>
      <c r="R595" s="26"/>
      <c r="S595" s="26"/>
      <c r="T595" s="27"/>
      <c r="U595" s="27"/>
      <c r="V595" s="26"/>
      <c r="W595" s="26"/>
      <c r="X595" s="26"/>
      <c r="Y595" s="27"/>
      <c r="Z595" s="27"/>
      <c r="AA595" s="27"/>
      <c r="AB595" s="27"/>
      <c r="AC595" s="26"/>
      <c r="AD595" s="27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</row>
    <row r="596" spans="3:46" ht="15.75" customHeight="1"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6"/>
      <c r="N596" s="27"/>
      <c r="O596" s="26"/>
      <c r="P596" s="26"/>
      <c r="Q596" s="26"/>
      <c r="R596" s="26"/>
      <c r="S596" s="26"/>
      <c r="T596" s="27"/>
      <c r="U596" s="27"/>
      <c r="V596" s="26"/>
      <c r="W596" s="26"/>
      <c r="X596" s="26"/>
      <c r="Y596" s="27"/>
      <c r="Z596" s="27"/>
      <c r="AA596" s="27"/>
      <c r="AB596" s="27"/>
      <c r="AC596" s="26"/>
      <c r="AD596" s="27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</row>
    <row r="597" spans="3:46" ht="15.75" customHeight="1"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6"/>
      <c r="N597" s="27"/>
      <c r="O597" s="26"/>
      <c r="P597" s="26"/>
      <c r="Q597" s="26"/>
      <c r="R597" s="26"/>
      <c r="S597" s="26"/>
      <c r="T597" s="27"/>
      <c r="U597" s="27"/>
      <c r="V597" s="26"/>
      <c r="W597" s="26"/>
      <c r="X597" s="26"/>
      <c r="Y597" s="27"/>
      <c r="Z597" s="27"/>
      <c r="AA597" s="27"/>
      <c r="AB597" s="27"/>
      <c r="AC597" s="26"/>
      <c r="AD597" s="27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</row>
    <row r="598" spans="3:46" ht="15.75" customHeight="1"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6"/>
      <c r="N598" s="27"/>
      <c r="O598" s="26"/>
      <c r="P598" s="26"/>
      <c r="Q598" s="26"/>
      <c r="R598" s="26"/>
      <c r="S598" s="26"/>
      <c r="T598" s="27"/>
      <c r="U598" s="27"/>
      <c r="V598" s="26"/>
      <c r="W598" s="26"/>
      <c r="X598" s="26"/>
      <c r="Y598" s="27"/>
      <c r="Z598" s="27"/>
      <c r="AA598" s="27"/>
      <c r="AB598" s="27"/>
      <c r="AC598" s="26"/>
      <c r="AD598" s="27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</row>
    <row r="599" spans="3:46" ht="15.75" customHeight="1"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6"/>
      <c r="N599" s="27"/>
      <c r="O599" s="26"/>
      <c r="P599" s="26"/>
      <c r="Q599" s="26"/>
      <c r="R599" s="26"/>
      <c r="S599" s="26"/>
      <c r="T599" s="27"/>
      <c r="U599" s="27"/>
      <c r="V599" s="26"/>
      <c r="W599" s="26"/>
      <c r="X599" s="26"/>
      <c r="Y599" s="27"/>
      <c r="Z599" s="27"/>
      <c r="AA599" s="27"/>
      <c r="AB599" s="27"/>
      <c r="AC599" s="26"/>
      <c r="AD599" s="27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</row>
    <row r="600" spans="3:46" ht="15.75" customHeight="1"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6"/>
      <c r="N600" s="27"/>
      <c r="O600" s="26"/>
      <c r="P600" s="26"/>
      <c r="Q600" s="26"/>
      <c r="R600" s="26"/>
      <c r="S600" s="26"/>
      <c r="T600" s="27"/>
      <c r="U600" s="27"/>
      <c r="V600" s="26"/>
      <c r="W600" s="26"/>
      <c r="X600" s="26"/>
      <c r="Y600" s="27"/>
      <c r="Z600" s="27"/>
      <c r="AA600" s="27"/>
      <c r="AB600" s="27"/>
      <c r="AC600" s="26"/>
      <c r="AD600" s="27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</row>
    <row r="601" spans="3:46" ht="15.75" customHeight="1"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6"/>
      <c r="N601" s="27"/>
      <c r="O601" s="26"/>
      <c r="P601" s="26"/>
      <c r="Q601" s="26"/>
      <c r="R601" s="26"/>
      <c r="S601" s="26"/>
      <c r="T601" s="27"/>
      <c r="U601" s="27"/>
      <c r="V601" s="26"/>
      <c r="W601" s="26"/>
      <c r="X601" s="26"/>
      <c r="Y601" s="27"/>
      <c r="Z601" s="27"/>
      <c r="AA601" s="27"/>
      <c r="AB601" s="27"/>
      <c r="AC601" s="26"/>
      <c r="AD601" s="27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</row>
    <row r="602" spans="3:46" ht="15.75" customHeight="1"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6"/>
      <c r="N602" s="27"/>
      <c r="O602" s="26"/>
      <c r="P602" s="26"/>
      <c r="Q602" s="26"/>
      <c r="R602" s="26"/>
      <c r="S602" s="26"/>
      <c r="T602" s="27"/>
      <c r="U602" s="27"/>
      <c r="V602" s="26"/>
      <c r="W602" s="26"/>
      <c r="X602" s="26"/>
      <c r="Y602" s="27"/>
      <c r="Z602" s="27"/>
      <c r="AA602" s="27"/>
      <c r="AB602" s="27"/>
      <c r="AC602" s="26"/>
      <c r="AD602" s="27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</row>
    <row r="603" spans="3:46" ht="15.75" customHeight="1"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6"/>
      <c r="N603" s="27"/>
      <c r="O603" s="26"/>
      <c r="P603" s="26"/>
      <c r="Q603" s="26"/>
      <c r="R603" s="26"/>
      <c r="S603" s="26"/>
      <c r="T603" s="27"/>
      <c r="U603" s="27"/>
      <c r="V603" s="26"/>
      <c r="W603" s="26"/>
      <c r="X603" s="26"/>
      <c r="Y603" s="27"/>
      <c r="Z603" s="27"/>
      <c r="AA603" s="27"/>
      <c r="AB603" s="27"/>
      <c r="AC603" s="26"/>
      <c r="AD603" s="27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</row>
    <row r="604" spans="3:46" ht="15.75" customHeight="1"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6"/>
      <c r="N604" s="27"/>
      <c r="O604" s="26"/>
      <c r="P604" s="26"/>
      <c r="Q604" s="26"/>
      <c r="R604" s="26"/>
      <c r="S604" s="26"/>
      <c r="T604" s="27"/>
      <c r="U604" s="27"/>
      <c r="V604" s="26"/>
      <c r="W604" s="26"/>
      <c r="X604" s="26"/>
      <c r="Y604" s="27"/>
      <c r="Z604" s="27"/>
      <c r="AA604" s="27"/>
      <c r="AB604" s="27"/>
      <c r="AC604" s="26"/>
      <c r="AD604" s="27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</row>
    <row r="605" spans="3:46" ht="15.75" customHeight="1"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6"/>
      <c r="N605" s="27"/>
      <c r="O605" s="26"/>
      <c r="P605" s="26"/>
      <c r="Q605" s="26"/>
      <c r="R605" s="26"/>
      <c r="S605" s="26"/>
      <c r="T605" s="27"/>
      <c r="U605" s="27"/>
      <c r="V605" s="26"/>
      <c r="W605" s="26"/>
      <c r="X605" s="26"/>
      <c r="Y605" s="27"/>
      <c r="Z605" s="27"/>
      <c r="AA605" s="27"/>
      <c r="AB605" s="27"/>
      <c r="AC605" s="26"/>
      <c r="AD605" s="27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</row>
    <row r="606" spans="3:46" ht="15.75" customHeight="1"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6"/>
      <c r="N606" s="27"/>
      <c r="O606" s="26"/>
      <c r="P606" s="26"/>
      <c r="Q606" s="26"/>
      <c r="R606" s="26"/>
      <c r="S606" s="26"/>
      <c r="T606" s="27"/>
      <c r="U606" s="27"/>
      <c r="V606" s="26"/>
      <c r="W606" s="26"/>
      <c r="X606" s="26"/>
      <c r="Y606" s="27"/>
      <c r="Z606" s="27"/>
      <c r="AA606" s="27"/>
      <c r="AB606" s="27"/>
      <c r="AC606" s="26"/>
      <c r="AD606" s="27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</row>
    <row r="607" spans="3:46" ht="15.75" customHeight="1"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6"/>
      <c r="N607" s="27"/>
      <c r="O607" s="26"/>
      <c r="P607" s="26"/>
      <c r="Q607" s="26"/>
      <c r="R607" s="26"/>
      <c r="S607" s="26"/>
      <c r="T607" s="27"/>
      <c r="U607" s="27"/>
      <c r="V607" s="26"/>
      <c r="W607" s="26"/>
      <c r="X607" s="26"/>
      <c r="Y607" s="27"/>
      <c r="Z607" s="27"/>
      <c r="AA607" s="27"/>
      <c r="AB607" s="27"/>
      <c r="AC607" s="26"/>
      <c r="AD607" s="27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</row>
    <row r="608" spans="3:46" ht="15.75" customHeight="1"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6"/>
      <c r="N608" s="27"/>
      <c r="O608" s="26"/>
      <c r="P608" s="26"/>
      <c r="Q608" s="26"/>
      <c r="R608" s="26"/>
      <c r="S608" s="26"/>
      <c r="T608" s="27"/>
      <c r="U608" s="27"/>
      <c r="V608" s="26"/>
      <c r="W608" s="26"/>
      <c r="X608" s="26"/>
      <c r="Y608" s="27"/>
      <c r="Z608" s="27"/>
      <c r="AA608" s="27"/>
      <c r="AB608" s="27"/>
      <c r="AC608" s="26"/>
      <c r="AD608" s="27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</row>
    <row r="609" spans="3:46" ht="15.75" customHeight="1"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6"/>
      <c r="N609" s="27"/>
      <c r="O609" s="26"/>
      <c r="P609" s="26"/>
      <c r="Q609" s="26"/>
      <c r="R609" s="26"/>
      <c r="S609" s="26"/>
      <c r="T609" s="27"/>
      <c r="U609" s="27"/>
      <c r="V609" s="26"/>
      <c r="W609" s="26"/>
      <c r="X609" s="26"/>
      <c r="Y609" s="27"/>
      <c r="Z609" s="27"/>
      <c r="AA609" s="27"/>
      <c r="AB609" s="27"/>
      <c r="AC609" s="26"/>
      <c r="AD609" s="27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</row>
    <row r="610" spans="3:46" ht="15.75" customHeight="1"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6"/>
      <c r="N610" s="27"/>
      <c r="O610" s="26"/>
      <c r="P610" s="26"/>
      <c r="Q610" s="26"/>
      <c r="R610" s="26"/>
      <c r="S610" s="26"/>
      <c r="T610" s="27"/>
      <c r="U610" s="27"/>
      <c r="V610" s="26"/>
      <c r="W610" s="26"/>
      <c r="X610" s="26"/>
      <c r="Y610" s="27"/>
      <c r="Z610" s="27"/>
      <c r="AA610" s="27"/>
      <c r="AB610" s="27"/>
      <c r="AC610" s="26"/>
      <c r="AD610" s="27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</row>
    <row r="611" spans="3:46" ht="15.75" customHeight="1"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6"/>
      <c r="N611" s="27"/>
      <c r="O611" s="26"/>
      <c r="P611" s="26"/>
      <c r="Q611" s="26"/>
      <c r="R611" s="26"/>
      <c r="S611" s="26"/>
      <c r="T611" s="27"/>
      <c r="U611" s="27"/>
      <c r="V611" s="26"/>
      <c r="W611" s="26"/>
      <c r="X611" s="26"/>
      <c r="Y611" s="27"/>
      <c r="Z611" s="27"/>
      <c r="AA611" s="27"/>
      <c r="AB611" s="27"/>
      <c r="AC611" s="26"/>
      <c r="AD611" s="27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</row>
    <row r="612" spans="3:46" ht="15.75" customHeight="1"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6"/>
      <c r="N612" s="27"/>
      <c r="O612" s="26"/>
      <c r="P612" s="26"/>
      <c r="Q612" s="26"/>
      <c r="R612" s="26"/>
      <c r="S612" s="26"/>
      <c r="T612" s="27"/>
      <c r="U612" s="27"/>
      <c r="V612" s="26"/>
      <c r="W612" s="26"/>
      <c r="X612" s="26"/>
      <c r="Y612" s="27"/>
      <c r="Z612" s="27"/>
      <c r="AA612" s="27"/>
      <c r="AB612" s="27"/>
      <c r="AC612" s="26"/>
      <c r="AD612" s="27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</row>
    <row r="613" spans="3:46" ht="15.75" customHeight="1"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6"/>
      <c r="N613" s="27"/>
      <c r="O613" s="26"/>
      <c r="P613" s="26"/>
      <c r="Q613" s="26"/>
      <c r="R613" s="26"/>
      <c r="S613" s="26"/>
      <c r="T613" s="27"/>
      <c r="U613" s="27"/>
      <c r="V613" s="26"/>
      <c r="W613" s="26"/>
      <c r="X613" s="26"/>
      <c r="Y613" s="27"/>
      <c r="Z613" s="27"/>
      <c r="AA613" s="27"/>
      <c r="AB613" s="27"/>
      <c r="AC613" s="26"/>
      <c r="AD613" s="27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</row>
    <row r="614" spans="3:46" ht="15.75" customHeight="1"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6"/>
      <c r="N614" s="27"/>
      <c r="O614" s="26"/>
      <c r="P614" s="26"/>
      <c r="Q614" s="26"/>
      <c r="R614" s="26"/>
      <c r="S614" s="26"/>
      <c r="T614" s="27"/>
      <c r="U614" s="27"/>
      <c r="V614" s="26"/>
      <c r="W614" s="26"/>
      <c r="X614" s="26"/>
      <c r="Y614" s="27"/>
      <c r="Z614" s="27"/>
      <c r="AA614" s="27"/>
      <c r="AB614" s="27"/>
      <c r="AC614" s="26"/>
      <c r="AD614" s="27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</row>
    <row r="615" spans="3:46" ht="15.75" customHeight="1"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6"/>
      <c r="N615" s="27"/>
      <c r="O615" s="26"/>
      <c r="P615" s="26"/>
      <c r="Q615" s="26"/>
      <c r="R615" s="26"/>
      <c r="S615" s="26"/>
      <c r="T615" s="27"/>
      <c r="U615" s="27"/>
      <c r="V615" s="26"/>
      <c r="W615" s="26"/>
      <c r="X615" s="26"/>
      <c r="Y615" s="27"/>
      <c r="Z615" s="27"/>
      <c r="AA615" s="27"/>
      <c r="AB615" s="27"/>
      <c r="AC615" s="26"/>
      <c r="AD615" s="27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</row>
    <row r="616" spans="3:46" ht="15.75" customHeight="1"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6"/>
      <c r="N616" s="27"/>
      <c r="O616" s="26"/>
      <c r="P616" s="26"/>
      <c r="Q616" s="26"/>
      <c r="R616" s="26"/>
      <c r="S616" s="26"/>
      <c r="T616" s="27"/>
      <c r="U616" s="27"/>
      <c r="V616" s="26"/>
      <c r="W616" s="26"/>
      <c r="X616" s="26"/>
      <c r="Y616" s="27"/>
      <c r="Z616" s="27"/>
      <c r="AA616" s="27"/>
      <c r="AB616" s="27"/>
      <c r="AC616" s="26"/>
      <c r="AD616" s="27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</row>
    <row r="617" spans="3:46" ht="15.75" customHeight="1"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6"/>
      <c r="N617" s="27"/>
      <c r="O617" s="26"/>
      <c r="P617" s="26"/>
      <c r="Q617" s="26"/>
      <c r="R617" s="26"/>
      <c r="S617" s="26"/>
      <c r="T617" s="27"/>
      <c r="U617" s="27"/>
      <c r="V617" s="26"/>
      <c r="W617" s="26"/>
      <c r="X617" s="26"/>
      <c r="Y617" s="27"/>
      <c r="Z617" s="27"/>
      <c r="AA617" s="27"/>
      <c r="AB617" s="27"/>
      <c r="AC617" s="26"/>
      <c r="AD617" s="27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</row>
    <row r="618" spans="3:46" ht="15.75" customHeight="1"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6"/>
      <c r="N618" s="27"/>
      <c r="O618" s="26"/>
      <c r="P618" s="26"/>
      <c r="Q618" s="26"/>
      <c r="R618" s="26"/>
      <c r="S618" s="26"/>
      <c r="T618" s="27"/>
      <c r="U618" s="27"/>
      <c r="V618" s="26"/>
      <c r="W618" s="26"/>
      <c r="X618" s="26"/>
      <c r="Y618" s="27"/>
      <c r="Z618" s="27"/>
      <c r="AA618" s="27"/>
      <c r="AB618" s="27"/>
      <c r="AC618" s="26"/>
      <c r="AD618" s="27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</row>
    <row r="619" spans="3:46" ht="15.75" customHeight="1"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6"/>
      <c r="N619" s="27"/>
      <c r="O619" s="26"/>
      <c r="P619" s="26"/>
      <c r="Q619" s="26"/>
      <c r="R619" s="26"/>
      <c r="S619" s="26"/>
      <c r="T619" s="27"/>
      <c r="U619" s="27"/>
      <c r="V619" s="26"/>
      <c r="W619" s="26"/>
      <c r="X619" s="26"/>
      <c r="Y619" s="27"/>
      <c r="Z619" s="27"/>
      <c r="AA619" s="27"/>
      <c r="AB619" s="27"/>
      <c r="AC619" s="26"/>
      <c r="AD619" s="27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</row>
    <row r="620" spans="3:46" ht="15.75" customHeight="1"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6"/>
      <c r="N620" s="27"/>
      <c r="O620" s="26"/>
      <c r="P620" s="26"/>
      <c r="Q620" s="26"/>
      <c r="R620" s="26"/>
      <c r="S620" s="26"/>
      <c r="T620" s="27"/>
      <c r="U620" s="27"/>
      <c r="V620" s="26"/>
      <c r="W620" s="26"/>
      <c r="X620" s="26"/>
      <c r="Y620" s="27"/>
      <c r="Z620" s="27"/>
      <c r="AA620" s="27"/>
      <c r="AB620" s="27"/>
      <c r="AC620" s="26"/>
      <c r="AD620" s="27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</row>
    <row r="621" spans="3:46" ht="15.75" customHeight="1"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6"/>
      <c r="N621" s="27"/>
      <c r="O621" s="26"/>
      <c r="P621" s="26"/>
      <c r="Q621" s="26"/>
      <c r="R621" s="26"/>
      <c r="S621" s="26"/>
      <c r="T621" s="27"/>
      <c r="U621" s="27"/>
      <c r="V621" s="26"/>
      <c r="W621" s="26"/>
      <c r="X621" s="26"/>
      <c r="Y621" s="27"/>
      <c r="Z621" s="27"/>
      <c r="AA621" s="27"/>
      <c r="AB621" s="27"/>
      <c r="AC621" s="26"/>
      <c r="AD621" s="27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</row>
    <row r="622" spans="3:46" ht="15.75" customHeight="1"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6"/>
      <c r="N622" s="27"/>
      <c r="O622" s="26"/>
      <c r="P622" s="26"/>
      <c r="Q622" s="26"/>
      <c r="R622" s="26"/>
      <c r="S622" s="26"/>
      <c r="T622" s="27"/>
      <c r="U622" s="27"/>
      <c r="V622" s="26"/>
      <c r="W622" s="26"/>
      <c r="X622" s="26"/>
      <c r="Y622" s="27"/>
      <c r="Z622" s="27"/>
      <c r="AA622" s="27"/>
      <c r="AB622" s="27"/>
      <c r="AC622" s="26"/>
      <c r="AD622" s="27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</row>
    <row r="623" spans="3:46" ht="15.75" customHeight="1"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6"/>
      <c r="N623" s="27"/>
      <c r="O623" s="26"/>
      <c r="P623" s="26"/>
      <c r="Q623" s="26"/>
      <c r="R623" s="26"/>
      <c r="S623" s="26"/>
      <c r="T623" s="27"/>
      <c r="U623" s="27"/>
      <c r="V623" s="26"/>
      <c r="W623" s="26"/>
      <c r="X623" s="26"/>
      <c r="Y623" s="27"/>
      <c r="Z623" s="27"/>
      <c r="AA623" s="27"/>
      <c r="AB623" s="27"/>
      <c r="AC623" s="26"/>
      <c r="AD623" s="27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</row>
    <row r="624" spans="3:46" ht="15.75" customHeight="1"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6"/>
      <c r="N624" s="27"/>
      <c r="O624" s="26"/>
      <c r="P624" s="26"/>
      <c r="Q624" s="26"/>
      <c r="R624" s="26"/>
      <c r="S624" s="26"/>
      <c r="T624" s="27"/>
      <c r="U624" s="27"/>
      <c r="V624" s="26"/>
      <c r="W624" s="26"/>
      <c r="X624" s="26"/>
      <c r="Y624" s="27"/>
      <c r="Z624" s="27"/>
      <c r="AA624" s="27"/>
      <c r="AB624" s="27"/>
      <c r="AC624" s="26"/>
      <c r="AD624" s="27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</row>
    <row r="625" spans="3:46" ht="15.75" customHeight="1"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6"/>
      <c r="N625" s="27"/>
      <c r="O625" s="26"/>
      <c r="P625" s="26"/>
      <c r="Q625" s="26"/>
      <c r="R625" s="26"/>
      <c r="S625" s="26"/>
      <c r="T625" s="27"/>
      <c r="U625" s="27"/>
      <c r="V625" s="26"/>
      <c r="W625" s="26"/>
      <c r="X625" s="26"/>
      <c r="Y625" s="27"/>
      <c r="Z625" s="27"/>
      <c r="AA625" s="27"/>
      <c r="AB625" s="27"/>
      <c r="AC625" s="26"/>
      <c r="AD625" s="27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</row>
    <row r="626" spans="3:46" ht="15.75" customHeight="1"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6"/>
      <c r="N626" s="27"/>
      <c r="O626" s="26"/>
      <c r="P626" s="26"/>
      <c r="Q626" s="26"/>
      <c r="R626" s="26"/>
      <c r="S626" s="26"/>
      <c r="T626" s="27"/>
      <c r="U626" s="27"/>
      <c r="V626" s="26"/>
      <c r="W626" s="26"/>
      <c r="X626" s="26"/>
      <c r="Y626" s="27"/>
      <c r="Z626" s="27"/>
      <c r="AA626" s="27"/>
      <c r="AB626" s="27"/>
      <c r="AC626" s="26"/>
      <c r="AD626" s="27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</row>
    <row r="627" spans="3:46" ht="15.75" customHeight="1"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6"/>
      <c r="N627" s="27"/>
      <c r="O627" s="26"/>
      <c r="P627" s="26"/>
      <c r="Q627" s="26"/>
      <c r="R627" s="26"/>
      <c r="S627" s="26"/>
      <c r="T627" s="27"/>
      <c r="U627" s="27"/>
      <c r="V627" s="26"/>
      <c r="W627" s="26"/>
      <c r="X627" s="26"/>
      <c r="Y627" s="27"/>
      <c r="Z627" s="27"/>
      <c r="AA627" s="27"/>
      <c r="AB627" s="27"/>
      <c r="AC627" s="26"/>
      <c r="AD627" s="27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</row>
    <row r="628" spans="3:46" ht="15.75" customHeight="1"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6"/>
      <c r="N628" s="27"/>
      <c r="O628" s="26"/>
      <c r="P628" s="26"/>
      <c r="Q628" s="26"/>
      <c r="R628" s="26"/>
      <c r="S628" s="26"/>
      <c r="T628" s="27"/>
      <c r="U628" s="27"/>
      <c r="V628" s="26"/>
      <c r="W628" s="26"/>
      <c r="X628" s="26"/>
      <c r="Y628" s="27"/>
      <c r="Z628" s="27"/>
      <c r="AA628" s="27"/>
      <c r="AB628" s="27"/>
      <c r="AC628" s="26"/>
      <c r="AD628" s="27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</row>
    <row r="629" spans="3:46" ht="15.75" customHeight="1"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6"/>
      <c r="N629" s="27"/>
      <c r="O629" s="26"/>
      <c r="P629" s="26"/>
      <c r="Q629" s="26"/>
      <c r="R629" s="26"/>
      <c r="S629" s="26"/>
      <c r="T629" s="27"/>
      <c r="U629" s="27"/>
      <c r="V629" s="26"/>
      <c r="W629" s="26"/>
      <c r="X629" s="26"/>
      <c r="Y629" s="27"/>
      <c r="Z629" s="27"/>
      <c r="AA629" s="27"/>
      <c r="AB629" s="27"/>
      <c r="AC629" s="26"/>
      <c r="AD629" s="27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</row>
    <row r="630" spans="3:46" ht="15.75" customHeight="1"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6"/>
      <c r="N630" s="27"/>
      <c r="O630" s="26"/>
      <c r="P630" s="26"/>
      <c r="Q630" s="26"/>
      <c r="R630" s="26"/>
      <c r="S630" s="26"/>
      <c r="T630" s="27"/>
      <c r="U630" s="27"/>
      <c r="V630" s="26"/>
      <c r="W630" s="26"/>
      <c r="X630" s="26"/>
      <c r="Y630" s="27"/>
      <c r="Z630" s="27"/>
      <c r="AA630" s="27"/>
      <c r="AB630" s="27"/>
      <c r="AC630" s="26"/>
      <c r="AD630" s="27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</row>
    <row r="631" spans="3:46" ht="15.75" customHeight="1"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6"/>
      <c r="N631" s="27"/>
      <c r="O631" s="26"/>
      <c r="P631" s="26"/>
      <c r="Q631" s="26"/>
      <c r="R631" s="26"/>
      <c r="S631" s="26"/>
      <c r="T631" s="27"/>
      <c r="U631" s="27"/>
      <c r="V631" s="26"/>
      <c r="W631" s="26"/>
      <c r="X631" s="26"/>
      <c r="Y631" s="27"/>
      <c r="Z631" s="27"/>
      <c r="AA631" s="27"/>
      <c r="AB631" s="27"/>
      <c r="AC631" s="26"/>
      <c r="AD631" s="27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</row>
    <row r="632" spans="3:46" ht="15.75" customHeight="1"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6"/>
      <c r="N632" s="27"/>
      <c r="O632" s="26"/>
      <c r="P632" s="26"/>
      <c r="Q632" s="26"/>
      <c r="R632" s="26"/>
      <c r="S632" s="26"/>
      <c r="T632" s="27"/>
      <c r="U632" s="27"/>
      <c r="V632" s="26"/>
      <c r="W632" s="26"/>
      <c r="X632" s="26"/>
      <c r="Y632" s="27"/>
      <c r="Z632" s="27"/>
      <c r="AA632" s="27"/>
      <c r="AB632" s="27"/>
      <c r="AC632" s="26"/>
      <c r="AD632" s="27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</row>
    <row r="633" spans="3:46" ht="15.75" customHeight="1"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6"/>
      <c r="N633" s="27"/>
      <c r="O633" s="26"/>
      <c r="P633" s="26"/>
      <c r="Q633" s="26"/>
      <c r="R633" s="26"/>
      <c r="S633" s="26"/>
      <c r="T633" s="27"/>
      <c r="U633" s="27"/>
      <c r="V633" s="26"/>
      <c r="W633" s="26"/>
      <c r="X633" s="26"/>
      <c r="Y633" s="27"/>
      <c r="Z633" s="27"/>
      <c r="AA633" s="27"/>
      <c r="AB633" s="27"/>
      <c r="AC633" s="26"/>
      <c r="AD633" s="27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</row>
    <row r="634" spans="3:46" ht="15.75" customHeight="1"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6"/>
      <c r="N634" s="27"/>
      <c r="O634" s="26"/>
      <c r="P634" s="26"/>
      <c r="Q634" s="26"/>
      <c r="R634" s="26"/>
      <c r="S634" s="26"/>
      <c r="T634" s="27"/>
      <c r="U634" s="27"/>
      <c r="V634" s="26"/>
      <c r="W634" s="26"/>
      <c r="X634" s="26"/>
      <c r="Y634" s="27"/>
      <c r="Z634" s="27"/>
      <c r="AA634" s="27"/>
      <c r="AB634" s="27"/>
      <c r="AC634" s="26"/>
      <c r="AD634" s="27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</row>
    <row r="635" spans="3:46" ht="15.75" customHeight="1"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6"/>
      <c r="N635" s="27"/>
      <c r="O635" s="26"/>
      <c r="P635" s="26"/>
      <c r="Q635" s="26"/>
      <c r="R635" s="26"/>
      <c r="S635" s="26"/>
      <c r="T635" s="27"/>
      <c r="U635" s="27"/>
      <c r="V635" s="26"/>
      <c r="W635" s="26"/>
      <c r="X635" s="26"/>
      <c r="Y635" s="27"/>
      <c r="Z635" s="27"/>
      <c r="AA635" s="27"/>
      <c r="AB635" s="27"/>
      <c r="AC635" s="26"/>
      <c r="AD635" s="27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</row>
    <row r="636" spans="3:46" ht="15.75" customHeight="1"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6"/>
      <c r="N636" s="27"/>
      <c r="O636" s="26"/>
      <c r="P636" s="26"/>
      <c r="Q636" s="26"/>
      <c r="R636" s="26"/>
      <c r="S636" s="26"/>
      <c r="T636" s="27"/>
      <c r="U636" s="27"/>
      <c r="V636" s="26"/>
      <c r="W636" s="26"/>
      <c r="X636" s="26"/>
      <c r="Y636" s="27"/>
      <c r="Z636" s="27"/>
      <c r="AA636" s="27"/>
      <c r="AB636" s="27"/>
      <c r="AC636" s="26"/>
      <c r="AD636" s="27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</row>
    <row r="637" spans="3:46" ht="15.75" customHeight="1"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6"/>
      <c r="N637" s="27"/>
      <c r="O637" s="26"/>
      <c r="P637" s="26"/>
      <c r="Q637" s="26"/>
      <c r="R637" s="26"/>
      <c r="S637" s="26"/>
      <c r="T637" s="27"/>
      <c r="U637" s="27"/>
      <c r="V637" s="26"/>
      <c r="W637" s="26"/>
      <c r="X637" s="26"/>
      <c r="Y637" s="27"/>
      <c r="Z637" s="27"/>
      <c r="AA637" s="27"/>
      <c r="AB637" s="27"/>
      <c r="AC637" s="26"/>
      <c r="AD637" s="27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</row>
    <row r="638" spans="3:46" ht="15.75" customHeight="1"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6"/>
      <c r="N638" s="27"/>
      <c r="O638" s="26"/>
      <c r="P638" s="26"/>
      <c r="Q638" s="26"/>
      <c r="R638" s="26"/>
      <c r="S638" s="26"/>
      <c r="T638" s="27"/>
      <c r="U638" s="27"/>
      <c r="V638" s="26"/>
      <c r="W638" s="26"/>
      <c r="X638" s="26"/>
      <c r="Y638" s="27"/>
      <c r="Z638" s="27"/>
      <c r="AA638" s="27"/>
      <c r="AB638" s="27"/>
      <c r="AC638" s="26"/>
      <c r="AD638" s="27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</row>
    <row r="639" spans="3:46" ht="15.75" customHeight="1"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6"/>
      <c r="N639" s="27"/>
      <c r="O639" s="26"/>
      <c r="P639" s="26"/>
      <c r="Q639" s="26"/>
      <c r="R639" s="26"/>
      <c r="S639" s="26"/>
      <c r="T639" s="27"/>
      <c r="U639" s="27"/>
      <c r="V639" s="26"/>
      <c r="W639" s="26"/>
      <c r="X639" s="26"/>
      <c r="Y639" s="27"/>
      <c r="Z639" s="27"/>
      <c r="AA639" s="27"/>
      <c r="AB639" s="27"/>
      <c r="AC639" s="26"/>
      <c r="AD639" s="27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</row>
    <row r="640" spans="3:46" ht="15.75" customHeight="1"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6"/>
      <c r="N640" s="27"/>
      <c r="O640" s="26"/>
      <c r="P640" s="26"/>
      <c r="Q640" s="26"/>
      <c r="R640" s="26"/>
      <c r="S640" s="26"/>
      <c r="T640" s="27"/>
      <c r="U640" s="27"/>
      <c r="V640" s="26"/>
      <c r="W640" s="26"/>
      <c r="X640" s="26"/>
      <c r="Y640" s="27"/>
      <c r="Z640" s="27"/>
      <c r="AA640" s="27"/>
      <c r="AB640" s="27"/>
      <c r="AC640" s="26"/>
      <c r="AD640" s="27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</row>
    <row r="641" spans="3:46" ht="15.75" customHeight="1"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6"/>
      <c r="N641" s="27"/>
      <c r="O641" s="26"/>
      <c r="P641" s="26"/>
      <c r="Q641" s="26"/>
      <c r="R641" s="26"/>
      <c r="S641" s="26"/>
      <c r="T641" s="27"/>
      <c r="U641" s="27"/>
      <c r="V641" s="26"/>
      <c r="W641" s="26"/>
      <c r="X641" s="26"/>
      <c r="Y641" s="27"/>
      <c r="Z641" s="27"/>
      <c r="AA641" s="27"/>
      <c r="AB641" s="27"/>
      <c r="AC641" s="26"/>
      <c r="AD641" s="27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</row>
    <row r="642" spans="3:46" ht="15.75" customHeight="1"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6"/>
      <c r="N642" s="27"/>
      <c r="O642" s="26"/>
      <c r="P642" s="26"/>
      <c r="Q642" s="26"/>
      <c r="R642" s="26"/>
      <c r="S642" s="26"/>
      <c r="T642" s="27"/>
      <c r="U642" s="27"/>
      <c r="V642" s="26"/>
      <c r="W642" s="26"/>
      <c r="X642" s="26"/>
      <c r="Y642" s="27"/>
      <c r="Z642" s="27"/>
      <c r="AA642" s="27"/>
      <c r="AB642" s="27"/>
      <c r="AC642" s="26"/>
      <c r="AD642" s="27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</row>
    <row r="643" spans="3:46" ht="15.75" customHeight="1"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6"/>
      <c r="N643" s="27"/>
      <c r="O643" s="26"/>
      <c r="P643" s="26"/>
      <c r="Q643" s="26"/>
      <c r="R643" s="26"/>
      <c r="S643" s="26"/>
      <c r="T643" s="27"/>
      <c r="U643" s="27"/>
      <c r="V643" s="26"/>
      <c r="W643" s="26"/>
      <c r="X643" s="26"/>
      <c r="Y643" s="27"/>
      <c r="Z643" s="27"/>
      <c r="AA643" s="27"/>
      <c r="AB643" s="27"/>
      <c r="AC643" s="26"/>
      <c r="AD643" s="27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</row>
    <row r="644" spans="3:46" ht="15.75" customHeight="1"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6"/>
      <c r="N644" s="27"/>
      <c r="O644" s="26"/>
      <c r="P644" s="26"/>
      <c r="Q644" s="26"/>
      <c r="R644" s="26"/>
      <c r="S644" s="26"/>
      <c r="T644" s="27"/>
      <c r="U644" s="27"/>
      <c r="V644" s="26"/>
      <c r="W644" s="26"/>
      <c r="X644" s="26"/>
      <c r="Y644" s="27"/>
      <c r="Z644" s="27"/>
      <c r="AA644" s="27"/>
      <c r="AB644" s="27"/>
      <c r="AC644" s="26"/>
      <c r="AD644" s="27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</row>
    <row r="645" spans="3:46" ht="15.75" customHeight="1"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6"/>
      <c r="N645" s="27"/>
      <c r="O645" s="26"/>
      <c r="P645" s="26"/>
      <c r="Q645" s="26"/>
      <c r="R645" s="26"/>
      <c r="S645" s="26"/>
      <c r="T645" s="27"/>
      <c r="U645" s="27"/>
      <c r="V645" s="26"/>
      <c r="W645" s="26"/>
      <c r="X645" s="26"/>
      <c r="Y645" s="27"/>
      <c r="Z645" s="27"/>
      <c r="AA645" s="27"/>
      <c r="AB645" s="27"/>
      <c r="AC645" s="26"/>
      <c r="AD645" s="27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</row>
    <row r="646" spans="3:46" ht="15.75" customHeight="1"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6"/>
      <c r="N646" s="27"/>
      <c r="O646" s="26"/>
      <c r="P646" s="26"/>
      <c r="Q646" s="26"/>
      <c r="R646" s="26"/>
      <c r="S646" s="26"/>
      <c r="T646" s="27"/>
      <c r="U646" s="27"/>
      <c r="V646" s="26"/>
      <c r="W646" s="26"/>
      <c r="X646" s="26"/>
      <c r="Y646" s="27"/>
      <c r="Z646" s="27"/>
      <c r="AA646" s="27"/>
      <c r="AB646" s="27"/>
      <c r="AC646" s="26"/>
      <c r="AD646" s="27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</row>
    <row r="647" spans="3:46" ht="15.75" customHeight="1"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6"/>
      <c r="N647" s="27"/>
      <c r="O647" s="26"/>
      <c r="P647" s="26"/>
      <c r="Q647" s="26"/>
      <c r="R647" s="26"/>
      <c r="S647" s="26"/>
      <c r="T647" s="27"/>
      <c r="U647" s="27"/>
      <c r="V647" s="26"/>
      <c r="W647" s="26"/>
      <c r="X647" s="26"/>
      <c r="Y647" s="27"/>
      <c r="Z647" s="27"/>
      <c r="AA647" s="27"/>
      <c r="AB647" s="27"/>
      <c r="AC647" s="26"/>
      <c r="AD647" s="27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</row>
    <row r="648" spans="3:46" ht="15.75" customHeight="1"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6"/>
      <c r="N648" s="27"/>
      <c r="O648" s="26"/>
      <c r="P648" s="26"/>
      <c r="Q648" s="26"/>
      <c r="R648" s="26"/>
      <c r="S648" s="26"/>
      <c r="T648" s="27"/>
      <c r="U648" s="27"/>
      <c r="V648" s="26"/>
      <c r="W648" s="26"/>
      <c r="X648" s="26"/>
      <c r="Y648" s="27"/>
      <c r="Z648" s="27"/>
      <c r="AA648" s="27"/>
      <c r="AB648" s="27"/>
      <c r="AC648" s="26"/>
      <c r="AD648" s="27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</row>
    <row r="649" spans="3:46" ht="15.75" customHeight="1"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6"/>
      <c r="N649" s="27"/>
      <c r="O649" s="26"/>
      <c r="P649" s="26"/>
      <c r="Q649" s="26"/>
      <c r="R649" s="26"/>
      <c r="S649" s="26"/>
      <c r="T649" s="27"/>
      <c r="U649" s="27"/>
      <c r="V649" s="26"/>
      <c r="W649" s="26"/>
      <c r="X649" s="26"/>
      <c r="Y649" s="27"/>
      <c r="Z649" s="27"/>
      <c r="AA649" s="27"/>
      <c r="AB649" s="27"/>
      <c r="AC649" s="26"/>
      <c r="AD649" s="27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</row>
    <row r="650" spans="3:46" ht="15.75" customHeight="1"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6"/>
      <c r="N650" s="27"/>
      <c r="O650" s="26"/>
      <c r="P650" s="26"/>
      <c r="Q650" s="26"/>
      <c r="R650" s="26"/>
      <c r="S650" s="26"/>
      <c r="T650" s="27"/>
      <c r="U650" s="27"/>
      <c r="V650" s="26"/>
      <c r="W650" s="26"/>
      <c r="X650" s="26"/>
      <c r="Y650" s="27"/>
      <c r="Z650" s="27"/>
      <c r="AA650" s="27"/>
      <c r="AB650" s="27"/>
      <c r="AC650" s="26"/>
      <c r="AD650" s="27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</row>
    <row r="651" spans="3:46" ht="15.75" customHeight="1"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6"/>
      <c r="N651" s="27"/>
      <c r="O651" s="26"/>
      <c r="P651" s="26"/>
      <c r="Q651" s="26"/>
      <c r="R651" s="26"/>
      <c r="S651" s="26"/>
      <c r="T651" s="27"/>
      <c r="U651" s="27"/>
      <c r="V651" s="26"/>
      <c r="W651" s="26"/>
      <c r="X651" s="26"/>
      <c r="Y651" s="27"/>
      <c r="Z651" s="27"/>
      <c r="AA651" s="27"/>
      <c r="AB651" s="27"/>
      <c r="AC651" s="26"/>
      <c r="AD651" s="27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</row>
    <row r="652" spans="3:46" ht="15.75" customHeight="1"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6"/>
      <c r="N652" s="27"/>
      <c r="O652" s="26"/>
      <c r="P652" s="26"/>
      <c r="Q652" s="26"/>
      <c r="R652" s="26"/>
      <c r="S652" s="26"/>
      <c r="T652" s="27"/>
      <c r="U652" s="27"/>
      <c r="V652" s="26"/>
      <c r="W652" s="26"/>
      <c r="X652" s="26"/>
      <c r="Y652" s="27"/>
      <c r="Z652" s="27"/>
      <c r="AA652" s="27"/>
      <c r="AB652" s="27"/>
      <c r="AC652" s="26"/>
      <c r="AD652" s="27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</row>
    <row r="653" spans="3:46" ht="15.75" customHeight="1"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6"/>
      <c r="N653" s="27"/>
      <c r="O653" s="26"/>
      <c r="P653" s="26"/>
      <c r="Q653" s="26"/>
      <c r="R653" s="26"/>
      <c r="S653" s="26"/>
      <c r="T653" s="27"/>
      <c r="U653" s="27"/>
      <c r="V653" s="26"/>
      <c r="W653" s="26"/>
      <c r="X653" s="26"/>
      <c r="Y653" s="27"/>
      <c r="Z653" s="27"/>
      <c r="AA653" s="27"/>
      <c r="AB653" s="27"/>
      <c r="AC653" s="26"/>
      <c r="AD653" s="27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</row>
    <row r="654" spans="3:46" ht="15.75" customHeight="1"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6"/>
      <c r="N654" s="27"/>
      <c r="O654" s="26"/>
      <c r="P654" s="26"/>
      <c r="Q654" s="26"/>
      <c r="R654" s="26"/>
      <c r="S654" s="26"/>
      <c r="T654" s="27"/>
      <c r="U654" s="27"/>
      <c r="V654" s="26"/>
      <c r="W654" s="26"/>
      <c r="X654" s="26"/>
      <c r="Y654" s="27"/>
      <c r="Z654" s="27"/>
      <c r="AA654" s="27"/>
      <c r="AB654" s="27"/>
      <c r="AC654" s="26"/>
      <c r="AD654" s="27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</row>
    <row r="655" spans="3:46" ht="15.75" customHeight="1"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6"/>
      <c r="N655" s="27"/>
      <c r="O655" s="26"/>
      <c r="P655" s="26"/>
      <c r="Q655" s="26"/>
      <c r="R655" s="26"/>
      <c r="S655" s="26"/>
      <c r="T655" s="27"/>
      <c r="U655" s="27"/>
      <c r="V655" s="26"/>
      <c r="W655" s="26"/>
      <c r="X655" s="26"/>
      <c r="Y655" s="27"/>
      <c r="Z655" s="27"/>
      <c r="AA655" s="27"/>
      <c r="AB655" s="27"/>
      <c r="AC655" s="26"/>
      <c r="AD655" s="27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</row>
    <row r="656" spans="3:46" ht="15.75" customHeight="1"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6"/>
      <c r="N656" s="27"/>
      <c r="O656" s="26"/>
      <c r="P656" s="26"/>
      <c r="Q656" s="26"/>
      <c r="R656" s="26"/>
      <c r="S656" s="26"/>
      <c r="T656" s="27"/>
      <c r="U656" s="27"/>
      <c r="V656" s="26"/>
      <c r="W656" s="26"/>
      <c r="X656" s="26"/>
      <c r="Y656" s="27"/>
      <c r="Z656" s="27"/>
      <c r="AA656" s="27"/>
      <c r="AB656" s="27"/>
      <c r="AC656" s="26"/>
      <c r="AD656" s="27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</row>
    <row r="657" spans="3:46" ht="15.75" customHeight="1"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6"/>
      <c r="N657" s="27"/>
      <c r="O657" s="26"/>
      <c r="P657" s="26"/>
      <c r="Q657" s="26"/>
      <c r="R657" s="26"/>
      <c r="S657" s="26"/>
      <c r="T657" s="27"/>
      <c r="U657" s="27"/>
      <c r="V657" s="26"/>
      <c r="W657" s="26"/>
      <c r="X657" s="26"/>
      <c r="Y657" s="27"/>
      <c r="Z657" s="27"/>
      <c r="AA657" s="27"/>
      <c r="AB657" s="27"/>
      <c r="AC657" s="26"/>
      <c r="AD657" s="27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</row>
    <row r="658" spans="3:46" ht="15.75" customHeight="1"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6"/>
      <c r="N658" s="27"/>
      <c r="O658" s="26"/>
      <c r="P658" s="26"/>
      <c r="Q658" s="26"/>
      <c r="R658" s="26"/>
      <c r="S658" s="26"/>
      <c r="T658" s="27"/>
      <c r="U658" s="27"/>
      <c r="V658" s="26"/>
      <c r="W658" s="26"/>
      <c r="X658" s="26"/>
      <c r="Y658" s="27"/>
      <c r="Z658" s="27"/>
      <c r="AA658" s="27"/>
      <c r="AB658" s="27"/>
      <c r="AC658" s="26"/>
      <c r="AD658" s="27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</row>
    <row r="659" spans="3:46" ht="15.75" customHeight="1"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6"/>
      <c r="N659" s="27"/>
      <c r="O659" s="26"/>
      <c r="P659" s="26"/>
      <c r="Q659" s="26"/>
      <c r="R659" s="26"/>
      <c r="S659" s="26"/>
      <c r="T659" s="27"/>
      <c r="U659" s="27"/>
      <c r="V659" s="26"/>
      <c r="W659" s="26"/>
      <c r="X659" s="26"/>
      <c r="Y659" s="27"/>
      <c r="Z659" s="27"/>
      <c r="AA659" s="27"/>
      <c r="AB659" s="27"/>
      <c r="AC659" s="26"/>
      <c r="AD659" s="27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</row>
    <row r="660" spans="3:46" ht="15.75" customHeight="1"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6"/>
      <c r="N660" s="27"/>
      <c r="O660" s="26"/>
      <c r="P660" s="26"/>
      <c r="Q660" s="26"/>
      <c r="R660" s="26"/>
      <c r="S660" s="26"/>
      <c r="T660" s="27"/>
      <c r="U660" s="27"/>
      <c r="V660" s="26"/>
      <c r="W660" s="26"/>
      <c r="X660" s="26"/>
      <c r="Y660" s="27"/>
      <c r="Z660" s="27"/>
      <c r="AA660" s="27"/>
      <c r="AB660" s="27"/>
      <c r="AC660" s="26"/>
      <c r="AD660" s="27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</row>
    <row r="661" spans="3:46" ht="15.75" customHeight="1"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6"/>
      <c r="N661" s="27"/>
      <c r="O661" s="26"/>
      <c r="P661" s="26"/>
      <c r="Q661" s="26"/>
      <c r="R661" s="26"/>
      <c r="S661" s="26"/>
      <c r="T661" s="27"/>
      <c r="U661" s="27"/>
      <c r="V661" s="26"/>
      <c r="W661" s="26"/>
      <c r="X661" s="26"/>
      <c r="Y661" s="27"/>
      <c r="Z661" s="27"/>
      <c r="AA661" s="27"/>
      <c r="AB661" s="27"/>
      <c r="AC661" s="26"/>
      <c r="AD661" s="27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</row>
    <row r="662" spans="3:46" ht="15.75" customHeight="1"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6"/>
      <c r="N662" s="27"/>
      <c r="O662" s="26"/>
      <c r="P662" s="26"/>
      <c r="Q662" s="26"/>
      <c r="R662" s="26"/>
      <c r="S662" s="26"/>
      <c r="T662" s="27"/>
      <c r="U662" s="27"/>
      <c r="V662" s="26"/>
      <c r="W662" s="26"/>
      <c r="X662" s="26"/>
      <c r="Y662" s="27"/>
      <c r="Z662" s="27"/>
      <c r="AA662" s="27"/>
      <c r="AB662" s="27"/>
      <c r="AC662" s="26"/>
      <c r="AD662" s="27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</row>
    <row r="663" spans="3:46" ht="15.75" customHeight="1"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6"/>
      <c r="N663" s="27"/>
      <c r="O663" s="26"/>
      <c r="P663" s="26"/>
      <c r="Q663" s="26"/>
      <c r="R663" s="26"/>
      <c r="S663" s="26"/>
      <c r="T663" s="27"/>
      <c r="U663" s="27"/>
      <c r="V663" s="26"/>
      <c r="W663" s="26"/>
      <c r="X663" s="26"/>
      <c r="Y663" s="27"/>
      <c r="Z663" s="27"/>
      <c r="AA663" s="27"/>
      <c r="AB663" s="27"/>
      <c r="AC663" s="26"/>
      <c r="AD663" s="27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</row>
    <row r="664" spans="3:46" ht="15.75" customHeight="1"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6"/>
      <c r="N664" s="27"/>
      <c r="O664" s="26"/>
      <c r="P664" s="26"/>
      <c r="Q664" s="26"/>
      <c r="R664" s="26"/>
      <c r="S664" s="26"/>
      <c r="T664" s="27"/>
      <c r="U664" s="27"/>
      <c r="V664" s="26"/>
      <c r="W664" s="26"/>
      <c r="X664" s="26"/>
      <c r="Y664" s="27"/>
      <c r="Z664" s="27"/>
      <c r="AA664" s="27"/>
      <c r="AB664" s="27"/>
      <c r="AC664" s="26"/>
      <c r="AD664" s="27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</row>
    <row r="665" spans="3:46" ht="15.75" customHeight="1"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6"/>
      <c r="N665" s="27"/>
      <c r="O665" s="26"/>
      <c r="P665" s="26"/>
      <c r="Q665" s="26"/>
      <c r="R665" s="26"/>
      <c r="S665" s="26"/>
      <c r="T665" s="27"/>
      <c r="U665" s="27"/>
      <c r="V665" s="26"/>
      <c r="W665" s="26"/>
      <c r="X665" s="26"/>
      <c r="Y665" s="27"/>
      <c r="Z665" s="27"/>
      <c r="AA665" s="27"/>
      <c r="AB665" s="27"/>
      <c r="AC665" s="26"/>
      <c r="AD665" s="27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</row>
    <row r="666" spans="3:46" ht="15.75" customHeight="1"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6"/>
      <c r="N666" s="27"/>
      <c r="O666" s="26"/>
      <c r="P666" s="26"/>
      <c r="Q666" s="26"/>
      <c r="R666" s="26"/>
      <c r="S666" s="26"/>
      <c r="T666" s="27"/>
      <c r="U666" s="27"/>
      <c r="V666" s="26"/>
      <c r="W666" s="26"/>
      <c r="X666" s="26"/>
      <c r="Y666" s="27"/>
      <c r="Z666" s="27"/>
      <c r="AA666" s="27"/>
      <c r="AB666" s="27"/>
      <c r="AC666" s="26"/>
      <c r="AD666" s="27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</row>
    <row r="667" spans="3:46" ht="15.75" customHeight="1"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6"/>
      <c r="N667" s="27"/>
      <c r="O667" s="26"/>
      <c r="P667" s="26"/>
      <c r="Q667" s="26"/>
      <c r="R667" s="26"/>
      <c r="S667" s="26"/>
      <c r="T667" s="27"/>
      <c r="U667" s="27"/>
      <c r="V667" s="26"/>
      <c r="W667" s="26"/>
      <c r="X667" s="26"/>
      <c r="Y667" s="27"/>
      <c r="Z667" s="27"/>
      <c r="AA667" s="27"/>
      <c r="AB667" s="27"/>
      <c r="AC667" s="26"/>
      <c r="AD667" s="27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</row>
    <row r="668" spans="3:46" ht="15.75" customHeight="1"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6"/>
      <c r="N668" s="27"/>
      <c r="O668" s="26"/>
      <c r="P668" s="26"/>
      <c r="Q668" s="26"/>
      <c r="R668" s="26"/>
      <c r="S668" s="26"/>
      <c r="T668" s="27"/>
      <c r="U668" s="27"/>
      <c r="V668" s="26"/>
      <c r="W668" s="26"/>
      <c r="X668" s="26"/>
      <c r="Y668" s="27"/>
      <c r="Z668" s="27"/>
      <c r="AA668" s="27"/>
      <c r="AB668" s="27"/>
      <c r="AC668" s="26"/>
      <c r="AD668" s="27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</row>
    <row r="669" spans="3:46" ht="15.75" customHeight="1"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6"/>
      <c r="N669" s="27"/>
      <c r="O669" s="26"/>
      <c r="P669" s="26"/>
      <c r="Q669" s="26"/>
      <c r="R669" s="26"/>
      <c r="S669" s="26"/>
      <c r="T669" s="27"/>
      <c r="U669" s="27"/>
      <c r="V669" s="26"/>
      <c r="W669" s="26"/>
      <c r="X669" s="26"/>
      <c r="Y669" s="27"/>
      <c r="Z669" s="27"/>
      <c r="AA669" s="27"/>
      <c r="AB669" s="27"/>
      <c r="AC669" s="26"/>
      <c r="AD669" s="27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</row>
    <row r="670" spans="3:46" ht="15.75" customHeight="1"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6"/>
      <c r="N670" s="27"/>
      <c r="O670" s="26"/>
      <c r="P670" s="26"/>
      <c r="Q670" s="26"/>
      <c r="R670" s="26"/>
      <c r="S670" s="26"/>
      <c r="T670" s="27"/>
      <c r="U670" s="27"/>
      <c r="V670" s="26"/>
      <c r="W670" s="26"/>
      <c r="X670" s="26"/>
      <c r="Y670" s="27"/>
      <c r="Z670" s="27"/>
      <c r="AA670" s="27"/>
      <c r="AB670" s="27"/>
      <c r="AC670" s="26"/>
      <c r="AD670" s="27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</row>
    <row r="671" spans="3:46" ht="15.75" customHeight="1"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6"/>
      <c r="N671" s="27"/>
      <c r="O671" s="26"/>
      <c r="P671" s="26"/>
      <c r="Q671" s="26"/>
      <c r="R671" s="26"/>
      <c r="S671" s="26"/>
      <c r="T671" s="27"/>
      <c r="U671" s="27"/>
      <c r="V671" s="26"/>
      <c r="W671" s="26"/>
      <c r="X671" s="26"/>
      <c r="Y671" s="27"/>
      <c r="Z671" s="27"/>
      <c r="AA671" s="27"/>
      <c r="AB671" s="27"/>
      <c r="AC671" s="26"/>
      <c r="AD671" s="27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</row>
    <row r="672" spans="3:46" ht="15.75" customHeight="1"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6"/>
      <c r="N672" s="27"/>
      <c r="O672" s="26"/>
      <c r="P672" s="26"/>
      <c r="Q672" s="26"/>
      <c r="R672" s="26"/>
      <c r="S672" s="26"/>
      <c r="T672" s="27"/>
      <c r="U672" s="27"/>
      <c r="V672" s="26"/>
      <c r="W672" s="26"/>
      <c r="X672" s="26"/>
      <c r="Y672" s="27"/>
      <c r="Z672" s="27"/>
      <c r="AA672" s="27"/>
      <c r="AB672" s="27"/>
      <c r="AC672" s="26"/>
      <c r="AD672" s="27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</row>
    <row r="673" spans="3:46" ht="15.75" customHeight="1"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6"/>
      <c r="N673" s="27"/>
      <c r="O673" s="26"/>
      <c r="P673" s="26"/>
      <c r="Q673" s="26"/>
      <c r="R673" s="26"/>
      <c r="S673" s="26"/>
      <c r="T673" s="27"/>
      <c r="U673" s="27"/>
      <c r="V673" s="26"/>
      <c r="W673" s="26"/>
      <c r="X673" s="26"/>
      <c r="Y673" s="27"/>
      <c r="Z673" s="27"/>
      <c r="AA673" s="27"/>
      <c r="AB673" s="27"/>
      <c r="AC673" s="26"/>
      <c r="AD673" s="27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</row>
    <row r="674" spans="3:46" ht="15.75" customHeight="1"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6"/>
      <c r="N674" s="27"/>
      <c r="O674" s="26"/>
      <c r="P674" s="26"/>
      <c r="Q674" s="26"/>
      <c r="R674" s="26"/>
      <c r="S674" s="26"/>
      <c r="T674" s="27"/>
      <c r="U674" s="27"/>
      <c r="V674" s="26"/>
      <c r="W674" s="26"/>
      <c r="X674" s="26"/>
      <c r="Y674" s="27"/>
      <c r="Z674" s="27"/>
      <c r="AA674" s="27"/>
      <c r="AB674" s="27"/>
      <c r="AC674" s="26"/>
      <c r="AD674" s="27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</row>
    <row r="675" spans="3:46" ht="15.75" customHeight="1"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6"/>
      <c r="N675" s="27"/>
      <c r="O675" s="26"/>
      <c r="P675" s="26"/>
      <c r="Q675" s="26"/>
      <c r="R675" s="26"/>
      <c r="S675" s="26"/>
      <c r="T675" s="27"/>
      <c r="U675" s="27"/>
      <c r="V675" s="26"/>
      <c r="W675" s="26"/>
      <c r="X675" s="26"/>
      <c r="Y675" s="27"/>
      <c r="Z675" s="27"/>
      <c r="AA675" s="27"/>
      <c r="AB675" s="27"/>
      <c r="AC675" s="26"/>
      <c r="AD675" s="27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</row>
    <row r="676" spans="3:46" ht="15.75" customHeight="1"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6"/>
      <c r="N676" s="27"/>
      <c r="O676" s="26"/>
      <c r="P676" s="26"/>
      <c r="Q676" s="26"/>
      <c r="R676" s="26"/>
      <c r="S676" s="26"/>
      <c r="T676" s="27"/>
      <c r="U676" s="27"/>
      <c r="V676" s="26"/>
      <c r="W676" s="26"/>
      <c r="X676" s="26"/>
      <c r="Y676" s="27"/>
      <c r="Z676" s="27"/>
      <c r="AA676" s="27"/>
      <c r="AB676" s="27"/>
      <c r="AC676" s="26"/>
      <c r="AD676" s="27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</row>
    <row r="677" spans="3:46" ht="15.75" customHeight="1"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6"/>
      <c r="N677" s="27"/>
      <c r="O677" s="26"/>
      <c r="P677" s="26"/>
      <c r="Q677" s="26"/>
      <c r="R677" s="26"/>
      <c r="S677" s="26"/>
      <c r="T677" s="27"/>
      <c r="U677" s="27"/>
      <c r="V677" s="26"/>
      <c r="W677" s="26"/>
      <c r="X677" s="26"/>
      <c r="Y677" s="27"/>
      <c r="Z677" s="27"/>
      <c r="AA677" s="27"/>
      <c r="AB677" s="27"/>
      <c r="AC677" s="26"/>
      <c r="AD677" s="27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</row>
    <row r="678" spans="3:46" ht="15.75" customHeight="1"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6"/>
      <c r="N678" s="27"/>
      <c r="O678" s="26"/>
      <c r="P678" s="26"/>
      <c r="Q678" s="26"/>
      <c r="R678" s="26"/>
      <c r="S678" s="26"/>
      <c r="T678" s="27"/>
      <c r="U678" s="27"/>
      <c r="V678" s="26"/>
      <c r="W678" s="26"/>
      <c r="X678" s="26"/>
      <c r="Y678" s="27"/>
      <c r="Z678" s="27"/>
      <c r="AA678" s="27"/>
      <c r="AB678" s="27"/>
      <c r="AC678" s="26"/>
      <c r="AD678" s="27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</row>
    <row r="679" spans="3:46" ht="15.75" customHeight="1"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6"/>
      <c r="N679" s="27"/>
      <c r="O679" s="26"/>
      <c r="P679" s="26"/>
      <c r="Q679" s="26"/>
      <c r="R679" s="26"/>
      <c r="S679" s="26"/>
      <c r="T679" s="27"/>
      <c r="U679" s="27"/>
      <c r="V679" s="26"/>
      <c r="W679" s="26"/>
      <c r="X679" s="26"/>
      <c r="Y679" s="27"/>
      <c r="Z679" s="27"/>
      <c r="AA679" s="27"/>
      <c r="AB679" s="27"/>
      <c r="AC679" s="26"/>
      <c r="AD679" s="27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</row>
    <row r="680" spans="3:46" ht="15.75" customHeight="1"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6"/>
      <c r="N680" s="27"/>
      <c r="O680" s="26"/>
      <c r="P680" s="26"/>
      <c r="Q680" s="26"/>
      <c r="R680" s="26"/>
      <c r="S680" s="26"/>
      <c r="T680" s="27"/>
      <c r="U680" s="27"/>
      <c r="V680" s="26"/>
      <c r="W680" s="26"/>
      <c r="X680" s="26"/>
      <c r="Y680" s="27"/>
      <c r="Z680" s="27"/>
      <c r="AA680" s="27"/>
      <c r="AB680" s="27"/>
      <c r="AC680" s="26"/>
      <c r="AD680" s="27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</row>
    <row r="681" spans="3:46" ht="15.75" customHeight="1"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6"/>
      <c r="N681" s="27"/>
      <c r="O681" s="26"/>
      <c r="P681" s="26"/>
      <c r="Q681" s="26"/>
      <c r="R681" s="26"/>
      <c r="S681" s="26"/>
      <c r="T681" s="27"/>
      <c r="U681" s="27"/>
      <c r="V681" s="26"/>
      <c r="W681" s="26"/>
      <c r="X681" s="26"/>
      <c r="Y681" s="27"/>
      <c r="Z681" s="27"/>
      <c r="AA681" s="27"/>
      <c r="AB681" s="27"/>
      <c r="AC681" s="26"/>
      <c r="AD681" s="27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</row>
    <row r="682" spans="3:46" ht="15.75" customHeight="1"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6"/>
      <c r="N682" s="27"/>
      <c r="O682" s="26"/>
      <c r="P682" s="26"/>
      <c r="Q682" s="26"/>
      <c r="R682" s="26"/>
      <c r="S682" s="26"/>
      <c r="T682" s="27"/>
      <c r="U682" s="27"/>
      <c r="V682" s="26"/>
      <c r="W682" s="26"/>
      <c r="X682" s="26"/>
      <c r="Y682" s="27"/>
      <c r="Z682" s="27"/>
      <c r="AA682" s="27"/>
      <c r="AB682" s="27"/>
      <c r="AC682" s="26"/>
      <c r="AD682" s="27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</row>
    <row r="683" spans="3:46" ht="15.75" customHeight="1"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6"/>
      <c r="N683" s="27"/>
      <c r="O683" s="26"/>
      <c r="P683" s="26"/>
      <c r="Q683" s="26"/>
      <c r="R683" s="26"/>
      <c r="S683" s="26"/>
      <c r="T683" s="27"/>
      <c r="U683" s="27"/>
      <c r="V683" s="26"/>
      <c r="W683" s="26"/>
      <c r="X683" s="26"/>
      <c r="Y683" s="27"/>
      <c r="Z683" s="27"/>
      <c r="AA683" s="27"/>
      <c r="AB683" s="27"/>
      <c r="AC683" s="26"/>
      <c r="AD683" s="27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</row>
    <row r="684" spans="3:46" ht="15.75" customHeight="1"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6"/>
      <c r="N684" s="27"/>
      <c r="O684" s="26"/>
      <c r="P684" s="26"/>
      <c r="Q684" s="26"/>
      <c r="R684" s="26"/>
      <c r="S684" s="26"/>
      <c r="T684" s="27"/>
      <c r="U684" s="27"/>
      <c r="V684" s="26"/>
      <c r="W684" s="26"/>
      <c r="X684" s="26"/>
      <c r="Y684" s="27"/>
      <c r="Z684" s="27"/>
      <c r="AA684" s="27"/>
      <c r="AB684" s="27"/>
      <c r="AC684" s="26"/>
      <c r="AD684" s="27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</row>
    <row r="685" spans="3:46" ht="15.75" customHeight="1"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6"/>
      <c r="N685" s="27"/>
      <c r="O685" s="26"/>
      <c r="P685" s="26"/>
      <c r="Q685" s="26"/>
      <c r="R685" s="26"/>
      <c r="S685" s="26"/>
      <c r="T685" s="27"/>
      <c r="U685" s="27"/>
      <c r="V685" s="26"/>
      <c r="W685" s="26"/>
      <c r="X685" s="26"/>
      <c r="Y685" s="27"/>
      <c r="Z685" s="27"/>
      <c r="AA685" s="27"/>
      <c r="AB685" s="27"/>
      <c r="AC685" s="26"/>
      <c r="AD685" s="27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</row>
    <row r="686" spans="3:46" ht="15.75" customHeight="1"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6"/>
      <c r="N686" s="27"/>
      <c r="O686" s="26"/>
      <c r="P686" s="26"/>
      <c r="Q686" s="26"/>
      <c r="R686" s="26"/>
      <c r="S686" s="26"/>
      <c r="T686" s="27"/>
      <c r="U686" s="27"/>
      <c r="V686" s="26"/>
      <c r="W686" s="26"/>
      <c r="X686" s="26"/>
      <c r="Y686" s="27"/>
      <c r="Z686" s="27"/>
      <c r="AA686" s="27"/>
      <c r="AB686" s="27"/>
      <c r="AC686" s="26"/>
      <c r="AD686" s="27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</row>
    <row r="687" spans="3:46" ht="15.75" customHeight="1"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6"/>
      <c r="N687" s="27"/>
      <c r="O687" s="26"/>
      <c r="P687" s="26"/>
      <c r="Q687" s="26"/>
      <c r="R687" s="26"/>
      <c r="S687" s="26"/>
      <c r="T687" s="27"/>
      <c r="U687" s="27"/>
      <c r="V687" s="26"/>
      <c r="W687" s="26"/>
      <c r="X687" s="26"/>
      <c r="Y687" s="27"/>
      <c r="Z687" s="27"/>
      <c r="AA687" s="27"/>
      <c r="AB687" s="27"/>
      <c r="AC687" s="26"/>
      <c r="AD687" s="27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</row>
    <row r="688" spans="3:46" ht="15.75" customHeight="1"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6"/>
      <c r="N688" s="27"/>
      <c r="O688" s="26"/>
      <c r="P688" s="26"/>
      <c r="Q688" s="26"/>
      <c r="R688" s="26"/>
      <c r="S688" s="26"/>
      <c r="T688" s="27"/>
      <c r="U688" s="27"/>
      <c r="V688" s="26"/>
      <c r="W688" s="26"/>
      <c r="X688" s="26"/>
      <c r="Y688" s="27"/>
      <c r="Z688" s="27"/>
      <c r="AA688" s="27"/>
      <c r="AB688" s="27"/>
      <c r="AC688" s="26"/>
      <c r="AD688" s="27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</row>
    <row r="689" spans="3:46" ht="15.75" customHeight="1"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6"/>
      <c r="N689" s="27"/>
      <c r="O689" s="26"/>
      <c r="P689" s="26"/>
      <c r="Q689" s="26"/>
      <c r="R689" s="26"/>
      <c r="S689" s="26"/>
      <c r="T689" s="27"/>
      <c r="U689" s="27"/>
      <c r="V689" s="26"/>
      <c r="W689" s="26"/>
      <c r="X689" s="26"/>
      <c r="Y689" s="27"/>
      <c r="Z689" s="27"/>
      <c r="AA689" s="27"/>
      <c r="AB689" s="27"/>
      <c r="AC689" s="26"/>
      <c r="AD689" s="27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</row>
    <row r="690" spans="3:46" ht="15.75" customHeight="1"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6"/>
      <c r="N690" s="27"/>
      <c r="O690" s="26"/>
      <c r="P690" s="26"/>
      <c r="Q690" s="26"/>
      <c r="R690" s="26"/>
      <c r="S690" s="26"/>
      <c r="T690" s="27"/>
      <c r="U690" s="27"/>
      <c r="V690" s="26"/>
      <c r="W690" s="26"/>
      <c r="X690" s="26"/>
      <c r="Y690" s="27"/>
      <c r="Z690" s="27"/>
      <c r="AA690" s="27"/>
      <c r="AB690" s="27"/>
      <c r="AC690" s="26"/>
      <c r="AD690" s="27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</row>
    <row r="691" spans="3:46" ht="15.75" customHeight="1"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6"/>
      <c r="N691" s="27"/>
      <c r="O691" s="26"/>
      <c r="P691" s="26"/>
      <c r="Q691" s="26"/>
      <c r="R691" s="26"/>
      <c r="S691" s="26"/>
      <c r="T691" s="27"/>
      <c r="U691" s="27"/>
      <c r="V691" s="26"/>
      <c r="W691" s="26"/>
      <c r="X691" s="26"/>
      <c r="Y691" s="27"/>
      <c r="Z691" s="27"/>
      <c r="AA691" s="27"/>
      <c r="AB691" s="27"/>
      <c r="AC691" s="26"/>
      <c r="AD691" s="27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</row>
    <row r="692" spans="3:46" ht="15.75" customHeight="1"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6"/>
      <c r="N692" s="27"/>
      <c r="O692" s="26"/>
      <c r="P692" s="26"/>
      <c r="Q692" s="26"/>
      <c r="R692" s="26"/>
      <c r="S692" s="26"/>
      <c r="T692" s="27"/>
      <c r="U692" s="27"/>
      <c r="V692" s="26"/>
      <c r="W692" s="26"/>
      <c r="X692" s="26"/>
      <c r="Y692" s="27"/>
      <c r="Z692" s="27"/>
      <c r="AA692" s="27"/>
      <c r="AB692" s="27"/>
      <c r="AC692" s="26"/>
      <c r="AD692" s="27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</row>
    <row r="693" spans="3:46" ht="15.75" customHeight="1"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6"/>
      <c r="N693" s="27"/>
      <c r="O693" s="26"/>
      <c r="P693" s="26"/>
      <c r="Q693" s="26"/>
      <c r="R693" s="26"/>
      <c r="S693" s="26"/>
      <c r="T693" s="27"/>
      <c r="U693" s="27"/>
      <c r="V693" s="26"/>
      <c r="W693" s="26"/>
      <c r="X693" s="26"/>
      <c r="Y693" s="27"/>
      <c r="Z693" s="27"/>
      <c r="AA693" s="27"/>
      <c r="AB693" s="27"/>
      <c r="AC693" s="26"/>
      <c r="AD693" s="27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</row>
    <row r="694" spans="3:46" ht="15.75" customHeight="1"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6"/>
      <c r="N694" s="27"/>
      <c r="O694" s="26"/>
      <c r="P694" s="26"/>
      <c r="Q694" s="26"/>
      <c r="R694" s="26"/>
      <c r="S694" s="26"/>
      <c r="T694" s="27"/>
      <c r="U694" s="27"/>
      <c r="V694" s="26"/>
      <c r="W694" s="26"/>
      <c r="X694" s="26"/>
      <c r="Y694" s="27"/>
      <c r="Z694" s="27"/>
      <c r="AA694" s="27"/>
      <c r="AB694" s="27"/>
      <c r="AC694" s="26"/>
      <c r="AD694" s="27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</row>
    <row r="695" spans="3:46" ht="15.75" customHeight="1"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6"/>
      <c r="N695" s="27"/>
      <c r="O695" s="26"/>
      <c r="P695" s="26"/>
      <c r="Q695" s="26"/>
      <c r="R695" s="26"/>
      <c r="S695" s="26"/>
      <c r="T695" s="27"/>
      <c r="U695" s="27"/>
      <c r="V695" s="26"/>
      <c r="W695" s="26"/>
      <c r="X695" s="26"/>
      <c r="Y695" s="27"/>
      <c r="Z695" s="27"/>
      <c r="AA695" s="27"/>
      <c r="AB695" s="27"/>
      <c r="AC695" s="26"/>
      <c r="AD695" s="27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</row>
    <row r="696" spans="3:46" ht="15.75" customHeight="1"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6"/>
      <c r="N696" s="27"/>
      <c r="O696" s="26"/>
      <c r="P696" s="26"/>
      <c r="Q696" s="26"/>
      <c r="R696" s="26"/>
      <c r="S696" s="26"/>
      <c r="T696" s="27"/>
      <c r="U696" s="27"/>
      <c r="V696" s="26"/>
      <c r="W696" s="26"/>
      <c r="X696" s="26"/>
      <c r="Y696" s="27"/>
      <c r="Z696" s="27"/>
      <c r="AA696" s="27"/>
      <c r="AB696" s="27"/>
      <c r="AC696" s="26"/>
      <c r="AD696" s="27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</row>
    <row r="697" spans="3:46" ht="15.75" customHeight="1"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6"/>
      <c r="N697" s="27"/>
      <c r="O697" s="26"/>
      <c r="P697" s="26"/>
      <c r="Q697" s="26"/>
      <c r="R697" s="26"/>
      <c r="S697" s="26"/>
      <c r="T697" s="27"/>
      <c r="U697" s="27"/>
      <c r="V697" s="26"/>
      <c r="W697" s="26"/>
      <c r="X697" s="26"/>
      <c r="Y697" s="27"/>
      <c r="Z697" s="27"/>
      <c r="AA697" s="27"/>
      <c r="AB697" s="27"/>
      <c r="AC697" s="26"/>
      <c r="AD697" s="27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</row>
    <row r="698" spans="3:46" ht="15.75" customHeight="1"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6"/>
      <c r="N698" s="27"/>
      <c r="O698" s="26"/>
      <c r="P698" s="26"/>
      <c r="Q698" s="26"/>
      <c r="R698" s="26"/>
      <c r="S698" s="26"/>
      <c r="T698" s="27"/>
      <c r="U698" s="27"/>
      <c r="V698" s="26"/>
      <c r="W698" s="26"/>
      <c r="X698" s="26"/>
      <c r="Y698" s="27"/>
      <c r="Z698" s="27"/>
      <c r="AA698" s="27"/>
      <c r="AB698" s="27"/>
      <c r="AC698" s="26"/>
      <c r="AD698" s="27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</row>
    <row r="699" spans="3:46" ht="15.75" customHeight="1"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6"/>
      <c r="N699" s="27"/>
      <c r="O699" s="26"/>
      <c r="P699" s="26"/>
      <c r="Q699" s="26"/>
      <c r="R699" s="26"/>
      <c r="S699" s="26"/>
      <c r="T699" s="27"/>
      <c r="U699" s="27"/>
      <c r="V699" s="26"/>
      <c r="W699" s="26"/>
      <c r="X699" s="26"/>
      <c r="Y699" s="27"/>
      <c r="Z699" s="27"/>
      <c r="AA699" s="27"/>
      <c r="AB699" s="27"/>
      <c r="AC699" s="26"/>
      <c r="AD699" s="27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</row>
    <row r="700" spans="3:46" ht="15.75" customHeight="1"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6"/>
      <c r="N700" s="27"/>
      <c r="O700" s="26"/>
      <c r="P700" s="26"/>
      <c r="Q700" s="26"/>
      <c r="R700" s="26"/>
      <c r="S700" s="26"/>
      <c r="T700" s="27"/>
      <c r="U700" s="27"/>
      <c r="V700" s="26"/>
      <c r="W700" s="26"/>
      <c r="X700" s="26"/>
      <c r="Y700" s="27"/>
      <c r="Z700" s="27"/>
      <c r="AA700" s="27"/>
      <c r="AB700" s="27"/>
      <c r="AC700" s="26"/>
      <c r="AD700" s="27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</row>
    <row r="701" spans="3:46" ht="15.75" customHeight="1"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6"/>
      <c r="N701" s="27"/>
      <c r="O701" s="26"/>
      <c r="P701" s="26"/>
      <c r="Q701" s="26"/>
      <c r="R701" s="26"/>
      <c r="S701" s="26"/>
      <c r="T701" s="27"/>
      <c r="U701" s="27"/>
      <c r="V701" s="26"/>
      <c r="W701" s="26"/>
      <c r="X701" s="26"/>
      <c r="Y701" s="27"/>
      <c r="Z701" s="27"/>
      <c r="AA701" s="27"/>
      <c r="AB701" s="27"/>
      <c r="AC701" s="26"/>
      <c r="AD701" s="27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</row>
    <row r="702" spans="3:46" ht="15.75" customHeight="1"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6"/>
      <c r="N702" s="27"/>
      <c r="O702" s="26"/>
      <c r="P702" s="26"/>
      <c r="Q702" s="26"/>
      <c r="R702" s="26"/>
      <c r="S702" s="26"/>
      <c r="T702" s="27"/>
      <c r="U702" s="27"/>
      <c r="V702" s="26"/>
      <c r="W702" s="26"/>
      <c r="X702" s="26"/>
      <c r="Y702" s="27"/>
      <c r="Z702" s="27"/>
      <c r="AA702" s="27"/>
      <c r="AB702" s="27"/>
      <c r="AC702" s="26"/>
      <c r="AD702" s="27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</row>
    <row r="703" spans="3:46" ht="15.75" customHeight="1"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6"/>
      <c r="N703" s="27"/>
      <c r="O703" s="26"/>
      <c r="P703" s="26"/>
      <c r="Q703" s="26"/>
      <c r="R703" s="26"/>
      <c r="S703" s="26"/>
      <c r="T703" s="27"/>
      <c r="U703" s="27"/>
      <c r="V703" s="26"/>
      <c r="W703" s="26"/>
      <c r="X703" s="26"/>
      <c r="Y703" s="27"/>
      <c r="Z703" s="27"/>
      <c r="AA703" s="27"/>
      <c r="AB703" s="27"/>
      <c r="AC703" s="26"/>
      <c r="AD703" s="27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</row>
    <row r="704" spans="3:46" ht="15.75" customHeight="1"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6"/>
      <c r="N704" s="27"/>
      <c r="O704" s="26"/>
      <c r="P704" s="26"/>
      <c r="Q704" s="26"/>
      <c r="R704" s="26"/>
      <c r="S704" s="26"/>
      <c r="T704" s="27"/>
      <c r="U704" s="27"/>
      <c r="V704" s="26"/>
      <c r="W704" s="26"/>
      <c r="X704" s="26"/>
      <c r="Y704" s="27"/>
      <c r="Z704" s="27"/>
      <c r="AA704" s="27"/>
      <c r="AB704" s="27"/>
      <c r="AC704" s="26"/>
      <c r="AD704" s="27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</row>
    <row r="705" spans="3:46" ht="15.75" customHeight="1"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6"/>
      <c r="N705" s="27"/>
      <c r="O705" s="26"/>
      <c r="P705" s="26"/>
      <c r="Q705" s="26"/>
      <c r="R705" s="26"/>
      <c r="S705" s="26"/>
      <c r="T705" s="27"/>
      <c r="U705" s="27"/>
      <c r="V705" s="26"/>
      <c r="W705" s="26"/>
      <c r="X705" s="26"/>
      <c r="Y705" s="27"/>
      <c r="Z705" s="27"/>
      <c r="AA705" s="27"/>
      <c r="AB705" s="27"/>
      <c r="AC705" s="26"/>
      <c r="AD705" s="27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</row>
    <row r="706" spans="3:46" ht="15.75" customHeight="1"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6"/>
      <c r="N706" s="27"/>
      <c r="O706" s="26"/>
      <c r="P706" s="26"/>
      <c r="Q706" s="26"/>
      <c r="R706" s="26"/>
      <c r="S706" s="26"/>
      <c r="T706" s="27"/>
      <c r="U706" s="27"/>
      <c r="V706" s="26"/>
      <c r="W706" s="26"/>
      <c r="X706" s="26"/>
      <c r="Y706" s="27"/>
      <c r="Z706" s="27"/>
      <c r="AA706" s="27"/>
      <c r="AB706" s="27"/>
      <c r="AC706" s="26"/>
      <c r="AD706" s="27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</row>
    <row r="707" spans="3:46" ht="15.75" customHeight="1"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6"/>
      <c r="N707" s="27"/>
      <c r="O707" s="26"/>
      <c r="P707" s="26"/>
      <c r="Q707" s="26"/>
      <c r="R707" s="26"/>
      <c r="S707" s="26"/>
      <c r="T707" s="27"/>
      <c r="U707" s="27"/>
      <c r="V707" s="26"/>
      <c r="W707" s="26"/>
      <c r="X707" s="26"/>
      <c r="Y707" s="27"/>
      <c r="Z707" s="27"/>
      <c r="AA707" s="27"/>
      <c r="AB707" s="27"/>
      <c r="AC707" s="26"/>
      <c r="AD707" s="27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</row>
    <row r="708" spans="3:46" ht="15.75" customHeight="1"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6"/>
      <c r="N708" s="27"/>
      <c r="O708" s="26"/>
      <c r="P708" s="26"/>
      <c r="Q708" s="26"/>
      <c r="R708" s="26"/>
      <c r="S708" s="26"/>
      <c r="T708" s="27"/>
      <c r="U708" s="27"/>
      <c r="V708" s="26"/>
      <c r="W708" s="26"/>
      <c r="X708" s="26"/>
      <c r="Y708" s="27"/>
      <c r="Z708" s="27"/>
      <c r="AA708" s="27"/>
      <c r="AB708" s="27"/>
      <c r="AC708" s="26"/>
      <c r="AD708" s="27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</row>
    <row r="709" spans="3:46" ht="15.75" customHeight="1"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6"/>
      <c r="N709" s="27"/>
      <c r="O709" s="26"/>
      <c r="P709" s="26"/>
      <c r="Q709" s="26"/>
      <c r="R709" s="26"/>
      <c r="S709" s="26"/>
      <c r="T709" s="27"/>
      <c r="U709" s="27"/>
      <c r="V709" s="26"/>
      <c r="W709" s="26"/>
      <c r="X709" s="26"/>
      <c r="Y709" s="27"/>
      <c r="Z709" s="27"/>
      <c r="AA709" s="27"/>
      <c r="AB709" s="27"/>
      <c r="AC709" s="26"/>
      <c r="AD709" s="27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</row>
    <row r="710" spans="3:46" ht="15.75" customHeight="1"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6"/>
      <c r="N710" s="27"/>
      <c r="O710" s="26"/>
      <c r="P710" s="26"/>
      <c r="Q710" s="26"/>
      <c r="R710" s="26"/>
      <c r="S710" s="26"/>
      <c r="T710" s="27"/>
      <c r="U710" s="27"/>
      <c r="V710" s="26"/>
      <c r="W710" s="26"/>
      <c r="X710" s="26"/>
      <c r="Y710" s="27"/>
      <c r="Z710" s="27"/>
      <c r="AA710" s="27"/>
      <c r="AB710" s="27"/>
      <c r="AC710" s="26"/>
      <c r="AD710" s="27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</row>
    <row r="711" spans="3:46" ht="15.75" customHeight="1"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6"/>
      <c r="N711" s="27"/>
      <c r="O711" s="26"/>
      <c r="P711" s="26"/>
      <c r="Q711" s="26"/>
      <c r="R711" s="26"/>
      <c r="S711" s="26"/>
      <c r="T711" s="27"/>
      <c r="U711" s="27"/>
      <c r="V711" s="26"/>
      <c r="W711" s="26"/>
      <c r="X711" s="26"/>
      <c r="Y711" s="27"/>
      <c r="Z711" s="27"/>
      <c r="AA711" s="27"/>
      <c r="AB711" s="27"/>
      <c r="AC711" s="26"/>
      <c r="AD711" s="27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</row>
    <row r="712" spans="3:46" ht="15.75" customHeight="1"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6"/>
      <c r="N712" s="27"/>
      <c r="O712" s="26"/>
      <c r="P712" s="26"/>
      <c r="Q712" s="26"/>
      <c r="R712" s="26"/>
      <c r="S712" s="26"/>
      <c r="T712" s="27"/>
      <c r="U712" s="27"/>
      <c r="V712" s="26"/>
      <c r="W712" s="26"/>
      <c r="X712" s="26"/>
      <c r="Y712" s="27"/>
      <c r="Z712" s="27"/>
      <c r="AA712" s="27"/>
      <c r="AB712" s="27"/>
      <c r="AC712" s="26"/>
      <c r="AD712" s="27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</row>
    <row r="713" spans="3:46" ht="15.75" customHeight="1"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6"/>
      <c r="N713" s="27"/>
      <c r="O713" s="26"/>
      <c r="P713" s="26"/>
      <c r="Q713" s="26"/>
      <c r="R713" s="26"/>
      <c r="S713" s="26"/>
      <c r="T713" s="27"/>
      <c r="U713" s="27"/>
      <c r="V713" s="26"/>
      <c r="W713" s="26"/>
      <c r="X713" s="26"/>
      <c r="Y713" s="27"/>
      <c r="Z713" s="27"/>
      <c r="AA713" s="27"/>
      <c r="AB713" s="27"/>
      <c r="AC713" s="26"/>
      <c r="AD713" s="27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</row>
    <row r="714" spans="3:46" ht="15.75" customHeight="1"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6"/>
      <c r="N714" s="27"/>
      <c r="O714" s="26"/>
      <c r="P714" s="26"/>
      <c r="Q714" s="26"/>
      <c r="R714" s="26"/>
      <c r="S714" s="26"/>
      <c r="T714" s="27"/>
      <c r="U714" s="27"/>
      <c r="V714" s="26"/>
      <c r="W714" s="26"/>
      <c r="X714" s="26"/>
      <c r="Y714" s="27"/>
      <c r="Z714" s="27"/>
      <c r="AA714" s="27"/>
      <c r="AB714" s="27"/>
      <c r="AC714" s="26"/>
      <c r="AD714" s="27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</row>
    <row r="715" spans="3:46" ht="15.75" customHeight="1"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6"/>
      <c r="N715" s="27"/>
      <c r="O715" s="26"/>
      <c r="P715" s="26"/>
      <c r="Q715" s="26"/>
      <c r="R715" s="26"/>
      <c r="S715" s="26"/>
      <c r="T715" s="27"/>
      <c r="U715" s="27"/>
      <c r="V715" s="26"/>
      <c r="W715" s="26"/>
      <c r="X715" s="26"/>
      <c r="Y715" s="27"/>
      <c r="Z715" s="27"/>
      <c r="AA715" s="27"/>
      <c r="AB715" s="27"/>
      <c r="AC715" s="26"/>
      <c r="AD715" s="27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</row>
    <row r="716" spans="3:46" ht="15.75" customHeight="1"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6"/>
      <c r="N716" s="27"/>
      <c r="O716" s="26"/>
      <c r="P716" s="26"/>
      <c r="Q716" s="26"/>
      <c r="R716" s="26"/>
      <c r="S716" s="26"/>
      <c r="T716" s="27"/>
      <c r="U716" s="27"/>
      <c r="V716" s="26"/>
      <c r="W716" s="26"/>
      <c r="X716" s="26"/>
      <c r="Y716" s="27"/>
      <c r="Z716" s="27"/>
      <c r="AA716" s="27"/>
      <c r="AB716" s="27"/>
      <c r="AC716" s="26"/>
      <c r="AD716" s="27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</row>
    <row r="717" spans="3:46" ht="15.75" customHeight="1"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6"/>
      <c r="N717" s="27"/>
      <c r="O717" s="26"/>
      <c r="P717" s="26"/>
      <c r="Q717" s="26"/>
      <c r="R717" s="26"/>
      <c r="S717" s="26"/>
      <c r="T717" s="27"/>
      <c r="U717" s="27"/>
      <c r="V717" s="26"/>
      <c r="W717" s="26"/>
      <c r="X717" s="26"/>
      <c r="Y717" s="27"/>
      <c r="Z717" s="27"/>
      <c r="AA717" s="27"/>
      <c r="AB717" s="27"/>
      <c r="AC717" s="26"/>
      <c r="AD717" s="27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</row>
    <row r="718" spans="3:46" ht="15.75" customHeight="1"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6"/>
      <c r="N718" s="27"/>
      <c r="O718" s="26"/>
      <c r="P718" s="26"/>
      <c r="Q718" s="26"/>
      <c r="R718" s="26"/>
      <c r="S718" s="26"/>
      <c r="T718" s="27"/>
      <c r="U718" s="27"/>
      <c r="V718" s="26"/>
      <c r="W718" s="26"/>
      <c r="X718" s="26"/>
      <c r="Y718" s="27"/>
      <c r="Z718" s="27"/>
      <c r="AA718" s="27"/>
      <c r="AB718" s="27"/>
      <c r="AC718" s="26"/>
      <c r="AD718" s="27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</row>
    <row r="719" spans="3:46" ht="15.75" customHeight="1"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6"/>
      <c r="N719" s="27"/>
      <c r="O719" s="26"/>
      <c r="P719" s="26"/>
      <c r="Q719" s="26"/>
      <c r="R719" s="26"/>
      <c r="S719" s="26"/>
      <c r="T719" s="27"/>
      <c r="U719" s="27"/>
      <c r="V719" s="26"/>
      <c r="W719" s="26"/>
      <c r="X719" s="26"/>
      <c r="Y719" s="27"/>
      <c r="Z719" s="27"/>
      <c r="AA719" s="27"/>
      <c r="AB719" s="27"/>
      <c r="AC719" s="26"/>
      <c r="AD719" s="27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</row>
    <row r="720" spans="3:46" ht="15.75" customHeight="1"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6"/>
      <c r="N720" s="27"/>
      <c r="O720" s="26"/>
      <c r="P720" s="26"/>
      <c r="Q720" s="26"/>
      <c r="R720" s="26"/>
      <c r="S720" s="26"/>
      <c r="T720" s="27"/>
      <c r="U720" s="27"/>
      <c r="V720" s="26"/>
      <c r="W720" s="26"/>
      <c r="X720" s="26"/>
      <c r="Y720" s="27"/>
      <c r="Z720" s="27"/>
      <c r="AA720" s="27"/>
      <c r="AB720" s="27"/>
      <c r="AC720" s="26"/>
      <c r="AD720" s="27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</row>
    <row r="721" spans="3:46" ht="15.75" customHeight="1"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6"/>
      <c r="N721" s="27"/>
      <c r="O721" s="26"/>
      <c r="P721" s="26"/>
      <c r="Q721" s="26"/>
      <c r="R721" s="26"/>
      <c r="S721" s="26"/>
      <c r="T721" s="27"/>
      <c r="U721" s="27"/>
      <c r="V721" s="26"/>
      <c r="W721" s="26"/>
      <c r="X721" s="26"/>
      <c r="Y721" s="27"/>
      <c r="Z721" s="27"/>
      <c r="AA721" s="27"/>
      <c r="AB721" s="27"/>
      <c r="AC721" s="26"/>
      <c r="AD721" s="27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</row>
    <row r="722" spans="3:46" ht="15.75" customHeight="1"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6"/>
      <c r="N722" s="27"/>
      <c r="O722" s="26"/>
      <c r="P722" s="26"/>
      <c r="Q722" s="26"/>
      <c r="R722" s="26"/>
      <c r="S722" s="26"/>
      <c r="T722" s="27"/>
      <c r="U722" s="27"/>
      <c r="V722" s="26"/>
      <c r="W722" s="26"/>
      <c r="X722" s="26"/>
      <c r="Y722" s="27"/>
      <c r="Z722" s="27"/>
      <c r="AA722" s="27"/>
      <c r="AB722" s="27"/>
      <c r="AC722" s="26"/>
      <c r="AD722" s="27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</row>
    <row r="723" spans="3:46" ht="15.75" customHeight="1"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6"/>
      <c r="N723" s="27"/>
      <c r="O723" s="26"/>
      <c r="P723" s="26"/>
      <c r="Q723" s="26"/>
      <c r="R723" s="26"/>
      <c r="S723" s="26"/>
      <c r="T723" s="27"/>
      <c r="U723" s="27"/>
      <c r="V723" s="26"/>
      <c r="W723" s="26"/>
      <c r="X723" s="26"/>
      <c r="Y723" s="27"/>
      <c r="Z723" s="27"/>
      <c r="AA723" s="27"/>
      <c r="AB723" s="27"/>
      <c r="AC723" s="26"/>
      <c r="AD723" s="27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</row>
    <row r="724" spans="3:46" ht="15.75" customHeight="1"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6"/>
      <c r="N724" s="27"/>
      <c r="O724" s="26"/>
      <c r="P724" s="26"/>
      <c r="Q724" s="26"/>
      <c r="R724" s="26"/>
      <c r="S724" s="26"/>
      <c r="T724" s="27"/>
      <c r="U724" s="27"/>
      <c r="V724" s="26"/>
      <c r="W724" s="26"/>
      <c r="X724" s="26"/>
      <c r="Y724" s="27"/>
      <c r="Z724" s="27"/>
      <c r="AA724" s="27"/>
      <c r="AB724" s="27"/>
      <c r="AC724" s="26"/>
      <c r="AD724" s="27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</row>
    <row r="725" spans="3:46" ht="15.75" customHeight="1"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6"/>
      <c r="N725" s="27"/>
      <c r="O725" s="26"/>
      <c r="P725" s="26"/>
      <c r="Q725" s="26"/>
      <c r="R725" s="26"/>
      <c r="S725" s="26"/>
      <c r="T725" s="27"/>
      <c r="U725" s="27"/>
      <c r="V725" s="26"/>
      <c r="W725" s="26"/>
      <c r="X725" s="26"/>
      <c r="Y725" s="27"/>
      <c r="Z725" s="27"/>
      <c r="AA725" s="27"/>
      <c r="AB725" s="27"/>
      <c r="AC725" s="26"/>
      <c r="AD725" s="27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</row>
    <row r="726" spans="3:46" ht="15.75" customHeight="1"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6"/>
      <c r="N726" s="27"/>
      <c r="O726" s="26"/>
      <c r="P726" s="26"/>
      <c r="Q726" s="26"/>
      <c r="R726" s="26"/>
      <c r="S726" s="26"/>
      <c r="T726" s="27"/>
      <c r="U726" s="27"/>
      <c r="V726" s="26"/>
      <c r="W726" s="26"/>
      <c r="X726" s="26"/>
      <c r="Y726" s="27"/>
      <c r="Z726" s="27"/>
      <c r="AA726" s="27"/>
      <c r="AB726" s="27"/>
      <c r="AC726" s="26"/>
      <c r="AD726" s="27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</row>
    <row r="727" spans="3:46" ht="15.75" customHeight="1"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6"/>
      <c r="N727" s="27"/>
      <c r="O727" s="26"/>
      <c r="P727" s="26"/>
      <c r="Q727" s="26"/>
      <c r="R727" s="26"/>
      <c r="S727" s="26"/>
      <c r="T727" s="27"/>
      <c r="U727" s="27"/>
      <c r="V727" s="26"/>
      <c r="W727" s="26"/>
      <c r="X727" s="26"/>
      <c r="Y727" s="27"/>
      <c r="Z727" s="27"/>
      <c r="AA727" s="27"/>
      <c r="AB727" s="27"/>
      <c r="AC727" s="26"/>
      <c r="AD727" s="27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</row>
    <row r="728" spans="3:46" ht="15.75" customHeight="1"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6"/>
      <c r="N728" s="27"/>
      <c r="O728" s="26"/>
      <c r="P728" s="26"/>
      <c r="Q728" s="26"/>
      <c r="R728" s="26"/>
      <c r="S728" s="26"/>
      <c r="T728" s="27"/>
      <c r="U728" s="27"/>
      <c r="V728" s="26"/>
      <c r="W728" s="26"/>
      <c r="X728" s="26"/>
      <c r="Y728" s="27"/>
      <c r="Z728" s="27"/>
      <c r="AA728" s="27"/>
      <c r="AB728" s="27"/>
      <c r="AC728" s="26"/>
      <c r="AD728" s="27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</row>
    <row r="729" spans="3:46" ht="15.75" customHeight="1"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6"/>
      <c r="N729" s="27"/>
      <c r="O729" s="26"/>
      <c r="P729" s="26"/>
      <c r="Q729" s="26"/>
      <c r="R729" s="26"/>
      <c r="S729" s="26"/>
      <c r="T729" s="27"/>
      <c r="U729" s="27"/>
      <c r="V729" s="26"/>
      <c r="W729" s="26"/>
      <c r="X729" s="26"/>
      <c r="Y729" s="27"/>
      <c r="Z729" s="27"/>
      <c r="AA729" s="27"/>
      <c r="AB729" s="27"/>
      <c r="AC729" s="26"/>
      <c r="AD729" s="27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</row>
    <row r="730" spans="3:46" ht="15.75" customHeight="1"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6"/>
      <c r="N730" s="27"/>
      <c r="O730" s="26"/>
      <c r="P730" s="26"/>
      <c r="Q730" s="26"/>
      <c r="R730" s="26"/>
      <c r="S730" s="26"/>
      <c r="T730" s="27"/>
      <c r="U730" s="27"/>
      <c r="V730" s="26"/>
      <c r="W730" s="26"/>
      <c r="X730" s="26"/>
      <c r="Y730" s="27"/>
      <c r="Z730" s="27"/>
      <c r="AA730" s="27"/>
      <c r="AB730" s="27"/>
      <c r="AC730" s="26"/>
      <c r="AD730" s="27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</row>
    <row r="731" spans="3:46" ht="15.75" customHeight="1"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6"/>
      <c r="N731" s="27"/>
      <c r="O731" s="26"/>
      <c r="P731" s="26"/>
      <c r="Q731" s="26"/>
      <c r="R731" s="26"/>
      <c r="S731" s="26"/>
      <c r="T731" s="27"/>
      <c r="U731" s="27"/>
      <c r="V731" s="26"/>
      <c r="W731" s="26"/>
      <c r="X731" s="26"/>
      <c r="Y731" s="27"/>
      <c r="Z731" s="27"/>
      <c r="AA731" s="27"/>
      <c r="AB731" s="27"/>
      <c r="AC731" s="26"/>
      <c r="AD731" s="27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</row>
    <row r="732" spans="3:46" ht="15.75" customHeight="1"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6"/>
      <c r="N732" s="27"/>
      <c r="O732" s="26"/>
      <c r="P732" s="26"/>
      <c r="Q732" s="26"/>
      <c r="R732" s="26"/>
      <c r="S732" s="26"/>
      <c r="T732" s="27"/>
      <c r="U732" s="27"/>
      <c r="V732" s="26"/>
      <c r="W732" s="26"/>
      <c r="X732" s="26"/>
      <c r="Y732" s="27"/>
      <c r="Z732" s="27"/>
      <c r="AA732" s="27"/>
      <c r="AB732" s="27"/>
      <c r="AC732" s="26"/>
      <c r="AD732" s="27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</row>
    <row r="733" spans="3:46" ht="15.75" customHeight="1"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6"/>
      <c r="N733" s="27"/>
      <c r="O733" s="26"/>
      <c r="P733" s="26"/>
      <c r="Q733" s="26"/>
      <c r="R733" s="26"/>
      <c r="S733" s="26"/>
      <c r="T733" s="27"/>
      <c r="U733" s="27"/>
      <c r="V733" s="26"/>
      <c r="W733" s="26"/>
      <c r="X733" s="26"/>
      <c r="Y733" s="27"/>
      <c r="Z733" s="27"/>
      <c r="AA733" s="27"/>
      <c r="AB733" s="27"/>
      <c r="AC733" s="26"/>
      <c r="AD733" s="27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</row>
    <row r="734" spans="3:46" ht="15.75" customHeight="1"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6"/>
      <c r="N734" s="27"/>
      <c r="O734" s="26"/>
      <c r="P734" s="26"/>
      <c r="Q734" s="26"/>
      <c r="R734" s="26"/>
      <c r="S734" s="26"/>
      <c r="T734" s="27"/>
      <c r="U734" s="27"/>
      <c r="V734" s="26"/>
      <c r="W734" s="26"/>
      <c r="X734" s="26"/>
      <c r="Y734" s="27"/>
      <c r="Z734" s="27"/>
      <c r="AA734" s="27"/>
      <c r="AB734" s="27"/>
      <c r="AC734" s="26"/>
      <c r="AD734" s="27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</row>
    <row r="735" spans="3:46" ht="15.75" customHeight="1"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6"/>
      <c r="N735" s="27"/>
      <c r="O735" s="26"/>
      <c r="P735" s="26"/>
      <c r="Q735" s="26"/>
      <c r="R735" s="26"/>
      <c r="S735" s="26"/>
      <c r="T735" s="27"/>
      <c r="U735" s="27"/>
      <c r="V735" s="26"/>
      <c r="W735" s="26"/>
      <c r="X735" s="26"/>
      <c r="Y735" s="27"/>
      <c r="Z735" s="27"/>
      <c r="AA735" s="27"/>
      <c r="AB735" s="27"/>
      <c r="AC735" s="26"/>
      <c r="AD735" s="27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</row>
    <row r="736" spans="3:46" ht="15.75" customHeight="1"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6"/>
      <c r="N736" s="27"/>
      <c r="O736" s="26"/>
      <c r="P736" s="26"/>
      <c r="Q736" s="26"/>
      <c r="R736" s="26"/>
      <c r="S736" s="26"/>
      <c r="T736" s="27"/>
      <c r="U736" s="27"/>
      <c r="V736" s="26"/>
      <c r="W736" s="26"/>
      <c r="X736" s="26"/>
      <c r="Y736" s="27"/>
      <c r="Z736" s="27"/>
      <c r="AA736" s="27"/>
      <c r="AB736" s="27"/>
      <c r="AC736" s="26"/>
      <c r="AD736" s="27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</row>
    <row r="737" spans="3:46" ht="15.75" customHeight="1"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6"/>
      <c r="N737" s="27"/>
      <c r="O737" s="26"/>
      <c r="P737" s="26"/>
      <c r="Q737" s="26"/>
      <c r="R737" s="26"/>
      <c r="S737" s="26"/>
      <c r="T737" s="27"/>
      <c r="U737" s="27"/>
      <c r="V737" s="26"/>
      <c r="W737" s="26"/>
      <c r="X737" s="26"/>
      <c r="Y737" s="27"/>
      <c r="Z737" s="27"/>
      <c r="AA737" s="27"/>
      <c r="AB737" s="27"/>
      <c r="AC737" s="26"/>
      <c r="AD737" s="27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</row>
    <row r="738" spans="3:46" ht="15.75" customHeight="1"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6"/>
      <c r="N738" s="27"/>
      <c r="O738" s="26"/>
      <c r="P738" s="26"/>
      <c r="Q738" s="26"/>
      <c r="R738" s="26"/>
      <c r="S738" s="26"/>
      <c r="T738" s="27"/>
      <c r="U738" s="27"/>
      <c r="V738" s="26"/>
      <c r="W738" s="26"/>
      <c r="X738" s="26"/>
      <c r="Y738" s="27"/>
      <c r="Z738" s="27"/>
      <c r="AA738" s="27"/>
      <c r="AB738" s="27"/>
      <c r="AC738" s="26"/>
      <c r="AD738" s="27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</row>
    <row r="739" spans="3:46" ht="15.75" customHeight="1"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6"/>
      <c r="N739" s="27"/>
      <c r="O739" s="26"/>
      <c r="P739" s="26"/>
      <c r="Q739" s="26"/>
      <c r="R739" s="26"/>
      <c r="S739" s="26"/>
      <c r="T739" s="27"/>
      <c r="U739" s="27"/>
      <c r="V739" s="26"/>
      <c r="W739" s="26"/>
      <c r="X739" s="26"/>
      <c r="Y739" s="27"/>
      <c r="Z739" s="27"/>
      <c r="AA739" s="27"/>
      <c r="AB739" s="27"/>
      <c r="AC739" s="26"/>
      <c r="AD739" s="27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</row>
    <row r="740" spans="3:46" ht="15.75" customHeight="1"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6"/>
      <c r="N740" s="27"/>
      <c r="O740" s="26"/>
      <c r="P740" s="26"/>
      <c r="Q740" s="26"/>
      <c r="R740" s="26"/>
      <c r="S740" s="26"/>
      <c r="T740" s="27"/>
      <c r="U740" s="27"/>
      <c r="V740" s="26"/>
      <c r="W740" s="26"/>
      <c r="X740" s="26"/>
      <c r="Y740" s="27"/>
      <c r="Z740" s="27"/>
      <c r="AA740" s="27"/>
      <c r="AB740" s="27"/>
      <c r="AC740" s="26"/>
      <c r="AD740" s="27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</row>
    <row r="741" spans="3:46" ht="15.75" customHeight="1"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6"/>
      <c r="N741" s="27"/>
      <c r="O741" s="26"/>
      <c r="P741" s="26"/>
      <c r="Q741" s="26"/>
      <c r="R741" s="26"/>
      <c r="S741" s="26"/>
      <c r="T741" s="27"/>
      <c r="U741" s="27"/>
      <c r="V741" s="26"/>
      <c r="W741" s="26"/>
      <c r="X741" s="26"/>
      <c r="Y741" s="27"/>
      <c r="Z741" s="27"/>
      <c r="AA741" s="27"/>
      <c r="AB741" s="27"/>
      <c r="AC741" s="26"/>
      <c r="AD741" s="27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</row>
    <row r="742" spans="3:46" ht="15.75" customHeight="1"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6"/>
      <c r="N742" s="27"/>
      <c r="O742" s="26"/>
      <c r="P742" s="26"/>
      <c r="Q742" s="26"/>
      <c r="R742" s="26"/>
      <c r="S742" s="26"/>
      <c r="T742" s="27"/>
      <c r="U742" s="27"/>
      <c r="V742" s="26"/>
      <c r="W742" s="26"/>
      <c r="X742" s="26"/>
      <c r="Y742" s="27"/>
      <c r="Z742" s="27"/>
      <c r="AA742" s="27"/>
      <c r="AB742" s="27"/>
      <c r="AC742" s="26"/>
      <c r="AD742" s="27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</row>
    <row r="743" spans="3:46" ht="15.75" customHeight="1"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6"/>
      <c r="N743" s="27"/>
      <c r="O743" s="26"/>
      <c r="P743" s="26"/>
      <c r="Q743" s="26"/>
      <c r="R743" s="26"/>
      <c r="S743" s="26"/>
      <c r="T743" s="27"/>
      <c r="U743" s="27"/>
      <c r="V743" s="26"/>
      <c r="W743" s="26"/>
      <c r="X743" s="26"/>
      <c r="Y743" s="27"/>
      <c r="Z743" s="27"/>
      <c r="AA743" s="27"/>
      <c r="AB743" s="27"/>
      <c r="AC743" s="26"/>
      <c r="AD743" s="27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</row>
    <row r="744" spans="3:46" ht="15.75" customHeight="1"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6"/>
      <c r="N744" s="27"/>
      <c r="O744" s="26"/>
      <c r="P744" s="26"/>
      <c r="Q744" s="26"/>
      <c r="R744" s="26"/>
      <c r="S744" s="26"/>
      <c r="T744" s="27"/>
      <c r="U744" s="27"/>
      <c r="V744" s="26"/>
      <c r="W744" s="26"/>
      <c r="X744" s="26"/>
      <c r="Y744" s="27"/>
      <c r="Z744" s="27"/>
      <c r="AA744" s="27"/>
      <c r="AB744" s="27"/>
      <c r="AC744" s="26"/>
      <c r="AD744" s="27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</row>
    <row r="745" spans="3:46" ht="15.75" customHeight="1"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6"/>
      <c r="N745" s="27"/>
      <c r="O745" s="26"/>
      <c r="P745" s="26"/>
      <c r="Q745" s="26"/>
      <c r="R745" s="26"/>
      <c r="S745" s="26"/>
      <c r="T745" s="27"/>
      <c r="U745" s="27"/>
      <c r="V745" s="26"/>
      <c r="W745" s="26"/>
      <c r="X745" s="26"/>
      <c r="Y745" s="27"/>
      <c r="Z745" s="27"/>
      <c r="AA745" s="27"/>
      <c r="AB745" s="27"/>
      <c r="AC745" s="26"/>
      <c r="AD745" s="27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</row>
    <row r="746" spans="3:46" ht="15.75" customHeight="1"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6"/>
      <c r="N746" s="27"/>
      <c r="O746" s="26"/>
      <c r="P746" s="26"/>
      <c r="Q746" s="26"/>
      <c r="R746" s="26"/>
      <c r="S746" s="26"/>
      <c r="T746" s="27"/>
      <c r="U746" s="27"/>
      <c r="V746" s="26"/>
      <c r="W746" s="26"/>
      <c r="X746" s="26"/>
      <c r="Y746" s="27"/>
      <c r="Z746" s="27"/>
      <c r="AA746" s="27"/>
      <c r="AB746" s="27"/>
      <c r="AC746" s="26"/>
      <c r="AD746" s="27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</row>
    <row r="747" spans="3:46" ht="15.75" customHeight="1"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6"/>
      <c r="N747" s="27"/>
      <c r="O747" s="26"/>
      <c r="P747" s="26"/>
      <c r="Q747" s="26"/>
      <c r="R747" s="26"/>
      <c r="S747" s="26"/>
      <c r="T747" s="27"/>
      <c r="U747" s="27"/>
      <c r="V747" s="26"/>
      <c r="W747" s="26"/>
      <c r="X747" s="26"/>
      <c r="Y747" s="27"/>
      <c r="Z747" s="27"/>
      <c r="AA747" s="27"/>
      <c r="AB747" s="27"/>
      <c r="AC747" s="26"/>
      <c r="AD747" s="27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</row>
    <row r="748" spans="3:46" ht="15.75" customHeight="1"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6"/>
      <c r="N748" s="27"/>
      <c r="O748" s="26"/>
      <c r="P748" s="26"/>
      <c r="Q748" s="26"/>
      <c r="R748" s="26"/>
      <c r="S748" s="26"/>
      <c r="T748" s="27"/>
      <c r="U748" s="27"/>
      <c r="V748" s="26"/>
      <c r="W748" s="26"/>
      <c r="X748" s="26"/>
      <c r="Y748" s="27"/>
      <c r="Z748" s="27"/>
      <c r="AA748" s="27"/>
      <c r="AB748" s="27"/>
      <c r="AC748" s="26"/>
      <c r="AD748" s="27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</row>
    <row r="749" spans="3:46" ht="15.75" customHeight="1"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6"/>
      <c r="N749" s="27"/>
      <c r="O749" s="26"/>
      <c r="P749" s="26"/>
      <c r="Q749" s="26"/>
      <c r="R749" s="26"/>
      <c r="S749" s="26"/>
      <c r="T749" s="27"/>
      <c r="U749" s="27"/>
      <c r="V749" s="26"/>
      <c r="W749" s="26"/>
      <c r="X749" s="26"/>
      <c r="Y749" s="27"/>
      <c r="Z749" s="27"/>
      <c r="AA749" s="27"/>
      <c r="AB749" s="27"/>
      <c r="AC749" s="26"/>
      <c r="AD749" s="27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</row>
    <row r="750" spans="3:46" ht="15.75" customHeight="1"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6"/>
      <c r="N750" s="27"/>
      <c r="O750" s="26"/>
      <c r="P750" s="26"/>
      <c r="Q750" s="26"/>
      <c r="R750" s="26"/>
      <c r="S750" s="26"/>
      <c r="T750" s="27"/>
      <c r="U750" s="27"/>
      <c r="V750" s="26"/>
      <c r="W750" s="26"/>
      <c r="X750" s="26"/>
      <c r="Y750" s="27"/>
      <c r="Z750" s="27"/>
      <c r="AA750" s="27"/>
      <c r="AB750" s="27"/>
      <c r="AC750" s="26"/>
      <c r="AD750" s="27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</row>
    <row r="751" spans="3:46" ht="15.75" customHeight="1"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6"/>
      <c r="N751" s="27"/>
      <c r="O751" s="26"/>
      <c r="P751" s="26"/>
      <c r="Q751" s="26"/>
      <c r="R751" s="26"/>
      <c r="S751" s="26"/>
      <c r="T751" s="27"/>
      <c r="U751" s="27"/>
      <c r="V751" s="26"/>
      <c r="W751" s="26"/>
      <c r="X751" s="26"/>
      <c r="Y751" s="27"/>
      <c r="Z751" s="27"/>
      <c r="AA751" s="27"/>
      <c r="AB751" s="27"/>
      <c r="AC751" s="26"/>
      <c r="AD751" s="27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</row>
    <row r="752" spans="3:46" ht="15.75" customHeight="1"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6"/>
      <c r="N752" s="27"/>
      <c r="O752" s="26"/>
      <c r="P752" s="26"/>
      <c r="Q752" s="26"/>
      <c r="R752" s="26"/>
      <c r="S752" s="26"/>
      <c r="T752" s="27"/>
      <c r="U752" s="27"/>
      <c r="V752" s="26"/>
      <c r="W752" s="26"/>
      <c r="X752" s="26"/>
      <c r="Y752" s="27"/>
      <c r="Z752" s="27"/>
      <c r="AA752" s="27"/>
      <c r="AB752" s="27"/>
      <c r="AC752" s="26"/>
      <c r="AD752" s="27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</row>
    <row r="753" spans="3:46" ht="15.75" customHeight="1"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6"/>
      <c r="N753" s="27"/>
      <c r="O753" s="26"/>
      <c r="P753" s="26"/>
      <c r="Q753" s="26"/>
      <c r="R753" s="26"/>
      <c r="S753" s="26"/>
      <c r="T753" s="27"/>
      <c r="U753" s="27"/>
      <c r="V753" s="26"/>
      <c r="W753" s="26"/>
      <c r="X753" s="26"/>
      <c r="Y753" s="27"/>
      <c r="Z753" s="27"/>
      <c r="AA753" s="27"/>
      <c r="AB753" s="27"/>
      <c r="AC753" s="26"/>
      <c r="AD753" s="27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</row>
    <row r="754" spans="3:46" ht="15.75" customHeight="1"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6"/>
      <c r="N754" s="27"/>
      <c r="O754" s="26"/>
      <c r="P754" s="26"/>
      <c r="Q754" s="26"/>
      <c r="R754" s="26"/>
      <c r="S754" s="26"/>
      <c r="T754" s="27"/>
      <c r="U754" s="27"/>
      <c r="V754" s="26"/>
      <c r="W754" s="26"/>
      <c r="X754" s="26"/>
      <c r="Y754" s="27"/>
      <c r="Z754" s="27"/>
      <c r="AA754" s="27"/>
      <c r="AB754" s="27"/>
      <c r="AC754" s="26"/>
      <c r="AD754" s="27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</row>
    <row r="755" spans="3:46" ht="15.75" customHeight="1"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6"/>
      <c r="N755" s="27"/>
      <c r="O755" s="26"/>
      <c r="P755" s="26"/>
      <c r="Q755" s="26"/>
      <c r="R755" s="26"/>
      <c r="S755" s="26"/>
      <c r="T755" s="27"/>
      <c r="U755" s="27"/>
      <c r="V755" s="26"/>
      <c r="W755" s="26"/>
      <c r="X755" s="26"/>
      <c r="Y755" s="27"/>
      <c r="Z755" s="27"/>
      <c r="AA755" s="27"/>
      <c r="AB755" s="27"/>
      <c r="AC755" s="26"/>
      <c r="AD755" s="27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</row>
    <row r="756" spans="3:46" ht="15.75" customHeight="1"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6"/>
      <c r="N756" s="27"/>
      <c r="O756" s="26"/>
      <c r="P756" s="26"/>
      <c r="Q756" s="26"/>
      <c r="R756" s="26"/>
      <c r="S756" s="26"/>
      <c r="T756" s="27"/>
      <c r="U756" s="27"/>
      <c r="V756" s="26"/>
      <c r="W756" s="26"/>
      <c r="X756" s="26"/>
      <c r="Y756" s="27"/>
      <c r="Z756" s="27"/>
      <c r="AA756" s="27"/>
      <c r="AB756" s="27"/>
      <c r="AC756" s="26"/>
      <c r="AD756" s="27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</row>
    <row r="757" spans="3:46" ht="15.75" customHeight="1"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6"/>
      <c r="N757" s="27"/>
      <c r="O757" s="26"/>
      <c r="P757" s="26"/>
      <c r="Q757" s="26"/>
      <c r="R757" s="26"/>
      <c r="S757" s="26"/>
      <c r="T757" s="27"/>
      <c r="U757" s="27"/>
      <c r="V757" s="26"/>
      <c r="W757" s="26"/>
      <c r="X757" s="26"/>
      <c r="Y757" s="27"/>
      <c r="Z757" s="27"/>
      <c r="AA757" s="27"/>
      <c r="AB757" s="27"/>
      <c r="AC757" s="26"/>
      <c r="AD757" s="27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</row>
    <row r="758" spans="3:46" ht="15.75" customHeight="1"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6"/>
      <c r="N758" s="27"/>
      <c r="O758" s="26"/>
      <c r="P758" s="26"/>
      <c r="Q758" s="26"/>
      <c r="R758" s="26"/>
      <c r="S758" s="26"/>
      <c r="T758" s="27"/>
      <c r="U758" s="27"/>
      <c r="V758" s="26"/>
      <c r="W758" s="26"/>
      <c r="X758" s="26"/>
      <c r="Y758" s="27"/>
      <c r="Z758" s="27"/>
      <c r="AA758" s="27"/>
      <c r="AB758" s="27"/>
      <c r="AC758" s="26"/>
      <c r="AD758" s="27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</row>
    <row r="759" spans="3:46" ht="15.75" customHeight="1"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6"/>
      <c r="N759" s="27"/>
      <c r="O759" s="26"/>
      <c r="P759" s="26"/>
      <c r="Q759" s="26"/>
      <c r="R759" s="26"/>
      <c r="S759" s="26"/>
      <c r="T759" s="27"/>
      <c r="U759" s="27"/>
      <c r="V759" s="26"/>
      <c r="W759" s="26"/>
      <c r="X759" s="26"/>
      <c r="Y759" s="27"/>
      <c r="Z759" s="27"/>
      <c r="AA759" s="27"/>
      <c r="AB759" s="27"/>
      <c r="AC759" s="26"/>
      <c r="AD759" s="27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</row>
    <row r="760" spans="3:46" ht="15.75" customHeight="1"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6"/>
      <c r="N760" s="27"/>
      <c r="O760" s="26"/>
      <c r="P760" s="26"/>
      <c r="Q760" s="26"/>
      <c r="R760" s="26"/>
      <c r="S760" s="26"/>
      <c r="T760" s="27"/>
      <c r="U760" s="27"/>
      <c r="V760" s="26"/>
      <c r="W760" s="26"/>
      <c r="X760" s="26"/>
      <c r="Y760" s="27"/>
      <c r="Z760" s="27"/>
      <c r="AA760" s="27"/>
      <c r="AB760" s="27"/>
      <c r="AC760" s="26"/>
      <c r="AD760" s="27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</row>
    <row r="761" spans="3:46" ht="15.75" customHeight="1"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6"/>
      <c r="N761" s="27"/>
      <c r="O761" s="26"/>
      <c r="P761" s="26"/>
      <c r="Q761" s="26"/>
      <c r="R761" s="26"/>
      <c r="S761" s="26"/>
      <c r="T761" s="27"/>
      <c r="U761" s="27"/>
      <c r="V761" s="26"/>
      <c r="W761" s="26"/>
      <c r="X761" s="26"/>
      <c r="Y761" s="27"/>
      <c r="Z761" s="27"/>
      <c r="AA761" s="27"/>
      <c r="AB761" s="27"/>
      <c r="AC761" s="26"/>
      <c r="AD761" s="27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</row>
    <row r="762" spans="3:46" ht="15.75" customHeight="1"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6"/>
      <c r="N762" s="27"/>
      <c r="O762" s="26"/>
      <c r="P762" s="26"/>
      <c r="Q762" s="26"/>
      <c r="R762" s="26"/>
      <c r="S762" s="26"/>
      <c r="T762" s="27"/>
      <c r="U762" s="27"/>
      <c r="V762" s="26"/>
      <c r="W762" s="26"/>
      <c r="X762" s="26"/>
      <c r="Y762" s="27"/>
      <c r="Z762" s="27"/>
      <c r="AA762" s="27"/>
      <c r="AB762" s="27"/>
      <c r="AC762" s="26"/>
      <c r="AD762" s="27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</row>
    <row r="763" spans="3:46" ht="15.75" customHeight="1"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6"/>
      <c r="N763" s="27"/>
      <c r="O763" s="26"/>
      <c r="P763" s="26"/>
      <c r="Q763" s="26"/>
      <c r="R763" s="26"/>
      <c r="S763" s="26"/>
      <c r="T763" s="27"/>
      <c r="U763" s="27"/>
      <c r="V763" s="26"/>
      <c r="W763" s="26"/>
      <c r="X763" s="26"/>
      <c r="Y763" s="27"/>
      <c r="Z763" s="27"/>
      <c r="AA763" s="27"/>
      <c r="AB763" s="27"/>
      <c r="AC763" s="26"/>
      <c r="AD763" s="27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</row>
    <row r="764" spans="3:46" ht="15.75" customHeight="1"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6"/>
      <c r="N764" s="27"/>
      <c r="O764" s="26"/>
      <c r="P764" s="26"/>
      <c r="Q764" s="26"/>
      <c r="R764" s="26"/>
      <c r="S764" s="26"/>
      <c r="T764" s="27"/>
      <c r="U764" s="27"/>
      <c r="V764" s="26"/>
      <c r="W764" s="26"/>
      <c r="X764" s="26"/>
      <c r="Y764" s="27"/>
      <c r="Z764" s="27"/>
      <c r="AA764" s="27"/>
      <c r="AB764" s="27"/>
      <c r="AC764" s="26"/>
      <c r="AD764" s="27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</row>
    <row r="765" spans="3:46" ht="15.75" customHeight="1"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6"/>
      <c r="N765" s="27"/>
      <c r="O765" s="26"/>
      <c r="P765" s="26"/>
      <c r="Q765" s="26"/>
      <c r="R765" s="26"/>
      <c r="S765" s="26"/>
      <c r="T765" s="27"/>
      <c r="U765" s="27"/>
      <c r="V765" s="26"/>
      <c r="W765" s="26"/>
      <c r="X765" s="26"/>
      <c r="Y765" s="27"/>
      <c r="Z765" s="27"/>
      <c r="AA765" s="27"/>
      <c r="AB765" s="27"/>
      <c r="AC765" s="26"/>
      <c r="AD765" s="27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</row>
    <row r="766" spans="3:46" ht="15.75" customHeight="1"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6"/>
      <c r="N766" s="27"/>
      <c r="O766" s="26"/>
      <c r="P766" s="26"/>
      <c r="Q766" s="26"/>
      <c r="R766" s="26"/>
      <c r="S766" s="26"/>
      <c r="T766" s="27"/>
      <c r="U766" s="27"/>
      <c r="V766" s="26"/>
      <c r="W766" s="26"/>
      <c r="X766" s="26"/>
      <c r="Y766" s="27"/>
      <c r="Z766" s="27"/>
      <c r="AA766" s="27"/>
      <c r="AB766" s="27"/>
      <c r="AC766" s="26"/>
      <c r="AD766" s="27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</row>
    <row r="767" spans="3:46" ht="15.75" customHeight="1"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6"/>
      <c r="N767" s="27"/>
      <c r="O767" s="26"/>
      <c r="P767" s="26"/>
      <c r="Q767" s="26"/>
      <c r="R767" s="26"/>
      <c r="S767" s="26"/>
      <c r="T767" s="27"/>
      <c r="U767" s="27"/>
      <c r="V767" s="26"/>
      <c r="W767" s="26"/>
      <c r="X767" s="26"/>
      <c r="Y767" s="27"/>
      <c r="Z767" s="27"/>
      <c r="AA767" s="27"/>
      <c r="AB767" s="27"/>
      <c r="AC767" s="26"/>
      <c r="AD767" s="27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</row>
    <row r="768" spans="3:46" ht="15.75" customHeight="1"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6"/>
      <c r="N768" s="27"/>
      <c r="O768" s="26"/>
      <c r="P768" s="26"/>
      <c r="Q768" s="26"/>
      <c r="R768" s="26"/>
      <c r="S768" s="26"/>
      <c r="T768" s="27"/>
      <c r="U768" s="27"/>
      <c r="V768" s="26"/>
      <c r="W768" s="26"/>
      <c r="X768" s="26"/>
      <c r="Y768" s="27"/>
      <c r="Z768" s="27"/>
      <c r="AA768" s="27"/>
      <c r="AB768" s="27"/>
      <c r="AC768" s="26"/>
      <c r="AD768" s="27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</row>
    <row r="769" spans="3:46" ht="15.75" customHeight="1"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6"/>
      <c r="N769" s="27"/>
      <c r="O769" s="26"/>
      <c r="P769" s="26"/>
      <c r="Q769" s="26"/>
      <c r="R769" s="26"/>
      <c r="S769" s="26"/>
      <c r="T769" s="27"/>
      <c r="U769" s="27"/>
      <c r="V769" s="26"/>
      <c r="W769" s="26"/>
      <c r="X769" s="26"/>
      <c r="Y769" s="27"/>
      <c r="Z769" s="27"/>
      <c r="AA769" s="27"/>
      <c r="AB769" s="27"/>
      <c r="AC769" s="26"/>
      <c r="AD769" s="27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</row>
    <row r="770" spans="3:46" ht="15.75" customHeight="1"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6"/>
      <c r="N770" s="27"/>
      <c r="O770" s="26"/>
      <c r="P770" s="26"/>
      <c r="Q770" s="26"/>
      <c r="R770" s="26"/>
      <c r="S770" s="26"/>
      <c r="T770" s="27"/>
      <c r="U770" s="27"/>
      <c r="V770" s="26"/>
      <c r="W770" s="26"/>
      <c r="X770" s="26"/>
      <c r="Y770" s="27"/>
      <c r="Z770" s="27"/>
      <c r="AA770" s="27"/>
      <c r="AB770" s="27"/>
      <c r="AC770" s="26"/>
      <c r="AD770" s="27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</row>
    <row r="771" spans="3:46" ht="15.75" customHeight="1"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6"/>
      <c r="N771" s="27"/>
      <c r="O771" s="26"/>
      <c r="P771" s="26"/>
      <c r="Q771" s="26"/>
      <c r="R771" s="26"/>
      <c r="S771" s="26"/>
      <c r="T771" s="27"/>
      <c r="U771" s="27"/>
      <c r="V771" s="26"/>
      <c r="W771" s="26"/>
      <c r="X771" s="26"/>
      <c r="Y771" s="27"/>
      <c r="Z771" s="27"/>
      <c r="AA771" s="27"/>
      <c r="AB771" s="27"/>
      <c r="AC771" s="26"/>
      <c r="AD771" s="27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</row>
    <row r="772" spans="3:46" ht="15.75" customHeight="1"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6"/>
      <c r="N772" s="27"/>
      <c r="O772" s="26"/>
      <c r="P772" s="26"/>
      <c r="Q772" s="26"/>
      <c r="R772" s="26"/>
      <c r="S772" s="26"/>
      <c r="T772" s="27"/>
      <c r="U772" s="27"/>
      <c r="V772" s="26"/>
      <c r="W772" s="26"/>
      <c r="X772" s="26"/>
      <c r="Y772" s="27"/>
      <c r="Z772" s="27"/>
      <c r="AA772" s="27"/>
      <c r="AB772" s="27"/>
      <c r="AC772" s="26"/>
      <c r="AD772" s="27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</row>
    <row r="773" spans="3:46" ht="15.75" customHeight="1"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6"/>
      <c r="N773" s="27"/>
      <c r="O773" s="26"/>
      <c r="P773" s="26"/>
      <c r="Q773" s="26"/>
      <c r="R773" s="26"/>
      <c r="S773" s="26"/>
      <c r="T773" s="27"/>
      <c r="U773" s="27"/>
      <c r="V773" s="26"/>
      <c r="W773" s="26"/>
      <c r="X773" s="26"/>
      <c r="Y773" s="27"/>
      <c r="Z773" s="27"/>
      <c r="AA773" s="27"/>
      <c r="AB773" s="27"/>
      <c r="AC773" s="26"/>
      <c r="AD773" s="27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</row>
    <row r="774" spans="3:46" ht="15.75" customHeight="1"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6"/>
      <c r="N774" s="27"/>
      <c r="O774" s="26"/>
      <c r="P774" s="26"/>
      <c r="Q774" s="26"/>
      <c r="R774" s="26"/>
      <c r="S774" s="26"/>
      <c r="T774" s="27"/>
      <c r="U774" s="27"/>
      <c r="V774" s="26"/>
      <c r="W774" s="26"/>
      <c r="X774" s="26"/>
      <c r="Y774" s="27"/>
      <c r="Z774" s="27"/>
      <c r="AA774" s="27"/>
      <c r="AB774" s="27"/>
      <c r="AC774" s="26"/>
      <c r="AD774" s="27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</row>
    <row r="775" spans="3:46" ht="15.75" customHeight="1"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6"/>
      <c r="N775" s="27"/>
      <c r="O775" s="26"/>
      <c r="P775" s="26"/>
      <c r="Q775" s="26"/>
      <c r="R775" s="26"/>
      <c r="S775" s="26"/>
      <c r="T775" s="27"/>
      <c r="U775" s="27"/>
      <c r="V775" s="26"/>
      <c r="W775" s="26"/>
      <c r="X775" s="26"/>
      <c r="Y775" s="27"/>
      <c r="Z775" s="27"/>
      <c r="AA775" s="27"/>
      <c r="AB775" s="27"/>
      <c r="AC775" s="26"/>
      <c r="AD775" s="27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</row>
    <row r="776" spans="3:46" ht="15.75" customHeight="1"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6"/>
      <c r="N776" s="27"/>
      <c r="O776" s="26"/>
      <c r="P776" s="26"/>
      <c r="Q776" s="26"/>
      <c r="R776" s="26"/>
      <c r="S776" s="26"/>
      <c r="T776" s="27"/>
      <c r="U776" s="27"/>
      <c r="V776" s="26"/>
      <c r="W776" s="26"/>
      <c r="X776" s="26"/>
      <c r="Y776" s="27"/>
      <c r="Z776" s="27"/>
      <c r="AA776" s="27"/>
      <c r="AB776" s="27"/>
      <c r="AC776" s="26"/>
      <c r="AD776" s="27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</row>
    <row r="777" spans="3:46" ht="15.75" customHeight="1"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6"/>
      <c r="N777" s="27"/>
      <c r="O777" s="26"/>
      <c r="P777" s="26"/>
      <c r="Q777" s="26"/>
      <c r="R777" s="26"/>
      <c r="S777" s="26"/>
      <c r="T777" s="27"/>
      <c r="U777" s="27"/>
      <c r="V777" s="26"/>
      <c r="W777" s="26"/>
      <c r="X777" s="26"/>
      <c r="Y777" s="27"/>
      <c r="Z777" s="27"/>
      <c r="AA777" s="27"/>
      <c r="AB777" s="27"/>
      <c r="AC777" s="26"/>
      <c r="AD777" s="27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</row>
    <row r="778" spans="3:46" ht="15.75" customHeight="1"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6"/>
      <c r="N778" s="27"/>
      <c r="O778" s="26"/>
      <c r="P778" s="26"/>
      <c r="Q778" s="26"/>
      <c r="R778" s="26"/>
      <c r="S778" s="26"/>
      <c r="T778" s="27"/>
      <c r="U778" s="27"/>
      <c r="V778" s="26"/>
      <c r="W778" s="26"/>
      <c r="X778" s="26"/>
      <c r="Y778" s="27"/>
      <c r="Z778" s="27"/>
      <c r="AA778" s="27"/>
      <c r="AB778" s="27"/>
      <c r="AC778" s="26"/>
      <c r="AD778" s="27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</row>
    <row r="779" spans="3:46" ht="15.75" customHeight="1"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6"/>
      <c r="N779" s="27"/>
      <c r="O779" s="26"/>
      <c r="P779" s="26"/>
      <c r="Q779" s="26"/>
      <c r="R779" s="26"/>
      <c r="S779" s="26"/>
      <c r="T779" s="27"/>
      <c r="U779" s="27"/>
      <c r="V779" s="26"/>
      <c r="W779" s="26"/>
      <c r="X779" s="26"/>
      <c r="Y779" s="27"/>
      <c r="Z779" s="27"/>
      <c r="AA779" s="27"/>
      <c r="AB779" s="27"/>
      <c r="AC779" s="26"/>
      <c r="AD779" s="27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</row>
    <row r="780" spans="3:46" ht="15.75" customHeight="1"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6"/>
      <c r="N780" s="27"/>
      <c r="O780" s="26"/>
      <c r="P780" s="26"/>
      <c r="Q780" s="26"/>
      <c r="R780" s="26"/>
      <c r="S780" s="26"/>
      <c r="T780" s="27"/>
      <c r="U780" s="27"/>
      <c r="V780" s="26"/>
      <c r="W780" s="26"/>
      <c r="X780" s="26"/>
      <c r="Y780" s="27"/>
      <c r="Z780" s="27"/>
      <c r="AA780" s="27"/>
      <c r="AB780" s="27"/>
      <c r="AC780" s="26"/>
      <c r="AD780" s="27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</row>
    <row r="781" spans="3:46" ht="15.75" customHeight="1"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6"/>
      <c r="N781" s="27"/>
      <c r="O781" s="26"/>
      <c r="P781" s="26"/>
      <c r="Q781" s="26"/>
      <c r="R781" s="26"/>
      <c r="S781" s="26"/>
      <c r="T781" s="27"/>
      <c r="U781" s="27"/>
      <c r="V781" s="26"/>
      <c r="W781" s="26"/>
      <c r="X781" s="26"/>
      <c r="Y781" s="27"/>
      <c r="Z781" s="27"/>
      <c r="AA781" s="27"/>
      <c r="AB781" s="27"/>
      <c r="AC781" s="26"/>
      <c r="AD781" s="27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</row>
    <row r="782" spans="3:46" ht="15.75" customHeight="1"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6"/>
      <c r="N782" s="27"/>
      <c r="O782" s="26"/>
      <c r="P782" s="26"/>
      <c r="Q782" s="26"/>
      <c r="R782" s="26"/>
      <c r="S782" s="26"/>
      <c r="T782" s="27"/>
      <c r="U782" s="27"/>
      <c r="V782" s="26"/>
      <c r="W782" s="26"/>
      <c r="X782" s="26"/>
      <c r="Y782" s="27"/>
      <c r="Z782" s="27"/>
      <c r="AA782" s="27"/>
      <c r="AB782" s="27"/>
      <c r="AC782" s="26"/>
      <c r="AD782" s="27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</row>
    <row r="783" spans="3:46" ht="15.75" customHeight="1"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6"/>
      <c r="N783" s="27"/>
      <c r="O783" s="26"/>
      <c r="P783" s="26"/>
      <c r="Q783" s="26"/>
      <c r="R783" s="26"/>
      <c r="S783" s="26"/>
      <c r="T783" s="27"/>
      <c r="U783" s="27"/>
      <c r="V783" s="26"/>
      <c r="W783" s="26"/>
      <c r="X783" s="26"/>
      <c r="Y783" s="27"/>
      <c r="Z783" s="27"/>
      <c r="AA783" s="27"/>
      <c r="AB783" s="27"/>
      <c r="AC783" s="26"/>
      <c r="AD783" s="27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</row>
    <row r="784" spans="3:46" ht="15.75" customHeight="1"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6"/>
      <c r="N784" s="27"/>
      <c r="O784" s="26"/>
      <c r="P784" s="26"/>
      <c r="Q784" s="26"/>
      <c r="R784" s="26"/>
      <c r="S784" s="26"/>
      <c r="T784" s="27"/>
      <c r="U784" s="27"/>
      <c r="V784" s="26"/>
      <c r="W784" s="26"/>
      <c r="X784" s="26"/>
      <c r="Y784" s="27"/>
      <c r="Z784" s="27"/>
      <c r="AA784" s="27"/>
      <c r="AB784" s="27"/>
      <c r="AC784" s="26"/>
      <c r="AD784" s="27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</row>
    <row r="785" spans="3:46" ht="15.75" customHeight="1"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6"/>
      <c r="N785" s="27"/>
      <c r="O785" s="26"/>
      <c r="P785" s="26"/>
      <c r="Q785" s="26"/>
      <c r="R785" s="26"/>
      <c r="S785" s="26"/>
      <c r="T785" s="27"/>
      <c r="U785" s="27"/>
      <c r="V785" s="26"/>
      <c r="W785" s="26"/>
      <c r="X785" s="26"/>
      <c r="Y785" s="27"/>
      <c r="Z785" s="27"/>
      <c r="AA785" s="27"/>
      <c r="AB785" s="27"/>
      <c r="AC785" s="26"/>
      <c r="AD785" s="27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</row>
    <row r="786" spans="3:46" ht="15.75" customHeight="1"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6"/>
      <c r="N786" s="27"/>
      <c r="O786" s="26"/>
      <c r="P786" s="26"/>
      <c r="Q786" s="26"/>
      <c r="R786" s="26"/>
      <c r="S786" s="26"/>
      <c r="T786" s="27"/>
      <c r="U786" s="27"/>
      <c r="V786" s="26"/>
      <c r="W786" s="26"/>
      <c r="X786" s="26"/>
      <c r="Y786" s="27"/>
      <c r="Z786" s="27"/>
      <c r="AA786" s="27"/>
      <c r="AB786" s="27"/>
      <c r="AC786" s="26"/>
      <c r="AD786" s="27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</row>
    <row r="787" spans="3:46" ht="15.75" customHeight="1"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6"/>
      <c r="N787" s="27"/>
      <c r="O787" s="26"/>
      <c r="P787" s="26"/>
      <c r="Q787" s="26"/>
      <c r="R787" s="26"/>
      <c r="S787" s="26"/>
      <c r="T787" s="27"/>
      <c r="U787" s="27"/>
      <c r="V787" s="26"/>
      <c r="W787" s="26"/>
      <c r="X787" s="26"/>
      <c r="Y787" s="27"/>
      <c r="Z787" s="27"/>
      <c r="AA787" s="27"/>
      <c r="AB787" s="27"/>
      <c r="AC787" s="26"/>
      <c r="AD787" s="27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</row>
    <row r="788" spans="3:46" ht="15.75" customHeight="1"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6"/>
      <c r="N788" s="27"/>
      <c r="O788" s="26"/>
      <c r="P788" s="26"/>
      <c r="Q788" s="26"/>
      <c r="R788" s="26"/>
      <c r="S788" s="26"/>
      <c r="T788" s="27"/>
      <c r="U788" s="27"/>
      <c r="V788" s="26"/>
      <c r="W788" s="26"/>
      <c r="X788" s="26"/>
      <c r="Y788" s="27"/>
      <c r="Z788" s="27"/>
      <c r="AA788" s="27"/>
      <c r="AB788" s="27"/>
      <c r="AC788" s="26"/>
      <c r="AD788" s="27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</row>
    <row r="789" spans="3:46" ht="15.75" customHeight="1"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6"/>
      <c r="N789" s="27"/>
      <c r="O789" s="26"/>
      <c r="P789" s="26"/>
      <c r="Q789" s="26"/>
      <c r="R789" s="26"/>
      <c r="S789" s="26"/>
      <c r="T789" s="27"/>
      <c r="U789" s="27"/>
      <c r="V789" s="26"/>
      <c r="W789" s="26"/>
      <c r="X789" s="26"/>
      <c r="Y789" s="27"/>
      <c r="Z789" s="27"/>
      <c r="AA789" s="27"/>
      <c r="AB789" s="27"/>
      <c r="AC789" s="26"/>
      <c r="AD789" s="27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</row>
    <row r="790" spans="3:46" ht="15.75" customHeight="1"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6"/>
      <c r="N790" s="27"/>
      <c r="O790" s="26"/>
      <c r="P790" s="26"/>
      <c r="Q790" s="26"/>
      <c r="R790" s="26"/>
      <c r="S790" s="26"/>
      <c r="T790" s="27"/>
      <c r="U790" s="27"/>
      <c r="V790" s="26"/>
      <c r="W790" s="26"/>
      <c r="X790" s="26"/>
      <c r="Y790" s="27"/>
      <c r="Z790" s="27"/>
      <c r="AA790" s="27"/>
      <c r="AB790" s="27"/>
      <c r="AC790" s="26"/>
      <c r="AD790" s="27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</row>
    <row r="791" spans="3:46" ht="15.75" customHeight="1"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6"/>
      <c r="N791" s="27"/>
      <c r="O791" s="26"/>
      <c r="P791" s="26"/>
      <c r="Q791" s="26"/>
      <c r="R791" s="26"/>
      <c r="S791" s="26"/>
      <c r="T791" s="27"/>
      <c r="U791" s="27"/>
      <c r="V791" s="26"/>
      <c r="W791" s="26"/>
      <c r="X791" s="26"/>
      <c r="Y791" s="27"/>
      <c r="Z791" s="27"/>
      <c r="AA791" s="27"/>
      <c r="AB791" s="27"/>
      <c r="AC791" s="26"/>
      <c r="AD791" s="27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</row>
    <row r="792" spans="3:46" ht="15.75" customHeight="1"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6"/>
      <c r="N792" s="27"/>
      <c r="O792" s="26"/>
      <c r="P792" s="26"/>
      <c r="Q792" s="26"/>
      <c r="R792" s="26"/>
      <c r="S792" s="26"/>
      <c r="T792" s="27"/>
      <c r="U792" s="27"/>
      <c r="V792" s="26"/>
      <c r="W792" s="26"/>
      <c r="X792" s="26"/>
      <c r="Y792" s="27"/>
      <c r="Z792" s="27"/>
      <c r="AA792" s="27"/>
      <c r="AB792" s="27"/>
      <c r="AC792" s="26"/>
      <c r="AD792" s="27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</row>
    <row r="793" spans="3:46" ht="15.75" customHeight="1"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6"/>
      <c r="N793" s="27"/>
      <c r="O793" s="26"/>
      <c r="P793" s="26"/>
      <c r="Q793" s="26"/>
      <c r="R793" s="26"/>
      <c r="S793" s="26"/>
      <c r="T793" s="27"/>
      <c r="U793" s="27"/>
      <c r="V793" s="26"/>
      <c r="W793" s="26"/>
      <c r="X793" s="26"/>
      <c r="Y793" s="27"/>
      <c r="Z793" s="27"/>
      <c r="AA793" s="27"/>
      <c r="AB793" s="27"/>
      <c r="AC793" s="26"/>
      <c r="AD793" s="27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</row>
    <row r="794" spans="3:46" ht="15.75" customHeight="1"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6"/>
      <c r="N794" s="27"/>
      <c r="O794" s="26"/>
      <c r="P794" s="26"/>
      <c r="Q794" s="26"/>
      <c r="R794" s="26"/>
      <c r="S794" s="26"/>
      <c r="T794" s="27"/>
      <c r="U794" s="27"/>
      <c r="V794" s="26"/>
      <c r="W794" s="26"/>
      <c r="X794" s="26"/>
      <c r="Y794" s="27"/>
      <c r="Z794" s="27"/>
      <c r="AA794" s="27"/>
      <c r="AB794" s="27"/>
      <c r="AC794" s="26"/>
      <c r="AD794" s="27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</row>
    <row r="795" spans="3:46" ht="15.75" customHeight="1"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6"/>
      <c r="N795" s="27"/>
      <c r="O795" s="26"/>
      <c r="P795" s="26"/>
      <c r="Q795" s="26"/>
      <c r="R795" s="26"/>
      <c r="S795" s="26"/>
      <c r="T795" s="27"/>
      <c r="U795" s="27"/>
      <c r="V795" s="26"/>
      <c r="W795" s="26"/>
      <c r="X795" s="26"/>
      <c r="Y795" s="27"/>
      <c r="Z795" s="27"/>
      <c r="AA795" s="27"/>
      <c r="AB795" s="27"/>
      <c r="AC795" s="26"/>
      <c r="AD795" s="27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</row>
    <row r="796" spans="3:46" ht="15.75" customHeight="1"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6"/>
      <c r="N796" s="27"/>
      <c r="O796" s="26"/>
      <c r="P796" s="26"/>
      <c r="Q796" s="26"/>
      <c r="R796" s="26"/>
      <c r="S796" s="26"/>
      <c r="T796" s="27"/>
      <c r="U796" s="27"/>
      <c r="V796" s="26"/>
      <c r="W796" s="26"/>
      <c r="X796" s="26"/>
      <c r="Y796" s="27"/>
      <c r="Z796" s="27"/>
      <c r="AA796" s="27"/>
      <c r="AB796" s="27"/>
      <c r="AC796" s="26"/>
      <c r="AD796" s="27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</row>
    <row r="797" spans="3:46" ht="15.75" customHeight="1"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6"/>
      <c r="N797" s="27"/>
      <c r="O797" s="26"/>
      <c r="P797" s="26"/>
      <c r="Q797" s="26"/>
      <c r="R797" s="26"/>
      <c r="S797" s="26"/>
      <c r="T797" s="27"/>
      <c r="U797" s="27"/>
      <c r="V797" s="26"/>
      <c r="W797" s="26"/>
      <c r="X797" s="26"/>
      <c r="Y797" s="27"/>
      <c r="Z797" s="27"/>
      <c r="AA797" s="27"/>
      <c r="AB797" s="27"/>
      <c r="AC797" s="26"/>
      <c r="AD797" s="27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</row>
    <row r="798" spans="3:46" ht="15.75" customHeight="1"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6"/>
      <c r="N798" s="27"/>
      <c r="O798" s="26"/>
      <c r="P798" s="26"/>
      <c r="Q798" s="26"/>
      <c r="R798" s="26"/>
      <c r="S798" s="26"/>
      <c r="T798" s="27"/>
      <c r="U798" s="27"/>
      <c r="V798" s="26"/>
      <c r="W798" s="26"/>
      <c r="X798" s="26"/>
      <c r="Y798" s="27"/>
      <c r="Z798" s="27"/>
      <c r="AA798" s="27"/>
      <c r="AB798" s="27"/>
      <c r="AC798" s="26"/>
      <c r="AD798" s="27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</row>
    <row r="799" spans="3:46" ht="15.75" customHeight="1"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6"/>
      <c r="N799" s="27"/>
      <c r="O799" s="26"/>
      <c r="P799" s="26"/>
      <c r="Q799" s="26"/>
      <c r="R799" s="26"/>
      <c r="S799" s="26"/>
      <c r="T799" s="27"/>
      <c r="U799" s="27"/>
      <c r="V799" s="26"/>
      <c r="W799" s="26"/>
      <c r="X799" s="26"/>
      <c r="Y799" s="27"/>
      <c r="Z799" s="27"/>
      <c r="AA799" s="27"/>
      <c r="AB799" s="27"/>
      <c r="AC799" s="26"/>
      <c r="AD799" s="27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</row>
    <row r="800" spans="3:46" ht="15.75" customHeight="1"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6"/>
      <c r="N800" s="27"/>
      <c r="O800" s="26"/>
      <c r="P800" s="26"/>
      <c r="Q800" s="26"/>
      <c r="R800" s="26"/>
      <c r="S800" s="26"/>
      <c r="T800" s="27"/>
      <c r="U800" s="27"/>
      <c r="V800" s="26"/>
      <c r="W800" s="26"/>
      <c r="X800" s="26"/>
      <c r="Y800" s="27"/>
      <c r="Z800" s="27"/>
      <c r="AA800" s="27"/>
      <c r="AB800" s="27"/>
      <c r="AC800" s="26"/>
      <c r="AD800" s="27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</row>
    <row r="801" spans="3:46" ht="15.75" customHeight="1"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6"/>
      <c r="N801" s="27"/>
      <c r="O801" s="26"/>
      <c r="P801" s="26"/>
      <c r="Q801" s="26"/>
      <c r="R801" s="26"/>
      <c r="S801" s="26"/>
      <c r="T801" s="27"/>
      <c r="U801" s="27"/>
      <c r="V801" s="26"/>
      <c r="W801" s="26"/>
      <c r="X801" s="26"/>
      <c r="Y801" s="27"/>
      <c r="Z801" s="27"/>
      <c r="AA801" s="27"/>
      <c r="AB801" s="27"/>
      <c r="AC801" s="26"/>
      <c r="AD801" s="27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</row>
    <row r="802" spans="3:46" ht="15.75" customHeight="1"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6"/>
      <c r="N802" s="27"/>
      <c r="O802" s="26"/>
      <c r="P802" s="26"/>
      <c r="Q802" s="26"/>
      <c r="R802" s="26"/>
      <c r="S802" s="26"/>
      <c r="T802" s="27"/>
      <c r="U802" s="27"/>
      <c r="V802" s="26"/>
      <c r="W802" s="26"/>
      <c r="X802" s="26"/>
      <c r="Y802" s="27"/>
      <c r="Z802" s="27"/>
      <c r="AA802" s="27"/>
      <c r="AB802" s="27"/>
      <c r="AC802" s="26"/>
      <c r="AD802" s="27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</row>
    <row r="803" spans="3:46" ht="15.75" customHeight="1"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6"/>
      <c r="N803" s="27"/>
      <c r="O803" s="26"/>
      <c r="P803" s="26"/>
      <c r="Q803" s="26"/>
      <c r="R803" s="26"/>
      <c r="S803" s="26"/>
      <c r="T803" s="27"/>
      <c r="U803" s="27"/>
      <c r="V803" s="26"/>
      <c r="W803" s="26"/>
      <c r="X803" s="26"/>
      <c r="Y803" s="27"/>
      <c r="Z803" s="27"/>
      <c r="AA803" s="27"/>
      <c r="AB803" s="27"/>
      <c r="AC803" s="26"/>
      <c r="AD803" s="27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</row>
    <row r="804" spans="3:46" ht="15.75" customHeight="1"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6"/>
      <c r="N804" s="27"/>
      <c r="O804" s="26"/>
      <c r="P804" s="26"/>
      <c r="Q804" s="26"/>
      <c r="R804" s="26"/>
      <c r="S804" s="26"/>
      <c r="T804" s="27"/>
      <c r="U804" s="27"/>
      <c r="V804" s="26"/>
      <c r="W804" s="26"/>
      <c r="X804" s="26"/>
      <c r="Y804" s="27"/>
      <c r="Z804" s="27"/>
      <c r="AA804" s="27"/>
      <c r="AB804" s="27"/>
      <c r="AC804" s="26"/>
      <c r="AD804" s="27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</row>
    <row r="805" spans="3:46" ht="15.75" customHeight="1"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6"/>
      <c r="N805" s="27"/>
      <c r="O805" s="26"/>
      <c r="P805" s="26"/>
      <c r="Q805" s="26"/>
      <c r="R805" s="26"/>
      <c r="S805" s="26"/>
      <c r="T805" s="27"/>
      <c r="U805" s="27"/>
      <c r="V805" s="26"/>
      <c r="W805" s="26"/>
      <c r="X805" s="26"/>
      <c r="Y805" s="27"/>
      <c r="Z805" s="27"/>
      <c r="AA805" s="27"/>
      <c r="AB805" s="27"/>
      <c r="AC805" s="26"/>
      <c r="AD805" s="27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</row>
    <row r="806" spans="3:46" ht="15.75" customHeight="1"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6"/>
      <c r="N806" s="27"/>
      <c r="O806" s="26"/>
      <c r="P806" s="26"/>
      <c r="Q806" s="26"/>
      <c r="R806" s="26"/>
      <c r="S806" s="26"/>
      <c r="T806" s="27"/>
      <c r="U806" s="27"/>
      <c r="V806" s="26"/>
      <c r="W806" s="26"/>
      <c r="X806" s="26"/>
      <c r="Y806" s="27"/>
      <c r="Z806" s="27"/>
      <c r="AA806" s="27"/>
      <c r="AB806" s="27"/>
      <c r="AC806" s="26"/>
      <c r="AD806" s="27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</row>
    <row r="807" spans="3:46" ht="15.75" customHeight="1"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6"/>
      <c r="N807" s="27"/>
      <c r="O807" s="26"/>
      <c r="P807" s="26"/>
      <c r="Q807" s="26"/>
      <c r="R807" s="26"/>
      <c r="S807" s="26"/>
      <c r="T807" s="27"/>
      <c r="U807" s="27"/>
      <c r="V807" s="26"/>
      <c r="W807" s="26"/>
      <c r="X807" s="26"/>
      <c r="Y807" s="27"/>
      <c r="Z807" s="27"/>
      <c r="AA807" s="27"/>
      <c r="AB807" s="27"/>
      <c r="AC807" s="26"/>
      <c r="AD807" s="27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</row>
    <row r="808" spans="3:46" ht="15.75" customHeight="1"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6"/>
      <c r="N808" s="27"/>
      <c r="O808" s="26"/>
      <c r="P808" s="26"/>
      <c r="Q808" s="26"/>
      <c r="R808" s="26"/>
      <c r="S808" s="26"/>
      <c r="T808" s="27"/>
      <c r="U808" s="27"/>
      <c r="V808" s="26"/>
      <c r="W808" s="26"/>
      <c r="X808" s="26"/>
      <c r="Y808" s="27"/>
      <c r="Z808" s="27"/>
      <c r="AA808" s="27"/>
      <c r="AB808" s="27"/>
      <c r="AC808" s="26"/>
      <c r="AD808" s="27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</row>
    <row r="809" spans="3:46" ht="15.75" customHeight="1"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6"/>
      <c r="N809" s="27"/>
      <c r="O809" s="26"/>
      <c r="P809" s="26"/>
      <c r="Q809" s="26"/>
      <c r="R809" s="26"/>
      <c r="S809" s="26"/>
      <c r="T809" s="27"/>
      <c r="U809" s="27"/>
      <c r="V809" s="26"/>
      <c r="W809" s="26"/>
      <c r="X809" s="26"/>
      <c r="Y809" s="27"/>
      <c r="Z809" s="27"/>
      <c r="AA809" s="27"/>
      <c r="AB809" s="27"/>
      <c r="AC809" s="26"/>
      <c r="AD809" s="27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</row>
    <row r="810" spans="3:46" ht="15.75" customHeight="1"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6"/>
      <c r="N810" s="27"/>
      <c r="O810" s="26"/>
      <c r="P810" s="26"/>
      <c r="Q810" s="26"/>
      <c r="R810" s="26"/>
      <c r="S810" s="26"/>
      <c r="T810" s="27"/>
      <c r="U810" s="27"/>
      <c r="V810" s="26"/>
      <c r="W810" s="26"/>
      <c r="X810" s="26"/>
      <c r="Y810" s="27"/>
      <c r="Z810" s="27"/>
      <c r="AA810" s="27"/>
      <c r="AB810" s="27"/>
      <c r="AC810" s="26"/>
      <c r="AD810" s="27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</row>
    <row r="811" spans="3:46" ht="15.75" customHeight="1"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6"/>
      <c r="N811" s="27"/>
      <c r="O811" s="26"/>
      <c r="P811" s="26"/>
      <c r="Q811" s="26"/>
      <c r="R811" s="26"/>
      <c r="S811" s="26"/>
      <c r="T811" s="27"/>
      <c r="U811" s="27"/>
      <c r="V811" s="26"/>
      <c r="W811" s="26"/>
      <c r="X811" s="26"/>
      <c r="Y811" s="27"/>
      <c r="Z811" s="27"/>
      <c r="AA811" s="27"/>
      <c r="AB811" s="27"/>
      <c r="AC811" s="26"/>
      <c r="AD811" s="27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</row>
    <row r="812" spans="3:46" ht="15.75" customHeight="1"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6"/>
      <c r="N812" s="27"/>
      <c r="O812" s="26"/>
      <c r="P812" s="26"/>
      <c r="Q812" s="26"/>
      <c r="R812" s="26"/>
      <c r="S812" s="26"/>
      <c r="T812" s="27"/>
      <c r="U812" s="27"/>
      <c r="V812" s="26"/>
      <c r="W812" s="26"/>
      <c r="X812" s="26"/>
      <c r="Y812" s="27"/>
      <c r="Z812" s="27"/>
      <c r="AA812" s="27"/>
      <c r="AB812" s="27"/>
      <c r="AC812" s="26"/>
      <c r="AD812" s="27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</row>
    <row r="813" spans="3:46" ht="15.75" customHeight="1"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6"/>
      <c r="N813" s="27"/>
      <c r="O813" s="26"/>
      <c r="P813" s="26"/>
      <c r="Q813" s="26"/>
      <c r="R813" s="26"/>
      <c r="S813" s="26"/>
      <c r="T813" s="27"/>
      <c r="U813" s="27"/>
      <c r="V813" s="26"/>
      <c r="W813" s="26"/>
      <c r="X813" s="26"/>
      <c r="Y813" s="27"/>
      <c r="Z813" s="27"/>
      <c r="AA813" s="27"/>
      <c r="AB813" s="27"/>
      <c r="AC813" s="26"/>
      <c r="AD813" s="27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</row>
    <row r="814" spans="3:46" ht="15.75" customHeight="1"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6"/>
      <c r="N814" s="27"/>
      <c r="O814" s="26"/>
      <c r="P814" s="26"/>
      <c r="Q814" s="26"/>
      <c r="R814" s="26"/>
      <c r="S814" s="26"/>
      <c r="T814" s="27"/>
      <c r="U814" s="27"/>
      <c r="V814" s="26"/>
      <c r="W814" s="26"/>
      <c r="X814" s="26"/>
      <c r="Y814" s="27"/>
      <c r="Z814" s="27"/>
      <c r="AA814" s="27"/>
      <c r="AB814" s="27"/>
      <c r="AC814" s="26"/>
      <c r="AD814" s="27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</row>
    <row r="815" spans="3:46" ht="15.75" customHeight="1"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6"/>
      <c r="N815" s="27"/>
      <c r="O815" s="26"/>
      <c r="P815" s="26"/>
      <c r="Q815" s="26"/>
      <c r="R815" s="26"/>
      <c r="S815" s="26"/>
      <c r="T815" s="27"/>
      <c r="U815" s="27"/>
      <c r="V815" s="26"/>
      <c r="W815" s="26"/>
      <c r="X815" s="26"/>
      <c r="Y815" s="27"/>
      <c r="Z815" s="27"/>
      <c r="AA815" s="27"/>
      <c r="AB815" s="27"/>
      <c r="AC815" s="26"/>
      <c r="AD815" s="27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</row>
    <row r="816" spans="3:46" ht="15.75" customHeight="1"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6"/>
      <c r="N816" s="27"/>
      <c r="O816" s="26"/>
      <c r="P816" s="26"/>
      <c r="Q816" s="26"/>
      <c r="R816" s="26"/>
      <c r="S816" s="26"/>
      <c r="T816" s="27"/>
      <c r="U816" s="27"/>
      <c r="V816" s="26"/>
      <c r="W816" s="26"/>
      <c r="X816" s="26"/>
      <c r="Y816" s="27"/>
      <c r="Z816" s="27"/>
      <c r="AA816" s="27"/>
      <c r="AB816" s="27"/>
      <c r="AC816" s="26"/>
      <c r="AD816" s="27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</row>
    <row r="817" spans="3:46" ht="15.75" customHeight="1"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6"/>
      <c r="N817" s="27"/>
      <c r="O817" s="26"/>
      <c r="P817" s="26"/>
      <c r="Q817" s="26"/>
      <c r="R817" s="26"/>
      <c r="S817" s="26"/>
      <c r="T817" s="27"/>
      <c r="U817" s="27"/>
      <c r="V817" s="26"/>
      <c r="W817" s="26"/>
      <c r="X817" s="26"/>
      <c r="Y817" s="27"/>
      <c r="Z817" s="27"/>
      <c r="AA817" s="27"/>
      <c r="AB817" s="27"/>
      <c r="AC817" s="26"/>
      <c r="AD817" s="27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</row>
    <row r="818" spans="3:46" ht="15.75" customHeight="1"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6"/>
      <c r="N818" s="27"/>
      <c r="O818" s="26"/>
      <c r="P818" s="26"/>
      <c r="Q818" s="26"/>
      <c r="R818" s="26"/>
      <c r="S818" s="26"/>
      <c r="T818" s="27"/>
      <c r="U818" s="27"/>
      <c r="V818" s="26"/>
      <c r="W818" s="26"/>
      <c r="X818" s="26"/>
      <c r="Y818" s="27"/>
      <c r="Z818" s="27"/>
      <c r="AA818" s="27"/>
      <c r="AB818" s="27"/>
      <c r="AC818" s="26"/>
      <c r="AD818" s="27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</row>
    <row r="819" spans="3:46" ht="15.75" customHeight="1"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6"/>
      <c r="N819" s="27"/>
      <c r="O819" s="26"/>
      <c r="P819" s="26"/>
      <c r="Q819" s="26"/>
      <c r="R819" s="26"/>
      <c r="S819" s="26"/>
      <c r="T819" s="27"/>
      <c r="U819" s="27"/>
      <c r="V819" s="26"/>
      <c r="W819" s="26"/>
      <c r="X819" s="26"/>
      <c r="Y819" s="27"/>
      <c r="Z819" s="27"/>
      <c r="AA819" s="27"/>
      <c r="AB819" s="27"/>
      <c r="AC819" s="26"/>
      <c r="AD819" s="27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</row>
    <row r="820" spans="3:46" ht="15.75" customHeight="1"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6"/>
      <c r="N820" s="27"/>
      <c r="O820" s="26"/>
      <c r="P820" s="26"/>
      <c r="Q820" s="26"/>
      <c r="R820" s="26"/>
      <c r="S820" s="26"/>
      <c r="T820" s="27"/>
      <c r="U820" s="27"/>
      <c r="V820" s="26"/>
      <c r="W820" s="26"/>
      <c r="X820" s="26"/>
      <c r="Y820" s="27"/>
      <c r="Z820" s="27"/>
      <c r="AA820" s="27"/>
      <c r="AB820" s="27"/>
      <c r="AC820" s="26"/>
      <c r="AD820" s="27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</row>
    <row r="821" spans="3:46" ht="15.75" customHeight="1"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6"/>
      <c r="N821" s="27"/>
      <c r="O821" s="26"/>
      <c r="P821" s="26"/>
      <c r="Q821" s="26"/>
      <c r="R821" s="26"/>
      <c r="S821" s="26"/>
      <c r="T821" s="27"/>
      <c r="U821" s="27"/>
      <c r="V821" s="26"/>
      <c r="W821" s="26"/>
      <c r="X821" s="26"/>
      <c r="Y821" s="27"/>
      <c r="Z821" s="27"/>
      <c r="AA821" s="27"/>
      <c r="AB821" s="27"/>
      <c r="AC821" s="26"/>
      <c r="AD821" s="27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</row>
    <row r="822" spans="3:46" ht="15.75" customHeight="1"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6"/>
      <c r="N822" s="27"/>
      <c r="O822" s="26"/>
      <c r="P822" s="26"/>
      <c r="Q822" s="26"/>
      <c r="R822" s="26"/>
      <c r="S822" s="26"/>
      <c r="T822" s="27"/>
      <c r="U822" s="27"/>
      <c r="V822" s="26"/>
      <c r="W822" s="26"/>
      <c r="X822" s="26"/>
      <c r="Y822" s="27"/>
      <c r="Z822" s="27"/>
      <c r="AA822" s="27"/>
      <c r="AB822" s="27"/>
      <c r="AC822" s="26"/>
      <c r="AD822" s="27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</row>
    <row r="823" spans="3:46" ht="15.75" customHeight="1"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6"/>
      <c r="N823" s="27"/>
      <c r="O823" s="26"/>
      <c r="P823" s="26"/>
      <c r="Q823" s="26"/>
      <c r="R823" s="26"/>
      <c r="S823" s="26"/>
      <c r="T823" s="27"/>
      <c r="U823" s="27"/>
      <c r="V823" s="26"/>
      <c r="W823" s="26"/>
      <c r="X823" s="26"/>
      <c r="Y823" s="27"/>
      <c r="Z823" s="27"/>
      <c r="AA823" s="27"/>
      <c r="AB823" s="27"/>
      <c r="AC823" s="26"/>
      <c r="AD823" s="27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</row>
    <row r="824" spans="3:46" ht="15.75" customHeight="1"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6"/>
      <c r="N824" s="27"/>
      <c r="O824" s="26"/>
      <c r="P824" s="26"/>
      <c r="Q824" s="26"/>
      <c r="R824" s="26"/>
      <c r="S824" s="26"/>
      <c r="T824" s="27"/>
      <c r="U824" s="27"/>
      <c r="V824" s="26"/>
      <c r="W824" s="26"/>
      <c r="X824" s="26"/>
      <c r="Y824" s="27"/>
      <c r="Z824" s="27"/>
      <c r="AA824" s="27"/>
      <c r="AB824" s="27"/>
      <c r="AC824" s="26"/>
      <c r="AD824" s="27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</row>
    <row r="825" spans="3:46" ht="15.75" customHeight="1"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6"/>
      <c r="N825" s="27"/>
      <c r="O825" s="26"/>
      <c r="P825" s="26"/>
      <c r="Q825" s="26"/>
      <c r="R825" s="26"/>
      <c r="S825" s="26"/>
      <c r="T825" s="27"/>
      <c r="U825" s="27"/>
      <c r="V825" s="26"/>
      <c r="W825" s="26"/>
      <c r="X825" s="26"/>
      <c r="Y825" s="27"/>
      <c r="Z825" s="27"/>
      <c r="AA825" s="27"/>
      <c r="AB825" s="27"/>
      <c r="AC825" s="26"/>
      <c r="AD825" s="27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</row>
    <row r="826" spans="3:46" ht="15.75" customHeight="1"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6"/>
      <c r="N826" s="27"/>
      <c r="O826" s="26"/>
      <c r="P826" s="26"/>
      <c r="Q826" s="26"/>
      <c r="R826" s="26"/>
      <c r="S826" s="26"/>
      <c r="T826" s="27"/>
      <c r="U826" s="27"/>
      <c r="V826" s="26"/>
      <c r="W826" s="26"/>
      <c r="X826" s="26"/>
      <c r="Y826" s="27"/>
      <c r="Z826" s="27"/>
      <c r="AA826" s="27"/>
      <c r="AB826" s="27"/>
      <c r="AC826" s="26"/>
      <c r="AD826" s="27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</row>
    <row r="827" spans="3:46" ht="15.75" customHeight="1"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6"/>
      <c r="N827" s="27"/>
      <c r="O827" s="26"/>
      <c r="P827" s="26"/>
      <c r="Q827" s="26"/>
      <c r="R827" s="26"/>
      <c r="S827" s="26"/>
      <c r="T827" s="27"/>
      <c r="U827" s="27"/>
      <c r="V827" s="26"/>
      <c r="W827" s="26"/>
      <c r="X827" s="26"/>
      <c r="Y827" s="27"/>
      <c r="Z827" s="27"/>
      <c r="AA827" s="27"/>
      <c r="AB827" s="27"/>
      <c r="AC827" s="26"/>
      <c r="AD827" s="27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</row>
    <row r="828" spans="3:46" ht="15.75" customHeight="1"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6"/>
      <c r="N828" s="27"/>
      <c r="O828" s="26"/>
      <c r="P828" s="26"/>
      <c r="Q828" s="26"/>
      <c r="R828" s="26"/>
      <c r="S828" s="26"/>
      <c r="T828" s="27"/>
      <c r="U828" s="27"/>
      <c r="V828" s="26"/>
      <c r="W828" s="26"/>
      <c r="X828" s="26"/>
      <c r="Y828" s="27"/>
      <c r="Z828" s="27"/>
      <c r="AA828" s="27"/>
      <c r="AB828" s="27"/>
      <c r="AC828" s="26"/>
      <c r="AD828" s="27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</row>
    <row r="829" spans="3:46" ht="15.75" customHeight="1"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6"/>
      <c r="N829" s="27"/>
      <c r="O829" s="26"/>
      <c r="P829" s="26"/>
      <c r="Q829" s="26"/>
      <c r="R829" s="26"/>
      <c r="S829" s="26"/>
      <c r="T829" s="27"/>
      <c r="U829" s="27"/>
      <c r="V829" s="26"/>
      <c r="W829" s="26"/>
      <c r="X829" s="26"/>
      <c r="Y829" s="27"/>
      <c r="Z829" s="27"/>
      <c r="AA829" s="27"/>
      <c r="AB829" s="27"/>
      <c r="AC829" s="26"/>
      <c r="AD829" s="27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</row>
    <row r="830" spans="3:46" ht="15.75" customHeight="1"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6"/>
      <c r="N830" s="27"/>
      <c r="O830" s="26"/>
      <c r="P830" s="26"/>
      <c r="Q830" s="26"/>
      <c r="R830" s="26"/>
      <c r="S830" s="26"/>
      <c r="T830" s="27"/>
      <c r="U830" s="27"/>
      <c r="V830" s="26"/>
      <c r="W830" s="26"/>
      <c r="X830" s="26"/>
      <c r="Y830" s="27"/>
      <c r="Z830" s="27"/>
      <c r="AA830" s="27"/>
      <c r="AB830" s="27"/>
      <c r="AC830" s="26"/>
      <c r="AD830" s="27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</row>
    <row r="831" spans="3:46" ht="15.75" customHeight="1"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6"/>
      <c r="N831" s="27"/>
      <c r="O831" s="26"/>
      <c r="P831" s="26"/>
      <c r="Q831" s="26"/>
      <c r="R831" s="26"/>
      <c r="S831" s="26"/>
      <c r="T831" s="27"/>
      <c r="U831" s="27"/>
      <c r="V831" s="26"/>
      <c r="W831" s="26"/>
      <c r="X831" s="26"/>
      <c r="Y831" s="27"/>
      <c r="Z831" s="27"/>
      <c r="AA831" s="27"/>
      <c r="AB831" s="27"/>
      <c r="AC831" s="26"/>
      <c r="AD831" s="27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</row>
    <row r="832" spans="3:46" ht="15.75" customHeight="1"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6"/>
      <c r="N832" s="27"/>
      <c r="O832" s="26"/>
      <c r="P832" s="26"/>
      <c r="Q832" s="26"/>
      <c r="R832" s="26"/>
      <c r="S832" s="26"/>
      <c r="T832" s="27"/>
      <c r="U832" s="27"/>
      <c r="V832" s="26"/>
      <c r="W832" s="26"/>
      <c r="X832" s="26"/>
      <c r="Y832" s="27"/>
      <c r="Z832" s="27"/>
      <c r="AA832" s="27"/>
      <c r="AB832" s="27"/>
      <c r="AC832" s="26"/>
      <c r="AD832" s="27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</row>
    <row r="833" spans="3:46" ht="15.75" customHeight="1"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6"/>
      <c r="N833" s="27"/>
      <c r="O833" s="26"/>
      <c r="P833" s="26"/>
      <c r="Q833" s="26"/>
      <c r="R833" s="26"/>
      <c r="S833" s="26"/>
      <c r="T833" s="27"/>
      <c r="U833" s="27"/>
      <c r="V833" s="26"/>
      <c r="W833" s="26"/>
      <c r="X833" s="26"/>
      <c r="Y833" s="27"/>
      <c r="Z833" s="27"/>
      <c r="AA833" s="27"/>
      <c r="AB833" s="27"/>
      <c r="AC833" s="26"/>
      <c r="AD833" s="27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</row>
    <row r="834" spans="3:46" ht="15.75" customHeight="1"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6"/>
      <c r="N834" s="27"/>
      <c r="O834" s="26"/>
      <c r="P834" s="26"/>
      <c r="Q834" s="26"/>
      <c r="R834" s="26"/>
      <c r="S834" s="26"/>
      <c r="T834" s="27"/>
      <c r="U834" s="27"/>
      <c r="V834" s="26"/>
      <c r="W834" s="26"/>
      <c r="X834" s="26"/>
      <c r="Y834" s="27"/>
      <c r="Z834" s="27"/>
      <c r="AA834" s="27"/>
      <c r="AB834" s="27"/>
      <c r="AC834" s="26"/>
      <c r="AD834" s="27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</row>
    <row r="835" spans="3:46" ht="15.75" customHeight="1"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6"/>
      <c r="N835" s="27"/>
      <c r="O835" s="26"/>
      <c r="P835" s="26"/>
      <c r="Q835" s="26"/>
      <c r="R835" s="26"/>
      <c r="S835" s="26"/>
      <c r="T835" s="27"/>
      <c r="U835" s="27"/>
      <c r="V835" s="26"/>
      <c r="W835" s="26"/>
      <c r="X835" s="26"/>
      <c r="Y835" s="27"/>
      <c r="Z835" s="27"/>
      <c r="AA835" s="27"/>
      <c r="AB835" s="27"/>
      <c r="AC835" s="26"/>
      <c r="AD835" s="27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</row>
    <row r="836" spans="3:46" ht="15.75" customHeight="1"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6"/>
      <c r="N836" s="27"/>
      <c r="O836" s="26"/>
      <c r="P836" s="26"/>
      <c r="Q836" s="26"/>
      <c r="R836" s="26"/>
      <c r="S836" s="26"/>
      <c r="T836" s="27"/>
      <c r="U836" s="27"/>
      <c r="V836" s="26"/>
      <c r="W836" s="26"/>
      <c r="X836" s="26"/>
      <c r="Y836" s="27"/>
      <c r="Z836" s="27"/>
      <c r="AA836" s="27"/>
      <c r="AB836" s="27"/>
      <c r="AC836" s="26"/>
      <c r="AD836" s="27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</row>
    <row r="837" spans="3:46" ht="15.75" customHeight="1"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6"/>
      <c r="N837" s="27"/>
      <c r="O837" s="26"/>
      <c r="P837" s="26"/>
      <c r="Q837" s="26"/>
      <c r="R837" s="26"/>
      <c r="S837" s="26"/>
      <c r="T837" s="27"/>
      <c r="U837" s="27"/>
      <c r="V837" s="26"/>
      <c r="W837" s="26"/>
      <c r="X837" s="26"/>
      <c r="Y837" s="27"/>
      <c r="Z837" s="27"/>
      <c r="AA837" s="27"/>
      <c r="AB837" s="27"/>
      <c r="AC837" s="26"/>
      <c r="AD837" s="27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</row>
    <row r="838" spans="3:46" ht="15.75" customHeight="1"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6"/>
      <c r="N838" s="27"/>
      <c r="O838" s="26"/>
      <c r="P838" s="26"/>
      <c r="Q838" s="26"/>
      <c r="R838" s="26"/>
      <c r="S838" s="26"/>
      <c r="T838" s="27"/>
      <c r="U838" s="27"/>
      <c r="V838" s="26"/>
      <c r="W838" s="26"/>
      <c r="X838" s="26"/>
      <c r="Y838" s="27"/>
      <c r="Z838" s="27"/>
      <c r="AA838" s="27"/>
      <c r="AB838" s="27"/>
      <c r="AC838" s="26"/>
      <c r="AD838" s="27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</row>
    <row r="839" spans="3:46" ht="15.75" customHeight="1"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6"/>
      <c r="N839" s="27"/>
      <c r="O839" s="26"/>
      <c r="P839" s="26"/>
      <c r="Q839" s="26"/>
      <c r="R839" s="26"/>
      <c r="S839" s="26"/>
      <c r="T839" s="27"/>
      <c r="U839" s="27"/>
      <c r="V839" s="26"/>
      <c r="W839" s="26"/>
      <c r="X839" s="26"/>
      <c r="Y839" s="27"/>
      <c r="Z839" s="27"/>
      <c r="AA839" s="27"/>
      <c r="AB839" s="27"/>
      <c r="AC839" s="26"/>
      <c r="AD839" s="27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</row>
    <row r="840" spans="3:46" ht="15.75" customHeight="1"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6"/>
      <c r="N840" s="27"/>
      <c r="O840" s="26"/>
      <c r="P840" s="26"/>
      <c r="Q840" s="26"/>
      <c r="R840" s="26"/>
      <c r="S840" s="26"/>
      <c r="T840" s="27"/>
      <c r="U840" s="27"/>
      <c r="V840" s="26"/>
      <c r="W840" s="26"/>
      <c r="X840" s="26"/>
      <c r="Y840" s="27"/>
      <c r="Z840" s="27"/>
      <c r="AA840" s="27"/>
      <c r="AB840" s="27"/>
      <c r="AC840" s="26"/>
      <c r="AD840" s="27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</row>
    <row r="841" spans="3:46" ht="15.75" customHeight="1"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6"/>
      <c r="N841" s="27"/>
      <c r="O841" s="26"/>
      <c r="P841" s="26"/>
      <c r="Q841" s="26"/>
      <c r="R841" s="26"/>
      <c r="S841" s="26"/>
      <c r="T841" s="27"/>
      <c r="U841" s="27"/>
      <c r="V841" s="26"/>
      <c r="W841" s="26"/>
      <c r="X841" s="26"/>
      <c r="Y841" s="27"/>
      <c r="Z841" s="27"/>
      <c r="AA841" s="27"/>
      <c r="AB841" s="27"/>
      <c r="AC841" s="26"/>
      <c r="AD841" s="27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</row>
    <row r="842" spans="3:46" ht="15.75" customHeight="1"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6"/>
      <c r="N842" s="27"/>
      <c r="O842" s="26"/>
      <c r="P842" s="26"/>
      <c r="Q842" s="26"/>
      <c r="R842" s="26"/>
      <c r="S842" s="26"/>
      <c r="T842" s="27"/>
      <c r="U842" s="27"/>
      <c r="V842" s="26"/>
      <c r="W842" s="26"/>
      <c r="X842" s="26"/>
      <c r="Y842" s="27"/>
      <c r="Z842" s="27"/>
      <c r="AA842" s="27"/>
      <c r="AB842" s="27"/>
      <c r="AC842" s="26"/>
      <c r="AD842" s="27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</row>
    <row r="843" spans="3:46" ht="15.75" customHeight="1"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6"/>
      <c r="N843" s="27"/>
      <c r="O843" s="26"/>
      <c r="P843" s="26"/>
      <c r="Q843" s="26"/>
      <c r="R843" s="26"/>
      <c r="S843" s="26"/>
      <c r="T843" s="27"/>
      <c r="U843" s="27"/>
      <c r="V843" s="26"/>
      <c r="W843" s="26"/>
      <c r="X843" s="26"/>
      <c r="Y843" s="27"/>
      <c r="Z843" s="27"/>
      <c r="AA843" s="27"/>
      <c r="AB843" s="27"/>
      <c r="AC843" s="26"/>
      <c r="AD843" s="27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</row>
    <row r="844" spans="3:46" ht="15.75" customHeight="1"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6"/>
      <c r="N844" s="27"/>
      <c r="O844" s="26"/>
      <c r="P844" s="26"/>
      <c r="Q844" s="26"/>
      <c r="R844" s="26"/>
      <c r="S844" s="26"/>
      <c r="T844" s="27"/>
      <c r="U844" s="27"/>
      <c r="V844" s="26"/>
      <c r="W844" s="26"/>
      <c r="X844" s="26"/>
      <c r="Y844" s="27"/>
      <c r="Z844" s="27"/>
      <c r="AA844" s="27"/>
      <c r="AB844" s="27"/>
      <c r="AC844" s="26"/>
      <c r="AD844" s="27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</row>
    <row r="845" spans="3:46" ht="15.75" customHeight="1"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6"/>
      <c r="N845" s="27"/>
      <c r="O845" s="26"/>
      <c r="P845" s="26"/>
      <c r="Q845" s="26"/>
      <c r="R845" s="26"/>
      <c r="S845" s="26"/>
      <c r="T845" s="27"/>
      <c r="U845" s="27"/>
      <c r="V845" s="26"/>
      <c r="W845" s="26"/>
      <c r="X845" s="26"/>
      <c r="Y845" s="27"/>
      <c r="Z845" s="27"/>
      <c r="AA845" s="27"/>
      <c r="AB845" s="27"/>
      <c r="AC845" s="26"/>
      <c r="AD845" s="27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</row>
    <row r="846" spans="3:46" ht="15.75" customHeight="1"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6"/>
      <c r="N846" s="27"/>
      <c r="O846" s="26"/>
      <c r="P846" s="26"/>
      <c r="Q846" s="26"/>
      <c r="R846" s="26"/>
      <c r="S846" s="26"/>
      <c r="T846" s="27"/>
      <c r="U846" s="27"/>
      <c r="V846" s="26"/>
      <c r="W846" s="26"/>
      <c r="X846" s="26"/>
      <c r="Y846" s="27"/>
      <c r="Z846" s="27"/>
      <c r="AA846" s="27"/>
      <c r="AB846" s="27"/>
      <c r="AC846" s="26"/>
      <c r="AD846" s="27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</row>
    <row r="847" spans="3:46" ht="15.75" customHeight="1"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6"/>
      <c r="N847" s="27"/>
      <c r="O847" s="26"/>
      <c r="P847" s="26"/>
      <c r="Q847" s="26"/>
      <c r="R847" s="26"/>
      <c r="S847" s="26"/>
      <c r="T847" s="27"/>
      <c r="U847" s="27"/>
      <c r="V847" s="26"/>
      <c r="W847" s="26"/>
      <c r="X847" s="26"/>
      <c r="Y847" s="27"/>
      <c r="Z847" s="27"/>
      <c r="AA847" s="27"/>
      <c r="AB847" s="27"/>
      <c r="AC847" s="26"/>
      <c r="AD847" s="27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</row>
    <row r="848" spans="3:46" ht="15.75" customHeight="1"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6"/>
      <c r="N848" s="27"/>
      <c r="O848" s="26"/>
      <c r="P848" s="26"/>
      <c r="Q848" s="26"/>
      <c r="R848" s="26"/>
      <c r="S848" s="26"/>
      <c r="T848" s="27"/>
      <c r="U848" s="27"/>
      <c r="V848" s="26"/>
      <c r="W848" s="26"/>
      <c r="X848" s="26"/>
      <c r="Y848" s="27"/>
      <c r="Z848" s="27"/>
      <c r="AA848" s="27"/>
      <c r="AB848" s="27"/>
      <c r="AC848" s="26"/>
      <c r="AD848" s="27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</row>
    <row r="849" spans="3:46" ht="15.75" customHeight="1"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6"/>
      <c r="N849" s="27"/>
      <c r="O849" s="26"/>
      <c r="P849" s="26"/>
      <c r="Q849" s="26"/>
      <c r="R849" s="26"/>
      <c r="S849" s="26"/>
      <c r="T849" s="27"/>
      <c r="U849" s="27"/>
      <c r="V849" s="26"/>
      <c r="W849" s="26"/>
      <c r="X849" s="26"/>
      <c r="Y849" s="27"/>
      <c r="Z849" s="27"/>
      <c r="AA849" s="27"/>
      <c r="AB849" s="27"/>
      <c r="AC849" s="26"/>
      <c r="AD849" s="27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</row>
    <row r="850" spans="3:46" ht="15.75" customHeight="1"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6"/>
      <c r="N850" s="27"/>
      <c r="O850" s="26"/>
      <c r="P850" s="26"/>
      <c r="Q850" s="26"/>
      <c r="R850" s="26"/>
      <c r="S850" s="26"/>
      <c r="T850" s="27"/>
      <c r="U850" s="27"/>
      <c r="V850" s="26"/>
      <c r="W850" s="26"/>
      <c r="X850" s="26"/>
      <c r="Y850" s="27"/>
      <c r="Z850" s="27"/>
      <c r="AA850" s="27"/>
      <c r="AB850" s="27"/>
      <c r="AC850" s="26"/>
      <c r="AD850" s="27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</row>
    <row r="851" spans="3:46" ht="15.75" customHeight="1"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6"/>
      <c r="N851" s="27"/>
      <c r="O851" s="26"/>
      <c r="P851" s="26"/>
      <c r="Q851" s="26"/>
      <c r="R851" s="26"/>
      <c r="S851" s="26"/>
      <c r="T851" s="27"/>
      <c r="U851" s="27"/>
      <c r="V851" s="26"/>
      <c r="W851" s="26"/>
      <c r="X851" s="26"/>
      <c r="Y851" s="27"/>
      <c r="Z851" s="27"/>
      <c r="AA851" s="27"/>
      <c r="AB851" s="27"/>
      <c r="AC851" s="26"/>
      <c r="AD851" s="27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</row>
    <row r="852" spans="3:46" ht="15.75" customHeight="1"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6"/>
      <c r="N852" s="27"/>
      <c r="O852" s="26"/>
      <c r="P852" s="26"/>
      <c r="Q852" s="26"/>
      <c r="R852" s="26"/>
      <c r="S852" s="26"/>
      <c r="T852" s="27"/>
      <c r="U852" s="27"/>
      <c r="V852" s="26"/>
      <c r="W852" s="26"/>
      <c r="X852" s="26"/>
      <c r="Y852" s="27"/>
      <c r="Z852" s="27"/>
      <c r="AA852" s="27"/>
      <c r="AB852" s="27"/>
      <c r="AC852" s="26"/>
      <c r="AD852" s="27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</row>
    <row r="853" spans="3:46" ht="15.75" customHeight="1"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6"/>
      <c r="N853" s="27"/>
      <c r="O853" s="26"/>
      <c r="P853" s="26"/>
      <c r="Q853" s="26"/>
      <c r="R853" s="26"/>
      <c r="S853" s="26"/>
      <c r="T853" s="27"/>
      <c r="U853" s="27"/>
      <c r="V853" s="26"/>
      <c r="W853" s="26"/>
      <c r="X853" s="26"/>
      <c r="Y853" s="27"/>
      <c r="Z853" s="27"/>
      <c r="AA853" s="27"/>
      <c r="AB853" s="27"/>
      <c r="AC853" s="26"/>
      <c r="AD853" s="27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</row>
    <row r="854" spans="3:46" ht="15.75" customHeight="1"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6"/>
      <c r="N854" s="27"/>
      <c r="O854" s="26"/>
      <c r="P854" s="26"/>
      <c r="Q854" s="26"/>
      <c r="R854" s="26"/>
      <c r="S854" s="26"/>
      <c r="T854" s="27"/>
      <c r="U854" s="27"/>
      <c r="V854" s="26"/>
      <c r="W854" s="26"/>
      <c r="X854" s="26"/>
      <c r="Y854" s="27"/>
      <c r="Z854" s="27"/>
      <c r="AA854" s="27"/>
      <c r="AB854" s="27"/>
      <c r="AC854" s="26"/>
      <c r="AD854" s="27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</row>
    <row r="855" spans="3:46" ht="15.75" customHeight="1"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6"/>
      <c r="N855" s="27"/>
      <c r="O855" s="26"/>
      <c r="P855" s="26"/>
      <c r="Q855" s="26"/>
      <c r="R855" s="26"/>
      <c r="S855" s="26"/>
      <c r="T855" s="27"/>
      <c r="U855" s="27"/>
      <c r="V855" s="26"/>
      <c r="W855" s="26"/>
      <c r="X855" s="26"/>
      <c r="Y855" s="27"/>
      <c r="Z855" s="27"/>
      <c r="AA855" s="27"/>
      <c r="AB855" s="27"/>
      <c r="AC855" s="26"/>
      <c r="AD855" s="27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</row>
    <row r="856" spans="3:46" ht="15.75" customHeight="1"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6"/>
      <c r="N856" s="27"/>
      <c r="O856" s="26"/>
      <c r="P856" s="26"/>
      <c r="Q856" s="26"/>
      <c r="R856" s="26"/>
      <c r="S856" s="26"/>
      <c r="T856" s="27"/>
      <c r="U856" s="27"/>
      <c r="V856" s="26"/>
      <c r="W856" s="26"/>
      <c r="X856" s="26"/>
      <c r="Y856" s="27"/>
      <c r="Z856" s="27"/>
      <c r="AA856" s="27"/>
      <c r="AB856" s="27"/>
      <c r="AC856" s="26"/>
      <c r="AD856" s="27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</row>
    <row r="857" spans="3:46" ht="15.75" customHeight="1"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6"/>
      <c r="N857" s="27"/>
      <c r="O857" s="26"/>
      <c r="P857" s="26"/>
      <c r="Q857" s="26"/>
      <c r="R857" s="26"/>
      <c r="S857" s="26"/>
      <c r="T857" s="27"/>
      <c r="U857" s="27"/>
      <c r="V857" s="26"/>
      <c r="W857" s="26"/>
      <c r="X857" s="26"/>
      <c r="Y857" s="27"/>
      <c r="Z857" s="27"/>
      <c r="AA857" s="27"/>
      <c r="AB857" s="27"/>
      <c r="AC857" s="26"/>
      <c r="AD857" s="27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</row>
    <row r="858" spans="3:46" ht="15.75" customHeight="1"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6"/>
      <c r="N858" s="27"/>
      <c r="O858" s="26"/>
      <c r="P858" s="26"/>
      <c r="Q858" s="26"/>
      <c r="R858" s="26"/>
      <c r="S858" s="26"/>
      <c r="T858" s="27"/>
      <c r="U858" s="27"/>
      <c r="V858" s="26"/>
      <c r="W858" s="26"/>
      <c r="X858" s="26"/>
      <c r="Y858" s="27"/>
      <c r="Z858" s="27"/>
      <c r="AA858" s="27"/>
      <c r="AB858" s="27"/>
      <c r="AC858" s="26"/>
      <c r="AD858" s="27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</row>
    <row r="859" spans="3:46" ht="15.75" customHeight="1"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6"/>
      <c r="N859" s="27"/>
      <c r="O859" s="26"/>
      <c r="P859" s="26"/>
      <c r="Q859" s="26"/>
      <c r="R859" s="26"/>
      <c r="S859" s="26"/>
      <c r="T859" s="27"/>
      <c r="U859" s="27"/>
      <c r="V859" s="26"/>
      <c r="W859" s="26"/>
      <c r="X859" s="26"/>
      <c r="Y859" s="27"/>
      <c r="Z859" s="27"/>
      <c r="AA859" s="27"/>
      <c r="AB859" s="27"/>
      <c r="AC859" s="26"/>
      <c r="AD859" s="27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</row>
    <row r="860" spans="3:46" ht="15.75" customHeight="1"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6"/>
      <c r="N860" s="27"/>
      <c r="O860" s="26"/>
      <c r="P860" s="26"/>
      <c r="Q860" s="26"/>
      <c r="R860" s="26"/>
      <c r="S860" s="26"/>
      <c r="T860" s="27"/>
      <c r="U860" s="27"/>
      <c r="V860" s="26"/>
      <c r="W860" s="26"/>
      <c r="X860" s="26"/>
      <c r="Y860" s="27"/>
      <c r="Z860" s="27"/>
      <c r="AA860" s="27"/>
      <c r="AB860" s="27"/>
      <c r="AC860" s="26"/>
      <c r="AD860" s="27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</row>
    <row r="861" spans="3:46" ht="15.75" customHeight="1"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6"/>
      <c r="N861" s="27"/>
      <c r="O861" s="26"/>
      <c r="P861" s="26"/>
      <c r="Q861" s="26"/>
      <c r="R861" s="26"/>
      <c r="S861" s="26"/>
      <c r="T861" s="27"/>
      <c r="U861" s="27"/>
      <c r="V861" s="26"/>
      <c r="W861" s="26"/>
      <c r="X861" s="26"/>
      <c r="Y861" s="27"/>
      <c r="Z861" s="27"/>
      <c r="AA861" s="27"/>
      <c r="AB861" s="27"/>
      <c r="AC861" s="26"/>
      <c r="AD861" s="27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</row>
    <row r="862" spans="3:46" ht="15.75" customHeight="1"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6"/>
      <c r="N862" s="27"/>
      <c r="O862" s="26"/>
      <c r="P862" s="26"/>
      <c r="Q862" s="26"/>
      <c r="R862" s="26"/>
      <c r="S862" s="26"/>
      <c r="T862" s="27"/>
      <c r="U862" s="27"/>
      <c r="V862" s="26"/>
      <c r="W862" s="26"/>
      <c r="X862" s="26"/>
      <c r="Y862" s="27"/>
      <c r="Z862" s="27"/>
      <c r="AA862" s="27"/>
      <c r="AB862" s="27"/>
      <c r="AC862" s="26"/>
      <c r="AD862" s="27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</row>
    <row r="863" spans="3:46" ht="15.75" customHeight="1"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6"/>
      <c r="N863" s="27"/>
      <c r="O863" s="26"/>
      <c r="P863" s="26"/>
      <c r="Q863" s="26"/>
      <c r="R863" s="26"/>
      <c r="S863" s="26"/>
      <c r="T863" s="27"/>
      <c r="U863" s="27"/>
      <c r="V863" s="26"/>
      <c r="W863" s="26"/>
      <c r="X863" s="26"/>
      <c r="Y863" s="27"/>
      <c r="Z863" s="27"/>
      <c r="AA863" s="27"/>
      <c r="AB863" s="27"/>
      <c r="AC863" s="26"/>
      <c r="AD863" s="27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</row>
    <row r="864" spans="3:46" ht="15.75" customHeight="1"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6"/>
      <c r="N864" s="27"/>
      <c r="O864" s="26"/>
      <c r="P864" s="26"/>
      <c r="Q864" s="26"/>
      <c r="R864" s="26"/>
      <c r="S864" s="26"/>
      <c r="T864" s="27"/>
      <c r="U864" s="27"/>
      <c r="V864" s="26"/>
      <c r="W864" s="26"/>
      <c r="X864" s="26"/>
      <c r="Y864" s="27"/>
      <c r="Z864" s="27"/>
      <c r="AA864" s="27"/>
      <c r="AB864" s="27"/>
      <c r="AC864" s="26"/>
      <c r="AD864" s="27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</row>
    <row r="865" spans="3:46" ht="15.75" customHeight="1"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6"/>
      <c r="N865" s="27"/>
      <c r="O865" s="26"/>
      <c r="P865" s="26"/>
      <c r="Q865" s="26"/>
      <c r="R865" s="26"/>
      <c r="S865" s="26"/>
      <c r="T865" s="27"/>
      <c r="U865" s="27"/>
      <c r="V865" s="26"/>
      <c r="W865" s="26"/>
      <c r="X865" s="26"/>
      <c r="Y865" s="27"/>
      <c r="Z865" s="27"/>
      <c r="AA865" s="27"/>
      <c r="AB865" s="27"/>
      <c r="AC865" s="26"/>
      <c r="AD865" s="27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</row>
    <row r="866" spans="3:46" ht="15.75" customHeight="1"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6"/>
      <c r="N866" s="27"/>
      <c r="O866" s="26"/>
      <c r="P866" s="26"/>
      <c r="Q866" s="26"/>
      <c r="R866" s="26"/>
      <c r="S866" s="26"/>
      <c r="T866" s="27"/>
      <c r="U866" s="27"/>
      <c r="V866" s="26"/>
      <c r="W866" s="26"/>
      <c r="X866" s="26"/>
      <c r="Y866" s="27"/>
      <c r="Z866" s="27"/>
      <c r="AA866" s="27"/>
      <c r="AB866" s="27"/>
      <c r="AC866" s="26"/>
      <c r="AD866" s="27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</row>
    <row r="867" spans="3:46" ht="15.75" customHeight="1"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6"/>
      <c r="N867" s="27"/>
      <c r="O867" s="26"/>
      <c r="P867" s="26"/>
      <c r="Q867" s="26"/>
      <c r="R867" s="26"/>
      <c r="S867" s="26"/>
      <c r="T867" s="27"/>
      <c r="U867" s="27"/>
      <c r="V867" s="26"/>
      <c r="W867" s="26"/>
      <c r="X867" s="26"/>
      <c r="Y867" s="27"/>
      <c r="Z867" s="27"/>
      <c r="AA867" s="27"/>
      <c r="AB867" s="27"/>
      <c r="AC867" s="26"/>
      <c r="AD867" s="27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</row>
    <row r="868" spans="3:46" ht="15.75" customHeight="1"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6"/>
      <c r="N868" s="27"/>
      <c r="O868" s="26"/>
      <c r="P868" s="26"/>
      <c r="Q868" s="26"/>
      <c r="R868" s="26"/>
      <c r="S868" s="26"/>
      <c r="T868" s="27"/>
      <c r="U868" s="27"/>
      <c r="V868" s="26"/>
      <c r="W868" s="26"/>
      <c r="X868" s="26"/>
      <c r="Y868" s="27"/>
      <c r="Z868" s="27"/>
      <c r="AA868" s="27"/>
      <c r="AB868" s="27"/>
      <c r="AC868" s="26"/>
      <c r="AD868" s="27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</row>
    <row r="869" spans="3:46" ht="15.75" customHeight="1"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6"/>
      <c r="N869" s="27"/>
      <c r="O869" s="26"/>
      <c r="P869" s="26"/>
      <c r="Q869" s="26"/>
      <c r="R869" s="26"/>
      <c r="S869" s="26"/>
      <c r="T869" s="27"/>
      <c r="U869" s="27"/>
      <c r="V869" s="26"/>
      <c r="W869" s="26"/>
      <c r="X869" s="26"/>
      <c r="Y869" s="27"/>
      <c r="Z869" s="27"/>
      <c r="AA869" s="27"/>
      <c r="AB869" s="27"/>
      <c r="AC869" s="26"/>
      <c r="AD869" s="27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</row>
    <row r="870" spans="3:46" ht="15.75" customHeight="1"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6"/>
      <c r="N870" s="27"/>
      <c r="O870" s="26"/>
      <c r="P870" s="26"/>
      <c r="Q870" s="26"/>
      <c r="R870" s="26"/>
      <c r="S870" s="26"/>
      <c r="T870" s="27"/>
      <c r="U870" s="27"/>
      <c r="V870" s="26"/>
      <c r="W870" s="26"/>
      <c r="X870" s="26"/>
      <c r="Y870" s="27"/>
      <c r="Z870" s="27"/>
      <c r="AA870" s="27"/>
      <c r="AB870" s="27"/>
      <c r="AC870" s="26"/>
      <c r="AD870" s="27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</row>
    <row r="871" spans="3:46" ht="15.75" customHeight="1"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6"/>
      <c r="N871" s="27"/>
      <c r="O871" s="26"/>
      <c r="P871" s="26"/>
      <c r="Q871" s="26"/>
      <c r="R871" s="26"/>
      <c r="S871" s="26"/>
      <c r="T871" s="27"/>
      <c r="U871" s="27"/>
      <c r="V871" s="26"/>
      <c r="W871" s="26"/>
      <c r="X871" s="26"/>
      <c r="Y871" s="27"/>
      <c r="Z871" s="27"/>
      <c r="AA871" s="27"/>
      <c r="AB871" s="27"/>
      <c r="AC871" s="26"/>
      <c r="AD871" s="27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</row>
    <row r="872" spans="3:46" ht="15.75" customHeight="1"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6"/>
      <c r="N872" s="27"/>
      <c r="O872" s="26"/>
      <c r="P872" s="26"/>
      <c r="Q872" s="26"/>
      <c r="R872" s="26"/>
      <c r="S872" s="26"/>
      <c r="T872" s="27"/>
      <c r="U872" s="27"/>
      <c r="V872" s="26"/>
      <c r="W872" s="26"/>
      <c r="X872" s="26"/>
      <c r="Y872" s="27"/>
      <c r="Z872" s="27"/>
      <c r="AA872" s="27"/>
      <c r="AB872" s="27"/>
      <c r="AC872" s="26"/>
      <c r="AD872" s="27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</row>
    <row r="873" spans="3:46" ht="15.75" customHeight="1"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6"/>
      <c r="N873" s="27"/>
      <c r="O873" s="26"/>
      <c r="P873" s="26"/>
      <c r="Q873" s="26"/>
      <c r="R873" s="26"/>
      <c r="S873" s="26"/>
      <c r="T873" s="27"/>
      <c r="U873" s="27"/>
      <c r="V873" s="26"/>
      <c r="W873" s="26"/>
      <c r="X873" s="26"/>
      <c r="Y873" s="27"/>
      <c r="Z873" s="27"/>
      <c r="AA873" s="27"/>
      <c r="AB873" s="27"/>
      <c r="AC873" s="26"/>
      <c r="AD873" s="27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</row>
    <row r="874" spans="3:46" ht="15.75" customHeight="1"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6"/>
      <c r="N874" s="27"/>
      <c r="O874" s="26"/>
      <c r="P874" s="26"/>
      <c r="Q874" s="26"/>
      <c r="R874" s="26"/>
      <c r="S874" s="26"/>
      <c r="T874" s="27"/>
      <c r="U874" s="27"/>
      <c r="V874" s="26"/>
      <c r="W874" s="26"/>
      <c r="X874" s="26"/>
      <c r="Y874" s="27"/>
      <c r="Z874" s="27"/>
      <c r="AA874" s="27"/>
      <c r="AB874" s="27"/>
      <c r="AC874" s="26"/>
      <c r="AD874" s="27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</row>
    <row r="875" spans="3:46" ht="15.75" customHeight="1"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6"/>
      <c r="N875" s="27"/>
      <c r="O875" s="26"/>
      <c r="P875" s="26"/>
      <c r="Q875" s="26"/>
      <c r="R875" s="26"/>
      <c r="S875" s="26"/>
      <c r="T875" s="27"/>
      <c r="U875" s="27"/>
      <c r="V875" s="26"/>
      <c r="W875" s="26"/>
      <c r="X875" s="26"/>
      <c r="Y875" s="27"/>
      <c r="Z875" s="27"/>
      <c r="AA875" s="27"/>
      <c r="AB875" s="27"/>
      <c r="AC875" s="26"/>
      <c r="AD875" s="27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</row>
    <row r="876" spans="3:46" ht="15.75" customHeight="1"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6"/>
      <c r="N876" s="27"/>
      <c r="O876" s="26"/>
      <c r="P876" s="26"/>
      <c r="Q876" s="26"/>
      <c r="R876" s="26"/>
      <c r="S876" s="26"/>
      <c r="T876" s="27"/>
      <c r="U876" s="27"/>
      <c r="V876" s="26"/>
      <c r="W876" s="26"/>
      <c r="X876" s="26"/>
      <c r="Y876" s="27"/>
      <c r="Z876" s="27"/>
      <c r="AA876" s="27"/>
      <c r="AB876" s="27"/>
      <c r="AC876" s="26"/>
      <c r="AD876" s="27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</row>
    <row r="877" spans="3:46" ht="15.75" customHeight="1"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6"/>
      <c r="N877" s="27"/>
      <c r="O877" s="26"/>
      <c r="P877" s="26"/>
      <c r="Q877" s="26"/>
      <c r="R877" s="26"/>
      <c r="S877" s="26"/>
      <c r="T877" s="27"/>
      <c r="U877" s="27"/>
      <c r="V877" s="26"/>
      <c r="W877" s="26"/>
      <c r="X877" s="26"/>
      <c r="Y877" s="27"/>
      <c r="Z877" s="27"/>
      <c r="AA877" s="27"/>
      <c r="AB877" s="27"/>
      <c r="AC877" s="26"/>
      <c r="AD877" s="27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</row>
    <row r="878" spans="3:46" ht="15.75" customHeight="1"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6"/>
      <c r="N878" s="27"/>
      <c r="O878" s="26"/>
      <c r="P878" s="26"/>
      <c r="Q878" s="26"/>
      <c r="R878" s="26"/>
      <c r="S878" s="26"/>
      <c r="T878" s="27"/>
      <c r="U878" s="27"/>
      <c r="V878" s="26"/>
      <c r="W878" s="26"/>
      <c r="X878" s="26"/>
      <c r="Y878" s="27"/>
      <c r="Z878" s="27"/>
      <c r="AA878" s="27"/>
      <c r="AB878" s="27"/>
      <c r="AC878" s="26"/>
      <c r="AD878" s="27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</row>
    <row r="879" spans="3:46" ht="15.75" customHeight="1"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6"/>
      <c r="N879" s="27"/>
      <c r="O879" s="26"/>
      <c r="P879" s="26"/>
      <c r="Q879" s="26"/>
      <c r="R879" s="26"/>
      <c r="S879" s="26"/>
      <c r="T879" s="27"/>
      <c r="U879" s="27"/>
      <c r="V879" s="26"/>
      <c r="W879" s="26"/>
      <c r="X879" s="26"/>
      <c r="Y879" s="27"/>
      <c r="Z879" s="27"/>
      <c r="AA879" s="27"/>
      <c r="AB879" s="27"/>
      <c r="AC879" s="26"/>
      <c r="AD879" s="27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</row>
    <row r="880" spans="3:46" ht="15.75" customHeight="1"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6"/>
      <c r="N880" s="27"/>
      <c r="O880" s="26"/>
      <c r="P880" s="26"/>
      <c r="Q880" s="26"/>
      <c r="R880" s="26"/>
      <c r="S880" s="26"/>
      <c r="T880" s="27"/>
      <c r="U880" s="27"/>
      <c r="V880" s="26"/>
      <c r="W880" s="26"/>
      <c r="X880" s="26"/>
      <c r="Y880" s="27"/>
      <c r="Z880" s="27"/>
      <c r="AA880" s="27"/>
      <c r="AB880" s="27"/>
      <c r="AC880" s="26"/>
      <c r="AD880" s="27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</row>
    <row r="881" spans="3:46" ht="15.75" customHeight="1"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6"/>
      <c r="N881" s="27"/>
      <c r="O881" s="26"/>
      <c r="P881" s="26"/>
      <c r="Q881" s="26"/>
      <c r="R881" s="26"/>
      <c r="S881" s="26"/>
      <c r="T881" s="27"/>
      <c r="U881" s="27"/>
      <c r="V881" s="26"/>
      <c r="W881" s="26"/>
      <c r="X881" s="26"/>
      <c r="Y881" s="27"/>
      <c r="Z881" s="27"/>
      <c r="AA881" s="27"/>
      <c r="AB881" s="27"/>
      <c r="AC881" s="26"/>
      <c r="AD881" s="27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</row>
    <row r="882" spans="3:46" ht="15.75" customHeight="1"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6"/>
      <c r="N882" s="27"/>
      <c r="O882" s="26"/>
      <c r="P882" s="26"/>
      <c r="Q882" s="26"/>
      <c r="R882" s="26"/>
      <c r="S882" s="26"/>
      <c r="T882" s="27"/>
      <c r="U882" s="27"/>
      <c r="V882" s="26"/>
      <c r="W882" s="26"/>
      <c r="X882" s="26"/>
      <c r="Y882" s="27"/>
      <c r="Z882" s="27"/>
      <c r="AA882" s="27"/>
      <c r="AB882" s="27"/>
      <c r="AC882" s="26"/>
      <c r="AD882" s="27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</row>
    <row r="883" spans="3:46" ht="15.75" customHeight="1"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6"/>
      <c r="N883" s="27"/>
      <c r="O883" s="26"/>
      <c r="P883" s="26"/>
      <c r="Q883" s="26"/>
      <c r="R883" s="26"/>
      <c r="S883" s="26"/>
      <c r="T883" s="27"/>
      <c r="U883" s="27"/>
      <c r="V883" s="26"/>
      <c r="W883" s="26"/>
      <c r="X883" s="26"/>
      <c r="Y883" s="27"/>
      <c r="Z883" s="27"/>
      <c r="AA883" s="27"/>
      <c r="AB883" s="27"/>
      <c r="AC883" s="26"/>
      <c r="AD883" s="27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</row>
    <row r="884" spans="3:46" ht="15.75" customHeight="1"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6"/>
      <c r="N884" s="27"/>
      <c r="O884" s="26"/>
      <c r="P884" s="26"/>
      <c r="Q884" s="26"/>
      <c r="R884" s="26"/>
      <c r="S884" s="26"/>
      <c r="T884" s="27"/>
      <c r="U884" s="27"/>
      <c r="V884" s="26"/>
      <c r="W884" s="26"/>
      <c r="X884" s="26"/>
      <c r="Y884" s="27"/>
      <c r="Z884" s="27"/>
      <c r="AA884" s="27"/>
      <c r="AB884" s="27"/>
      <c r="AC884" s="26"/>
      <c r="AD884" s="27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</row>
    <row r="885" spans="3:46" ht="15.75" customHeight="1"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6"/>
      <c r="N885" s="27"/>
      <c r="O885" s="26"/>
      <c r="P885" s="26"/>
      <c r="Q885" s="26"/>
      <c r="R885" s="26"/>
      <c r="S885" s="26"/>
      <c r="T885" s="27"/>
      <c r="U885" s="27"/>
      <c r="V885" s="26"/>
      <c r="W885" s="26"/>
      <c r="X885" s="26"/>
      <c r="Y885" s="27"/>
      <c r="Z885" s="27"/>
      <c r="AA885" s="27"/>
      <c r="AB885" s="27"/>
      <c r="AC885" s="26"/>
      <c r="AD885" s="27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</row>
    <row r="886" spans="3:46" ht="15.75" customHeight="1"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6"/>
      <c r="N886" s="27"/>
      <c r="O886" s="26"/>
      <c r="P886" s="26"/>
      <c r="Q886" s="26"/>
      <c r="R886" s="26"/>
      <c r="S886" s="26"/>
      <c r="T886" s="27"/>
      <c r="U886" s="27"/>
      <c r="V886" s="26"/>
      <c r="W886" s="26"/>
      <c r="X886" s="26"/>
      <c r="Y886" s="27"/>
      <c r="Z886" s="27"/>
      <c r="AA886" s="27"/>
      <c r="AB886" s="27"/>
      <c r="AC886" s="26"/>
      <c r="AD886" s="27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</row>
    <row r="887" spans="3:46" ht="15.75" customHeight="1"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6"/>
      <c r="N887" s="27"/>
      <c r="O887" s="26"/>
      <c r="P887" s="26"/>
      <c r="Q887" s="26"/>
      <c r="R887" s="26"/>
      <c r="S887" s="26"/>
      <c r="T887" s="27"/>
      <c r="U887" s="27"/>
      <c r="V887" s="26"/>
      <c r="W887" s="26"/>
      <c r="X887" s="26"/>
      <c r="Y887" s="27"/>
      <c r="Z887" s="27"/>
      <c r="AA887" s="27"/>
      <c r="AB887" s="27"/>
      <c r="AC887" s="26"/>
      <c r="AD887" s="27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</row>
    <row r="888" spans="3:46" ht="15.75" customHeight="1"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6"/>
      <c r="N888" s="27"/>
      <c r="O888" s="26"/>
      <c r="P888" s="26"/>
      <c r="Q888" s="26"/>
      <c r="R888" s="26"/>
      <c r="S888" s="26"/>
      <c r="T888" s="27"/>
      <c r="U888" s="27"/>
      <c r="V888" s="26"/>
      <c r="W888" s="26"/>
      <c r="X888" s="26"/>
      <c r="Y888" s="27"/>
      <c r="Z888" s="27"/>
      <c r="AA888" s="27"/>
      <c r="AB888" s="27"/>
      <c r="AC888" s="26"/>
      <c r="AD888" s="27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</row>
    <row r="889" spans="3:46" ht="15.75" customHeight="1"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6"/>
      <c r="N889" s="27"/>
      <c r="O889" s="26"/>
      <c r="P889" s="26"/>
      <c r="Q889" s="26"/>
      <c r="R889" s="26"/>
      <c r="S889" s="26"/>
      <c r="T889" s="27"/>
      <c r="U889" s="27"/>
      <c r="V889" s="26"/>
      <c r="W889" s="26"/>
      <c r="X889" s="26"/>
      <c r="Y889" s="27"/>
      <c r="Z889" s="27"/>
      <c r="AA889" s="27"/>
      <c r="AB889" s="27"/>
      <c r="AC889" s="26"/>
      <c r="AD889" s="27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</row>
    <row r="890" spans="3:46" ht="15.75" customHeight="1"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6"/>
      <c r="N890" s="27"/>
      <c r="O890" s="26"/>
      <c r="P890" s="26"/>
      <c r="Q890" s="26"/>
      <c r="R890" s="26"/>
      <c r="S890" s="26"/>
      <c r="T890" s="27"/>
      <c r="U890" s="27"/>
      <c r="V890" s="26"/>
      <c r="W890" s="26"/>
      <c r="X890" s="26"/>
      <c r="Y890" s="27"/>
      <c r="Z890" s="27"/>
      <c r="AA890" s="27"/>
      <c r="AB890" s="27"/>
      <c r="AC890" s="26"/>
      <c r="AD890" s="27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</row>
    <row r="891" spans="3:46" ht="15.75" customHeight="1"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6"/>
      <c r="N891" s="27"/>
      <c r="O891" s="26"/>
      <c r="P891" s="26"/>
      <c r="Q891" s="26"/>
      <c r="R891" s="26"/>
      <c r="S891" s="26"/>
      <c r="T891" s="27"/>
      <c r="U891" s="27"/>
      <c r="V891" s="26"/>
      <c r="W891" s="26"/>
      <c r="X891" s="26"/>
      <c r="Y891" s="27"/>
      <c r="Z891" s="27"/>
      <c r="AA891" s="27"/>
      <c r="AB891" s="27"/>
      <c r="AC891" s="26"/>
      <c r="AD891" s="27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</row>
    <row r="892" spans="3:46" ht="15.75" customHeight="1"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6"/>
      <c r="N892" s="27"/>
      <c r="O892" s="26"/>
      <c r="P892" s="26"/>
      <c r="Q892" s="26"/>
      <c r="R892" s="26"/>
      <c r="S892" s="26"/>
      <c r="T892" s="27"/>
      <c r="U892" s="27"/>
      <c r="V892" s="26"/>
      <c r="W892" s="26"/>
      <c r="X892" s="26"/>
      <c r="Y892" s="27"/>
      <c r="Z892" s="27"/>
      <c r="AA892" s="27"/>
      <c r="AB892" s="27"/>
      <c r="AC892" s="26"/>
      <c r="AD892" s="27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</row>
    <row r="893" spans="3:46" ht="15.75" customHeight="1"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6"/>
      <c r="N893" s="27"/>
      <c r="O893" s="26"/>
      <c r="P893" s="26"/>
      <c r="Q893" s="26"/>
      <c r="R893" s="26"/>
      <c r="S893" s="26"/>
      <c r="T893" s="27"/>
      <c r="U893" s="27"/>
      <c r="V893" s="26"/>
      <c r="W893" s="26"/>
      <c r="X893" s="26"/>
      <c r="Y893" s="27"/>
      <c r="Z893" s="27"/>
      <c r="AA893" s="27"/>
      <c r="AB893" s="27"/>
      <c r="AC893" s="26"/>
      <c r="AD893" s="27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</row>
    <row r="894" spans="3:46" ht="15.75" customHeight="1"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6"/>
      <c r="N894" s="27"/>
      <c r="O894" s="26"/>
      <c r="P894" s="26"/>
      <c r="Q894" s="26"/>
      <c r="R894" s="26"/>
      <c r="S894" s="26"/>
      <c r="T894" s="27"/>
      <c r="U894" s="27"/>
      <c r="V894" s="26"/>
      <c r="W894" s="26"/>
      <c r="X894" s="26"/>
      <c r="Y894" s="27"/>
      <c r="Z894" s="27"/>
      <c r="AA894" s="27"/>
      <c r="AB894" s="27"/>
      <c r="AC894" s="26"/>
      <c r="AD894" s="27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</row>
    <row r="895" spans="3:46" ht="15.75" customHeight="1"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6"/>
      <c r="N895" s="27"/>
      <c r="O895" s="26"/>
      <c r="P895" s="26"/>
      <c r="Q895" s="26"/>
      <c r="R895" s="26"/>
      <c r="S895" s="26"/>
      <c r="T895" s="27"/>
      <c r="U895" s="27"/>
      <c r="V895" s="26"/>
      <c r="W895" s="26"/>
      <c r="X895" s="26"/>
      <c r="Y895" s="27"/>
      <c r="Z895" s="27"/>
      <c r="AA895" s="27"/>
      <c r="AB895" s="27"/>
      <c r="AC895" s="26"/>
      <c r="AD895" s="27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</row>
    <row r="896" spans="3:46" ht="15.75" customHeight="1"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6"/>
      <c r="N896" s="27"/>
      <c r="O896" s="26"/>
      <c r="P896" s="26"/>
      <c r="Q896" s="26"/>
      <c r="R896" s="26"/>
      <c r="S896" s="26"/>
      <c r="T896" s="27"/>
      <c r="U896" s="27"/>
      <c r="V896" s="26"/>
      <c r="W896" s="26"/>
      <c r="X896" s="26"/>
      <c r="Y896" s="27"/>
      <c r="Z896" s="27"/>
      <c r="AA896" s="27"/>
      <c r="AB896" s="27"/>
      <c r="AC896" s="26"/>
      <c r="AD896" s="27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</row>
    <row r="897" spans="3:46" ht="15.75" customHeight="1"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6"/>
      <c r="N897" s="27"/>
      <c r="O897" s="26"/>
      <c r="P897" s="26"/>
      <c r="Q897" s="26"/>
      <c r="R897" s="26"/>
      <c r="S897" s="26"/>
      <c r="T897" s="27"/>
      <c r="U897" s="27"/>
      <c r="V897" s="26"/>
      <c r="W897" s="26"/>
      <c r="X897" s="26"/>
      <c r="Y897" s="27"/>
      <c r="Z897" s="27"/>
      <c r="AA897" s="27"/>
      <c r="AB897" s="27"/>
      <c r="AC897" s="26"/>
      <c r="AD897" s="27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</row>
    <row r="898" spans="3:46" ht="15.75" customHeight="1"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6"/>
      <c r="N898" s="27"/>
      <c r="O898" s="26"/>
      <c r="P898" s="26"/>
      <c r="Q898" s="26"/>
      <c r="R898" s="26"/>
      <c r="S898" s="26"/>
      <c r="T898" s="27"/>
      <c r="U898" s="27"/>
      <c r="V898" s="26"/>
      <c r="W898" s="26"/>
      <c r="X898" s="26"/>
      <c r="Y898" s="27"/>
      <c r="Z898" s="27"/>
      <c r="AA898" s="27"/>
      <c r="AB898" s="27"/>
      <c r="AC898" s="26"/>
      <c r="AD898" s="27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</row>
    <row r="899" spans="3:46" ht="15.75" customHeight="1"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6"/>
      <c r="N899" s="27"/>
      <c r="O899" s="26"/>
      <c r="P899" s="26"/>
      <c r="Q899" s="26"/>
      <c r="R899" s="26"/>
      <c r="S899" s="26"/>
      <c r="T899" s="27"/>
      <c r="U899" s="27"/>
      <c r="V899" s="26"/>
      <c r="W899" s="26"/>
      <c r="X899" s="26"/>
      <c r="Y899" s="27"/>
      <c r="Z899" s="27"/>
      <c r="AA899" s="27"/>
      <c r="AB899" s="27"/>
      <c r="AC899" s="26"/>
      <c r="AD899" s="27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</row>
    <row r="900" spans="3:46" ht="15.75" customHeight="1"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6"/>
      <c r="N900" s="27"/>
      <c r="O900" s="26"/>
      <c r="P900" s="26"/>
      <c r="Q900" s="26"/>
      <c r="R900" s="26"/>
      <c r="S900" s="26"/>
      <c r="T900" s="27"/>
      <c r="U900" s="27"/>
      <c r="V900" s="26"/>
      <c r="W900" s="26"/>
      <c r="X900" s="26"/>
      <c r="Y900" s="27"/>
      <c r="Z900" s="27"/>
      <c r="AA900" s="27"/>
      <c r="AB900" s="27"/>
      <c r="AC900" s="26"/>
      <c r="AD900" s="27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</row>
    <row r="901" spans="3:46" ht="15.75" customHeight="1"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6"/>
      <c r="N901" s="27"/>
      <c r="O901" s="26"/>
      <c r="P901" s="26"/>
      <c r="Q901" s="26"/>
      <c r="R901" s="26"/>
      <c r="S901" s="26"/>
      <c r="T901" s="27"/>
      <c r="U901" s="27"/>
      <c r="V901" s="26"/>
      <c r="W901" s="26"/>
      <c r="X901" s="26"/>
      <c r="Y901" s="27"/>
      <c r="Z901" s="27"/>
      <c r="AA901" s="27"/>
      <c r="AB901" s="27"/>
      <c r="AC901" s="26"/>
      <c r="AD901" s="27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</row>
    <row r="902" spans="3:46" ht="15.75" customHeight="1"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6"/>
      <c r="N902" s="27"/>
      <c r="O902" s="26"/>
      <c r="P902" s="26"/>
      <c r="Q902" s="26"/>
      <c r="R902" s="26"/>
      <c r="S902" s="26"/>
      <c r="T902" s="27"/>
      <c r="U902" s="27"/>
      <c r="V902" s="26"/>
      <c r="W902" s="26"/>
      <c r="X902" s="26"/>
      <c r="Y902" s="27"/>
      <c r="Z902" s="27"/>
      <c r="AA902" s="27"/>
      <c r="AB902" s="27"/>
      <c r="AC902" s="26"/>
      <c r="AD902" s="27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</row>
    <row r="903" spans="3:46" ht="15.75" customHeight="1"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6"/>
      <c r="N903" s="27"/>
      <c r="O903" s="26"/>
      <c r="P903" s="26"/>
      <c r="Q903" s="26"/>
      <c r="R903" s="26"/>
      <c r="S903" s="26"/>
      <c r="T903" s="27"/>
      <c r="U903" s="27"/>
      <c r="V903" s="26"/>
      <c r="W903" s="26"/>
      <c r="X903" s="26"/>
      <c r="Y903" s="27"/>
      <c r="Z903" s="27"/>
      <c r="AA903" s="27"/>
      <c r="AB903" s="27"/>
      <c r="AC903" s="26"/>
      <c r="AD903" s="27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</row>
    <row r="904" spans="3:46" ht="15.75" customHeight="1"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6"/>
      <c r="N904" s="27"/>
      <c r="O904" s="26"/>
      <c r="P904" s="26"/>
      <c r="Q904" s="26"/>
      <c r="R904" s="26"/>
      <c r="S904" s="26"/>
      <c r="T904" s="27"/>
      <c r="U904" s="27"/>
      <c r="V904" s="26"/>
      <c r="W904" s="26"/>
      <c r="X904" s="26"/>
      <c r="Y904" s="27"/>
      <c r="Z904" s="27"/>
      <c r="AA904" s="27"/>
      <c r="AB904" s="27"/>
      <c r="AC904" s="26"/>
      <c r="AD904" s="27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</row>
    <row r="905" spans="3:46" ht="15.75" customHeight="1"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6"/>
      <c r="N905" s="27"/>
      <c r="O905" s="26"/>
      <c r="P905" s="26"/>
      <c r="Q905" s="26"/>
      <c r="R905" s="26"/>
      <c r="S905" s="26"/>
      <c r="T905" s="27"/>
      <c r="U905" s="27"/>
      <c r="V905" s="26"/>
      <c r="W905" s="26"/>
      <c r="X905" s="26"/>
      <c r="Y905" s="27"/>
      <c r="Z905" s="27"/>
      <c r="AA905" s="27"/>
      <c r="AB905" s="27"/>
      <c r="AC905" s="26"/>
      <c r="AD905" s="27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</row>
    <row r="906" spans="3:46" ht="15.75" customHeight="1"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6"/>
      <c r="N906" s="27"/>
      <c r="O906" s="26"/>
      <c r="P906" s="26"/>
      <c r="Q906" s="26"/>
      <c r="R906" s="26"/>
      <c r="S906" s="26"/>
      <c r="T906" s="27"/>
      <c r="U906" s="27"/>
      <c r="V906" s="26"/>
      <c r="W906" s="26"/>
      <c r="X906" s="26"/>
      <c r="Y906" s="27"/>
      <c r="Z906" s="27"/>
      <c r="AA906" s="27"/>
      <c r="AB906" s="27"/>
      <c r="AC906" s="26"/>
      <c r="AD906" s="27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</row>
    <row r="907" spans="3:46" ht="15.75" customHeight="1"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6"/>
      <c r="N907" s="27"/>
      <c r="O907" s="26"/>
      <c r="P907" s="26"/>
      <c r="Q907" s="26"/>
      <c r="R907" s="26"/>
      <c r="S907" s="26"/>
      <c r="T907" s="27"/>
      <c r="U907" s="27"/>
      <c r="V907" s="26"/>
      <c r="W907" s="26"/>
      <c r="X907" s="26"/>
      <c r="Y907" s="27"/>
      <c r="Z907" s="27"/>
      <c r="AA907" s="27"/>
      <c r="AB907" s="27"/>
      <c r="AC907" s="26"/>
      <c r="AD907" s="27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</row>
    <row r="908" spans="3:46" ht="15.75" customHeight="1"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6"/>
      <c r="N908" s="27"/>
      <c r="O908" s="26"/>
      <c r="P908" s="26"/>
      <c r="Q908" s="26"/>
      <c r="R908" s="26"/>
      <c r="S908" s="26"/>
      <c r="T908" s="27"/>
      <c r="U908" s="27"/>
      <c r="V908" s="26"/>
      <c r="W908" s="26"/>
      <c r="X908" s="26"/>
      <c r="Y908" s="27"/>
      <c r="Z908" s="27"/>
      <c r="AA908" s="27"/>
      <c r="AB908" s="27"/>
      <c r="AC908" s="26"/>
      <c r="AD908" s="27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</row>
    <row r="909" spans="3:46" ht="15.75" customHeight="1"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6"/>
      <c r="N909" s="27"/>
      <c r="O909" s="26"/>
      <c r="P909" s="26"/>
      <c r="Q909" s="26"/>
      <c r="R909" s="26"/>
      <c r="S909" s="26"/>
      <c r="T909" s="27"/>
      <c r="U909" s="27"/>
      <c r="V909" s="26"/>
      <c r="W909" s="26"/>
      <c r="X909" s="26"/>
      <c r="Y909" s="27"/>
      <c r="Z909" s="27"/>
      <c r="AA909" s="27"/>
      <c r="AB909" s="27"/>
      <c r="AC909" s="26"/>
      <c r="AD909" s="27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</row>
    <row r="910" spans="3:46" ht="15.75" customHeight="1"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6"/>
      <c r="N910" s="27"/>
      <c r="O910" s="26"/>
      <c r="P910" s="26"/>
      <c r="Q910" s="26"/>
      <c r="R910" s="26"/>
      <c r="S910" s="26"/>
      <c r="T910" s="27"/>
      <c r="U910" s="27"/>
      <c r="V910" s="26"/>
      <c r="W910" s="26"/>
      <c r="X910" s="26"/>
      <c r="Y910" s="27"/>
      <c r="Z910" s="27"/>
      <c r="AA910" s="27"/>
      <c r="AB910" s="27"/>
      <c r="AC910" s="26"/>
      <c r="AD910" s="27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</row>
    <row r="911" spans="3:46" ht="15.75" customHeight="1"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6"/>
      <c r="N911" s="27"/>
      <c r="O911" s="26"/>
      <c r="P911" s="26"/>
      <c r="Q911" s="26"/>
      <c r="R911" s="26"/>
      <c r="S911" s="26"/>
      <c r="T911" s="27"/>
      <c r="U911" s="27"/>
      <c r="V911" s="26"/>
      <c r="W911" s="26"/>
      <c r="X911" s="26"/>
      <c r="Y911" s="27"/>
      <c r="Z911" s="27"/>
      <c r="AA911" s="27"/>
      <c r="AB911" s="27"/>
      <c r="AC911" s="26"/>
      <c r="AD911" s="27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</row>
    <row r="912" spans="3:46" ht="15.75" customHeight="1"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6"/>
      <c r="N912" s="27"/>
      <c r="O912" s="26"/>
      <c r="P912" s="26"/>
      <c r="Q912" s="26"/>
      <c r="R912" s="26"/>
      <c r="S912" s="26"/>
      <c r="T912" s="27"/>
      <c r="U912" s="27"/>
      <c r="V912" s="26"/>
      <c r="W912" s="26"/>
      <c r="X912" s="26"/>
      <c r="Y912" s="27"/>
      <c r="Z912" s="27"/>
      <c r="AA912" s="27"/>
      <c r="AB912" s="27"/>
      <c r="AC912" s="26"/>
      <c r="AD912" s="27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</row>
    <row r="913" spans="3:46" ht="15.75" customHeight="1"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6"/>
      <c r="N913" s="27"/>
      <c r="O913" s="26"/>
      <c r="P913" s="26"/>
      <c r="Q913" s="26"/>
      <c r="R913" s="26"/>
      <c r="S913" s="26"/>
      <c r="T913" s="27"/>
      <c r="U913" s="27"/>
      <c r="V913" s="26"/>
      <c r="W913" s="26"/>
      <c r="X913" s="26"/>
      <c r="Y913" s="27"/>
      <c r="Z913" s="27"/>
      <c r="AA913" s="27"/>
      <c r="AB913" s="27"/>
      <c r="AC913" s="26"/>
      <c r="AD913" s="27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</row>
    <row r="914" spans="3:46" ht="15.75" customHeight="1"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6"/>
      <c r="N914" s="27"/>
      <c r="O914" s="26"/>
      <c r="P914" s="26"/>
      <c r="Q914" s="26"/>
      <c r="R914" s="26"/>
      <c r="S914" s="26"/>
      <c r="T914" s="27"/>
      <c r="U914" s="27"/>
      <c r="V914" s="26"/>
      <c r="W914" s="26"/>
      <c r="X914" s="26"/>
      <c r="Y914" s="27"/>
      <c r="Z914" s="27"/>
      <c r="AA914" s="27"/>
      <c r="AB914" s="27"/>
      <c r="AC914" s="26"/>
      <c r="AD914" s="27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</row>
    <row r="915" spans="3:46" ht="15.75" customHeight="1"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6"/>
      <c r="N915" s="27"/>
      <c r="O915" s="26"/>
      <c r="P915" s="26"/>
      <c r="Q915" s="26"/>
      <c r="R915" s="26"/>
      <c r="S915" s="26"/>
      <c r="T915" s="27"/>
      <c r="U915" s="27"/>
      <c r="V915" s="26"/>
      <c r="W915" s="26"/>
      <c r="X915" s="26"/>
      <c r="Y915" s="27"/>
      <c r="Z915" s="27"/>
      <c r="AA915" s="27"/>
      <c r="AB915" s="27"/>
      <c r="AC915" s="26"/>
      <c r="AD915" s="27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</row>
    <row r="916" spans="3:46" ht="15.75" customHeight="1"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6"/>
      <c r="N916" s="27"/>
      <c r="O916" s="26"/>
      <c r="P916" s="26"/>
      <c r="Q916" s="26"/>
      <c r="R916" s="26"/>
      <c r="S916" s="26"/>
      <c r="T916" s="27"/>
      <c r="U916" s="27"/>
      <c r="V916" s="26"/>
      <c r="W916" s="26"/>
      <c r="X916" s="26"/>
      <c r="Y916" s="27"/>
      <c r="Z916" s="27"/>
      <c r="AA916" s="27"/>
      <c r="AB916" s="27"/>
      <c r="AC916" s="26"/>
      <c r="AD916" s="27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</row>
    <row r="917" spans="3:46" ht="15.75" customHeight="1"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6"/>
      <c r="N917" s="27"/>
      <c r="O917" s="26"/>
      <c r="P917" s="26"/>
      <c r="Q917" s="26"/>
      <c r="R917" s="26"/>
      <c r="S917" s="26"/>
      <c r="T917" s="27"/>
      <c r="U917" s="27"/>
      <c r="V917" s="26"/>
      <c r="W917" s="26"/>
      <c r="X917" s="26"/>
      <c r="Y917" s="27"/>
      <c r="Z917" s="27"/>
      <c r="AA917" s="27"/>
      <c r="AB917" s="27"/>
      <c r="AC917" s="26"/>
      <c r="AD917" s="27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</row>
    <row r="918" spans="3:46" ht="15.75" customHeight="1"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6"/>
      <c r="N918" s="27"/>
      <c r="O918" s="26"/>
      <c r="P918" s="26"/>
      <c r="Q918" s="26"/>
      <c r="R918" s="26"/>
      <c r="S918" s="26"/>
      <c r="T918" s="27"/>
      <c r="U918" s="27"/>
      <c r="V918" s="26"/>
      <c r="W918" s="26"/>
      <c r="X918" s="26"/>
      <c r="Y918" s="27"/>
      <c r="Z918" s="27"/>
      <c r="AA918" s="27"/>
      <c r="AB918" s="27"/>
      <c r="AC918" s="26"/>
      <c r="AD918" s="27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</row>
    <row r="919" spans="3:46" ht="15.75" customHeight="1"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6"/>
      <c r="N919" s="27"/>
      <c r="O919" s="26"/>
      <c r="P919" s="26"/>
      <c r="Q919" s="26"/>
      <c r="R919" s="26"/>
      <c r="S919" s="26"/>
      <c r="T919" s="27"/>
      <c r="U919" s="27"/>
      <c r="V919" s="26"/>
      <c r="W919" s="26"/>
      <c r="X919" s="26"/>
      <c r="Y919" s="27"/>
      <c r="Z919" s="27"/>
      <c r="AA919" s="27"/>
      <c r="AB919" s="27"/>
      <c r="AC919" s="26"/>
      <c r="AD919" s="27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</row>
    <row r="920" spans="3:46" ht="15.75" customHeight="1"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6"/>
      <c r="N920" s="27"/>
      <c r="O920" s="26"/>
      <c r="P920" s="26"/>
      <c r="Q920" s="26"/>
      <c r="R920" s="26"/>
      <c r="S920" s="26"/>
      <c r="T920" s="27"/>
      <c r="U920" s="27"/>
      <c r="V920" s="26"/>
      <c r="W920" s="26"/>
      <c r="X920" s="26"/>
      <c r="Y920" s="27"/>
      <c r="Z920" s="27"/>
      <c r="AA920" s="27"/>
      <c r="AB920" s="27"/>
      <c r="AC920" s="26"/>
      <c r="AD920" s="27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</row>
    <row r="921" spans="3:46" ht="15.75" customHeight="1"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6"/>
      <c r="N921" s="27"/>
      <c r="O921" s="26"/>
      <c r="P921" s="26"/>
      <c r="Q921" s="26"/>
      <c r="R921" s="26"/>
      <c r="S921" s="26"/>
      <c r="T921" s="27"/>
      <c r="U921" s="27"/>
      <c r="V921" s="26"/>
      <c r="W921" s="26"/>
      <c r="X921" s="26"/>
      <c r="Y921" s="27"/>
      <c r="Z921" s="27"/>
      <c r="AA921" s="27"/>
      <c r="AB921" s="27"/>
      <c r="AC921" s="26"/>
      <c r="AD921" s="27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</row>
    <row r="922" spans="3:46" ht="15.75" customHeight="1"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6"/>
      <c r="N922" s="27"/>
      <c r="O922" s="26"/>
      <c r="P922" s="26"/>
      <c r="Q922" s="26"/>
      <c r="R922" s="26"/>
      <c r="S922" s="26"/>
      <c r="T922" s="27"/>
      <c r="U922" s="27"/>
      <c r="V922" s="26"/>
      <c r="W922" s="26"/>
      <c r="X922" s="26"/>
      <c r="Y922" s="27"/>
      <c r="Z922" s="27"/>
      <c r="AA922" s="27"/>
      <c r="AB922" s="27"/>
      <c r="AC922" s="26"/>
      <c r="AD922" s="27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</row>
    <row r="923" spans="3:46" ht="15.75" customHeight="1"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6"/>
      <c r="N923" s="27"/>
      <c r="O923" s="26"/>
      <c r="P923" s="26"/>
      <c r="Q923" s="26"/>
      <c r="R923" s="26"/>
      <c r="S923" s="26"/>
      <c r="T923" s="27"/>
      <c r="U923" s="27"/>
      <c r="V923" s="26"/>
      <c r="W923" s="26"/>
      <c r="X923" s="26"/>
      <c r="Y923" s="27"/>
      <c r="Z923" s="27"/>
      <c r="AA923" s="27"/>
      <c r="AB923" s="27"/>
      <c r="AC923" s="26"/>
      <c r="AD923" s="27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</row>
    <row r="924" spans="3:46" ht="15.75" customHeight="1"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6"/>
      <c r="N924" s="27"/>
      <c r="O924" s="26"/>
      <c r="P924" s="26"/>
      <c r="Q924" s="26"/>
      <c r="R924" s="26"/>
      <c r="S924" s="26"/>
      <c r="T924" s="27"/>
      <c r="U924" s="27"/>
      <c r="V924" s="26"/>
      <c r="W924" s="26"/>
      <c r="X924" s="26"/>
      <c r="Y924" s="27"/>
      <c r="Z924" s="27"/>
      <c r="AA924" s="27"/>
      <c r="AB924" s="27"/>
      <c r="AC924" s="26"/>
      <c r="AD924" s="27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</row>
    <row r="925" spans="3:46" ht="15.75" customHeight="1"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6"/>
      <c r="N925" s="27"/>
      <c r="O925" s="26"/>
      <c r="P925" s="26"/>
      <c r="Q925" s="26"/>
      <c r="R925" s="26"/>
      <c r="S925" s="26"/>
      <c r="T925" s="27"/>
      <c r="U925" s="27"/>
      <c r="V925" s="26"/>
      <c r="W925" s="26"/>
      <c r="X925" s="26"/>
      <c r="Y925" s="27"/>
      <c r="Z925" s="27"/>
      <c r="AA925" s="27"/>
      <c r="AB925" s="27"/>
      <c r="AC925" s="26"/>
      <c r="AD925" s="27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</row>
    <row r="926" spans="3:46" ht="15.75" customHeight="1"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6"/>
      <c r="N926" s="27"/>
      <c r="O926" s="26"/>
      <c r="P926" s="26"/>
      <c r="Q926" s="26"/>
      <c r="R926" s="26"/>
      <c r="S926" s="26"/>
      <c r="T926" s="27"/>
      <c r="U926" s="27"/>
      <c r="V926" s="26"/>
      <c r="W926" s="26"/>
      <c r="X926" s="26"/>
      <c r="Y926" s="27"/>
      <c r="Z926" s="27"/>
      <c r="AA926" s="27"/>
      <c r="AB926" s="27"/>
      <c r="AC926" s="26"/>
      <c r="AD926" s="27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</row>
    <row r="927" spans="3:46" ht="15.75" customHeight="1"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6"/>
      <c r="N927" s="27"/>
      <c r="O927" s="26"/>
      <c r="P927" s="26"/>
      <c r="Q927" s="26"/>
      <c r="R927" s="26"/>
      <c r="S927" s="26"/>
      <c r="T927" s="27"/>
      <c r="U927" s="27"/>
      <c r="V927" s="26"/>
      <c r="W927" s="26"/>
      <c r="X927" s="26"/>
      <c r="Y927" s="27"/>
      <c r="Z927" s="27"/>
      <c r="AA927" s="27"/>
      <c r="AB927" s="27"/>
      <c r="AC927" s="26"/>
      <c r="AD927" s="27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</row>
    <row r="928" spans="3:46" ht="15.75" customHeight="1"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6"/>
      <c r="N928" s="27"/>
      <c r="O928" s="26"/>
      <c r="P928" s="26"/>
      <c r="Q928" s="26"/>
      <c r="R928" s="26"/>
      <c r="S928" s="26"/>
      <c r="T928" s="27"/>
      <c r="U928" s="27"/>
      <c r="V928" s="26"/>
      <c r="W928" s="26"/>
      <c r="X928" s="26"/>
      <c r="Y928" s="27"/>
      <c r="Z928" s="27"/>
      <c r="AA928" s="27"/>
      <c r="AB928" s="27"/>
      <c r="AC928" s="26"/>
      <c r="AD928" s="27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</row>
    <row r="929" spans="3:46" ht="15.75" customHeight="1"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6"/>
      <c r="N929" s="27"/>
      <c r="O929" s="26"/>
      <c r="P929" s="26"/>
      <c r="Q929" s="26"/>
      <c r="R929" s="26"/>
      <c r="S929" s="26"/>
      <c r="T929" s="27"/>
      <c r="U929" s="27"/>
      <c r="V929" s="26"/>
      <c r="W929" s="26"/>
      <c r="X929" s="26"/>
      <c r="Y929" s="27"/>
      <c r="Z929" s="27"/>
      <c r="AA929" s="27"/>
      <c r="AB929" s="27"/>
      <c r="AC929" s="26"/>
      <c r="AD929" s="27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</row>
    <row r="930" spans="3:46" ht="15.75" customHeight="1"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6"/>
      <c r="N930" s="27"/>
      <c r="O930" s="26"/>
      <c r="P930" s="26"/>
      <c r="Q930" s="26"/>
      <c r="R930" s="26"/>
      <c r="S930" s="26"/>
      <c r="T930" s="27"/>
      <c r="U930" s="27"/>
      <c r="V930" s="26"/>
      <c r="W930" s="26"/>
      <c r="X930" s="26"/>
      <c r="Y930" s="27"/>
      <c r="Z930" s="27"/>
      <c r="AA930" s="27"/>
      <c r="AB930" s="27"/>
      <c r="AC930" s="26"/>
      <c r="AD930" s="27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</row>
    <row r="931" spans="3:46" ht="15.75" customHeight="1"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6"/>
      <c r="N931" s="27"/>
      <c r="O931" s="26"/>
      <c r="P931" s="26"/>
      <c r="Q931" s="26"/>
      <c r="R931" s="26"/>
      <c r="S931" s="26"/>
      <c r="T931" s="27"/>
      <c r="U931" s="27"/>
      <c r="V931" s="26"/>
      <c r="W931" s="26"/>
      <c r="X931" s="26"/>
      <c r="Y931" s="27"/>
      <c r="Z931" s="27"/>
      <c r="AA931" s="27"/>
      <c r="AB931" s="27"/>
      <c r="AC931" s="26"/>
      <c r="AD931" s="27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</row>
    <row r="932" spans="3:46" ht="15.75" customHeight="1"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6"/>
      <c r="N932" s="27"/>
      <c r="O932" s="26"/>
      <c r="P932" s="26"/>
      <c r="Q932" s="26"/>
      <c r="R932" s="26"/>
      <c r="S932" s="26"/>
      <c r="T932" s="27"/>
      <c r="U932" s="27"/>
      <c r="V932" s="26"/>
      <c r="W932" s="26"/>
      <c r="X932" s="26"/>
      <c r="Y932" s="27"/>
      <c r="Z932" s="27"/>
      <c r="AA932" s="27"/>
      <c r="AB932" s="27"/>
      <c r="AC932" s="26"/>
      <c r="AD932" s="27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</row>
    <row r="933" spans="3:46" ht="15.75" customHeight="1"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6"/>
      <c r="N933" s="27"/>
      <c r="O933" s="26"/>
      <c r="P933" s="26"/>
      <c r="Q933" s="26"/>
      <c r="R933" s="26"/>
      <c r="S933" s="26"/>
      <c r="T933" s="27"/>
      <c r="U933" s="27"/>
      <c r="V933" s="26"/>
      <c r="W933" s="26"/>
      <c r="X933" s="26"/>
      <c r="Y933" s="27"/>
      <c r="Z933" s="27"/>
      <c r="AA933" s="27"/>
      <c r="AB933" s="27"/>
      <c r="AC933" s="26"/>
      <c r="AD933" s="27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</row>
    <row r="934" spans="3:46" ht="15.75" customHeight="1"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6"/>
      <c r="N934" s="27"/>
      <c r="O934" s="26"/>
      <c r="P934" s="26"/>
      <c r="Q934" s="26"/>
      <c r="R934" s="26"/>
      <c r="S934" s="26"/>
      <c r="T934" s="27"/>
      <c r="U934" s="27"/>
      <c r="V934" s="26"/>
      <c r="W934" s="26"/>
      <c r="X934" s="26"/>
      <c r="Y934" s="27"/>
      <c r="Z934" s="27"/>
      <c r="AA934" s="27"/>
      <c r="AB934" s="27"/>
      <c r="AC934" s="26"/>
      <c r="AD934" s="27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</row>
    <row r="935" spans="3:46" ht="15.75" customHeight="1"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6"/>
      <c r="N935" s="27"/>
      <c r="O935" s="26"/>
      <c r="P935" s="26"/>
      <c r="Q935" s="26"/>
      <c r="R935" s="26"/>
      <c r="S935" s="26"/>
      <c r="T935" s="27"/>
      <c r="U935" s="27"/>
      <c r="V935" s="26"/>
      <c r="W935" s="26"/>
      <c r="X935" s="26"/>
      <c r="Y935" s="27"/>
      <c r="Z935" s="27"/>
      <c r="AA935" s="27"/>
      <c r="AB935" s="27"/>
      <c r="AC935" s="26"/>
      <c r="AD935" s="27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</row>
    <row r="936" spans="3:46" ht="15.75" customHeight="1"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6"/>
      <c r="N936" s="27"/>
      <c r="O936" s="26"/>
      <c r="P936" s="26"/>
      <c r="Q936" s="26"/>
      <c r="R936" s="26"/>
      <c r="S936" s="26"/>
      <c r="T936" s="27"/>
      <c r="U936" s="27"/>
      <c r="V936" s="26"/>
      <c r="W936" s="26"/>
      <c r="X936" s="26"/>
      <c r="Y936" s="27"/>
      <c r="Z936" s="27"/>
      <c r="AA936" s="27"/>
      <c r="AB936" s="27"/>
      <c r="AC936" s="26"/>
      <c r="AD936" s="27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</row>
    <row r="937" spans="3:46" ht="15.75" customHeight="1"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6"/>
      <c r="N937" s="27"/>
      <c r="O937" s="26"/>
      <c r="P937" s="26"/>
      <c r="Q937" s="26"/>
      <c r="R937" s="26"/>
      <c r="S937" s="26"/>
      <c r="T937" s="27"/>
      <c r="U937" s="27"/>
      <c r="V937" s="26"/>
      <c r="W937" s="26"/>
      <c r="X937" s="26"/>
      <c r="Y937" s="27"/>
      <c r="Z937" s="27"/>
      <c r="AA937" s="27"/>
      <c r="AB937" s="27"/>
      <c r="AC937" s="26"/>
      <c r="AD937" s="27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</row>
    <row r="938" spans="3:46" ht="15.75" customHeight="1"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6"/>
      <c r="N938" s="27"/>
      <c r="O938" s="26"/>
      <c r="P938" s="26"/>
      <c r="Q938" s="26"/>
      <c r="R938" s="26"/>
      <c r="S938" s="26"/>
      <c r="T938" s="27"/>
      <c r="U938" s="27"/>
      <c r="V938" s="26"/>
      <c r="W938" s="26"/>
      <c r="X938" s="26"/>
      <c r="Y938" s="27"/>
      <c r="Z938" s="27"/>
      <c r="AA938" s="27"/>
      <c r="AB938" s="27"/>
      <c r="AC938" s="26"/>
      <c r="AD938" s="27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</row>
    <row r="939" spans="3:46" ht="15.75" customHeight="1"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6"/>
      <c r="N939" s="27"/>
      <c r="O939" s="26"/>
      <c r="P939" s="26"/>
      <c r="Q939" s="26"/>
      <c r="R939" s="26"/>
      <c r="S939" s="26"/>
      <c r="T939" s="27"/>
      <c r="U939" s="27"/>
      <c r="V939" s="26"/>
      <c r="W939" s="26"/>
      <c r="X939" s="26"/>
      <c r="Y939" s="27"/>
      <c r="Z939" s="27"/>
      <c r="AA939" s="27"/>
      <c r="AB939" s="27"/>
      <c r="AC939" s="26"/>
      <c r="AD939" s="27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</row>
    <row r="940" spans="3:46" ht="15.75" customHeight="1"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6"/>
      <c r="N940" s="27"/>
      <c r="O940" s="26"/>
      <c r="P940" s="26"/>
      <c r="Q940" s="26"/>
      <c r="R940" s="26"/>
      <c r="S940" s="26"/>
      <c r="T940" s="27"/>
      <c r="U940" s="27"/>
      <c r="V940" s="26"/>
      <c r="W940" s="26"/>
      <c r="X940" s="26"/>
      <c r="Y940" s="27"/>
      <c r="Z940" s="27"/>
      <c r="AA940" s="27"/>
      <c r="AB940" s="27"/>
      <c r="AC940" s="26"/>
      <c r="AD940" s="27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</row>
    <row r="941" spans="3:46" ht="15.75" customHeight="1"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6"/>
      <c r="N941" s="27"/>
      <c r="O941" s="26"/>
      <c r="P941" s="26"/>
      <c r="Q941" s="26"/>
      <c r="R941" s="26"/>
      <c r="S941" s="26"/>
      <c r="T941" s="27"/>
      <c r="U941" s="27"/>
      <c r="V941" s="26"/>
      <c r="W941" s="26"/>
      <c r="X941" s="26"/>
      <c r="Y941" s="27"/>
      <c r="Z941" s="27"/>
      <c r="AA941" s="27"/>
      <c r="AB941" s="27"/>
      <c r="AC941" s="26"/>
      <c r="AD941" s="27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</row>
    <row r="942" spans="3:46" ht="15.75" customHeight="1"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6"/>
      <c r="N942" s="27"/>
      <c r="O942" s="26"/>
      <c r="P942" s="26"/>
      <c r="Q942" s="26"/>
      <c r="R942" s="26"/>
      <c r="S942" s="26"/>
      <c r="T942" s="27"/>
      <c r="U942" s="27"/>
      <c r="V942" s="26"/>
      <c r="W942" s="26"/>
      <c r="X942" s="26"/>
      <c r="Y942" s="27"/>
      <c r="Z942" s="27"/>
      <c r="AA942" s="27"/>
      <c r="AB942" s="27"/>
      <c r="AC942" s="26"/>
      <c r="AD942" s="27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</row>
    <row r="943" spans="3:46" ht="15.75" customHeight="1"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6"/>
      <c r="N943" s="27"/>
      <c r="O943" s="26"/>
      <c r="P943" s="26"/>
      <c r="Q943" s="26"/>
      <c r="R943" s="26"/>
      <c r="S943" s="26"/>
      <c r="T943" s="27"/>
      <c r="U943" s="27"/>
      <c r="V943" s="26"/>
      <c r="W943" s="26"/>
      <c r="X943" s="26"/>
      <c r="Y943" s="27"/>
      <c r="Z943" s="27"/>
      <c r="AA943" s="27"/>
      <c r="AB943" s="27"/>
      <c r="AC943" s="26"/>
      <c r="AD943" s="27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</row>
    <row r="944" spans="3:46" ht="15.75" customHeight="1"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6"/>
      <c r="N944" s="27"/>
      <c r="O944" s="26"/>
      <c r="P944" s="26"/>
      <c r="Q944" s="26"/>
      <c r="R944" s="26"/>
      <c r="S944" s="26"/>
      <c r="T944" s="27"/>
      <c r="U944" s="27"/>
      <c r="V944" s="26"/>
      <c r="W944" s="26"/>
      <c r="X944" s="26"/>
      <c r="Y944" s="27"/>
      <c r="Z944" s="27"/>
      <c r="AA944" s="27"/>
      <c r="AB944" s="27"/>
      <c r="AC944" s="26"/>
      <c r="AD944" s="27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</row>
    <row r="945" spans="3:46" ht="15.75" customHeight="1"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6"/>
      <c r="N945" s="27"/>
      <c r="O945" s="26"/>
      <c r="P945" s="26"/>
      <c r="Q945" s="26"/>
      <c r="R945" s="26"/>
      <c r="S945" s="26"/>
      <c r="T945" s="27"/>
      <c r="U945" s="27"/>
      <c r="V945" s="26"/>
      <c r="W945" s="26"/>
      <c r="X945" s="26"/>
      <c r="Y945" s="27"/>
      <c r="Z945" s="27"/>
      <c r="AA945" s="27"/>
      <c r="AB945" s="27"/>
      <c r="AC945" s="26"/>
      <c r="AD945" s="27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</row>
    <row r="946" spans="3:46" ht="15.75" customHeight="1"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6"/>
      <c r="N946" s="27"/>
      <c r="O946" s="26"/>
      <c r="P946" s="26"/>
      <c r="Q946" s="26"/>
      <c r="R946" s="26"/>
      <c r="S946" s="26"/>
      <c r="T946" s="27"/>
      <c r="U946" s="27"/>
      <c r="V946" s="26"/>
      <c r="W946" s="26"/>
      <c r="X946" s="26"/>
      <c r="Y946" s="27"/>
      <c r="Z946" s="27"/>
      <c r="AA946" s="27"/>
      <c r="AB946" s="27"/>
      <c r="AC946" s="26"/>
      <c r="AD946" s="27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</row>
    <row r="947" spans="3:46" ht="15.75" customHeight="1"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6"/>
      <c r="N947" s="27"/>
      <c r="O947" s="26"/>
      <c r="P947" s="26"/>
      <c r="Q947" s="26"/>
      <c r="R947" s="26"/>
      <c r="S947" s="26"/>
      <c r="T947" s="27"/>
      <c r="U947" s="27"/>
      <c r="V947" s="26"/>
      <c r="W947" s="26"/>
      <c r="X947" s="26"/>
      <c r="Y947" s="27"/>
      <c r="Z947" s="27"/>
      <c r="AA947" s="27"/>
      <c r="AB947" s="27"/>
      <c r="AC947" s="26"/>
      <c r="AD947" s="27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</row>
    <row r="948" spans="3:46" ht="15.75" customHeight="1"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6"/>
      <c r="N948" s="27"/>
      <c r="O948" s="26"/>
      <c r="P948" s="26"/>
      <c r="Q948" s="26"/>
      <c r="R948" s="26"/>
      <c r="S948" s="26"/>
      <c r="T948" s="27"/>
      <c r="U948" s="27"/>
      <c r="V948" s="26"/>
      <c r="W948" s="26"/>
      <c r="X948" s="26"/>
      <c r="Y948" s="27"/>
      <c r="Z948" s="27"/>
      <c r="AA948" s="27"/>
      <c r="AB948" s="27"/>
      <c r="AC948" s="26"/>
      <c r="AD948" s="27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</row>
    <row r="949" spans="3:46" ht="15.75" customHeight="1"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6"/>
      <c r="N949" s="27"/>
      <c r="O949" s="26"/>
      <c r="P949" s="26"/>
      <c r="Q949" s="26"/>
      <c r="R949" s="26"/>
      <c r="S949" s="26"/>
      <c r="T949" s="27"/>
      <c r="U949" s="27"/>
      <c r="V949" s="26"/>
      <c r="W949" s="26"/>
      <c r="X949" s="26"/>
      <c r="Y949" s="27"/>
      <c r="Z949" s="27"/>
      <c r="AA949" s="27"/>
      <c r="AB949" s="27"/>
      <c r="AC949" s="26"/>
      <c r="AD949" s="27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</row>
    <row r="950" spans="3:46" ht="15.75" customHeight="1"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6"/>
      <c r="N950" s="27"/>
      <c r="O950" s="26"/>
      <c r="P950" s="26"/>
      <c r="Q950" s="26"/>
      <c r="R950" s="26"/>
      <c r="S950" s="26"/>
      <c r="T950" s="27"/>
      <c r="U950" s="27"/>
      <c r="V950" s="26"/>
      <c r="W950" s="26"/>
      <c r="X950" s="26"/>
      <c r="Y950" s="27"/>
      <c r="Z950" s="27"/>
      <c r="AA950" s="27"/>
      <c r="AB950" s="27"/>
      <c r="AC950" s="26"/>
      <c r="AD950" s="27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</row>
    <row r="951" spans="3:46" ht="15.75" customHeight="1"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6"/>
      <c r="N951" s="27"/>
      <c r="O951" s="26"/>
      <c r="P951" s="26"/>
      <c r="Q951" s="26"/>
      <c r="R951" s="26"/>
      <c r="S951" s="26"/>
      <c r="T951" s="27"/>
      <c r="U951" s="27"/>
      <c r="V951" s="26"/>
      <c r="W951" s="26"/>
      <c r="X951" s="26"/>
      <c r="Y951" s="27"/>
      <c r="Z951" s="27"/>
      <c r="AA951" s="27"/>
      <c r="AB951" s="27"/>
      <c r="AC951" s="26"/>
      <c r="AD951" s="27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</row>
    <row r="952" spans="3:46" ht="15.75" customHeight="1"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6"/>
      <c r="N952" s="27"/>
      <c r="O952" s="26"/>
      <c r="P952" s="26"/>
      <c r="Q952" s="26"/>
      <c r="R952" s="26"/>
      <c r="S952" s="26"/>
      <c r="T952" s="27"/>
      <c r="U952" s="27"/>
      <c r="V952" s="26"/>
      <c r="W952" s="26"/>
      <c r="X952" s="26"/>
      <c r="Y952" s="27"/>
      <c r="Z952" s="27"/>
      <c r="AA952" s="27"/>
      <c r="AB952" s="27"/>
      <c r="AC952" s="26"/>
      <c r="AD952" s="27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</row>
    <row r="953" spans="3:46" ht="15.75" customHeight="1"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6"/>
      <c r="N953" s="27"/>
      <c r="O953" s="26"/>
      <c r="P953" s="26"/>
      <c r="Q953" s="26"/>
      <c r="R953" s="26"/>
      <c r="S953" s="26"/>
      <c r="T953" s="27"/>
      <c r="U953" s="27"/>
      <c r="V953" s="26"/>
      <c r="W953" s="26"/>
      <c r="X953" s="26"/>
      <c r="Y953" s="27"/>
      <c r="Z953" s="27"/>
      <c r="AA953" s="27"/>
      <c r="AB953" s="27"/>
      <c r="AC953" s="26"/>
      <c r="AD953" s="27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</row>
    <row r="954" spans="3:46" ht="15.75" customHeight="1"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6"/>
      <c r="N954" s="27"/>
      <c r="O954" s="26"/>
      <c r="P954" s="26"/>
      <c r="Q954" s="26"/>
      <c r="R954" s="26"/>
      <c r="S954" s="26"/>
      <c r="T954" s="27"/>
      <c r="U954" s="27"/>
      <c r="V954" s="26"/>
      <c r="W954" s="26"/>
      <c r="X954" s="26"/>
      <c r="Y954" s="27"/>
      <c r="Z954" s="27"/>
      <c r="AA954" s="27"/>
      <c r="AB954" s="27"/>
      <c r="AC954" s="26"/>
      <c r="AD954" s="27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</row>
    <row r="955" spans="3:46" ht="15.75" customHeight="1"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6"/>
      <c r="N955" s="27"/>
      <c r="O955" s="26"/>
      <c r="P955" s="26"/>
      <c r="Q955" s="26"/>
      <c r="R955" s="26"/>
      <c r="S955" s="26"/>
      <c r="T955" s="27"/>
      <c r="U955" s="27"/>
      <c r="V955" s="26"/>
      <c r="W955" s="26"/>
      <c r="X955" s="26"/>
      <c r="Y955" s="27"/>
      <c r="Z955" s="27"/>
      <c r="AA955" s="27"/>
      <c r="AB955" s="27"/>
      <c r="AC955" s="26"/>
      <c r="AD955" s="27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</row>
    <row r="956" spans="3:46" ht="15.75" customHeight="1"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6"/>
      <c r="N956" s="27"/>
      <c r="O956" s="26"/>
      <c r="P956" s="26"/>
      <c r="Q956" s="26"/>
      <c r="R956" s="26"/>
      <c r="S956" s="26"/>
      <c r="T956" s="27"/>
      <c r="U956" s="27"/>
      <c r="V956" s="26"/>
      <c r="W956" s="26"/>
      <c r="X956" s="26"/>
      <c r="Y956" s="27"/>
      <c r="Z956" s="27"/>
      <c r="AA956" s="27"/>
      <c r="AB956" s="27"/>
      <c r="AC956" s="26"/>
      <c r="AD956" s="27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</row>
    <row r="957" spans="3:46" ht="15.75" customHeight="1"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6"/>
      <c r="N957" s="27"/>
      <c r="O957" s="26"/>
      <c r="P957" s="26"/>
      <c r="Q957" s="26"/>
      <c r="R957" s="26"/>
      <c r="S957" s="26"/>
      <c r="T957" s="27"/>
      <c r="U957" s="27"/>
      <c r="V957" s="26"/>
      <c r="W957" s="26"/>
      <c r="X957" s="26"/>
      <c r="Y957" s="27"/>
      <c r="Z957" s="27"/>
      <c r="AA957" s="27"/>
      <c r="AB957" s="27"/>
      <c r="AC957" s="26"/>
      <c r="AD957" s="27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</row>
    <row r="958" spans="3:46" ht="15.75" customHeight="1"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6"/>
      <c r="N958" s="27"/>
      <c r="O958" s="26"/>
      <c r="P958" s="26"/>
      <c r="Q958" s="26"/>
      <c r="R958" s="26"/>
      <c r="S958" s="26"/>
      <c r="T958" s="27"/>
      <c r="U958" s="27"/>
      <c r="V958" s="26"/>
      <c r="W958" s="26"/>
      <c r="X958" s="26"/>
      <c r="Y958" s="27"/>
      <c r="Z958" s="27"/>
      <c r="AA958" s="27"/>
      <c r="AB958" s="27"/>
      <c r="AC958" s="26"/>
      <c r="AD958" s="27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</row>
    <row r="959" spans="3:46" ht="15.75" customHeight="1"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6"/>
      <c r="N959" s="27"/>
      <c r="O959" s="26"/>
      <c r="P959" s="26"/>
      <c r="Q959" s="26"/>
      <c r="R959" s="26"/>
      <c r="S959" s="26"/>
      <c r="T959" s="27"/>
      <c r="U959" s="27"/>
      <c r="V959" s="26"/>
      <c r="W959" s="26"/>
      <c r="X959" s="26"/>
      <c r="Y959" s="27"/>
      <c r="Z959" s="27"/>
      <c r="AA959" s="27"/>
      <c r="AB959" s="27"/>
      <c r="AC959" s="26"/>
      <c r="AD959" s="27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</row>
    <row r="960" spans="3:46" ht="15.75" customHeight="1"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6"/>
      <c r="N960" s="27"/>
      <c r="O960" s="26"/>
      <c r="P960" s="26"/>
      <c r="Q960" s="26"/>
      <c r="R960" s="26"/>
      <c r="S960" s="26"/>
      <c r="T960" s="27"/>
      <c r="U960" s="27"/>
      <c r="V960" s="26"/>
      <c r="W960" s="26"/>
      <c r="X960" s="26"/>
      <c r="Y960" s="27"/>
      <c r="Z960" s="27"/>
      <c r="AA960" s="27"/>
      <c r="AB960" s="27"/>
      <c r="AC960" s="26"/>
      <c r="AD960" s="27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</row>
    <row r="961" spans="3:46" ht="15.75" customHeight="1"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6"/>
      <c r="N961" s="27"/>
      <c r="O961" s="26"/>
      <c r="P961" s="26"/>
      <c r="Q961" s="26"/>
      <c r="R961" s="26"/>
      <c r="S961" s="26"/>
      <c r="T961" s="27"/>
      <c r="U961" s="27"/>
      <c r="V961" s="26"/>
      <c r="W961" s="26"/>
      <c r="X961" s="26"/>
      <c r="Y961" s="27"/>
      <c r="Z961" s="27"/>
      <c r="AA961" s="27"/>
      <c r="AB961" s="27"/>
      <c r="AC961" s="26"/>
      <c r="AD961" s="27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</row>
    <row r="962" spans="3:46" ht="15.75" customHeight="1"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6"/>
      <c r="N962" s="27"/>
      <c r="O962" s="26"/>
      <c r="P962" s="26"/>
      <c r="Q962" s="26"/>
      <c r="R962" s="26"/>
      <c r="S962" s="26"/>
      <c r="T962" s="27"/>
      <c r="U962" s="27"/>
      <c r="V962" s="26"/>
      <c r="W962" s="26"/>
      <c r="X962" s="26"/>
      <c r="Y962" s="27"/>
      <c r="Z962" s="27"/>
      <c r="AA962" s="27"/>
      <c r="AB962" s="27"/>
      <c r="AC962" s="26"/>
      <c r="AD962" s="27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</row>
    <row r="963" spans="3:46" ht="15.75" customHeight="1"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6"/>
      <c r="N963" s="27"/>
      <c r="O963" s="26"/>
      <c r="P963" s="26"/>
      <c r="Q963" s="26"/>
      <c r="R963" s="26"/>
      <c r="S963" s="26"/>
      <c r="T963" s="27"/>
      <c r="U963" s="27"/>
      <c r="V963" s="26"/>
      <c r="W963" s="26"/>
      <c r="X963" s="26"/>
      <c r="Y963" s="27"/>
      <c r="Z963" s="27"/>
      <c r="AA963" s="27"/>
      <c r="AB963" s="27"/>
      <c r="AC963" s="26"/>
      <c r="AD963" s="27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</row>
    <row r="964" spans="3:46" ht="15.75" customHeight="1"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6"/>
      <c r="N964" s="27"/>
      <c r="O964" s="26"/>
      <c r="P964" s="26"/>
      <c r="Q964" s="26"/>
      <c r="R964" s="26"/>
      <c r="S964" s="26"/>
      <c r="T964" s="27"/>
      <c r="U964" s="27"/>
      <c r="V964" s="26"/>
      <c r="W964" s="26"/>
      <c r="X964" s="26"/>
      <c r="Y964" s="27"/>
      <c r="Z964" s="27"/>
      <c r="AA964" s="27"/>
      <c r="AB964" s="27"/>
      <c r="AC964" s="26"/>
      <c r="AD964" s="27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</row>
    <row r="965" spans="3:46" ht="15.75" customHeight="1"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6"/>
      <c r="N965" s="27"/>
      <c r="O965" s="26"/>
      <c r="P965" s="26"/>
      <c r="Q965" s="26"/>
      <c r="R965" s="26"/>
      <c r="S965" s="26"/>
      <c r="T965" s="27"/>
      <c r="U965" s="27"/>
      <c r="V965" s="26"/>
      <c r="W965" s="26"/>
      <c r="X965" s="26"/>
      <c r="Y965" s="27"/>
      <c r="Z965" s="27"/>
      <c r="AA965" s="27"/>
      <c r="AB965" s="27"/>
      <c r="AC965" s="26"/>
      <c r="AD965" s="27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</row>
    <row r="966" spans="3:46" ht="15.75" customHeight="1"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6"/>
      <c r="N966" s="27"/>
      <c r="O966" s="26"/>
      <c r="P966" s="26"/>
      <c r="Q966" s="26"/>
      <c r="R966" s="26"/>
      <c r="S966" s="26"/>
      <c r="T966" s="27"/>
      <c r="U966" s="27"/>
      <c r="V966" s="26"/>
      <c r="W966" s="26"/>
      <c r="X966" s="26"/>
      <c r="Y966" s="27"/>
      <c r="Z966" s="27"/>
      <c r="AA966" s="27"/>
      <c r="AB966" s="27"/>
      <c r="AC966" s="26"/>
      <c r="AD966" s="27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</row>
    <row r="967" spans="3:46" ht="15.75" customHeight="1"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6"/>
      <c r="N967" s="27"/>
      <c r="O967" s="26"/>
      <c r="P967" s="26"/>
      <c r="Q967" s="26"/>
      <c r="R967" s="26"/>
      <c r="S967" s="26"/>
      <c r="T967" s="27"/>
      <c r="U967" s="27"/>
      <c r="V967" s="26"/>
      <c r="W967" s="26"/>
      <c r="X967" s="26"/>
      <c r="Y967" s="27"/>
      <c r="Z967" s="27"/>
      <c r="AA967" s="27"/>
      <c r="AB967" s="27"/>
      <c r="AC967" s="26"/>
      <c r="AD967" s="27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</row>
    <row r="968" spans="3:46" ht="15.75" customHeight="1"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6"/>
      <c r="N968" s="27"/>
      <c r="O968" s="26"/>
      <c r="P968" s="26"/>
      <c r="Q968" s="26"/>
      <c r="R968" s="26"/>
      <c r="S968" s="26"/>
      <c r="T968" s="27"/>
      <c r="U968" s="27"/>
      <c r="V968" s="26"/>
      <c r="W968" s="26"/>
      <c r="X968" s="26"/>
      <c r="Y968" s="27"/>
      <c r="Z968" s="27"/>
      <c r="AA968" s="27"/>
      <c r="AB968" s="27"/>
      <c r="AC968" s="26"/>
      <c r="AD968" s="27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</row>
    <row r="969" spans="3:46" ht="15.75" customHeight="1"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6"/>
      <c r="N969" s="27"/>
      <c r="O969" s="26"/>
      <c r="P969" s="26"/>
      <c r="Q969" s="26"/>
      <c r="R969" s="26"/>
      <c r="S969" s="26"/>
      <c r="T969" s="27"/>
      <c r="U969" s="27"/>
      <c r="V969" s="26"/>
      <c r="W969" s="26"/>
      <c r="X969" s="26"/>
      <c r="Y969" s="27"/>
      <c r="Z969" s="27"/>
      <c r="AA969" s="27"/>
      <c r="AB969" s="27"/>
      <c r="AC969" s="26"/>
      <c r="AD969" s="27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</row>
    <row r="970" spans="3:46" ht="15.75" customHeight="1"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6"/>
      <c r="N970" s="27"/>
      <c r="O970" s="26"/>
      <c r="P970" s="26"/>
      <c r="Q970" s="26"/>
      <c r="R970" s="26"/>
      <c r="S970" s="26"/>
      <c r="T970" s="27"/>
      <c r="U970" s="27"/>
      <c r="V970" s="26"/>
      <c r="W970" s="26"/>
      <c r="X970" s="26"/>
      <c r="Y970" s="27"/>
      <c r="Z970" s="27"/>
      <c r="AA970" s="27"/>
      <c r="AB970" s="27"/>
      <c r="AC970" s="26"/>
      <c r="AD970" s="27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</row>
    <row r="971" spans="3:46" ht="15.75" customHeight="1"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6"/>
      <c r="N971" s="27"/>
      <c r="O971" s="26"/>
      <c r="P971" s="26"/>
      <c r="Q971" s="26"/>
      <c r="R971" s="26"/>
      <c r="S971" s="26"/>
      <c r="T971" s="27"/>
      <c r="U971" s="27"/>
      <c r="V971" s="26"/>
      <c r="W971" s="26"/>
      <c r="X971" s="26"/>
      <c r="Y971" s="27"/>
      <c r="Z971" s="27"/>
      <c r="AA971" s="27"/>
      <c r="AB971" s="27"/>
      <c r="AC971" s="26"/>
      <c r="AD971" s="27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</row>
    <row r="972" spans="3:46" ht="15.75" customHeight="1"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6"/>
      <c r="N972" s="27"/>
      <c r="O972" s="26"/>
      <c r="P972" s="26"/>
      <c r="Q972" s="26"/>
      <c r="R972" s="26"/>
      <c r="S972" s="26"/>
      <c r="T972" s="27"/>
      <c r="U972" s="27"/>
      <c r="V972" s="26"/>
      <c r="W972" s="26"/>
      <c r="X972" s="26"/>
      <c r="Y972" s="27"/>
      <c r="Z972" s="27"/>
      <c r="AA972" s="27"/>
      <c r="AB972" s="27"/>
      <c r="AC972" s="26"/>
      <c r="AD972" s="27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</row>
    <row r="973" spans="3:46" ht="15.75" customHeight="1"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6"/>
      <c r="N973" s="27"/>
      <c r="O973" s="26"/>
      <c r="P973" s="26"/>
      <c r="Q973" s="26"/>
      <c r="R973" s="26"/>
      <c r="S973" s="26"/>
      <c r="T973" s="27"/>
      <c r="U973" s="27"/>
      <c r="V973" s="26"/>
      <c r="W973" s="26"/>
      <c r="X973" s="26"/>
      <c r="Y973" s="27"/>
      <c r="Z973" s="27"/>
      <c r="AA973" s="27"/>
      <c r="AB973" s="27"/>
      <c r="AC973" s="26"/>
      <c r="AD973" s="27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</row>
    <row r="974" spans="3:46" ht="15.75" customHeight="1"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6"/>
      <c r="N974" s="27"/>
      <c r="O974" s="26"/>
      <c r="P974" s="26"/>
      <c r="Q974" s="26"/>
      <c r="R974" s="26"/>
      <c r="S974" s="26"/>
      <c r="T974" s="27"/>
      <c r="U974" s="27"/>
      <c r="V974" s="26"/>
      <c r="W974" s="26"/>
      <c r="X974" s="26"/>
      <c r="Y974" s="27"/>
      <c r="Z974" s="27"/>
      <c r="AA974" s="27"/>
      <c r="AB974" s="27"/>
      <c r="AC974" s="26"/>
      <c r="AD974" s="27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</row>
    <row r="975" spans="3:46" ht="15.75" customHeight="1"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6"/>
      <c r="N975" s="27"/>
      <c r="O975" s="26"/>
      <c r="P975" s="26"/>
      <c r="Q975" s="26"/>
      <c r="R975" s="26"/>
      <c r="S975" s="26"/>
      <c r="T975" s="27"/>
      <c r="U975" s="27"/>
      <c r="V975" s="26"/>
      <c r="W975" s="26"/>
      <c r="X975" s="26"/>
      <c r="Y975" s="27"/>
      <c r="Z975" s="27"/>
      <c r="AA975" s="27"/>
      <c r="AB975" s="27"/>
      <c r="AC975" s="26"/>
      <c r="AD975" s="27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</row>
    <row r="976" spans="3:46" ht="15.75" customHeight="1"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6"/>
      <c r="N976" s="27"/>
      <c r="O976" s="26"/>
      <c r="P976" s="26"/>
      <c r="Q976" s="26"/>
      <c r="R976" s="26"/>
      <c r="S976" s="26"/>
      <c r="T976" s="27"/>
      <c r="U976" s="27"/>
      <c r="V976" s="26"/>
      <c r="W976" s="26"/>
      <c r="X976" s="26"/>
      <c r="Y976" s="27"/>
      <c r="Z976" s="27"/>
      <c r="AA976" s="27"/>
      <c r="AB976" s="27"/>
      <c r="AC976" s="26"/>
      <c r="AD976" s="27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</row>
    <row r="977" spans="3:46" ht="15.75" customHeight="1"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6"/>
      <c r="N977" s="27"/>
      <c r="O977" s="26"/>
      <c r="P977" s="26"/>
      <c r="Q977" s="26"/>
      <c r="R977" s="26"/>
      <c r="S977" s="26"/>
      <c r="T977" s="27"/>
      <c r="U977" s="27"/>
      <c r="V977" s="26"/>
      <c r="W977" s="26"/>
      <c r="X977" s="26"/>
      <c r="Y977" s="27"/>
      <c r="Z977" s="27"/>
      <c r="AA977" s="27"/>
      <c r="AB977" s="27"/>
      <c r="AC977" s="26"/>
      <c r="AD977" s="27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</row>
    <row r="978" spans="3:46" ht="15.75" customHeight="1"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6"/>
      <c r="N978" s="27"/>
      <c r="O978" s="26"/>
      <c r="P978" s="26"/>
      <c r="Q978" s="26"/>
      <c r="R978" s="26"/>
      <c r="S978" s="26"/>
      <c r="T978" s="27"/>
      <c r="U978" s="27"/>
      <c r="V978" s="26"/>
      <c r="W978" s="26"/>
      <c r="X978" s="26"/>
      <c r="Y978" s="27"/>
      <c r="Z978" s="27"/>
      <c r="AA978" s="27"/>
      <c r="AB978" s="27"/>
      <c r="AC978" s="26"/>
      <c r="AD978" s="27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</row>
    <row r="979" spans="3:46" ht="15.75" customHeight="1"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6"/>
      <c r="N979" s="27"/>
      <c r="O979" s="26"/>
      <c r="P979" s="26"/>
      <c r="Q979" s="26"/>
      <c r="R979" s="26"/>
      <c r="S979" s="26"/>
      <c r="T979" s="27"/>
      <c r="U979" s="27"/>
      <c r="V979" s="26"/>
      <c r="W979" s="26"/>
      <c r="X979" s="26"/>
      <c r="Y979" s="27"/>
      <c r="Z979" s="27"/>
      <c r="AA979" s="27"/>
      <c r="AB979" s="27"/>
      <c r="AC979" s="26"/>
      <c r="AD979" s="27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</row>
    <row r="980" spans="3:46" ht="15.75" customHeight="1"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6"/>
      <c r="N980" s="27"/>
      <c r="O980" s="26"/>
      <c r="P980" s="26"/>
      <c r="Q980" s="26"/>
      <c r="R980" s="26"/>
      <c r="S980" s="26"/>
      <c r="T980" s="27"/>
      <c r="U980" s="27"/>
      <c r="V980" s="26"/>
      <c r="W980" s="26"/>
      <c r="X980" s="26"/>
      <c r="Y980" s="27"/>
      <c r="Z980" s="27"/>
      <c r="AA980" s="27"/>
      <c r="AB980" s="27"/>
      <c r="AC980" s="26"/>
      <c r="AD980" s="27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</row>
    <row r="981" spans="3:46" ht="15.75" customHeight="1"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6"/>
      <c r="N981" s="27"/>
      <c r="O981" s="26"/>
      <c r="P981" s="26"/>
      <c r="Q981" s="26"/>
      <c r="R981" s="26"/>
      <c r="S981" s="26"/>
      <c r="T981" s="27"/>
      <c r="U981" s="27"/>
      <c r="V981" s="26"/>
      <c r="W981" s="26"/>
      <c r="X981" s="26"/>
      <c r="Y981" s="27"/>
      <c r="Z981" s="27"/>
      <c r="AA981" s="27"/>
      <c r="AB981" s="27"/>
      <c r="AC981" s="26"/>
      <c r="AD981" s="27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</row>
    <row r="982" spans="3:46" ht="15.75" customHeight="1"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6"/>
      <c r="N982" s="27"/>
      <c r="O982" s="26"/>
      <c r="P982" s="26"/>
      <c r="Q982" s="26"/>
      <c r="R982" s="26"/>
      <c r="S982" s="26"/>
      <c r="T982" s="27"/>
      <c r="U982" s="27"/>
      <c r="V982" s="26"/>
      <c r="W982" s="26"/>
      <c r="X982" s="26"/>
      <c r="Y982" s="27"/>
      <c r="Z982" s="27"/>
      <c r="AA982" s="27"/>
      <c r="AB982" s="27"/>
      <c r="AC982" s="26"/>
      <c r="AD982" s="27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</row>
    <row r="983" spans="3:46" ht="15.75" customHeight="1"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6"/>
      <c r="N983" s="27"/>
      <c r="O983" s="26"/>
      <c r="P983" s="26"/>
      <c r="Q983" s="26"/>
      <c r="R983" s="26"/>
      <c r="S983" s="26"/>
      <c r="T983" s="27"/>
      <c r="U983" s="27"/>
      <c r="V983" s="26"/>
      <c r="W983" s="26"/>
      <c r="X983" s="26"/>
      <c r="Y983" s="27"/>
      <c r="Z983" s="27"/>
      <c r="AA983" s="27"/>
      <c r="AB983" s="27"/>
      <c r="AC983" s="26"/>
      <c r="AD983" s="27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</row>
    <row r="984" spans="3:46" ht="14.4"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6"/>
      <c r="N984" s="27"/>
      <c r="O984" s="26"/>
      <c r="P984" s="26"/>
      <c r="Q984" s="26"/>
      <c r="R984" s="26"/>
      <c r="S984" s="26"/>
      <c r="T984" s="27"/>
      <c r="U984" s="27"/>
      <c r="V984" s="26"/>
      <c r="W984" s="26"/>
      <c r="X984" s="26"/>
      <c r="Y984" s="27"/>
      <c r="Z984" s="27"/>
      <c r="AA984" s="27"/>
      <c r="AB984" s="27"/>
      <c r="AC984" s="26"/>
      <c r="AD984" s="27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</row>
    <row r="985" spans="3:46" ht="14.4"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6"/>
      <c r="N985" s="27"/>
      <c r="O985" s="26"/>
      <c r="P985" s="26"/>
      <c r="Q985" s="26"/>
      <c r="R985" s="26"/>
      <c r="S985" s="26"/>
      <c r="T985" s="27"/>
      <c r="U985" s="27"/>
      <c r="V985" s="26"/>
      <c r="W985" s="26"/>
      <c r="X985" s="26"/>
      <c r="Y985" s="27"/>
      <c r="Z985" s="27"/>
      <c r="AA985" s="27"/>
      <c r="AB985" s="27"/>
      <c r="AC985" s="26"/>
      <c r="AD985" s="27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</row>
    <row r="986" spans="3:46" ht="14.4"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6"/>
      <c r="N986" s="27"/>
      <c r="O986" s="26"/>
      <c r="P986" s="26"/>
      <c r="Q986" s="26"/>
      <c r="R986" s="26"/>
      <c r="S986" s="26"/>
      <c r="T986" s="27"/>
      <c r="U986" s="27"/>
      <c r="V986" s="26"/>
      <c r="W986" s="26"/>
      <c r="X986" s="26"/>
      <c r="Y986" s="27"/>
      <c r="Z986" s="27"/>
      <c r="AA986" s="27"/>
      <c r="AB986" s="27"/>
      <c r="AC986" s="26"/>
      <c r="AD986" s="27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</row>
    <row r="987" spans="3:46" ht="14.4"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6"/>
      <c r="N987" s="27"/>
      <c r="O987" s="26"/>
      <c r="P987" s="26"/>
      <c r="Q987" s="26"/>
      <c r="R987" s="26"/>
      <c r="S987" s="26"/>
      <c r="T987" s="27"/>
      <c r="U987" s="27"/>
      <c r="V987" s="26"/>
      <c r="W987" s="26"/>
      <c r="X987" s="26"/>
      <c r="Y987" s="27"/>
      <c r="Z987" s="27"/>
      <c r="AA987" s="27"/>
      <c r="AB987" s="27"/>
      <c r="AC987" s="26"/>
      <c r="AD987" s="27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</row>
    <row r="988" spans="3:46" ht="14.4"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6"/>
      <c r="N988" s="27"/>
      <c r="O988" s="26"/>
      <c r="P988" s="26"/>
      <c r="Q988" s="26"/>
      <c r="R988" s="26"/>
      <c r="S988" s="26"/>
      <c r="T988" s="27"/>
      <c r="U988" s="27"/>
      <c r="V988" s="26"/>
      <c r="W988" s="26"/>
      <c r="X988" s="26"/>
      <c r="Y988" s="27"/>
      <c r="Z988" s="27"/>
      <c r="AA988" s="27"/>
      <c r="AB988" s="27"/>
      <c r="AC988" s="26"/>
      <c r="AD988" s="27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</row>
    <row r="989" spans="3:46" ht="14.4"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6"/>
      <c r="N989" s="27"/>
      <c r="O989" s="26"/>
      <c r="P989" s="26"/>
      <c r="Q989" s="26"/>
      <c r="R989" s="26"/>
      <c r="S989" s="26"/>
      <c r="T989" s="27"/>
      <c r="U989" s="27"/>
      <c r="V989" s="26"/>
      <c r="W989" s="26"/>
      <c r="X989" s="26"/>
      <c r="Y989" s="27"/>
      <c r="Z989" s="27"/>
      <c r="AA989" s="27"/>
      <c r="AB989" s="27"/>
      <c r="AC989" s="26"/>
      <c r="AD989" s="27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</row>
    <row r="990" spans="3:46" ht="14.4"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6"/>
      <c r="N990" s="27"/>
      <c r="O990" s="26"/>
      <c r="P990" s="26"/>
      <c r="Q990" s="26"/>
      <c r="R990" s="26"/>
      <c r="S990" s="26"/>
      <c r="T990" s="27"/>
      <c r="U990" s="27"/>
      <c r="V990" s="26"/>
      <c r="W990" s="26"/>
      <c r="X990" s="26"/>
      <c r="Y990" s="27"/>
      <c r="Z990" s="27"/>
      <c r="AA990" s="27"/>
      <c r="AB990" s="27"/>
      <c r="AC990" s="26"/>
      <c r="AD990" s="27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</row>
    <row r="991" spans="3:46" ht="14.4"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6"/>
      <c r="N991" s="27"/>
      <c r="O991" s="26"/>
      <c r="P991" s="26"/>
      <c r="Q991" s="26"/>
      <c r="R991" s="26"/>
      <c r="S991" s="26"/>
      <c r="T991" s="27"/>
      <c r="U991" s="27"/>
      <c r="V991" s="26"/>
      <c r="W991" s="26"/>
      <c r="X991" s="26"/>
      <c r="Y991" s="27"/>
      <c r="Z991" s="27"/>
      <c r="AA991" s="27"/>
      <c r="AB991" s="27"/>
      <c r="AC991" s="26"/>
      <c r="AD991" s="27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</row>
    <row r="992" spans="3:46" ht="14.4"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6"/>
      <c r="N992" s="27"/>
      <c r="O992" s="26"/>
      <c r="P992" s="26"/>
      <c r="Q992" s="26"/>
      <c r="R992" s="26"/>
      <c r="S992" s="26"/>
      <c r="T992" s="27"/>
      <c r="U992" s="27"/>
      <c r="V992" s="26"/>
      <c r="W992" s="26"/>
      <c r="X992" s="26"/>
      <c r="Y992" s="27"/>
      <c r="Z992" s="27"/>
      <c r="AA992" s="27"/>
      <c r="AB992" s="27"/>
      <c r="AC992" s="26"/>
      <c r="AD992" s="27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</row>
    <row r="993" spans="3:46" ht="14.4"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6"/>
      <c r="N993" s="27"/>
      <c r="O993" s="26"/>
      <c r="P993" s="26"/>
      <c r="Q993" s="26"/>
      <c r="R993" s="26"/>
      <c r="S993" s="26"/>
      <c r="T993" s="27"/>
      <c r="U993" s="27"/>
      <c r="V993" s="26"/>
      <c r="W993" s="26"/>
      <c r="X993" s="26"/>
      <c r="Y993" s="27"/>
      <c r="Z993" s="27"/>
      <c r="AA993" s="27"/>
      <c r="AB993" s="27"/>
      <c r="AC993" s="26"/>
      <c r="AD993" s="27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</row>
    <row r="994" spans="3:46" ht="14.4"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6"/>
      <c r="N994" s="27"/>
      <c r="O994" s="26"/>
      <c r="P994" s="26"/>
      <c r="Q994" s="26"/>
      <c r="R994" s="26"/>
      <c r="S994" s="26"/>
      <c r="T994" s="27"/>
      <c r="U994" s="27"/>
      <c r="V994" s="26"/>
      <c r="W994" s="26"/>
      <c r="X994" s="26"/>
      <c r="Y994" s="27"/>
      <c r="Z994" s="27"/>
      <c r="AA994" s="27"/>
      <c r="AB994" s="27"/>
      <c r="AC994" s="26"/>
      <c r="AD994" s="27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</row>
    <row r="995" spans="3:46" ht="14.4">
      <c r="C995" s="27"/>
      <c r="G995" s="18"/>
      <c r="O995" s="18"/>
    </row>
    <row r="996" spans="3:46" ht="15" customHeight="1">
      <c r="C996" s="27"/>
      <c r="G996" s="18"/>
      <c r="O996" s="18"/>
    </row>
    <row r="997" spans="3:46" ht="15" customHeight="1">
      <c r="G997" s="18"/>
      <c r="O997" s="18"/>
    </row>
    <row r="998" spans="3:46" ht="15" customHeight="1">
      <c r="G998" s="18"/>
      <c r="O998" s="18"/>
    </row>
    <row r="999" spans="3:46" ht="15" customHeight="1">
      <c r="G999" s="18"/>
      <c r="O999" s="18"/>
    </row>
    <row r="1000" spans="3:46" ht="15" customHeight="1">
      <c r="G1000" s="18"/>
      <c r="O1000" s="18"/>
    </row>
    <row r="1001" spans="3:46" ht="15" customHeight="1">
      <c r="G1001" s="18"/>
      <c r="O1001" s="18"/>
    </row>
    <row r="1002" spans="3:46" ht="15" customHeight="1">
      <c r="G1002" s="18"/>
      <c r="O1002" s="18"/>
    </row>
    <row r="1003" spans="3:46" ht="15" customHeight="1">
      <c r="G1003" s="18"/>
      <c r="O1003" s="18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11"/>
  <sheetViews>
    <sheetView workbookViewId="0">
      <pane ySplit="1" topLeftCell="A2" activePane="bottomLeft" state="frozen"/>
      <selection pane="bottomLeft" activeCell="B7" sqref="B7:B14"/>
    </sheetView>
  </sheetViews>
  <sheetFormatPr defaultColWidth="12.5546875" defaultRowHeight="15" customHeight="1"/>
  <cols>
    <col min="1" max="1" width="13.33203125" customWidth="1"/>
    <col min="2" max="2" width="12.88671875" customWidth="1"/>
    <col min="3" max="8" width="9.44140625" customWidth="1"/>
    <col min="9" max="9" width="11.33203125" customWidth="1"/>
    <col min="10" max="11" width="9.44140625" customWidth="1"/>
    <col min="12" max="12" width="21.88671875" customWidth="1"/>
    <col min="13" max="14" width="10.6640625" customWidth="1"/>
    <col min="15" max="15" width="9.44140625" customWidth="1"/>
    <col min="16" max="17" width="18.5546875" customWidth="1"/>
    <col min="18" max="18" width="21.6640625" customWidth="1"/>
    <col min="19" max="29" width="9.44140625" customWidth="1"/>
  </cols>
  <sheetData>
    <row r="1" spans="1:29" ht="14.4">
      <c r="A1" s="83" t="s">
        <v>9</v>
      </c>
      <c r="B1" s="84" t="s">
        <v>10</v>
      </c>
      <c r="C1" s="85" t="s">
        <v>67</v>
      </c>
      <c r="D1" s="84" t="s">
        <v>68</v>
      </c>
      <c r="E1" s="85" t="s">
        <v>69</v>
      </c>
      <c r="F1" s="85" t="s">
        <v>70</v>
      </c>
      <c r="G1" s="85" t="s">
        <v>71</v>
      </c>
      <c r="H1" s="84" t="s">
        <v>72</v>
      </c>
      <c r="I1" s="84" t="s">
        <v>73</v>
      </c>
      <c r="J1" s="85" t="s">
        <v>74</v>
      </c>
      <c r="K1" s="85" t="s">
        <v>75</v>
      </c>
      <c r="L1" s="84" t="s">
        <v>76</v>
      </c>
      <c r="M1" s="85" t="s">
        <v>77</v>
      </c>
      <c r="N1" s="84" t="s">
        <v>78</v>
      </c>
      <c r="O1" s="85" t="s">
        <v>79</v>
      </c>
      <c r="P1" s="85" t="s">
        <v>80</v>
      </c>
      <c r="Q1" s="84" t="s">
        <v>81</v>
      </c>
      <c r="R1" s="31" t="s">
        <v>153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ht="14.4">
      <c r="A2" s="93">
        <v>1</v>
      </c>
      <c r="B2" s="94">
        <v>1</v>
      </c>
      <c r="C2" s="95">
        <v>-33</v>
      </c>
      <c r="D2" s="95"/>
      <c r="E2" s="95"/>
      <c r="F2" s="95"/>
      <c r="G2" s="95"/>
      <c r="H2" s="95">
        <v>61</v>
      </c>
      <c r="I2" s="95"/>
      <c r="J2" s="95"/>
      <c r="K2" s="95"/>
      <c r="L2" s="95" t="s">
        <v>82</v>
      </c>
      <c r="M2" s="95"/>
      <c r="N2" s="95"/>
      <c r="O2" s="95"/>
      <c r="P2" s="95"/>
      <c r="Q2" s="95"/>
      <c r="R2" s="115"/>
      <c r="S2" s="90"/>
    </row>
    <row r="3" spans="1:29" ht="15.75" customHeight="1">
      <c r="A3" s="92">
        <v>1</v>
      </c>
      <c r="B3" s="97">
        <v>2</v>
      </c>
      <c r="C3" s="96">
        <v>-33</v>
      </c>
      <c r="D3" s="96"/>
      <c r="E3" s="96"/>
      <c r="F3" s="96"/>
      <c r="G3" s="96"/>
      <c r="H3" s="96">
        <v>61</v>
      </c>
      <c r="I3" s="96"/>
      <c r="J3" s="96"/>
      <c r="K3" s="96"/>
      <c r="L3" s="96" t="s">
        <v>82</v>
      </c>
      <c r="M3" s="96"/>
      <c r="N3" s="96"/>
      <c r="O3" s="96"/>
      <c r="P3" s="96"/>
      <c r="Q3" s="96"/>
      <c r="R3" s="117"/>
      <c r="S3" s="90"/>
    </row>
    <row r="4" spans="1:29" ht="15.75" customHeight="1">
      <c r="A4" s="92">
        <v>1</v>
      </c>
      <c r="B4" s="97">
        <v>3</v>
      </c>
      <c r="C4" s="96">
        <v>-33</v>
      </c>
      <c r="D4" s="96"/>
      <c r="E4" s="96"/>
      <c r="F4" s="96"/>
      <c r="G4" s="96"/>
      <c r="H4" s="96">
        <v>61</v>
      </c>
      <c r="I4" s="96"/>
      <c r="J4" s="96"/>
      <c r="K4" s="96"/>
      <c r="L4" s="96" t="s">
        <v>82</v>
      </c>
      <c r="M4" s="96"/>
      <c r="N4" s="96"/>
      <c r="O4" s="96"/>
      <c r="P4" s="96"/>
      <c r="Q4" s="96"/>
      <c r="R4" s="117"/>
      <c r="S4" s="90"/>
    </row>
    <row r="5" spans="1:29" ht="15.75" customHeight="1">
      <c r="A5" s="92">
        <v>1</v>
      </c>
      <c r="B5" s="97">
        <v>4</v>
      </c>
      <c r="C5" s="96">
        <v>-32</v>
      </c>
      <c r="D5" s="96"/>
      <c r="E5" s="96"/>
      <c r="F5" s="96"/>
      <c r="G5" s="96"/>
      <c r="H5" s="96">
        <v>60</v>
      </c>
      <c r="I5" s="96"/>
      <c r="J5" s="96"/>
      <c r="K5" s="96"/>
      <c r="L5" s="96" t="s">
        <v>82</v>
      </c>
      <c r="M5" s="96"/>
      <c r="N5" s="96"/>
      <c r="O5" s="96"/>
      <c r="P5" s="96"/>
      <c r="Q5" s="96"/>
      <c r="R5" s="117"/>
      <c r="S5" s="90"/>
    </row>
    <row r="6" spans="1:29" s="9" customFormat="1" ht="15.75" customHeight="1">
      <c r="A6" s="93">
        <v>2</v>
      </c>
      <c r="B6" s="94">
        <v>1</v>
      </c>
      <c r="C6" s="95">
        <v>-16</v>
      </c>
      <c r="D6" s="95"/>
      <c r="E6" s="95"/>
      <c r="F6" s="95"/>
      <c r="G6" s="95"/>
      <c r="H6" s="95">
        <v>36</v>
      </c>
      <c r="I6" s="95"/>
      <c r="J6" s="95"/>
      <c r="K6" s="95"/>
      <c r="L6" s="95" t="s">
        <v>82</v>
      </c>
      <c r="M6" s="95"/>
      <c r="N6" s="95"/>
      <c r="O6" s="95"/>
      <c r="P6" s="95"/>
      <c r="Q6" s="95"/>
      <c r="R6" s="115">
        <v>6</v>
      </c>
      <c r="S6" s="96"/>
    </row>
    <row r="7" spans="1:29" ht="15.75" customHeight="1">
      <c r="A7" s="93">
        <v>3</v>
      </c>
      <c r="B7" s="94" t="s">
        <v>154</v>
      </c>
      <c r="C7" s="95">
        <v>-37</v>
      </c>
      <c r="D7" s="158"/>
      <c r="E7" s="158"/>
      <c r="F7" s="158"/>
      <c r="G7" s="95"/>
      <c r="H7" s="95"/>
      <c r="I7" s="158"/>
      <c r="J7" s="95"/>
      <c r="K7" s="158"/>
      <c r="L7" s="95" t="s">
        <v>82</v>
      </c>
      <c r="M7" s="95"/>
      <c r="N7" s="158"/>
      <c r="O7" s="158"/>
      <c r="P7" s="158"/>
      <c r="Q7" s="95"/>
      <c r="R7" s="115">
        <v>0</v>
      </c>
      <c r="S7" s="90"/>
    </row>
    <row r="8" spans="1:29" ht="15.75" customHeight="1">
      <c r="A8" s="92">
        <v>3</v>
      </c>
      <c r="B8" s="97" t="s">
        <v>155</v>
      </c>
      <c r="C8" s="96">
        <v>-37</v>
      </c>
      <c r="D8" s="91"/>
      <c r="E8" s="91"/>
      <c r="F8" s="91"/>
      <c r="G8" s="96"/>
      <c r="H8" s="96"/>
      <c r="I8" s="91"/>
      <c r="J8" s="96"/>
      <c r="K8" s="91"/>
      <c r="L8" s="96" t="s">
        <v>82</v>
      </c>
      <c r="M8" s="96"/>
      <c r="N8" s="91"/>
      <c r="O8" s="91"/>
      <c r="P8" s="91"/>
      <c r="Q8" s="96"/>
      <c r="R8" s="117">
        <v>0</v>
      </c>
      <c r="S8" s="90"/>
    </row>
    <row r="9" spans="1:29" ht="15.75" customHeight="1">
      <c r="A9" s="92">
        <v>3</v>
      </c>
      <c r="B9" s="97" t="s">
        <v>156</v>
      </c>
      <c r="C9" s="96">
        <v>-37</v>
      </c>
      <c r="D9" s="91"/>
      <c r="E9" s="91"/>
      <c r="F9" s="91"/>
      <c r="G9" s="96"/>
      <c r="H9" s="96"/>
      <c r="I9" s="91"/>
      <c r="J9" s="96"/>
      <c r="K9" s="91"/>
      <c r="L9" s="96" t="s">
        <v>82</v>
      </c>
      <c r="M9" s="96"/>
      <c r="N9" s="91"/>
      <c r="O9" s="91"/>
      <c r="P9" s="91"/>
      <c r="Q9" s="96"/>
      <c r="R9" s="117">
        <v>0</v>
      </c>
      <c r="S9" s="90"/>
    </row>
    <row r="10" spans="1:29" ht="15.75" customHeight="1">
      <c r="A10" s="92">
        <v>3</v>
      </c>
      <c r="B10" s="97" t="s">
        <v>157</v>
      </c>
      <c r="C10" s="96">
        <v>-37</v>
      </c>
      <c r="D10" s="91"/>
      <c r="E10" s="91"/>
      <c r="F10" s="91"/>
      <c r="G10" s="96"/>
      <c r="H10" s="96"/>
      <c r="I10" s="91"/>
      <c r="J10" s="96"/>
      <c r="K10" s="91"/>
      <c r="L10" s="96" t="s">
        <v>82</v>
      </c>
      <c r="M10" s="96"/>
      <c r="N10" s="91"/>
      <c r="O10" s="91"/>
      <c r="P10" s="91"/>
      <c r="Q10" s="96"/>
      <c r="R10" s="117">
        <v>0</v>
      </c>
      <c r="S10" s="90"/>
    </row>
    <row r="11" spans="1:29" ht="15.75" customHeight="1">
      <c r="A11" s="92">
        <v>3</v>
      </c>
      <c r="B11" s="97" t="s">
        <v>158</v>
      </c>
      <c r="C11" s="96">
        <v>-34</v>
      </c>
      <c r="D11" s="89"/>
      <c r="E11" s="96"/>
      <c r="F11" s="89"/>
      <c r="G11" s="89"/>
      <c r="H11" s="96">
        <v>57</v>
      </c>
      <c r="I11" s="91"/>
      <c r="J11" s="91"/>
      <c r="K11" s="91"/>
      <c r="L11" s="96" t="s">
        <v>82</v>
      </c>
      <c r="M11" s="100"/>
      <c r="N11" s="91"/>
      <c r="O11" s="100"/>
      <c r="P11" s="91"/>
      <c r="Q11" s="96"/>
      <c r="R11" s="117">
        <v>30</v>
      </c>
      <c r="S11" s="90"/>
    </row>
    <row r="12" spans="1:29" ht="15.75" customHeight="1">
      <c r="A12" s="92">
        <v>3</v>
      </c>
      <c r="B12" s="97" t="s">
        <v>159</v>
      </c>
      <c r="C12" s="96">
        <v>-34</v>
      </c>
      <c r="D12" s="89"/>
      <c r="E12" s="96"/>
      <c r="F12" s="89"/>
      <c r="G12" s="89"/>
      <c r="H12" s="96">
        <v>57</v>
      </c>
      <c r="I12" s="91"/>
      <c r="J12" s="91"/>
      <c r="K12" s="91"/>
      <c r="L12" s="96" t="s">
        <v>82</v>
      </c>
      <c r="M12" s="100"/>
      <c r="N12" s="91"/>
      <c r="O12" s="100"/>
      <c r="P12" s="91"/>
      <c r="Q12" s="96"/>
      <c r="R12" s="117">
        <v>30</v>
      </c>
      <c r="S12" s="90"/>
    </row>
    <row r="13" spans="1:29" ht="15.75" customHeight="1">
      <c r="A13" s="92">
        <v>3</v>
      </c>
      <c r="B13" s="97" t="s">
        <v>160</v>
      </c>
      <c r="C13" s="96">
        <v>-34</v>
      </c>
      <c r="D13" s="89"/>
      <c r="E13" s="96"/>
      <c r="F13" s="89"/>
      <c r="G13" s="89"/>
      <c r="H13" s="96">
        <v>57</v>
      </c>
      <c r="I13" s="96"/>
      <c r="J13" s="96"/>
      <c r="K13" s="96"/>
      <c r="L13" s="96" t="s">
        <v>82</v>
      </c>
      <c r="M13" s="96"/>
      <c r="N13" s="96"/>
      <c r="O13" s="96"/>
      <c r="P13" s="91"/>
      <c r="Q13" s="96"/>
      <c r="R13" s="117">
        <v>30</v>
      </c>
      <c r="S13" s="90"/>
    </row>
    <row r="14" spans="1:29" ht="15.75" customHeight="1">
      <c r="A14" s="92">
        <v>3</v>
      </c>
      <c r="B14" s="97" t="s">
        <v>161</v>
      </c>
      <c r="C14" s="96">
        <v>-34</v>
      </c>
      <c r="D14" s="89"/>
      <c r="E14" s="96"/>
      <c r="F14" s="89"/>
      <c r="G14" s="89"/>
      <c r="H14" s="96">
        <v>57</v>
      </c>
      <c r="I14" s="96"/>
      <c r="J14" s="96"/>
      <c r="K14" s="96"/>
      <c r="L14" s="96" t="s">
        <v>82</v>
      </c>
      <c r="M14" s="96"/>
      <c r="N14" s="96"/>
      <c r="O14" s="96"/>
      <c r="P14" s="91"/>
      <c r="Q14" s="96"/>
      <c r="R14" s="117">
        <v>30</v>
      </c>
      <c r="S14" s="90"/>
    </row>
    <row r="15" spans="1:29" ht="15.75" customHeight="1">
      <c r="A15" s="93">
        <v>4</v>
      </c>
      <c r="B15" s="94">
        <v>1</v>
      </c>
      <c r="C15" s="95">
        <v>-49.35</v>
      </c>
      <c r="D15" s="158"/>
      <c r="E15" s="95"/>
      <c r="F15" s="158"/>
      <c r="G15" s="158"/>
      <c r="H15" s="95">
        <v>52.21</v>
      </c>
      <c r="I15" s="95"/>
      <c r="J15" s="95"/>
      <c r="K15" s="95"/>
      <c r="L15" s="95" t="s">
        <v>82</v>
      </c>
      <c r="M15" s="95">
        <v>22.75</v>
      </c>
      <c r="N15" s="95"/>
      <c r="O15" s="95"/>
      <c r="P15" s="158"/>
      <c r="Q15" s="95" t="s">
        <v>83</v>
      </c>
      <c r="R15" s="115">
        <v>15.6</v>
      </c>
      <c r="S15" s="90"/>
    </row>
    <row r="16" spans="1:29" ht="15.75" customHeight="1">
      <c r="A16" s="93">
        <v>5</v>
      </c>
      <c r="B16" s="94">
        <v>1</v>
      </c>
      <c r="C16" s="141"/>
      <c r="D16" s="141"/>
      <c r="E16" s="141"/>
      <c r="F16" s="141"/>
      <c r="G16" s="141">
        <v>50.2</v>
      </c>
      <c r="H16" s="141">
        <v>124.1</v>
      </c>
      <c r="I16" s="141">
        <v>143.5</v>
      </c>
      <c r="J16" s="141"/>
      <c r="K16" s="141"/>
      <c r="L16" s="141" t="s">
        <v>82</v>
      </c>
      <c r="M16" s="141">
        <v>60</v>
      </c>
      <c r="N16" s="141"/>
      <c r="O16" s="141"/>
      <c r="P16" s="141"/>
      <c r="Q16" s="141" t="s">
        <v>83</v>
      </c>
      <c r="R16" s="142">
        <v>49</v>
      </c>
      <c r="S16" s="96"/>
    </row>
    <row r="17" spans="1:19" ht="15.75" customHeight="1">
      <c r="A17" s="93">
        <v>6</v>
      </c>
      <c r="B17" s="187">
        <v>1</v>
      </c>
      <c r="C17" s="100"/>
      <c r="D17" s="91"/>
      <c r="E17" s="100"/>
      <c r="F17" s="91"/>
      <c r="G17" s="91"/>
      <c r="H17" s="100"/>
      <c r="I17" s="100"/>
      <c r="J17" s="91"/>
      <c r="K17" s="91"/>
      <c r="L17" s="96"/>
      <c r="M17" s="100"/>
      <c r="N17" s="100"/>
      <c r="O17" s="100"/>
      <c r="P17" s="91"/>
      <c r="Q17" s="96"/>
      <c r="R17" s="91"/>
    </row>
    <row r="18" spans="1:19" ht="15.75" customHeight="1">
      <c r="A18" s="92">
        <v>6</v>
      </c>
      <c r="B18" s="188">
        <v>2</v>
      </c>
      <c r="C18" s="18"/>
      <c r="D18" s="4"/>
      <c r="E18" s="18"/>
      <c r="F18" s="4"/>
      <c r="G18" s="4"/>
      <c r="H18" s="18"/>
      <c r="I18" s="18"/>
      <c r="J18" s="4"/>
      <c r="K18" s="4"/>
      <c r="L18" s="9"/>
      <c r="M18" s="18"/>
      <c r="N18" s="18"/>
      <c r="O18" s="18"/>
      <c r="P18" s="4"/>
      <c r="Q18" s="9"/>
      <c r="R18" s="4"/>
    </row>
    <row r="19" spans="1:19" ht="15.75" customHeight="1">
      <c r="A19" s="92">
        <v>6</v>
      </c>
      <c r="B19" s="188">
        <v>3</v>
      </c>
      <c r="C19" s="18"/>
      <c r="D19" s="4"/>
      <c r="E19" s="18"/>
      <c r="F19" s="4"/>
      <c r="G19" s="4"/>
      <c r="H19" s="18"/>
      <c r="I19" s="18"/>
      <c r="J19" s="4"/>
      <c r="K19" s="4"/>
      <c r="L19" s="9"/>
      <c r="M19" s="18"/>
      <c r="N19" s="18"/>
      <c r="O19" s="18"/>
      <c r="P19" s="4"/>
      <c r="Q19" s="9"/>
      <c r="R19" s="4"/>
    </row>
    <row r="20" spans="1:19" ht="15.75" customHeight="1">
      <c r="A20" s="92">
        <v>6</v>
      </c>
      <c r="B20" s="188">
        <v>4</v>
      </c>
      <c r="C20" s="18"/>
      <c r="D20" s="4"/>
      <c r="E20" s="18"/>
      <c r="F20" s="4"/>
      <c r="G20" s="4"/>
      <c r="H20" s="18"/>
      <c r="I20" s="18"/>
      <c r="J20" s="4"/>
      <c r="K20" s="4"/>
      <c r="L20" s="9"/>
      <c r="M20" s="18"/>
      <c r="N20" s="18"/>
      <c r="O20" s="18"/>
      <c r="P20" s="4"/>
      <c r="Q20" s="9"/>
      <c r="R20" s="4"/>
    </row>
    <row r="21" spans="1:19" ht="15.75" customHeight="1">
      <c r="A21" s="92">
        <v>6</v>
      </c>
      <c r="B21" s="97">
        <v>5</v>
      </c>
      <c r="C21" s="4"/>
      <c r="D21" s="4"/>
      <c r="E21" s="4"/>
      <c r="F21" s="4"/>
      <c r="G21" s="4"/>
      <c r="H21" s="4"/>
      <c r="I21" s="4"/>
      <c r="J21" s="4"/>
      <c r="K21" s="4"/>
      <c r="L21" s="9"/>
      <c r="M21" s="4"/>
      <c r="N21" s="4"/>
      <c r="O21" s="4"/>
      <c r="P21" s="4"/>
      <c r="Q21" s="4"/>
      <c r="R21" s="4"/>
    </row>
    <row r="22" spans="1:19" ht="15.75" customHeight="1">
      <c r="A22" s="92">
        <v>6</v>
      </c>
      <c r="B22" s="97">
        <v>6</v>
      </c>
      <c r="L22" s="9"/>
      <c r="R22" s="4"/>
    </row>
    <row r="23" spans="1:19" ht="15.75" customHeight="1">
      <c r="A23" s="103">
        <v>6</v>
      </c>
      <c r="B23" s="104">
        <v>7</v>
      </c>
      <c r="C23" s="4"/>
      <c r="D23" s="4"/>
      <c r="E23" s="9"/>
      <c r="F23" s="4"/>
      <c r="G23" s="4"/>
      <c r="H23" s="9"/>
      <c r="I23" s="9"/>
      <c r="J23" s="4"/>
      <c r="K23" s="4"/>
      <c r="L23" s="9"/>
      <c r="M23" s="4"/>
      <c r="N23" s="4"/>
      <c r="O23" s="9"/>
      <c r="P23" s="4"/>
      <c r="Q23" s="9"/>
      <c r="R23" s="9"/>
    </row>
    <row r="24" spans="1:19" ht="15.75" customHeight="1">
      <c r="A24" s="93">
        <v>7</v>
      </c>
      <c r="B24" s="187">
        <v>1</v>
      </c>
      <c r="C24" s="9"/>
      <c r="D24" s="4"/>
      <c r="E24" s="4"/>
      <c r="F24" s="4"/>
      <c r="G24" s="9"/>
      <c r="H24" s="9"/>
      <c r="I24" s="4"/>
      <c r="J24" s="9"/>
      <c r="K24" s="4"/>
      <c r="L24" s="9"/>
      <c r="M24" s="9"/>
      <c r="N24" s="4"/>
      <c r="O24" s="4"/>
      <c r="P24" s="4"/>
      <c r="Q24" s="9"/>
      <c r="R24" s="9"/>
    </row>
    <row r="25" spans="1:19" ht="15.75" customHeight="1">
      <c r="A25" s="92">
        <v>7</v>
      </c>
      <c r="B25" s="188">
        <v>2</v>
      </c>
      <c r="C25" s="9"/>
      <c r="D25" s="4"/>
      <c r="E25" s="4"/>
      <c r="F25" s="4"/>
      <c r="G25" s="9"/>
      <c r="H25" s="9"/>
      <c r="I25" s="4"/>
      <c r="J25" s="9"/>
      <c r="K25" s="4"/>
      <c r="L25" s="9"/>
      <c r="M25" s="9"/>
      <c r="N25" s="4"/>
      <c r="O25" s="4"/>
      <c r="P25" s="4"/>
      <c r="Q25" s="9"/>
      <c r="R25" s="9"/>
    </row>
    <row r="26" spans="1:19" ht="15.75" customHeight="1">
      <c r="A26" s="92">
        <v>7</v>
      </c>
      <c r="B26" s="188">
        <v>3</v>
      </c>
      <c r="C26" s="96"/>
      <c r="D26" s="91"/>
      <c r="E26" s="91"/>
      <c r="F26" s="91"/>
      <c r="G26" s="96"/>
      <c r="H26" s="96"/>
      <c r="I26" s="91"/>
      <c r="J26" s="96"/>
      <c r="K26" s="91"/>
      <c r="L26" s="96"/>
      <c r="M26" s="96"/>
      <c r="N26" s="91"/>
      <c r="O26" s="91"/>
      <c r="P26" s="91"/>
      <c r="Q26" s="96"/>
      <c r="R26" s="96"/>
    </row>
    <row r="27" spans="1:19" ht="15.75" customHeight="1">
      <c r="A27" s="93">
        <v>8</v>
      </c>
      <c r="B27" s="187">
        <v>1</v>
      </c>
      <c r="C27" s="95"/>
      <c r="D27" s="95"/>
      <c r="E27" s="95">
        <v>107</v>
      </c>
      <c r="F27" s="95"/>
      <c r="G27" s="95"/>
      <c r="H27" s="95">
        <v>152.1</v>
      </c>
      <c r="I27" s="95">
        <v>163.80000000000001</v>
      </c>
      <c r="J27" s="95">
        <v>257.10000000000002</v>
      </c>
      <c r="K27" s="95"/>
      <c r="L27" s="221" t="s">
        <v>82</v>
      </c>
      <c r="M27" s="95"/>
      <c r="N27" s="95"/>
      <c r="O27" s="95"/>
      <c r="P27" s="95"/>
      <c r="Q27" s="95"/>
      <c r="R27" s="115">
        <v>46</v>
      </c>
      <c r="S27" s="90"/>
    </row>
    <row r="28" spans="1:19" ht="15.75" customHeight="1">
      <c r="A28" s="92">
        <v>8</v>
      </c>
      <c r="B28" s="188">
        <v>2</v>
      </c>
      <c r="C28" s="96">
        <v>-42.8</v>
      </c>
      <c r="D28" s="96"/>
      <c r="E28" s="96">
        <v>105.7</v>
      </c>
      <c r="F28" s="96"/>
      <c r="G28" s="96"/>
      <c r="H28" s="96">
        <v>154.4</v>
      </c>
      <c r="I28" s="96">
        <v>162.69999999999999</v>
      </c>
      <c r="J28" s="96">
        <v>235</v>
      </c>
      <c r="K28" s="96"/>
      <c r="L28" s="223" t="s">
        <v>82</v>
      </c>
      <c r="M28" s="96"/>
      <c r="N28" s="96"/>
      <c r="O28" s="96"/>
      <c r="P28" s="96"/>
      <c r="Q28" s="96"/>
      <c r="R28" s="117">
        <v>46.3</v>
      </c>
      <c r="S28" s="90"/>
    </row>
    <row r="29" spans="1:19" ht="15.75" customHeight="1">
      <c r="A29" s="92">
        <v>8</v>
      </c>
      <c r="B29" s="188">
        <v>3</v>
      </c>
      <c r="C29" s="96">
        <v>-39.700000000000003</v>
      </c>
      <c r="D29" s="96"/>
      <c r="E29" s="96">
        <v>108.3</v>
      </c>
      <c r="F29" s="96"/>
      <c r="G29" s="96"/>
      <c r="H29" s="96">
        <v>155.9</v>
      </c>
      <c r="I29" s="96">
        <v>163.4</v>
      </c>
      <c r="J29" s="96">
        <v>224.4</v>
      </c>
      <c r="K29" s="96"/>
      <c r="L29" s="223" t="s">
        <v>82</v>
      </c>
      <c r="M29" s="96"/>
      <c r="N29" s="96"/>
      <c r="O29" s="96"/>
      <c r="P29" s="96"/>
      <c r="Q29" s="96"/>
      <c r="R29" s="117">
        <v>48.7</v>
      </c>
      <c r="S29" s="90"/>
    </row>
    <row r="30" spans="1:19" ht="15.75" customHeight="1">
      <c r="A30" s="103">
        <v>8</v>
      </c>
      <c r="B30" s="209">
        <v>4</v>
      </c>
      <c r="C30" s="156">
        <v>-40.5</v>
      </c>
      <c r="D30" s="156"/>
      <c r="E30" s="156">
        <v>108.4</v>
      </c>
      <c r="F30" s="156"/>
      <c r="G30" s="156"/>
      <c r="H30" s="156">
        <v>155.30000000000001</v>
      </c>
      <c r="I30" s="156">
        <v>163.30000000000001</v>
      </c>
      <c r="J30" s="156">
        <v>222.8</v>
      </c>
      <c r="K30" s="156"/>
      <c r="L30" s="222" t="s">
        <v>82</v>
      </c>
      <c r="M30" s="156"/>
      <c r="N30" s="156"/>
      <c r="O30" s="156"/>
      <c r="P30" s="156"/>
      <c r="Q30" s="156"/>
      <c r="R30" s="118">
        <v>47.5</v>
      </c>
      <c r="S30" s="90"/>
    </row>
    <row r="31" spans="1:19" ht="15.75" customHeight="1">
      <c r="A31" s="125">
        <v>9</v>
      </c>
      <c r="B31" s="229">
        <v>1</v>
      </c>
      <c r="C31" s="96"/>
      <c r="D31" s="91"/>
      <c r="E31" s="96"/>
      <c r="F31" s="91"/>
      <c r="G31" s="91"/>
      <c r="H31" s="96"/>
      <c r="I31" s="96"/>
      <c r="J31" s="96"/>
      <c r="K31" s="96"/>
      <c r="L31" s="96"/>
      <c r="M31" s="96"/>
      <c r="N31" s="96"/>
      <c r="O31" s="96"/>
      <c r="P31" s="91"/>
      <c r="Q31" s="96"/>
      <c r="R31" s="96"/>
    </row>
    <row r="32" spans="1:19" ht="15.75" customHeight="1">
      <c r="A32" s="125">
        <v>9</v>
      </c>
      <c r="B32" s="229">
        <v>2</v>
      </c>
      <c r="C32" s="18"/>
      <c r="D32" s="4"/>
      <c r="E32" s="18"/>
      <c r="F32" s="4"/>
      <c r="G32" s="4"/>
      <c r="H32" s="18"/>
      <c r="I32" s="18"/>
      <c r="J32" s="4"/>
      <c r="K32" s="4"/>
      <c r="L32" s="9"/>
      <c r="M32" s="18"/>
      <c r="N32" s="18"/>
      <c r="O32" s="18"/>
      <c r="P32" s="4"/>
      <c r="Q32" s="9"/>
      <c r="R32" s="4"/>
    </row>
    <row r="33" spans="1:19" ht="15.75" customHeight="1">
      <c r="A33" s="125">
        <v>9</v>
      </c>
      <c r="B33" s="229">
        <v>3</v>
      </c>
      <c r="C33" s="18"/>
      <c r="D33" s="4"/>
      <c r="E33" s="18"/>
      <c r="F33" s="4"/>
      <c r="G33" s="4"/>
      <c r="H33" s="18"/>
      <c r="I33" s="18"/>
      <c r="J33" s="4"/>
      <c r="K33" s="4"/>
      <c r="L33" s="9"/>
      <c r="M33" s="18"/>
      <c r="N33" s="18"/>
      <c r="O33" s="18"/>
      <c r="P33" s="4"/>
      <c r="Q33" s="9"/>
      <c r="R33" s="4"/>
    </row>
    <row r="34" spans="1:19" ht="15.75" customHeight="1">
      <c r="A34" s="125">
        <v>9</v>
      </c>
      <c r="B34" s="229">
        <v>4</v>
      </c>
      <c r="C34" s="18"/>
      <c r="D34" s="4"/>
      <c r="E34" s="18"/>
      <c r="F34" s="4"/>
      <c r="G34" s="4"/>
      <c r="H34" s="18"/>
      <c r="I34" s="18"/>
      <c r="J34" s="4"/>
      <c r="K34" s="4"/>
      <c r="L34" s="9"/>
      <c r="M34" s="18"/>
      <c r="N34" s="18"/>
      <c r="O34" s="18"/>
      <c r="P34" s="4"/>
      <c r="Q34" s="9"/>
      <c r="R34" s="4"/>
    </row>
    <row r="35" spans="1:19" ht="15.75" customHeight="1">
      <c r="A35" s="125">
        <v>9</v>
      </c>
      <c r="B35" s="229">
        <v>5</v>
      </c>
      <c r="C35" s="18"/>
      <c r="D35" s="4"/>
      <c r="E35" s="18"/>
      <c r="F35" s="4"/>
      <c r="G35" s="4"/>
      <c r="H35" s="18"/>
      <c r="I35" s="18"/>
      <c r="J35" s="4"/>
      <c r="K35" s="4"/>
      <c r="L35" s="9"/>
      <c r="M35" s="18"/>
      <c r="N35" s="18"/>
      <c r="O35" s="18"/>
      <c r="P35" s="4"/>
      <c r="Q35" s="9"/>
      <c r="R35" s="4"/>
    </row>
    <row r="36" spans="1:19" ht="15.75" customHeight="1">
      <c r="A36" s="125">
        <v>9</v>
      </c>
      <c r="B36" s="229">
        <v>6</v>
      </c>
      <c r="C36" s="4"/>
      <c r="D36" s="4"/>
      <c r="E36" s="4"/>
      <c r="F36" s="4"/>
      <c r="G36" s="4"/>
      <c r="H36" s="4"/>
      <c r="I36" s="4"/>
      <c r="J36" s="4"/>
      <c r="K36" s="4"/>
      <c r="L36" s="9"/>
      <c r="M36" s="4"/>
      <c r="N36" s="4"/>
      <c r="O36" s="4"/>
      <c r="P36" s="4"/>
      <c r="Q36" s="4"/>
      <c r="R36" s="4"/>
    </row>
    <row r="37" spans="1:19" ht="15.75" customHeight="1">
      <c r="A37" s="125">
        <v>9</v>
      </c>
      <c r="B37" s="188">
        <v>7</v>
      </c>
      <c r="C37" s="90"/>
      <c r="D37" s="90"/>
      <c r="E37" s="90"/>
      <c r="F37" s="90"/>
      <c r="G37" s="90"/>
      <c r="H37" s="90"/>
      <c r="I37" s="90"/>
      <c r="J37" s="90"/>
      <c r="K37" s="90"/>
      <c r="L37" s="96"/>
      <c r="M37" s="90"/>
      <c r="N37" s="90"/>
      <c r="O37" s="90"/>
      <c r="P37" s="90"/>
      <c r="Q37" s="90"/>
      <c r="R37" s="91"/>
    </row>
    <row r="38" spans="1:19" ht="15.75" customHeight="1">
      <c r="A38" s="93">
        <v>10</v>
      </c>
      <c r="B38" s="94">
        <v>1</v>
      </c>
      <c r="C38" s="95">
        <v>-43.4</v>
      </c>
      <c r="D38" s="95"/>
      <c r="E38" s="95"/>
      <c r="F38" s="95"/>
      <c r="G38" s="95"/>
      <c r="H38" s="95">
        <v>43.5</v>
      </c>
      <c r="I38" s="95"/>
      <c r="J38" s="95"/>
      <c r="K38" s="95"/>
      <c r="L38" s="221" t="s">
        <v>82</v>
      </c>
      <c r="M38" s="95">
        <v>9.6</v>
      </c>
      <c r="N38" s="95"/>
      <c r="O38" s="95"/>
      <c r="P38" s="95"/>
      <c r="Q38" s="221" t="s">
        <v>83</v>
      </c>
      <c r="R38" s="115"/>
      <c r="S38" s="90"/>
    </row>
    <row r="39" spans="1:19" ht="15.75" customHeight="1">
      <c r="A39" s="139">
        <v>11</v>
      </c>
      <c r="B39" s="140">
        <v>1</v>
      </c>
      <c r="C39" s="141">
        <v>-50</v>
      </c>
      <c r="D39" s="186"/>
      <c r="E39" s="186"/>
      <c r="F39" s="186"/>
      <c r="G39" s="186"/>
      <c r="H39" s="186"/>
      <c r="I39" s="186"/>
      <c r="J39" s="186"/>
      <c r="K39" s="186"/>
      <c r="L39" s="233" t="s">
        <v>82</v>
      </c>
      <c r="M39" s="186"/>
      <c r="N39" s="186"/>
      <c r="O39" s="186"/>
      <c r="P39" s="186"/>
      <c r="Q39" s="186"/>
      <c r="R39" s="184"/>
      <c r="S39" s="90"/>
    </row>
    <row r="40" spans="1:19" ht="15.75" customHeight="1">
      <c r="A40" s="125"/>
      <c r="B40" s="97"/>
      <c r="C40" s="90"/>
      <c r="D40" s="90"/>
      <c r="E40" s="90"/>
      <c r="F40" s="90"/>
      <c r="G40" s="90"/>
      <c r="H40" s="90"/>
      <c r="I40" s="90"/>
      <c r="J40" s="90"/>
      <c r="K40" s="90"/>
      <c r="L40" s="96"/>
      <c r="M40" s="90"/>
      <c r="N40" s="90"/>
      <c r="O40" s="90"/>
      <c r="P40" s="90"/>
      <c r="Q40" s="90"/>
      <c r="R40" s="91"/>
    </row>
    <row r="41" spans="1:19" ht="15.75" customHeight="1">
      <c r="A41" s="23"/>
      <c r="B41" s="15"/>
      <c r="L41" s="9"/>
      <c r="R41" s="4"/>
    </row>
    <row r="42" spans="1:19" ht="15.75" customHeight="1">
      <c r="A42" s="23"/>
      <c r="B42" s="15"/>
      <c r="C42" s="18"/>
      <c r="D42" s="4"/>
      <c r="E42" s="18"/>
      <c r="F42" s="4"/>
      <c r="G42" s="4"/>
      <c r="H42" s="18"/>
      <c r="I42" s="18"/>
      <c r="J42" s="4"/>
      <c r="K42" s="4"/>
      <c r="L42" s="9"/>
      <c r="M42" s="18"/>
      <c r="N42" s="18"/>
      <c r="O42" s="18"/>
      <c r="P42" s="4"/>
      <c r="Q42" s="9"/>
      <c r="R42" s="4"/>
    </row>
    <row r="43" spans="1:19" ht="15.75" customHeight="1">
      <c r="A43" s="23"/>
      <c r="B43" s="15"/>
      <c r="C43" s="18"/>
      <c r="D43" s="4"/>
      <c r="E43" s="18"/>
      <c r="F43" s="4"/>
      <c r="G43" s="4"/>
      <c r="H43" s="18"/>
      <c r="I43" s="18"/>
      <c r="J43" s="4"/>
      <c r="K43" s="4"/>
      <c r="L43" s="9"/>
      <c r="M43" s="18"/>
      <c r="N43" s="18"/>
      <c r="O43" s="18"/>
      <c r="P43" s="4"/>
      <c r="Q43" s="9"/>
      <c r="R43" s="4"/>
    </row>
    <row r="44" spans="1:19" ht="15.75" customHeight="1">
      <c r="A44" s="23"/>
      <c r="B44" s="15"/>
      <c r="C44" s="4"/>
      <c r="D44" s="4"/>
      <c r="E44" s="4"/>
      <c r="F44" s="4"/>
      <c r="G44" s="4"/>
      <c r="H44" s="4"/>
      <c r="I44" s="4"/>
      <c r="J44" s="4"/>
      <c r="K44" s="4"/>
      <c r="L44" s="9"/>
      <c r="M44" s="4"/>
      <c r="N44" s="4"/>
      <c r="O44" s="4"/>
      <c r="P44" s="4"/>
      <c r="Q44" s="4"/>
      <c r="R44" s="4"/>
    </row>
    <row r="45" spans="1:19" ht="15.75" customHeight="1">
      <c r="A45" s="23"/>
      <c r="B45" s="15"/>
      <c r="L45" s="9"/>
      <c r="R45" s="4"/>
    </row>
    <row r="46" spans="1:19" ht="15.75" customHeight="1">
      <c r="A46" s="23"/>
      <c r="B46" s="15"/>
      <c r="C46" s="4"/>
      <c r="D46" s="4"/>
      <c r="E46" s="9"/>
      <c r="F46" s="4"/>
      <c r="G46" s="4"/>
      <c r="H46" s="9"/>
      <c r="I46" s="9"/>
      <c r="J46" s="4"/>
      <c r="K46" s="4"/>
      <c r="L46" s="9"/>
      <c r="M46" s="4"/>
      <c r="N46" s="4"/>
      <c r="O46" s="9"/>
      <c r="P46" s="4"/>
      <c r="Q46" s="9"/>
      <c r="R46" s="9"/>
    </row>
    <row r="47" spans="1:19" ht="15.75" customHeight="1">
      <c r="A47" s="23"/>
      <c r="B47" s="15"/>
      <c r="C47" s="9"/>
      <c r="D47" s="4"/>
      <c r="E47" s="4"/>
      <c r="F47" s="4"/>
      <c r="G47" s="9"/>
      <c r="H47" s="9"/>
      <c r="I47" s="4"/>
      <c r="J47" s="9"/>
      <c r="K47" s="4"/>
      <c r="L47" s="9"/>
      <c r="M47" s="9"/>
      <c r="N47" s="4"/>
      <c r="O47" s="4"/>
      <c r="P47" s="4"/>
      <c r="Q47" s="9"/>
      <c r="R47" s="9"/>
    </row>
    <row r="48" spans="1:19" ht="15.75" customHeight="1">
      <c r="A48" s="23"/>
      <c r="B48" s="15"/>
      <c r="C48" s="9"/>
      <c r="D48" s="4"/>
      <c r="E48" s="4"/>
      <c r="F48" s="4"/>
      <c r="G48" s="9"/>
      <c r="H48" s="9"/>
      <c r="I48" s="4"/>
      <c r="J48" s="9"/>
      <c r="K48" s="4"/>
      <c r="L48" s="9"/>
      <c r="M48" s="9"/>
      <c r="N48" s="4"/>
      <c r="O48" s="4"/>
      <c r="P48" s="4"/>
      <c r="Q48" s="9"/>
      <c r="R48" s="9"/>
    </row>
    <row r="49" spans="1:18" ht="15.75" customHeight="1">
      <c r="A49" s="23"/>
      <c r="B49" s="15"/>
      <c r="C49" s="9"/>
      <c r="D49" s="4"/>
      <c r="E49" s="4"/>
      <c r="F49" s="4"/>
      <c r="G49" s="9"/>
      <c r="H49" s="9"/>
      <c r="I49" s="4"/>
      <c r="J49" s="9"/>
      <c r="K49" s="4"/>
      <c r="L49" s="9"/>
      <c r="M49" s="9"/>
      <c r="N49" s="4"/>
      <c r="O49" s="4"/>
      <c r="P49" s="4"/>
      <c r="Q49" s="9"/>
      <c r="R49" s="9"/>
    </row>
    <row r="50" spans="1:18" ht="15.75" customHeight="1">
      <c r="A50" s="23"/>
      <c r="B50" s="15"/>
      <c r="C50" s="9"/>
      <c r="D50" s="4"/>
      <c r="E50" s="4"/>
      <c r="F50" s="4"/>
      <c r="G50" s="9"/>
      <c r="H50" s="9"/>
      <c r="I50" s="4"/>
      <c r="J50" s="9"/>
      <c r="K50" s="4"/>
      <c r="L50" s="9"/>
      <c r="M50" s="9"/>
      <c r="N50" s="4"/>
      <c r="O50" s="4"/>
      <c r="P50" s="4"/>
      <c r="Q50" s="9"/>
      <c r="R50" s="9"/>
    </row>
    <row r="51" spans="1:18" ht="15.75" customHeight="1">
      <c r="A51" s="23"/>
      <c r="B51" s="15"/>
      <c r="C51" s="18"/>
      <c r="D51" s="4"/>
      <c r="E51" s="18"/>
      <c r="F51" s="4"/>
      <c r="G51" s="4"/>
      <c r="H51" s="18"/>
      <c r="I51" s="4"/>
      <c r="J51" s="4"/>
      <c r="K51" s="4"/>
      <c r="L51" s="9"/>
      <c r="M51" s="18"/>
      <c r="N51" s="4"/>
      <c r="O51" s="18"/>
      <c r="P51" s="4"/>
      <c r="Q51" s="9"/>
      <c r="R51" s="4"/>
    </row>
    <row r="52" spans="1:18" ht="15.75" customHeight="1">
      <c r="A52" s="23"/>
      <c r="B52" s="15"/>
      <c r="C52" s="18"/>
      <c r="D52" s="4"/>
      <c r="E52" s="18"/>
      <c r="F52" s="4"/>
      <c r="G52" s="4"/>
      <c r="H52" s="18"/>
      <c r="I52" s="4"/>
      <c r="J52" s="4"/>
      <c r="K52" s="4"/>
      <c r="L52" s="9"/>
      <c r="M52" s="18"/>
      <c r="N52" s="4"/>
      <c r="O52" s="18"/>
      <c r="P52" s="4"/>
      <c r="Q52" s="9"/>
      <c r="R52" s="4"/>
    </row>
    <row r="53" spans="1:18" ht="15.75" customHeight="1">
      <c r="A53" s="23"/>
      <c r="B53" s="15"/>
      <c r="C53" s="9"/>
      <c r="D53" s="4"/>
      <c r="E53" s="9"/>
      <c r="F53" s="4"/>
      <c r="G53" s="4"/>
      <c r="H53" s="9"/>
      <c r="I53" s="9"/>
      <c r="J53" s="9"/>
      <c r="K53" s="9"/>
      <c r="L53" s="9"/>
      <c r="M53" s="9"/>
      <c r="N53" s="9"/>
      <c r="O53" s="9"/>
      <c r="P53" s="4"/>
      <c r="Q53" s="9"/>
      <c r="R53" s="9"/>
    </row>
    <row r="54" spans="1:18" ht="15.75" customHeight="1">
      <c r="A54" s="23"/>
      <c r="B54" s="15"/>
      <c r="C54" s="9"/>
      <c r="D54" s="4"/>
      <c r="E54" s="9"/>
      <c r="F54" s="4"/>
      <c r="G54" s="4"/>
      <c r="H54" s="9"/>
      <c r="I54" s="9"/>
      <c r="J54" s="9"/>
      <c r="K54" s="9"/>
      <c r="L54" s="9"/>
      <c r="M54" s="9"/>
      <c r="N54" s="9"/>
      <c r="O54" s="9"/>
      <c r="P54" s="4"/>
      <c r="Q54" s="9"/>
      <c r="R54" s="9"/>
    </row>
    <row r="55" spans="1:18" ht="15.75" customHeight="1">
      <c r="A55" s="23"/>
      <c r="B55" s="15"/>
      <c r="C55" s="9"/>
      <c r="D55" s="4"/>
      <c r="E55" s="9"/>
      <c r="F55" s="4"/>
      <c r="G55" s="4"/>
      <c r="H55" s="9"/>
      <c r="I55" s="9"/>
      <c r="J55" s="9"/>
      <c r="K55" s="9"/>
      <c r="L55" s="9"/>
      <c r="M55" s="9"/>
      <c r="N55" s="9"/>
      <c r="O55" s="9"/>
      <c r="P55" s="4"/>
      <c r="Q55" s="9"/>
      <c r="R55" s="9"/>
    </row>
    <row r="56" spans="1:18" ht="15.75" customHeight="1">
      <c r="A56" s="23"/>
      <c r="B56" s="15"/>
      <c r="C56" s="9"/>
      <c r="D56" s="4"/>
      <c r="E56" s="9"/>
      <c r="F56" s="4"/>
      <c r="G56" s="4"/>
      <c r="H56" s="9"/>
      <c r="I56" s="9"/>
      <c r="J56" s="9"/>
      <c r="K56" s="9"/>
      <c r="L56" s="9"/>
      <c r="M56" s="9"/>
      <c r="N56" s="9"/>
      <c r="O56" s="9"/>
      <c r="P56" s="4"/>
      <c r="Q56" s="9"/>
      <c r="R56" s="9"/>
    </row>
    <row r="57" spans="1:18" ht="15.75" customHeight="1">
      <c r="A57" s="23"/>
      <c r="B57" s="15"/>
      <c r="C57" s="18"/>
      <c r="D57" s="4"/>
      <c r="E57" s="18"/>
      <c r="F57" s="4"/>
      <c r="G57" s="4"/>
      <c r="H57" s="18"/>
      <c r="I57" s="18"/>
      <c r="J57" s="4"/>
      <c r="K57" s="4"/>
      <c r="L57" s="9"/>
      <c r="M57" s="18"/>
      <c r="N57" s="18"/>
      <c r="O57" s="18"/>
      <c r="P57" s="4"/>
      <c r="Q57" s="9"/>
      <c r="R57" s="4"/>
    </row>
    <row r="58" spans="1:18" ht="15.75" customHeight="1">
      <c r="A58" s="23"/>
      <c r="B58" s="15"/>
      <c r="C58" s="18"/>
      <c r="D58" s="4"/>
      <c r="E58" s="18"/>
      <c r="F58" s="4"/>
      <c r="G58" s="4"/>
      <c r="H58" s="18"/>
      <c r="I58" s="18"/>
      <c r="J58" s="4"/>
      <c r="K58" s="4"/>
      <c r="L58" s="9"/>
      <c r="M58" s="18"/>
      <c r="N58" s="18"/>
      <c r="O58" s="18"/>
      <c r="P58" s="4"/>
      <c r="Q58" s="9"/>
      <c r="R58" s="4"/>
    </row>
    <row r="59" spans="1:18" ht="15.75" customHeight="1">
      <c r="A59" s="23"/>
      <c r="B59" s="15"/>
      <c r="C59" s="18"/>
      <c r="D59" s="4"/>
      <c r="E59" s="18"/>
      <c r="F59" s="4"/>
      <c r="G59" s="4"/>
      <c r="H59" s="18"/>
      <c r="I59" s="18"/>
      <c r="J59" s="4"/>
      <c r="K59" s="4"/>
      <c r="L59" s="9"/>
      <c r="M59" s="18"/>
      <c r="N59" s="18"/>
      <c r="O59" s="18"/>
      <c r="P59" s="4"/>
      <c r="Q59" s="9"/>
      <c r="R59" s="4"/>
    </row>
    <row r="60" spans="1:18" ht="15.75" customHeight="1">
      <c r="A60" s="23"/>
      <c r="B60" s="15"/>
      <c r="C60" s="18"/>
      <c r="D60" s="4"/>
      <c r="E60" s="18"/>
      <c r="F60" s="4"/>
      <c r="G60" s="4"/>
      <c r="H60" s="18"/>
      <c r="I60" s="18"/>
      <c r="J60" s="4"/>
      <c r="K60" s="4"/>
      <c r="L60" s="9"/>
      <c r="M60" s="18"/>
      <c r="N60" s="18"/>
      <c r="O60" s="18"/>
      <c r="P60" s="4"/>
      <c r="Q60" s="9"/>
      <c r="R60" s="4"/>
    </row>
    <row r="61" spans="1:18" ht="15.75" customHeight="1">
      <c r="A61" s="23"/>
      <c r="B61" s="15"/>
      <c r="C61" s="4"/>
      <c r="D61" s="4"/>
      <c r="E61" s="4"/>
      <c r="F61" s="4"/>
      <c r="G61" s="4"/>
      <c r="H61" s="4"/>
      <c r="I61" s="4"/>
      <c r="J61" s="4"/>
      <c r="K61" s="4"/>
      <c r="L61" s="9"/>
      <c r="M61" s="4"/>
      <c r="N61" s="4"/>
      <c r="O61" s="4"/>
      <c r="P61" s="4"/>
      <c r="Q61" s="4"/>
      <c r="R61" s="4"/>
    </row>
    <row r="62" spans="1:18" ht="15.75" customHeight="1">
      <c r="A62" s="23"/>
      <c r="B62" s="15"/>
      <c r="L62" s="9"/>
      <c r="R62" s="4"/>
    </row>
    <row r="63" spans="1:18" ht="15.75" customHeight="1">
      <c r="A63" s="23"/>
      <c r="B63" s="15"/>
      <c r="C63" s="18"/>
      <c r="D63" s="4"/>
      <c r="E63" s="18"/>
      <c r="F63" s="4"/>
      <c r="G63" s="4"/>
      <c r="H63" s="18"/>
      <c r="I63" s="18"/>
      <c r="J63" s="4"/>
      <c r="K63" s="4"/>
      <c r="L63" s="9"/>
      <c r="M63" s="18"/>
      <c r="N63" s="18"/>
      <c r="O63" s="18"/>
      <c r="P63" s="4"/>
      <c r="Q63" s="9"/>
      <c r="R63" s="4"/>
    </row>
    <row r="64" spans="1:18" ht="15.75" customHeight="1">
      <c r="A64" s="23"/>
      <c r="B64" s="15"/>
      <c r="C64" s="18"/>
      <c r="D64" s="4"/>
      <c r="E64" s="18"/>
      <c r="F64" s="4"/>
      <c r="G64" s="4"/>
      <c r="H64" s="18"/>
      <c r="I64" s="18"/>
      <c r="J64" s="4"/>
      <c r="K64" s="4"/>
      <c r="L64" s="9"/>
      <c r="M64" s="18"/>
      <c r="N64" s="18"/>
      <c r="O64" s="18"/>
      <c r="P64" s="4"/>
      <c r="Q64" s="9"/>
      <c r="R64" s="4"/>
    </row>
    <row r="65" spans="1:18" ht="15.75" customHeight="1">
      <c r="A65" s="23"/>
      <c r="B65" s="15"/>
      <c r="C65" s="4"/>
      <c r="D65" s="4"/>
      <c r="E65" s="4"/>
      <c r="F65" s="4"/>
      <c r="G65" s="4"/>
      <c r="H65" s="4"/>
      <c r="I65" s="4"/>
      <c r="J65" s="4"/>
      <c r="K65" s="4"/>
      <c r="L65" s="9"/>
      <c r="M65" s="4"/>
      <c r="N65" s="4"/>
      <c r="O65" s="4"/>
      <c r="P65" s="4"/>
      <c r="Q65" s="4"/>
      <c r="R65" s="4"/>
    </row>
    <row r="66" spans="1:18" ht="15.75" customHeight="1">
      <c r="A66" s="23"/>
      <c r="B66" s="15"/>
      <c r="L66" s="9"/>
      <c r="R66" s="4"/>
    </row>
    <row r="67" spans="1:18" ht="15.75" customHeight="1">
      <c r="A67" s="23"/>
      <c r="B67" s="15"/>
      <c r="C67" s="4"/>
      <c r="D67" s="4"/>
      <c r="E67" s="9"/>
      <c r="F67" s="4"/>
      <c r="G67" s="4"/>
      <c r="H67" s="9"/>
      <c r="I67" s="9"/>
      <c r="J67" s="4"/>
      <c r="K67" s="4"/>
      <c r="L67" s="9"/>
      <c r="M67" s="4"/>
      <c r="N67" s="4"/>
      <c r="O67" s="9"/>
      <c r="P67" s="4"/>
      <c r="Q67" s="9"/>
      <c r="R67" s="9"/>
    </row>
    <row r="68" spans="1:18" ht="15.75" customHeight="1">
      <c r="A68" s="23"/>
      <c r="B68" s="15"/>
      <c r="C68" s="9"/>
      <c r="D68" s="4"/>
      <c r="E68" s="4"/>
      <c r="F68" s="4"/>
      <c r="G68" s="9"/>
      <c r="H68" s="9"/>
      <c r="I68" s="4"/>
      <c r="J68" s="9"/>
      <c r="K68" s="4"/>
      <c r="L68" s="9"/>
      <c r="M68" s="9"/>
      <c r="N68" s="4"/>
      <c r="O68" s="4"/>
      <c r="P68" s="4"/>
      <c r="Q68" s="9"/>
      <c r="R68" s="9"/>
    </row>
    <row r="69" spans="1:18" ht="15.75" customHeight="1">
      <c r="A69" s="23"/>
      <c r="B69" s="15"/>
      <c r="C69" s="9"/>
      <c r="D69" s="4"/>
      <c r="E69" s="4"/>
      <c r="F69" s="4"/>
      <c r="G69" s="9"/>
      <c r="H69" s="9"/>
      <c r="I69" s="4"/>
      <c r="J69" s="9"/>
      <c r="K69" s="4"/>
      <c r="L69" s="9"/>
      <c r="M69" s="9"/>
      <c r="N69" s="4"/>
      <c r="O69" s="4"/>
      <c r="P69" s="4"/>
      <c r="Q69" s="9"/>
      <c r="R69" s="9"/>
    </row>
    <row r="70" spans="1:18" ht="15.75" customHeight="1">
      <c r="A70" s="23"/>
      <c r="B70" s="15"/>
      <c r="C70" s="9"/>
      <c r="D70" s="4"/>
      <c r="E70" s="4"/>
      <c r="F70" s="4"/>
      <c r="G70" s="9"/>
      <c r="H70" s="9"/>
      <c r="I70" s="4"/>
      <c r="J70" s="9"/>
      <c r="K70" s="4"/>
      <c r="L70" s="9"/>
      <c r="M70" s="9"/>
      <c r="N70" s="4"/>
      <c r="O70" s="4"/>
      <c r="P70" s="4"/>
      <c r="Q70" s="9"/>
      <c r="R70" s="9"/>
    </row>
    <row r="71" spans="1:18" ht="15.75" customHeight="1">
      <c r="A71" s="23"/>
      <c r="B71" s="15"/>
      <c r="C71" s="9"/>
      <c r="D71" s="4"/>
      <c r="E71" s="4"/>
      <c r="F71" s="4"/>
      <c r="G71" s="9"/>
      <c r="H71" s="9"/>
      <c r="I71" s="4"/>
      <c r="J71" s="9"/>
      <c r="K71" s="4"/>
      <c r="L71" s="9"/>
      <c r="M71" s="9"/>
      <c r="N71" s="4"/>
      <c r="O71" s="4"/>
      <c r="P71" s="4"/>
      <c r="Q71" s="9"/>
      <c r="R71" s="9"/>
    </row>
    <row r="72" spans="1:18" ht="15.75" customHeight="1">
      <c r="A72" s="23"/>
      <c r="B72" s="15"/>
      <c r="C72" s="18"/>
      <c r="D72" s="4"/>
      <c r="E72" s="18"/>
      <c r="F72" s="4"/>
      <c r="G72" s="4"/>
      <c r="H72" s="18"/>
      <c r="I72" s="4"/>
      <c r="J72" s="4"/>
      <c r="K72" s="4"/>
      <c r="L72" s="9"/>
      <c r="M72" s="18"/>
      <c r="N72" s="4"/>
      <c r="O72" s="18"/>
      <c r="P72" s="4"/>
      <c r="Q72" s="9"/>
      <c r="R72" s="4"/>
    </row>
    <row r="73" spans="1:18" ht="15.75" customHeight="1">
      <c r="A73" s="23"/>
      <c r="B73" s="15"/>
      <c r="C73" s="18"/>
      <c r="D73" s="4"/>
      <c r="E73" s="18"/>
      <c r="F73" s="4"/>
      <c r="G73" s="4"/>
      <c r="H73" s="18"/>
      <c r="I73" s="4"/>
      <c r="J73" s="4"/>
      <c r="K73" s="4"/>
      <c r="L73" s="9"/>
      <c r="M73" s="18"/>
      <c r="N73" s="4"/>
      <c r="O73" s="18"/>
      <c r="P73" s="4"/>
      <c r="Q73" s="9"/>
      <c r="R73" s="4"/>
    </row>
    <row r="74" spans="1:18" ht="15.75" customHeight="1">
      <c r="A74" s="23"/>
      <c r="B74" s="15"/>
      <c r="C74" s="9"/>
      <c r="D74" s="4"/>
      <c r="E74" s="9"/>
      <c r="F74" s="4"/>
      <c r="G74" s="4"/>
      <c r="H74" s="9"/>
      <c r="I74" s="9"/>
      <c r="J74" s="9"/>
      <c r="K74" s="9"/>
      <c r="L74" s="9"/>
      <c r="M74" s="9"/>
      <c r="N74" s="9"/>
      <c r="O74" s="9"/>
      <c r="P74" s="4"/>
      <c r="Q74" s="9"/>
      <c r="R74" s="9"/>
    </row>
    <row r="75" spans="1:18" ht="15.75" customHeight="1">
      <c r="A75" s="23"/>
      <c r="B75" s="15"/>
      <c r="C75" s="9"/>
      <c r="D75" s="4"/>
      <c r="E75" s="9"/>
      <c r="F75" s="4"/>
      <c r="G75" s="4"/>
      <c r="H75" s="9"/>
      <c r="I75" s="9"/>
      <c r="J75" s="9"/>
      <c r="K75" s="9"/>
      <c r="L75" s="9"/>
      <c r="M75" s="9"/>
      <c r="N75" s="9"/>
      <c r="O75" s="9"/>
      <c r="P75" s="4"/>
      <c r="Q75" s="9"/>
      <c r="R75" s="9"/>
    </row>
    <row r="76" spans="1:18" ht="15.75" customHeight="1">
      <c r="A76" s="23"/>
      <c r="B76" s="15"/>
      <c r="C76" s="9"/>
      <c r="D76" s="4"/>
      <c r="E76" s="9"/>
      <c r="F76" s="4"/>
      <c r="G76" s="4"/>
      <c r="H76" s="9"/>
      <c r="I76" s="9"/>
      <c r="J76" s="9"/>
      <c r="K76" s="9"/>
      <c r="L76" s="9"/>
      <c r="M76" s="9"/>
      <c r="N76" s="9"/>
      <c r="O76" s="9"/>
      <c r="P76" s="4"/>
      <c r="Q76" s="9"/>
      <c r="R76" s="9"/>
    </row>
    <row r="77" spans="1:18" ht="15.75" customHeight="1">
      <c r="A77" s="23"/>
      <c r="B77" s="15"/>
      <c r="C77" s="9"/>
      <c r="D77" s="4"/>
      <c r="E77" s="9"/>
      <c r="F77" s="4"/>
      <c r="G77" s="4"/>
      <c r="H77" s="9"/>
      <c r="I77" s="9"/>
      <c r="J77" s="9"/>
      <c r="K77" s="9"/>
      <c r="L77" s="9"/>
      <c r="M77" s="9"/>
      <c r="N77" s="9"/>
      <c r="O77" s="9"/>
      <c r="P77" s="4"/>
      <c r="Q77" s="9"/>
      <c r="R77" s="9"/>
    </row>
    <row r="78" spans="1:18" ht="15.75" customHeight="1">
      <c r="A78" s="23"/>
      <c r="B78" s="15"/>
      <c r="C78" s="18"/>
      <c r="D78" s="4"/>
      <c r="E78" s="18"/>
      <c r="F78" s="4"/>
      <c r="G78" s="4"/>
      <c r="H78" s="18"/>
      <c r="I78" s="18"/>
      <c r="J78" s="4"/>
      <c r="K78" s="4"/>
      <c r="L78" s="9"/>
      <c r="M78" s="18"/>
      <c r="N78" s="18"/>
      <c r="O78" s="18"/>
      <c r="P78" s="4"/>
      <c r="Q78" s="9"/>
      <c r="R78" s="4"/>
    </row>
    <row r="79" spans="1:18" ht="15.75" customHeight="1">
      <c r="A79" s="23"/>
      <c r="B79" s="15"/>
      <c r="C79" s="18"/>
      <c r="D79" s="4"/>
      <c r="E79" s="18"/>
      <c r="F79" s="4"/>
      <c r="G79" s="4"/>
      <c r="H79" s="18"/>
      <c r="I79" s="18"/>
      <c r="J79" s="4"/>
      <c r="K79" s="4"/>
      <c r="L79" s="9"/>
      <c r="M79" s="18"/>
      <c r="N79" s="18"/>
      <c r="O79" s="18"/>
      <c r="P79" s="4"/>
      <c r="Q79" s="9"/>
      <c r="R79" s="4"/>
    </row>
    <row r="80" spans="1:18" ht="15.75" customHeight="1">
      <c r="A80" s="23"/>
      <c r="B80" s="15"/>
      <c r="C80" s="18"/>
      <c r="D80" s="4"/>
      <c r="E80" s="18"/>
      <c r="F80" s="4"/>
      <c r="G80" s="4"/>
      <c r="H80" s="18"/>
      <c r="I80" s="18"/>
      <c r="J80" s="4"/>
      <c r="K80" s="4"/>
      <c r="L80" s="9"/>
      <c r="M80" s="18"/>
      <c r="N80" s="18"/>
      <c r="O80" s="18"/>
      <c r="P80" s="4"/>
      <c r="Q80" s="9"/>
      <c r="R80" s="4"/>
    </row>
    <row r="81" spans="1:19" ht="15.75" customHeight="1">
      <c r="A81" s="23"/>
      <c r="B81" s="15"/>
      <c r="C81" s="18"/>
      <c r="D81" s="4"/>
      <c r="E81" s="18"/>
      <c r="F81" s="4"/>
      <c r="G81" s="4"/>
      <c r="H81" s="18"/>
      <c r="I81" s="18"/>
      <c r="J81" s="4"/>
      <c r="K81" s="4"/>
      <c r="L81" s="9"/>
      <c r="M81" s="18"/>
      <c r="N81" s="18"/>
      <c r="O81" s="18"/>
      <c r="P81" s="4"/>
      <c r="Q81" s="9"/>
      <c r="R81" s="4"/>
    </row>
    <row r="82" spans="1:19" ht="15.75" customHeight="1">
      <c r="A82" s="23"/>
      <c r="B82" s="15"/>
      <c r="C82" s="4"/>
      <c r="D82" s="4"/>
      <c r="E82" s="4"/>
      <c r="F82" s="4"/>
      <c r="G82" s="4"/>
      <c r="H82" s="4"/>
      <c r="I82" s="4"/>
      <c r="J82" s="4"/>
      <c r="K82" s="4"/>
      <c r="L82" s="9"/>
      <c r="M82" s="4"/>
      <c r="N82" s="4"/>
      <c r="O82" s="4"/>
      <c r="P82" s="4"/>
      <c r="Q82" s="4"/>
      <c r="R82" s="4"/>
    </row>
    <row r="83" spans="1:19" ht="15.75" customHeight="1">
      <c r="A83" s="23"/>
      <c r="B83" s="15"/>
      <c r="L83" s="9"/>
      <c r="R83" s="4"/>
    </row>
    <row r="84" spans="1:19" ht="15.75" customHeight="1">
      <c r="A84" s="23"/>
      <c r="B84" s="15"/>
      <c r="C84" s="18"/>
      <c r="D84" s="4"/>
      <c r="E84" s="18"/>
      <c r="F84" s="4"/>
      <c r="G84" s="4"/>
      <c r="H84" s="18"/>
      <c r="I84" s="18"/>
      <c r="J84" s="4"/>
      <c r="K84" s="4"/>
      <c r="L84" s="9"/>
      <c r="M84" s="18"/>
      <c r="N84" s="18"/>
      <c r="O84" s="18"/>
      <c r="P84" s="4"/>
      <c r="Q84" s="9"/>
      <c r="R84" s="4"/>
    </row>
    <row r="85" spans="1:19" ht="15.75" customHeight="1">
      <c r="A85" s="23"/>
      <c r="B85" s="15"/>
      <c r="C85" s="18"/>
      <c r="D85" s="4"/>
      <c r="E85" s="18"/>
      <c r="F85" s="4"/>
      <c r="G85" s="4"/>
      <c r="H85" s="18"/>
      <c r="I85" s="18"/>
      <c r="J85" s="4"/>
      <c r="K85" s="4"/>
      <c r="L85" s="9"/>
      <c r="M85" s="18"/>
      <c r="N85" s="18"/>
      <c r="O85" s="18"/>
      <c r="P85" s="4"/>
      <c r="Q85" s="9"/>
      <c r="R85" s="4"/>
    </row>
    <row r="86" spans="1:19" ht="15.75" customHeight="1">
      <c r="A86" s="23"/>
      <c r="B86" s="15"/>
      <c r="C86" s="4"/>
      <c r="D86" s="4"/>
      <c r="E86" s="4"/>
      <c r="F86" s="4"/>
      <c r="G86" s="4"/>
      <c r="H86" s="4"/>
      <c r="I86" s="4"/>
      <c r="J86" s="4"/>
      <c r="K86" s="4"/>
      <c r="L86" s="9"/>
      <c r="M86" s="4"/>
      <c r="N86" s="4"/>
      <c r="O86" s="4"/>
      <c r="P86" s="4"/>
      <c r="Q86" s="4"/>
      <c r="R86" s="4"/>
    </row>
    <row r="87" spans="1:19" ht="15.75" customHeight="1">
      <c r="A87" s="23"/>
      <c r="B87" s="15"/>
      <c r="L87" s="9"/>
      <c r="R87" s="4"/>
      <c r="S87" s="4"/>
    </row>
    <row r="88" spans="1:19" ht="15.75" customHeight="1">
      <c r="A88" s="23"/>
      <c r="B88" s="15"/>
      <c r="C88" s="4"/>
      <c r="D88" s="4"/>
      <c r="E88" s="9"/>
      <c r="F88" s="4"/>
      <c r="G88" s="4"/>
      <c r="H88" s="9"/>
      <c r="I88" s="9"/>
      <c r="J88" s="4"/>
      <c r="K88" s="4"/>
      <c r="L88" s="9"/>
      <c r="M88" s="4"/>
      <c r="N88" s="4"/>
      <c r="O88" s="9"/>
      <c r="P88" s="4"/>
      <c r="Q88" s="9"/>
      <c r="R88" s="9"/>
      <c r="S88" s="4"/>
    </row>
    <row r="89" spans="1:19" ht="15.75" customHeight="1">
      <c r="A89" s="23"/>
      <c r="B89" s="15"/>
      <c r="C89" s="9"/>
      <c r="D89" s="4"/>
      <c r="E89" s="4"/>
      <c r="F89" s="4"/>
      <c r="G89" s="9"/>
      <c r="H89" s="9"/>
      <c r="I89" s="4"/>
      <c r="J89" s="9"/>
      <c r="K89" s="4"/>
      <c r="L89" s="9"/>
      <c r="M89" s="9"/>
      <c r="N89" s="4"/>
      <c r="O89" s="4"/>
      <c r="P89" s="4"/>
      <c r="Q89" s="9"/>
      <c r="R89" s="9"/>
    </row>
    <row r="90" spans="1:19" ht="15.75" customHeight="1">
      <c r="A90" s="23"/>
      <c r="B90" s="15"/>
      <c r="C90" s="9"/>
      <c r="D90" s="4"/>
      <c r="E90" s="4"/>
      <c r="F90" s="4"/>
      <c r="G90" s="9"/>
      <c r="H90" s="9"/>
      <c r="I90" s="4"/>
      <c r="J90" s="9"/>
      <c r="K90" s="4"/>
      <c r="L90" s="9"/>
      <c r="M90" s="9"/>
      <c r="N90" s="4"/>
      <c r="O90" s="4"/>
      <c r="P90" s="4"/>
      <c r="Q90" s="9"/>
      <c r="R90" s="9"/>
    </row>
    <row r="91" spans="1:19" ht="15.75" customHeight="1">
      <c r="A91" s="23"/>
      <c r="B91" s="15"/>
      <c r="C91" s="9"/>
      <c r="D91" s="4"/>
      <c r="E91" s="4"/>
      <c r="F91" s="4"/>
      <c r="G91" s="9"/>
      <c r="H91" s="9"/>
      <c r="I91" s="4"/>
      <c r="J91" s="9"/>
      <c r="K91" s="4"/>
      <c r="L91" s="9"/>
      <c r="M91" s="9"/>
      <c r="N91" s="4"/>
      <c r="O91" s="4"/>
      <c r="P91" s="4"/>
      <c r="Q91" s="9"/>
      <c r="R91" s="9"/>
    </row>
    <row r="92" spans="1:19" ht="15.75" customHeight="1">
      <c r="A92" s="23"/>
      <c r="B92" s="15"/>
      <c r="C92" s="9"/>
      <c r="D92" s="4"/>
      <c r="E92" s="4"/>
      <c r="F92" s="4"/>
      <c r="G92" s="9"/>
      <c r="H92" s="9"/>
      <c r="I92" s="4"/>
      <c r="J92" s="9"/>
      <c r="K92" s="4"/>
      <c r="L92" s="9"/>
      <c r="M92" s="9"/>
      <c r="N92" s="4"/>
      <c r="O92" s="4"/>
      <c r="P92" s="4"/>
      <c r="Q92" s="9"/>
      <c r="R92" s="9"/>
    </row>
    <row r="93" spans="1:19" ht="15.75" customHeight="1">
      <c r="A93" s="23"/>
      <c r="B93" s="15"/>
      <c r="C93" s="18"/>
      <c r="D93" s="4"/>
      <c r="E93" s="18"/>
      <c r="F93" s="4"/>
      <c r="G93" s="4"/>
      <c r="H93" s="18"/>
      <c r="I93" s="4"/>
      <c r="J93" s="4"/>
      <c r="K93" s="4"/>
      <c r="L93" s="9"/>
      <c r="M93" s="18"/>
      <c r="N93" s="4"/>
      <c r="O93" s="18"/>
      <c r="P93" s="4"/>
      <c r="Q93" s="9"/>
      <c r="R93" s="4"/>
    </row>
    <row r="94" spans="1:19" ht="15.75" customHeight="1">
      <c r="A94" s="23"/>
      <c r="B94" s="15"/>
      <c r="C94" s="18"/>
      <c r="D94" s="4"/>
      <c r="E94" s="18"/>
      <c r="F94" s="4"/>
      <c r="G94" s="4"/>
      <c r="H94" s="18"/>
      <c r="I94" s="4"/>
      <c r="J94" s="4"/>
      <c r="K94" s="4"/>
      <c r="L94" s="9"/>
      <c r="M94" s="18"/>
      <c r="N94" s="4"/>
      <c r="O94" s="18"/>
      <c r="P94" s="4"/>
      <c r="Q94" s="9"/>
      <c r="R94" s="4"/>
      <c r="S94" s="4"/>
    </row>
    <row r="95" spans="1:19" ht="15.75" customHeight="1">
      <c r="A95" s="23"/>
      <c r="B95" s="15"/>
      <c r="C95" s="9"/>
      <c r="D95" s="4"/>
      <c r="E95" s="9"/>
      <c r="F95" s="4"/>
      <c r="G95" s="4"/>
      <c r="H95" s="9"/>
      <c r="I95" s="9"/>
      <c r="J95" s="9"/>
      <c r="K95" s="9"/>
      <c r="L95" s="9"/>
      <c r="M95" s="9"/>
      <c r="N95" s="9"/>
      <c r="O95" s="9"/>
      <c r="P95" s="4"/>
      <c r="Q95" s="9"/>
      <c r="R95" s="9"/>
      <c r="S95" s="4"/>
    </row>
    <row r="96" spans="1:19" ht="15.75" customHeight="1">
      <c r="A96" s="23"/>
      <c r="B96" s="15"/>
      <c r="C96" s="9"/>
      <c r="D96" s="4"/>
      <c r="E96" s="9"/>
      <c r="F96" s="4"/>
      <c r="G96" s="4"/>
      <c r="H96" s="9"/>
      <c r="I96" s="9"/>
      <c r="J96" s="9"/>
      <c r="K96" s="9"/>
      <c r="L96" s="9"/>
      <c r="M96" s="9"/>
      <c r="N96" s="9"/>
      <c r="O96" s="9"/>
      <c r="P96" s="4"/>
      <c r="Q96" s="9"/>
      <c r="R96" s="9"/>
      <c r="S96" s="4"/>
    </row>
    <row r="97" spans="1:19" ht="15.75" customHeight="1">
      <c r="A97" s="23"/>
      <c r="B97" s="15"/>
      <c r="C97" s="9"/>
      <c r="D97" s="4"/>
      <c r="E97" s="9"/>
      <c r="F97" s="4"/>
      <c r="G97" s="4"/>
      <c r="H97" s="9"/>
      <c r="I97" s="9"/>
      <c r="J97" s="9"/>
      <c r="K97" s="9"/>
      <c r="L97" s="9"/>
      <c r="M97" s="9"/>
      <c r="N97" s="9"/>
      <c r="O97" s="9"/>
      <c r="P97" s="4"/>
      <c r="Q97" s="9"/>
      <c r="R97" s="9"/>
      <c r="S97" s="4"/>
    </row>
    <row r="98" spans="1:19" ht="15.75" customHeight="1">
      <c r="A98" s="23"/>
      <c r="B98" s="15"/>
      <c r="C98" s="9"/>
      <c r="D98" s="4"/>
      <c r="E98" s="9"/>
      <c r="F98" s="4"/>
      <c r="G98" s="4"/>
      <c r="H98" s="9"/>
      <c r="I98" s="9"/>
      <c r="J98" s="9"/>
      <c r="K98" s="9"/>
      <c r="L98" s="9"/>
      <c r="M98" s="9"/>
      <c r="N98" s="9"/>
      <c r="O98" s="9"/>
      <c r="P98" s="4"/>
      <c r="Q98" s="9"/>
      <c r="R98" s="9"/>
      <c r="S98" s="4"/>
    </row>
    <row r="99" spans="1:19" ht="15.75" customHeight="1">
      <c r="A99" s="23"/>
      <c r="B99" s="15"/>
      <c r="C99" s="18"/>
      <c r="D99" s="4"/>
      <c r="E99" s="18"/>
      <c r="F99" s="4"/>
      <c r="G99" s="4"/>
      <c r="H99" s="18"/>
      <c r="I99" s="18"/>
      <c r="J99" s="4"/>
      <c r="K99" s="4"/>
      <c r="L99" s="9"/>
      <c r="M99" s="18"/>
      <c r="N99" s="18"/>
      <c r="O99" s="18"/>
      <c r="P99" s="4"/>
      <c r="Q99" s="9"/>
      <c r="R99" s="4"/>
      <c r="S99" s="4"/>
    </row>
    <row r="100" spans="1:19" ht="15.75" customHeight="1">
      <c r="A100" s="23"/>
      <c r="B100" s="15"/>
      <c r="C100" s="18"/>
      <c r="D100" s="4"/>
      <c r="E100" s="18"/>
      <c r="F100" s="4"/>
      <c r="G100" s="4"/>
      <c r="H100" s="18"/>
      <c r="I100" s="18"/>
      <c r="J100" s="4"/>
      <c r="K100" s="4"/>
      <c r="L100" s="9"/>
      <c r="M100" s="18"/>
      <c r="N100" s="18"/>
      <c r="O100" s="18"/>
      <c r="P100" s="4"/>
      <c r="Q100" s="9"/>
      <c r="R100" s="4"/>
      <c r="S100" s="4"/>
    </row>
    <row r="101" spans="1:19" ht="15.75" customHeight="1">
      <c r="A101" s="23"/>
      <c r="B101" s="15"/>
      <c r="C101" s="18"/>
      <c r="D101" s="4"/>
      <c r="E101" s="18"/>
      <c r="F101" s="4"/>
      <c r="G101" s="4"/>
      <c r="H101" s="18"/>
      <c r="I101" s="18"/>
      <c r="J101" s="4"/>
      <c r="K101" s="4"/>
      <c r="L101" s="9"/>
      <c r="M101" s="18"/>
      <c r="N101" s="18"/>
      <c r="O101" s="18"/>
      <c r="P101" s="4"/>
      <c r="Q101" s="9"/>
      <c r="R101" s="4"/>
      <c r="S101" s="4"/>
    </row>
    <row r="102" spans="1:19" ht="15.75" customHeight="1">
      <c r="A102" s="23"/>
      <c r="B102" s="15"/>
      <c r="C102" s="18"/>
      <c r="D102" s="4"/>
      <c r="E102" s="18"/>
      <c r="F102" s="4"/>
      <c r="G102" s="4"/>
      <c r="H102" s="18"/>
      <c r="I102" s="18"/>
      <c r="J102" s="4"/>
      <c r="K102" s="4"/>
      <c r="L102" s="9"/>
      <c r="M102" s="18"/>
      <c r="N102" s="18"/>
      <c r="O102" s="18"/>
      <c r="P102" s="4"/>
      <c r="Q102" s="9"/>
      <c r="R102" s="4"/>
      <c r="S102" s="4"/>
    </row>
    <row r="103" spans="1:19" ht="15.75" customHeight="1">
      <c r="A103" s="23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9"/>
      <c r="M103" s="4"/>
      <c r="N103" s="4"/>
      <c r="O103" s="4"/>
      <c r="P103" s="4"/>
      <c r="Q103" s="4"/>
      <c r="R103" s="4"/>
      <c r="S103" s="4"/>
    </row>
    <row r="104" spans="1:19" ht="15.75" customHeight="1">
      <c r="A104" s="23"/>
      <c r="B104" s="15"/>
      <c r="L104" s="9"/>
      <c r="R104" s="4"/>
      <c r="S104" s="4"/>
    </row>
    <row r="105" spans="1:19" ht="15.75" customHeight="1">
      <c r="A105" s="23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4"/>
    </row>
    <row r="106" spans="1:19" ht="15.75" customHeight="1">
      <c r="A106" s="23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4"/>
    </row>
    <row r="107" spans="1:19" ht="15.75" customHeight="1">
      <c r="A107" s="23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4"/>
    </row>
    <row r="108" spans="1:19" ht="15.75" customHeight="1">
      <c r="A108" s="23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4"/>
    </row>
    <row r="109" spans="1:19" ht="15.75" customHeight="1">
      <c r="A109" s="23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4"/>
    </row>
    <row r="110" spans="1:19" ht="15.75" customHeight="1">
      <c r="A110" s="13"/>
      <c r="B110" s="14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4"/>
    </row>
    <row r="111" spans="1:19" ht="15.75" customHeight="1">
      <c r="A111" s="13"/>
      <c r="B111" s="14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4"/>
    </row>
    <row r="112" spans="1:19" ht="15.75" customHeight="1">
      <c r="A112" s="13"/>
      <c r="B112" s="1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15.75" customHeight="1">
      <c r="A113" s="13"/>
      <c r="B113" s="1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15.75" customHeight="1">
      <c r="A114" s="13"/>
      <c r="B114" s="1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ht="15.75" customHeight="1">
      <c r="A115" s="13"/>
      <c r="B115" s="1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ht="15.75" customHeight="1">
      <c r="A116" s="13"/>
      <c r="B116" s="1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ht="15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ht="15.75" customHeight="1">
      <c r="A118" s="13"/>
      <c r="B118" s="1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ht="15.75" customHeight="1">
      <c r="A119" s="13"/>
      <c r="B119" s="1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ht="15.75" customHeight="1">
      <c r="A120" s="13"/>
      <c r="B120" s="1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ht="15.75" customHeight="1">
      <c r="A121" s="13"/>
      <c r="B121" s="1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ht="15.75" customHeight="1">
      <c r="A122" s="13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ht="15.75" customHeight="1">
      <c r="A123" s="13"/>
      <c r="B123" s="1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15.75" customHeight="1">
      <c r="A124" s="13"/>
      <c r="B124" s="1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ht="15.75" customHeight="1">
      <c r="A125" s="13"/>
      <c r="B125" s="1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ht="15.75" customHeight="1">
      <c r="A126" s="13"/>
      <c r="B126" s="1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5.75" customHeight="1">
      <c r="A127" s="13"/>
      <c r="B127" s="1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ht="15.75" customHeight="1">
      <c r="A128" s="13"/>
      <c r="B128" s="14"/>
      <c r="C128" s="4"/>
      <c r="D128" s="4"/>
      <c r="E128" s="4"/>
      <c r="F128" s="4"/>
      <c r="G128" s="4"/>
      <c r="H128" s="4"/>
      <c r="I128" s="4"/>
      <c r="J128" s="4"/>
      <c r="K128" s="4"/>
      <c r="L128" s="34"/>
      <c r="M128" s="4"/>
      <c r="N128" s="4"/>
      <c r="O128" s="4"/>
      <c r="P128" s="4"/>
      <c r="Q128" s="4"/>
      <c r="R128" s="4"/>
      <c r="S128" s="4"/>
    </row>
    <row r="129" spans="1:19" ht="15.75" customHeight="1">
      <c r="A129" s="13"/>
      <c r="B129" s="14"/>
      <c r="C129" s="4"/>
      <c r="D129" s="4"/>
      <c r="E129" s="4"/>
      <c r="F129" s="4"/>
      <c r="G129" s="4"/>
      <c r="H129" s="4"/>
      <c r="I129" s="4"/>
      <c r="J129" s="4"/>
      <c r="K129" s="4"/>
      <c r="L129" s="34"/>
      <c r="M129" s="4"/>
      <c r="N129" s="4"/>
      <c r="O129" s="4"/>
      <c r="P129" s="4"/>
      <c r="Q129" s="4"/>
      <c r="R129" s="4"/>
      <c r="S129" s="4"/>
    </row>
    <row r="130" spans="1:19" ht="15.75" customHeight="1">
      <c r="A130" s="13"/>
      <c r="B130" s="14"/>
      <c r="C130" s="4"/>
      <c r="D130" s="4"/>
      <c r="E130" s="4"/>
      <c r="F130" s="4"/>
      <c r="G130" s="4"/>
      <c r="H130" s="4"/>
      <c r="I130" s="4"/>
      <c r="J130" s="4"/>
      <c r="K130" s="4"/>
      <c r="L130" s="34"/>
      <c r="M130" s="4"/>
      <c r="N130" s="4"/>
      <c r="O130" s="4"/>
      <c r="P130" s="4"/>
      <c r="Q130" s="4"/>
      <c r="R130" s="4"/>
      <c r="S130" s="4"/>
    </row>
    <row r="131" spans="1:19" ht="15.75" customHeight="1">
      <c r="A131" s="13"/>
      <c r="B131" s="14"/>
      <c r="C131" s="4"/>
      <c r="D131" s="4"/>
      <c r="E131" s="4"/>
      <c r="F131" s="4"/>
      <c r="G131" s="4"/>
      <c r="H131" s="4"/>
      <c r="I131" s="4"/>
      <c r="J131" s="4"/>
      <c r="K131" s="4"/>
      <c r="L131" s="34"/>
      <c r="M131" s="4"/>
      <c r="N131" s="4"/>
      <c r="O131" s="4"/>
      <c r="P131" s="4"/>
      <c r="Q131" s="4"/>
      <c r="R131" s="4"/>
      <c r="S131" s="4"/>
    </row>
    <row r="132" spans="1:19" ht="15.75" customHeight="1">
      <c r="A132" s="13"/>
      <c r="B132" s="14"/>
      <c r="C132" s="4"/>
      <c r="D132" s="4"/>
      <c r="E132" s="4"/>
      <c r="F132" s="4"/>
      <c r="G132" s="4"/>
      <c r="H132" s="4"/>
      <c r="I132" s="4"/>
      <c r="J132" s="4"/>
      <c r="K132" s="4"/>
      <c r="L132" s="34"/>
      <c r="M132" s="4"/>
      <c r="N132" s="4"/>
      <c r="O132" s="4"/>
      <c r="P132" s="4"/>
      <c r="Q132" s="4"/>
      <c r="R132" s="4"/>
      <c r="S132" s="4"/>
    </row>
    <row r="133" spans="1:19" ht="15.75" customHeight="1">
      <c r="A133" s="13"/>
      <c r="B133" s="14"/>
      <c r="C133" s="4"/>
      <c r="D133" s="4"/>
      <c r="E133" s="4"/>
      <c r="F133" s="4"/>
      <c r="G133" s="4"/>
      <c r="H133" s="4"/>
      <c r="I133" s="4"/>
      <c r="J133" s="4"/>
      <c r="K133" s="4"/>
      <c r="L133" s="34"/>
      <c r="M133" s="4"/>
      <c r="N133" s="4"/>
      <c r="O133" s="4"/>
      <c r="P133" s="4"/>
      <c r="Q133" s="4"/>
      <c r="R133" s="4"/>
      <c r="S133" s="4"/>
    </row>
    <row r="134" spans="1:19" ht="15.75" customHeight="1">
      <c r="A134" s="13"/>
      <c r="B134" s="14"/>
      <c r="C134" s="4"/>
      <c r="D134" s="4"/>
      <c r="E134" s="4"/>
      <c r="F134" s="4"/>
      <c r="G134" s="4"/>
      <c r="H134" s="4"/>
      <c r="I134" s="4"/>
      <c r="J134" s="4"/>
      <c r="K134" s="4"/>
      <c r="L134" s="34"/>
      <c r="M134" s="4"/>
      <c r="N134" s="4"/>
      <c r="O134" s="4"/>
      <c r="P134" s="4"/>
      <c r="Q134" s="4"/>
      <c r="R134" s="4"/>
      <c r="S134" s="4"/>
    </row>
    <row r="135" spans="1:19" ht="15.75" customHeight="1">
      <c r="A135" s="13"/>
      <c r="B135" s="14"/>
      <c r="C135" s="4"/>
      <c r="D135" s="4"/>
      <c r="E135" s="4"/>
      <c r="F135" s="4"/>
      <c r="G135" s="4"/>
      <c r="H135" s="4"/>
      <c r="I135" s="4"/>
      <c r="J135" s="4"/>
      <c r="K135" s="4"/>
      <c r="L135" s="34"/>
      <c r="M135" s="4"/>
      <c r="N135" s="4"/>
      <c r="O135" s="4"/>
      <c r="P135" s="4"/>
      <c r="Q135" s="4"/>
      <c r="R135" s="4"/>
      <c r="S135" s="4"/>
    </row>
    <row r="136" spans="1:19" ht="15.75" customHeight="1">
      <c r="A136" s="13"/>
      <c r="B136" s="1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 ht="15.75" customHeight="1">
      <c r="A137" s="13"/>
      <c r="B137" s="14"/>
      <c r="S137" s="4"/>
    </row>
    <row r="138" spans="1:19" ht="15.75" customHeight="1">
      <c r="A138" s="13"/>
      <c r="B138" s="14"/>
    </row>
    <row r="139" spans="1:19" ht="15.75" customHeight="1">
      <c r="A139" s="13"/>
      <c r="B139" s="14"/>
    </row>
    <row r="140" spans="1:19" ht="15.75" customHeight="1">
      <c r="A140" s="13"/>
      <c r="B140" s="14"/>
    </row>
    <row r="141" spans="1:19" ht="15.75" customHeight="1">
      <c r="A141" s="13"/>
      <c r="B141" s="14"/>
    </row>
    <row r="142" spans="1:19" ht="15.75" customHeight="1">
      <c r="A142" s="13"/>
      <c r="B142" s="14"/>
    </row>
    <row r="143" spans="1:19" ht="15.75" customHeight="1">
      <c r="A143" s="21"/>
      <c r="B143" s="22"/>
    </row>
    <row r="144" spans="1:19" ht="15.75" customHeight="1">
      <c r="A144" s="21"/>
      <c r="B144" s="22"/>
    </row>
    <row r="145" spans="1:19" ht="15.75" customHeight="1">
      <c r="A145" s="21"/>
      <c r="B145" s="22"/>
    </row>
    <row r="146" spans="1:19" ht="15.75" customHeight="1">
      <c r="A146" s="21"/>
      <c r="B146" s="22"/>
    </row>
    <row r="147" spans="1:19" ht="15.75" customHeight="1">
      <c r="A147" s="21"/>
      <c r="B147" s="22"/>
    </row>
    <row r="148" spans="1:19" ht="15.75" customHeight="1">
      <c r="A148" s="21"/>
      <c r="B148" s="22"/>
    </row>
    <row r="149" spans="1:19" ht="15.75" customHeight="1">
      <c r="A149" s="21"/>
      <c r="B149" s="22"/>
    </row>
    <row r="150" spans="1:19" ht="15.75" customHeight="1">
      <c r="A150" s="13"/>
      <c r="B150" s="14"/>
    </row>
    <row r="151" spans="1:19" ht="15.75" customHeight="1">
      <c r="A151" s="13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9" ht="15.75" customHeight="1">
      <c r="A152" s="13"/>
      <c r="B152" s="14"/>
      <c r="C152" s="4"/>
      <c r="D152" s="4"/>
      <c r="E152" s="9"/>
      <c r="F152" s="4"/>
      <c r="G152" s="4"/>
      <c r="H152" s="9"/>
      <c r="I152" s="9"/>
      <c r="J152" s="9"/>
      <c r="K152" s="4"/>
      <c r="L152" s="34"/>
      <c r="M152" s="4"/>
      <c r="N152" s="4"/>
      <c r="O152" s="4"/>
      <c r="P152" s="4"/>
      <c r="Q152" s="4"/>
      <c r="R152" s="4"/>
    </row>
    <row r="153" spans="1:19" ht="15.75" customHeight="1">
      <c r="A153" s="13"/>
      <c r="B153" s="14"/>
      <c r="E153" s="9"/>
      <c r="H153" s="9"/>
      <c r="I153" s="9"/>
      <c r="J153" s="9"/>
      <c r="L153" s="34"/>
      <c r="R153" s="4"/>
    </row>
    <row r="154" spans="1:19" ht="15.75" customHeight="1">
      <c r="A154" s="13"/>
      <c r="B154" s="15"/>
      <c r="E154" s="9"/>
      <c r="H154" s="9"/>
      <c r="I154" s="9"/>
      <c r="J154" s="9"/>
      <c r="L154" s="34"/>
      <c r="R154" s="4"/>
    </row>
    <row r="155" spans="1:19" ht="15.75" customHeight="1">
      <c r="A155" s="13"/>
      <c r="B155" s="15"/>
      <c r="C155" s="4"/>
      <c r="D155" s="4"/>
      <c r="E155" s="9"/>
      <c r="F155" s="4"/>
      <c r="G155" s="4"/>
      <c r="H155" s="9"/>
      <c r="I155" s="9"/>
      <c r="J155" s="9"/>
      <c r="K155" s="4"/>
      <c r="L155" s="34"/>
      <c r="M155" s="4"/>
      <c r="N155" s="4"/>
      <c r="O155" s="4"/>
      <c r="P155" s="4"/>
      <c r="Q155" s="4"/>
      <c r="R155" s="4"/>
    </row>
    <row r="156" spans="1:19" ht="15.75" customHeight="1">
      <c r="A156" s="13"/>
      <c r="B156" s="15"/>
      <c r="C156" s="4"/>
      <c r="D156" s="4"/>
      <c r="E156" s="9"/>
      <c r="F156" s="4"/>
      <c r="G156" s="4"/>
      <c r="H156" s="9"/>
      <c r="I156" s="9"/>
      <c r="J156" s="9"/>
      <c r="K156" s="4"/>
      <c r="L156" s="34"/>
      <c r="M156" s="4"/>
      <c r="N156" s="4"/>
      <c r="O156" s="4"/>
      <c r="P156" s="4"/>
      <c r="Q156" s="4"/>
      <c r="R156" s="4"/>
    </row>
    <row r="157" spans="1:19" ht="15.75" customHeight="1">
      <c r="A157" s="13"/>
      <c r="B157" s="15"/>
      <c r="C157" s="4"/>
      <c r="D157" s="4"/>
      <c r="E157" s="9"/>
      <c r="F157" s="4"/>
      <c r="G157" s="4"/>
      <c r="H157" s="9"/>
      <c r="I157" s="9"/>
      <c r="J157" s="9"/>
      <c r="K157" s="4"/>
      <c r="L157" s="34"/>
      <c r="M157" s="4"/>
      <c r="N157" s="4"/>
      <c r="O157" s="4"/>
      <c r="P157" s="4"/>
      <c r="Q157" s="4"/>
      <c r="R157" s="4"/>
    </row>
    <row r="158" spans="1:19" ht="15.75" customHeight="1">
      <c r="A158" s="13"/>
      <c r="B158" s="15"/>
      <c r="E158" s="9"/>
      <c r="H158" s="9"/>
      <c r="I158" s="9"/>
      <c r="J158" s="9"/>
      <c r="L158" s="34"/>
      <c r="R158" s="4"/>
      <c r="S158" s="4"/>
    </row>
    <row r="159" spans="1:19" ht="15.75" customHeight="1">
      <c r="A159" s="13"/>
      <c r="B159" s="15"/>
      <c r="E159" s="9"/>
      <c r="H159" s="9"/>
      <c r="I159" s="9"/>
      <c r="J159" s="9"/>
      <c r="L159" s="34"/>
      <c r="R159" s="4"/>
    </row>
    <row r="160" spans="1:19" ht="15.75" customHeight="1">
      <c r="A160" s="13"/>
      <c r="B160" s="15"/>
      <c r="E160" s="9"/>
      <c r="H160" s="9"/>
      <c r="I160" s="9"/>
      <c r="J160" s="9"/>
      <c r="L160" s="34"/>
      <c r="R160" s="4"/>
    </row>
    <row r="161" spans="1:18" ht="15.75" customHeight="1">
      <c r="A161" s="13"/>
      <c r="B161" s="15"/>
      <c r="C161" s="4"/>
      <c r="D161" s="4"/>
      <c r="E161" s="9"/>
      <c r="F161" s="4"/>
      <c r="G161" s="4"/>
      <c r="H161" s="9"/>
      <c r="I161" s="9"/>
      <c r="J161" s="9"/>
      <c r="K161" s="4"/>
      <c r="L161" s="34"/>
      <c r="M161" s="4"/>
      <c r="N161" s="4"/>
      <c r="O161" s="4"/>
      <c r="P161" s="4"/>
      <c r="Q161" s="4"/>
      <c r="R161" s="4"/>
    </row>
    <row r="162" spans="1:18" ht="15.75" customHeight="1">
      <c r="A162" s="13"/>
      <c r="B162" s="15"/>
      <c r="C162" s="4"/>
      <c r="D162" s="4"/>
      <c r="E162" s="9"/>
      <c r="F162" s="9"/>
      <c r="G162" s="9"/>
      <c r="H162" s="9"/>
      <c r="I162" s="9"/>
      <c r="J162" s="9"/>
      <c r="K162" s="9"/>
      <c r="L162" s="34"/>
      <c r="M162" s="9"/>
      <c r="N162" s="9"/>
      <c r="O162" s="9"/>
      <c r="P162" s="9"/>
      <c r="Q162" s="34"/>
      <c r="R162" s="9"/>
    </row>
    <row r="163" spans="1:18" ht="15.75" customHeight="1">
      <c r="A163" s="13"/>
      <c r="B163" s="14"/>
      <c r="E163" s="9"/>
      <c r="F163" s="9"/>
      <c r="G163" s="9"/>
      <c r="H163" s="9"/>
      <c r="I163" s="9"/>
      <c r="J163" s="9"/>
      <c r="K163" s="9"/>
      <c r="L163" s="34"/>
      <c r="M163" s="9"/>
      <c r="N163" s="9"/>
      <c r="O163" s="9"/>
      <c r="P163" s="9"/>
      <c r="Q163" s="34"/>
      <c r="R163" s="9"/>
    </row>
    <row r="164" spans="1:18" ht="15.75" customHeight="1">
      <c r="A164" s="13"/>
      <c r="B164" s="15"/>
      <c r="E164" s="9"/>
      <c r="F164" s="9"/>
      <c r="G164" s="9"/>
      <c r="H164" s="9"/>
      <c r="I164" s="9"/>
      <c r="J164" s="9"/>
      <c r="K164" s="9"/>
      <c r="L164" s="34"/>
      <c r="M164" s="9"/>
      <c r="N164" s="9"/>
      <c r="O164" s="9"/>
      <c r="P164" s="9"/>
      <c r="Q164" s="34"/>
      <c r="R164" s="9"/>
    </row>
    <row r="165" spans="1:18" ht="15.75" customHeight="1">
      <c r="A165" s="13"/>
      <c r="B165" s="15"/>
      <c r="C165" s="4"/>
      <c r="D165" s="4"/>
      <c r="E165" s="9"/>
      <c r="F165" s="9"/>
      <c r="G165" s="9"/>
      <c r="H165" s="9"/>
      <c r="I165" s="9"/>
      <c r="J165" s="9"/>
      <c r="K165" s="9"/>
      <c r="L165" s="34"/>
      <c r="M165" s="9"/>
      <c r="N165" s="9"/>
      <c r="O165" s="9"/>
      <c r="P165" s="9"/>
      <c r="Q165" s="34"/>
      <c r="R165" s="9"/>
    </row>
    <row r="166" spans="1:18" ht="15.75" customHeight="1">
      <c r="A166" s="13"/>
      <c r="B166" s="15"/>
    </row>
    <row r="167" spans="1:18" ht="15.75" customHeight="1">
      <c r="A167" s="23"/>
      <c r="B167" s="15"/>
    </row>
    <row r="168" spans="1:18" ht="15.75" customHeight="1">
      <c r="A168" s="13"/>
      <c r="B168" s="14"/>
    </row>
    <row r="169" spans="1:18" ht="15.75" customHeight="1">
      <c r="A169" s="13"/>
      <c r="B169" s="14"/>
    </row>
    <row r="170" spans="1:18" ht="15.75" customHeight="1">
      <c r="A170" s="13"/>
      <c r="B170" s="14"/>
    </row>
    <row r="171" spans="1:18" ht="15.75" customHeight="1">
      <c r="A171" s="13"/>
      <c r="B171" s="14"/>
    </row>
    <row r="172" spans="1:18" ht="15.75" customHeight="1">
      <c r="A172" s="13"/>
      <c r="B172" s="14"/>
    </row>
    <row r="173" spans="1:18" ht="15.75" customHeight="1">
      <c r="A173" s="13"/>
      <c r="B173" s="14"/>
    </row>
    <row r="174" spans="1:18" ht="15.75" customHeight="1">
      <c r="A174" s="13"/>
      <c r="B174" s="14"/>
    </row>
    <row r="175" spans="1:18" ht="15.75" customHeight="1">
      <c r="A175" s="13"/>
      <c r="B175" s="14"/>
    </row>
    <row r="176" spans="1:18" ht="15.75" customHeight="1">
      <c r="A176" s="13"/>
      <c r="B176" s="14"/>
    </row>
    <row r="177" spans="1:18" ht="15.75" customHeight="1">
      <c r="A177" s="13"/>
      <c r="B177" s="14"/>
    </row>
    <row r="178" spans="1:18" ht="15.75" customHeight="1">
      <c r="A178" s="13"/>
      <c r="B178" s="14"/>
    </row>
    <row r="179" spans="1:18" ht="15.75" customHeight="1">
      <c r="A179" s="13"/>
      <c r="B179" s="14"/>
    </row>
    <row r="180" spans="1:18" ht="15.75" customHeight="1">
      <c r="A180" s="13"/>
      <c r="B180" s="14"/>
    </row>
    <row r="181" spans="1:18" ht="15.75" customHeight="1">
      <c r="A181" s="13"/>
      <c r="B181" s="14"/>
    </row>
    <row r="182" spans="1:18" ht="15.75" customHeight="1">
      <c r="A182" s="13"/>
      <c r="B182" s="14"/>
    </row>
    <row r="183" spans="1:18" ht="15.75" customHeight="1">
      <c r="A183" s="13"/>
      <c r="B183" s="14"/>
    </row>
    <row r="184" spans="1:18" ht="15.75" customHeight="1">
      <c r="A184" s="13"/>
      <c r="B184" s="14"/>
    </row>
    <row r="185" spans="1:18" ht="15.75" customHeight="1">
      <c r="A185" s="13"/>
      <c r="B185" s="14"/>
      <c r="C185" s="9"/>
      <c r="D185" s="9"/>
      <c r="E185" s="9"/>
      <c r="F185" s="9"/>
      <c r="G185" s="9"/>
      <c r="H185" s="9"/>
      <c r="I185" s="9"/>
      <c r="J185" s="9"/>
      <c r="K185" s="9"/>
      <c r="L185" s="34"/>
      <c r="M185" s="9"/>
      <c r="N185" s="9"/>
      <c r="O185" s="9"/>
      <c r="P185" s="9"/>
      <c r="Q185" s="34"/>
      <c r="R185" s="9"/>
    </row>
    <row r="186" spans="1:18" ht="15.75" customHeight="1">
      <c r="A186" s="13"/>
      <c r="B186" s="14"/>
      <c r="C186" s="9"/>
      <c r="D186" s="9"/>
      <c r="E186" s="9"/>
      <c r="F186" s="9"/>
      <c r="G186" s="9"/>
      <c r="H186" s="9"/>
      <c r="I186" s="9"/>
      <c r="J186" s="9"/>
      <c r="K186" s="9"/>
      <c r="L186" s="34"/>
      <c r="M186" s="9"/>
      <c r="N186" s="9"/>
      <c r="O186" s="9"/>
      <c r="P186" s="9"/>
      <c r="Q186" s="34"/>
      <c r="R186" s="9"/>
    </row>
    <row r="187" spans="1:18" ht="15.75" customHeight="1">
      <c r="A187" s="23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34"/>
      <c r="M187" s="9"/>
      <c r="N187" s="9"/>
      <c r="O187" s="9"/>
      <c r="P187" s="9"/>
      <c r="Q187" s="34"/>
      <c r="R187" s="9"/>
    </row>
    <row r="188" spans="1:18" ht="15.75" customHeight="1">
      <c r="A188" s="23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34"/>
      <c r="M188" s="9"/>
      <c r="N188" s="9"/>
      <c r="O188" s="9"/>
      <c r="P188" s="9"/>
      <c r="Q188" s="34"/>
      <c r="R188" s="9"/>
    </row>
    <row r="189" spans="1:18" ht="15.75" customHeight="1">
      <c r="A189" s="13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34"/>
      <c r="M189" s="9"/>
      <c r="N189" s="9"/>
      <c r="O189" s="9"/>
      <c r="P189" s="9"/>
      <c r="Q189" s="34"/>
      <c r="R189" s="9"/>
    </row>
    <row r="190" spans="1:18" ht="15.75" customHeight="1">
      <c r="A190" s="13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34"/>
      <c r="M190" s="9"/>
      <c r="N190" s="9"/>
      <c r="O190" s="9"/>
      <c r="P190" s="9"/>
      <c r="Q190" s="34"/>
      <c r="R190" s="9"/>
    </row>
    <row r="191" spans="1:18" ht="15.75" customHeight="1">
      <c r="A191" s="13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34"/>
      <c r="M191" s="9"/>
      <c r="N191" s="9"/>
      <c r="O191" s="9"/>
      <c r="P191" s="9"/>
      <c r="Q191" s="34"/>
      <c r="R191" s="9"/>
    </row>
    <row r="192" spans="1:18" ht="15.75" customHeight="1">
      <c r="A192" s="13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34"/>
      <c r="M192" s="9"/>
      <c r="N192" s="9"/>
      <c r="O192" s="9"/>
      <c r="P192" s="9"/>
      <c r="Q192" s="34"/>
      <c r="R192" s="9"/>
    </row>
    <row r="193" spans="1:18" ht="15.75" customHeight="1">
      <c r="A193" s="23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34"/>
      <c r="M193" s="9"/>
      <c r="N193" s="9"/>
      <c r="O193" s="9"/>
      <c r="P193" s="9"/>
      <c r="Q193" s="34"/>
      <c r="R193" s="9"/>
    </row>
    <row r="194" spans="1:18" ht="15.75" customHeight="1">
      <c r="A194" s="23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34"/>
      <c r="M194" s="9"/>
      <c r="N194" s="9"/>
      <c r="O194" s="9"/>
      <c r="P194" s="9"/>
      <c r="Q194" s="34"/>
      <c r="R194" s="9"/>
    </row>
    <row r="195" spans="1:18" ht="15.75" customHeight="1">
      <c r="A195" s="23"/>
      <c r="B195" s="15"/>
    </row>
    <row r="196" spans="1:18" ht="15.75" customHeight="1">
      <c r="A196" s="23"/>
      <c r="B196" s="15"/>
    </row>
    <row r="197" spans="1:18" ht="15.75" customHeight="1">
      <c r="A197" s="13"/>
      <c r="B197" s="14"/>
    </row>
    <row r="198" spans="1:18" ht="15.75" customHeight="1">
      <c r="A198" s="13"/>
      <c r="B198" s="14"/>
    </row>
    <row r="199" spans="1:18" ht="15.75" customHeight="1">
      <c r="A199" s="13"/>
      <c r="B199" s="14"/>
    </row>
    <row r="200" spans="1:18" ht="15.75" customHeight="1">
      <c r="A200" s="13"/>
      <c r="B200" s="14"/>
    </row>
    <row r="201" spans="1:18" ht="15.75" customHeight="1">
      <c r="A201" s="13"/>
      <c r="B201" s="14"/>
    </row>
    <row r="202" spans="1:18" ht="15.75" customHeight="1">
      <c r="A202" s="13"/>
      <c r="B202" s="14"/>
    </row>
    <row r="203" spans="1:18" ht="15.75" customHeight="1">
      <c r="A203" s="13"/>
      <c r="B203" s="14"/>
      <c r="C203" s="9"/>
      <c r="D203" s="9"/>
      <c r="E203" s="9"/>
      <c r="F203" s="9"/>
      <c r="G203" s="9"/>
      <c r="H203" s="9"/>
      <c r="I203" s="9"/>
      <c r="J203" s="9"/>
      <c r="K203" s="9"/>
      <c r="L203" s="34"/>
      <c r="M203" s="9"/>
      <c r="N203" s="9"/>
      <c r="O203" s="9"/>
      <c r="P203" s="9"/>
      <c r="Q203" s="34"/>
      <c r="R203" s="9"/>
    </row>
    <row r="204" spans="1:18" ht="15.75" customHeight="1">
      <c r="A204" s="13"/>
      <c r="B204" s="14"/>
      <c r="C204" s="9"/>
      <c r="D204" s="9"/>
      <c r="E204" s="9"/>
      <c r="F204" s="9"/>
      <c r="G204" s="9"/>
      <c r="H204" s="9"/>
      <c r="I204" s="9"/>
      <c r="J204" s="9"/>
      <c r="K204" s="9"/>
      <c r="L204" s="34"/>
      <c r="M204" s="9"/>
      <c r="N204" s="9"/>
      <c r="O204" s="9"/>
      <c r="P204" s="9"/>
      <c r="Q204" s="34"/>
      <c r="R204" s="9"/>
    </row>
    <row r="205" spans="1:18" ht="15.75" customHeight="1">
      <c r="A205" s="13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34"/>
      <c r="M205" s="9"/>
      <c r="N205" s="9"/>
      <c r="O205" s="9"/>
      <c r="P205" s="9"/>
      <c r="Q205" s="34"/>
      <c r="R205" s="9"/>
    </row>
    <row r="206" spans="1:18" ht="15.75" customHeight="1">
      <c r="A206" s="13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34"/>
      <c r="M206" s="9"/>
      <c r="N206" s="9"/>
      <c r="O206" s="9"/>
      <c r="P206" s="9"/>
      <c r="Q206" s="34"/>
      <c r="R206" s="9"/>
    </row>
    <row r="207" spans="1:18" ht="15.75" customHeight="1">
      <c r="A207" s="13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34"/>
      <c r="M207" s="9"/>
      <c r="N207" s="9"/>
      <c r="O207" s="9"/>
      <c r="P207" s="9"/>
      <c r="Q207" s="34"/>
      <c r="R207" s="9"/>
    </row>
    <row r="208" spans="1:18" ht="15.75" customHeight="1">
      <c r="A208" s="13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34"/>
      <c r="M208" s="9"/>
      <c r="N208" s="9"/>
      <c r="O208" s="9"/>
      <c r="P208" s="9"/>
      <c r="Q208" s="34"/>
      <c r="R208" s="9"/>
    </row>
    <row r="209" spans="1:18" ht="15.75" customHeight="1">
      <c r="A209" s="13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34"/>
      <c r="M209" s="9"/>
      <c r="N209" s="9"/>
      <c r="O209" s="9"/>
      <c r="P209" s="9"/>
      <c r="Q209" s="34"/>
      <c r="R209" s="9"/>
    </row>
    <row r="210" spans="1:18" ht="15.75" customHeight="1">
      <c r="A210" s="13"/>
      <c r="B210" s="15"/>
    </row>
    <row r="211" spans="1:18" ht="15.75" customHeight="1">
      <c r="A211" s="13"/>
      <c r="B211" s="15"/>
    </row>
    <row r="212" spans="1:18" ht="15.75" customHeight="1">
      <c r="A212" s="13"/>
      <c r="B212" s="14"/>
    </row>
    <row r="213" spans="1:18" ht="15.75" customHeight="1">
      <c r="A213" s="13"/>
      <c r="B213" s="14"/>
    </row>
    <row r="214" spans="1:18" ht="15.75" customHeight="1">
      <c r="A214" s="13"/>
      <c r="B214" s="14"/>
    </row>
    <row r="215" spans="1:18" ht="15.75" customHeight="1">
      <c r="A215" s="13"/>
      <c r="B215" s="14"/>
    </row>
    <row r="216" spans="1:18" ht="15.75" customHeight="1">
      <c r="A216" s="13"/>
      <c r="B216" s="14"/>
    </row>
    <row r="217" spans="1:18" ht="15.75" customHeight="1">
      <c r="A217" s="13"/>
      <c r="B217" s="14"/>
    </row>
    <row r="218" spans="1:18" ht="15.75" customHeight="1">
      <c r="A218" s="13"/>
      <c r="B218" s="14"/>
    </row>
    <row r="219" spans="1:18" ht="15.75" customHeight="1">
      <c r="A219" s="13"/>
      <c r="B219" s="14"/>
    </row>
    <row r="220" spans="1:18" ht="15.75" customHeight="1">
      <c r="A220" s="13"/>
      <c r="B220" s="14"/>
    </row>
    <row r="221" spans="1:18" ht="15.75" customHeight="1">
      <c r="A221" s="13"/>
      <c r="B221" s="14"/>
    </row>
    <row r="222" spans="1:18" ht="15.75" customHeight="1">
      <c r="A222" s="13"/>
      <c r="B222" s="14"/>
    </row>
    <row r="223" spans="1:18" ht="15.75" customHeight="1">
      <c r="A223" s="13"/>
      <c r="B223" s="14"/>
    </row>
    <row r="224" spans="1:18" ht="15.75" customHeight="1">
      <c r="A224" s="13"/>
      <c r="B224" s="14"/>
    </row>
    <row r="225" spans="1:19" ht="15.75" customHeight="1">
      <c r="A225" s="13"/>
      <c r="B225" s="14"/>
    </row>
    <row r="226" spans="1:19" ht="15.75" customHeight="1">
      <c r="A226" s="13"/>
      <c r="B226" s="14"/>
    </row>
    <row r="227" spans="1:19" ht="15.75" customHeight="1">
      <c r="A227" s="13"/>
      <c r="B227" s="14"/>
    </row>
    <row r="228" spans="1:19" ht="15.75" customHeight="1">
      <c r="A228" s="13"/>
      <c r="B228" s="14"/>
    </row>
    <row r="229" spans="1:19" ht="15.75" customHeight="1">
      <c r="A229" s="13"/>
      <c r="B229" s="14"/>
    </row>
    <row r="230" spans="1:19" ht="15.75" customHeight="1">
      <c r="A230" s="13"/>
      <c r="B230" s="14"/>
    </row>
    <row r="231" spans="1:19" ht="15.75" customHeight="1">
      <c r="A231" s="23"/>
      <c r="B231" s="15"/>
    </row>
    <row r="232" spans="1:19" ht="15.75" customHeight="1">
      <c r="A232" s="23"/>
      <c r="B232" s="15"/>
    </row>
    <row r="233" spans="1:19" ht="15.75" customHeight="1">
      <c r="A233" s="23"/>
      <c r="B233" s="15"/>
    </row>
    <row r="234" spans="1:19" ht="15.75" customHeight="1">
      <c r="A234" s="23"/>
      <c r="B234" s="15"/>
    </row>
    <row r="235" spans="1:19" ht="15.75" customHeight="1">
      <c r="A235" s="23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34"/>
      <c r="M235" s="9"/>
      <c r="N235" s="9"/>
      <c r="O235" s="9"/>
      <c r="P235" s="9"/>
      <c r="Q235" s="34"/>
      <c r="R235" s="9"/>
    </row>
    <row r="236" spans="1:19" ht="15.75" customHeight="1">
      <c r="A236" s="23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34"/>
      <c r="M236" s="9"/>
      <c r="N236" s="9"/>
      <c r="O236" s="9"/>
      <c r="P236" s="9"/>
      <c r="Q236" s="34"/>
      <c r="R236" s="9"/>
    </row>
    <row r="237" spans="1:19" ht="15.75" customHeight="1">
      <c r="A237" s="23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34"/>
      <c r="M237" s="9"/>
      <c r="N237" s="9"/>
      <c r="O237" s="9"/>
      <c r="P237" s="9"/>
      <c r="Q237" s="34"/>
      <c r="R237" s="9"/>
    </row>
    <row r="238" spans="1:19" ht="15.75" customHeight="1">
      <c r="A238" s="23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34"/>
      <c r="M238" s="9"/>
      <c r="N238" s="9"/>
      <c r="O238" s="9"/>
      <c r="P238" s="9"/>
      <c r="Q238" s="34"/>
      <c r="R238" s="9"/>
    </row>
    <row r="239" spans="1:19" ht="15.75" customHeight="1">
      <c r="A239" s="23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34"/>
      <c r="M239" s="9"/>
      <c r="N239" s="9"/>
      <c r="O239" s="9"/>
      <c r="P239" s="9"/>
      <c r="Q239" s="34"/>
      <c r="R239" s="9"/>
      <c r="S239" s="4"/>
    </row>
    <row r="240" spans="1:19" ht="15.75" customHeight="1">
      <c r="A240" s="23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34"/>
      <c r="M240" s="9"/>
      <c r="N240" s="9"/>
      <c r="O240" s="9"/>
      <c r="P240" s="9"/>
      <c r="Q240" s="34"/>
      <c r="R240" s="9"/>
    </row>
    <row r="241" spans="1:18" ht="15.75" customHeight="1">
      <c r="A241" s="23"/>
      <c r="B241" s="15"/>
    </row>
    <row r="242" spans="1:18" ht="15.75" customHeight="1">
      <c r="A242" s="23"/>
      <c r="B242" s="15"/>
    </row>
    <row r="243" spans="1:18" ht="15.75" customHeight="1">
      <c r="A243" s="13"/>
      <c r="B243" s="14"/>
    </row>
    <row r="244" spans="1:18" ht="15.75" customHeight="1">
      <c r="A244" s="13"/>
      <c r="B244" s="14"/>
    </row>
    <row r="245" spans="1:18" ht="15.75" customHeight="1">
      <c r="A245" s="13"/>
      <c r="B245" s="14"/>
    </row>
    <row r="246" spans="1:18" ht="15.75" customHeight="1">
      <c r="A246" s="13"/>
      <c r="B246" s="14"/>
    </row>
    <row r="247" spans="1:18" ht="15.75" customHeight="1">
      <c r="A247" s="13"/>
      <c r="B247" s="14"/>
    </row>
    <row r="248" spans="1:18" ht="15.75" customHeight="1">
      <c r="A248" s="13"/>
      <c r="B248" s="14"/>
    </row>
    <row r="249" spans="1:18" ht="15.75" customHeight="1">
      <c r="A249" s="13"/>
      <c r="B249" s="14"/>
    </row>
    <row r="250" spans="1:18" ht="15.75" customHeight="1">
      <c r="A250" s="13"/>
      <c r="B250" s="14"/>
    </row>
    <row r="251" spans="1:18" ht="15.75" customHeight="1">
      <c r="A251" s="13"/>
      <c r="B251" s="14"/>
    </row>
    <row r="252" spans="1:18" ht="15.75" customHeight="1">
      <c r="A252" s="13"/>
      <c r="B252" s="14"/>
    </row>
    <row r="253" spans="1:18" ht="15.75" customHeight="1">
      <c r="A253" s="13"/>
      <c r="B253" s="14"/>
    </row>
    <row r="254" spans="1:18" ht="15.75" customHeight="1">
      <c r="A254" s="13"/>
      <c r="B254" s="14"/>
      <c r="C254" s="9"/>
      <c r="D254" s="9"/>
      <c r="E254" s="9"/>
      <c r="F254" s="9"/>
      <c r="G254" s="9"/>
      <c r="H254" s="9"/>
      <c r="I254" s="9"/>
      <c r="J254" s="9"/>
      <c r="K254" s="9"/>
      <c r="L254" s="34"/>
      <c r="M254" s="9"/>
      <c r="N254" s="9"/>
      <c r="O254" s="9"/>
      <c r="P254" s="9"/>
      <c r="Q254" s="34"/>
      <c r="R254" s="9"/>
    </row>
    <row r="255" spans="1:18" ht="15.75" customHeight="1">
      <c r="A255" s="13"/>
      <c r="B255" s="14"/>
      <c r="C255" s="9"/>
      <c r="D255" s="9"/>
      <c r="E255" s="9"/>
      <c r="F255" s="9"/>
      <c r="G255" s="9"/>
      <c r="H255" s="9"/>
      <c r="I255" s="9"/>
      <c r="J255" s="9"/>
      <c r="K255" s="9"/>
      <c r="L255" s="34"/>
      <c r="M255" s="9"/>
      <c r="N255" s="9"/>
      <c r="O255" s="9"/>
      <c r="P255" s="9"/>
      <c r="Q255" s="34"/>
      <c r="R255" s="9"/>
    </row>
    <row r="256" spans="1:18" ht="15.75" customHeight="1">
      <c r="A256" s="23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34"/>
      <c r="M256" s="9"/>
      <c r="N256" s="9"/>
      <c r="O256" s="9"/>
      <c r="P256" s="9"/>
      <c r="Q256" s="34"/>
      <c r="R256" s="9"/>
    </row>
    <row r="257" spans="1:19" ht="15.75" customHeight="1">
      <c r="A257" s="23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34"/>
      <c r="M257" s="9"/>
      <c r="N257" s="9"/>
      <c r="O257" s="9"/>
      <c r="P257" s="9"/>
      <c r="Q257" s="34"/>
      <c r="R257" s="9"/>
    </row>
    <row r="258" spans="1:19" ht="15.75" customHeight="1">
      <c r="A258" s="23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34"/>
      <c r="M258" s="9"/>
      <c r="N258" s="9"/>
      <c r="O258" s="9"/>
      <c r="P258" s="9"/>
      <c r="Q258" s="34"/>
      <c r="R258" s="9"/>
    </row>
    <row r="259" spans="1:19" ht="15.75" customHeight="1">
      <c r="A259" s="23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34"/>
      <c r="M259" s="9"/>
      <c r="N259" s="9"/>
      <c r="O259" s="9"/>
      <c r="P259" s="9"/>
      <c r="Q259" s="34"/>
      <c r="R259" s="9"/>
      <c r="S259" s="4"/>
    </row>
    <row r="260" spans="1:19" ht="15.75" customHeight="1">
      <c r="A260" s="23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34"/>
      <c r="M260" s="9"/>
      <c r="N260" s="9"/>
      <c r="O260" s="9"/>
      <c r="P260" s="9"/>
      <c r="Q260" s="34"/>
      <c r="R260" s="9"/>
      <c r="S260" s="4"/>
    </row>
    <row r="261" spans="1:19" ht="15.75" customHeight="1">
      <c r="A261" s="23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34"/>
      <c r="M261" s="9"/>
      <c r="N261" s="9"/>
      <c r="O261" s="9"/>
      <c r="P261" s="9"/>
      <c r="Q261" s="34"/>
      <c r="R261" s="9"/>
    </row>
    <row r="262" spans="1:19" ht="15.75" customHeight="1">
      <c r="A262" s="23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34"/>
      <c r="M262" s="9"/>
      <c r="N262" s="9"/>
      <c r="O262" s="9"/>
      <c r="P262" s="9"/>
      <c r="Q262" s="34"/>
      <c r="R262" s="9"/>
    </row>
    <row r="263" spans="1:19" ht="15.75" customHeight="1">
      <c r="A263" s="23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34"/>
      <c r="M263" s="9"/>
      <c r="N263" s="9"/>
      <c r="O263" s="9"/>
      <c r="P263" s="9"/>
      <c r="Q263" s="34"/>
      <c r="R263" s="9"/>
    </row>
    <row r="264" spans="1:19" ht="15.75" customHeight="1">
      <c r="A264" s="23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34"/>
      <c r="M264" s="9"/>
      <c r="N264" s="9"/>
      <c r="O264" s="9"/>
      <c r="P264" s="9"/>
      <c r="Q264" s="34"/>
      <c r="R264" s="9"/>
    </row>
    <row r="265" spans="1:19" ht="15.75" customHeight="1">
      <c r="A265" s="23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34"/>
      <c r="M265" s="9"/>
      <c r="N265" s="9"/>
      <c r="O265" s="9"/>
      <c r="P265" s="9"/>
      <c r="Q265" s="34"/>
      <c r="R265" s="9"/>
    </row>
    <row r="266" spans="1:19" ht="15.75" customHeight="1">
      <c r="A266" s="23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34"/>
      <c r="M266" s="9"/>
      <c r="N266" s="9"/>
      <c r="O266" s="9"/>
      <c r="P266" s="9"/>
      <c r="Q266" s="34"/>
      <c r="R266" s="9"/>
    </row>
    <row r="267" spans="1:19" ht="15.75" customHeight="1">
      <c r="A267" s="23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34"/>
      <c r="M267" s="9"/>
      <c r="N267" s="9"/>
      <c r="O267" s="9"/>
      <c r="P267" s="9"/>
      <c r="Q267" s="34"/>
      <c r="R267" s="9"/>
    </row>
    <row r="268" spans="1:19" ht="15.75" customHeight="1">
      <c r="A268" s="23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34"/>
      <c r="M268" s="9"/>
      <c r="N268" s="9"/>
      <c r="O268" s="9"/>
      <c r="P268" s="9"/>
      <c r="Q268" s="9"/>
      <c r="R268" s="9"/>
    </row>
    <row r="269" spans="1:19" ht="15.75" customHeight="1">
      <c r="A269" s="23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34"/>
      <c r="M269" s="9"/>
      <c r="N269" s="9"/>
      <c r="O269" s="9"/>
      <c r="P269" s="9"/>
      <c r="Q269" s="9"/>
      <c r="R269" s="9"/>
    </row>
    <row r="270" spans="1:19" ht="15.75" customHeight="1">
      <c r="A270" s="23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34"/>
      <c r="M270" s="9"/>
      <c r="N270" s="9"/>
      <c r="O270" s="9"/>
      <c r="P270" s="9"/>
      <c r="Q270" s="9"/>
      <c r="R270" s="9"/>
      <c r="S270" s="4"/>
    </row>
    <row r="271" spans="1:19" ht="15.75" customHeight="1">
      <c r="A271" s="23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34"/>
      <c r="M271" s="9"/>
      <c r="N271" s="9"/>
      <c r="O271" s="9"/>
      <c r="P271" s="9"/>
      <c r="Q271" s="9"/>
      <c r="R271" s="9"/>
      <c r="S271" s="4"/>
    </row>
    <row r="272" spans="1:19" ht="15.75" customHeight="1">
      <c r="A272" s="23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34"/>
      <c r="M272" s="9"/>
      <c r="N272" s="9"/>
      <c r="O272" s="9"/>
      <c r="P272" s="9"/>
      <c r="Q272" s="9"/>
      <c r="R272" s="9"/>
      <c r="S272" s="4"/>
    </row>
    <row r="273" spans="1:19" ht="15.75" customHeight="1">
      <c r="A273" s="23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34"/>
      <c r="M273" s="9"/>
      <c r="N273" s="9"/>
      <c r="O273" s="9"/>
      <c r="P273" s="9"/>
      <c r="Q273" s="9"/>
      <c r="R273" s="9"/>
      <c r="S273" s="4"/>
    </row>
    <row r="274" spans="1:19" ht="15.75" customHeight="1">
      <c r="A274" s="23"/>
      <c r="B274" s="15"/>
      <c r="C274" s="4"/>
      <c r="D274" s="4"/>
      <c r="E274" s="4"/>
      <c r="F274" s="4"/>
      <c r="G274" s="4"/>
      <c r="H274" s="9"/>
      <c r="I274" s="9"/>
      <c r="J274" s="9"/>
      <c r="K274" s="9"/>
      <c r="L274" s="34"/>
      <c r="M274" s="9"/>
      <c r="N274" s="4"/>
      <c r="O274" s="4"/>
      <c r="P274" s="4"/>
      <c r="Q274" s="4"/>
      <c r="R274" s="4"/>
      <c r="S274" s="4"/>
    </row>
    <row r="275" spans="1:19" ht="15.75" customHeight="1">
      <c r="A275" s="23"/>
      <c r="B275" s="1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1:19" ht="15.75" customHeight="1">
      <c r="A276" s="23"/>
      <c r="B276" s="1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 ht="15.75" customHeight="1">
      <c r="A277" s="23"/>
      <c r="B277" s="1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 ht="15.75" customHeight="1">
      <c r="A278" s="23"/>
      <c r="B278" s="1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 ht="15.75" customHeight="1">
      <c r="A279" s="23"/>
      <c r="B279" s="1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 ht="15.75" customHeight="1">
      <c r="A280" s="23"/>
      <c r="B280" s="1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 ht="15.75" customHeight="1">
      <c r="A281" s="23"/>
      <c r="B281" s="1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 ht="15.75" customHeight="1">
      <c r="A282" s="23"/>
      <c r="B282" s="1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 ht="15.75" customHeight="1">
      <c r="A283" s="23"/>
      <c r="B283" s="1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 ht="15.75" customHeight="1">
      <c r="A284" s="23"/>
      <c r="B284" s="1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1:19" ht="15.75" customHeight="1">
      <c r="A285" s="23"/>
      <c r="B285" s="1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 ht="15.75" customHeight="1">
      <c r="A286" s="23"/>
      <c r="B286" s="1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1:19" ht="15.75" customHeight="1">
      <c r="A287" s="23"/>
      <c r="B287" s="1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 ht="15.75" customHeight="1">
      <c r="A288" s="23"/>
      <c r="B288" s="1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1:19" ht="15.75" customHeight="1">
      <c r="A289" s="13"/>
      <c r="B289" s="1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1:19" ht="15.75" customHeight="1">
      <c r="A290" s="13"/>
      <c r="B290" s="1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 ht="15.75" customHeight="1">
      <c r="A291" s="13"/>
      <c r="B291" s="1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 ht="15.75" customHeight="1">
      <c r="A292" s="13"/>
      <c r="B292" s="1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1:19" ht="15.75" customHeight="1">
      <c r="A293" s="13"/>
      <c r="B293" s="1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 ht="15.75" customHeight="1">
      <c r="A294" s="13"/>
      <c r="B294" s="1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1:19" ht="15.75" customHeight="1">
      <c r="A295" s="13"/>
      <c r="B295" s="1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1:19" ht="15.75" customHeight="1">
      <c r="A296" s="13"/>
      <c r="B296" s="1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1:19" ht="15.75" customHeight="1">
      <c r="A297" s="13"/>
      <c r="B297" s="1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1:19" ht="15.75" customHeight="1">
      <c r="A298" s="13"/>
      <c r="B298" s="1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1:19" ht="15.75" customHeight="1">
      <c r="A299" s="13"/>
      <c r="B299" s="1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1:19" ht="15.75" customHeight="1">
      <c r="A300" s="13"/>
      <c r="B300" s="1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1:19" ht="15.75" customHeight="1">
      <c r="A301" s="13"/>
      <c r="B301" s="1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1:19" ht="15.75" customHeight="1">
      <c r="A302" s="13"/>
      <c r="B302" s="1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1:19" ht="15.75" customHeight="1">
      <c r="A303" s="13"/>
      <c r="B303" s="1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1:19" ht="15.75" customHeight="1">
      <c r="A304" s="13"/>
      <c r="B304" s="1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 ht="15.75" customHeight="1">
      <c r="A305" s="13"/>
      <c r="B305" s="1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 ht="15.75" customHeight="1">
      <c r="A306" s="13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34"/>
      <c r="M306" s="9"/>
      <c r="N306" s="9"/>
      <c r="O306" s="9"/>
      <c r="P306" s="9"/>
      <c r="Q306" s="34"/>
      <c r="R306" s="9"/>
      <c r="S306" s="4"/>
    </row>
    <row r="307" spans="1:19" ht="15.75" customHeight="1">
      <c r="A307" s="13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34"/>
      <c r="M307" s="9"/>
      <c r="N307" s="9"/>
      <c r="O307" s="9"/>
      <c r="P307" s="9"/>
      <c r="Q307" s="34"/>
      <c r="R307" s="9"/>
      <c r="S307" s="4"/>
    </row>
    <row r="308" spans="1:19" ht="15.75" customHeight="1">
      <c r="A308" s="13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34"/>
      <c r="M308" s="9"/>
      <c r="N308" s="9"/>
      <c r="O308" s="9"/>
      <c r="P308" s="9"/>
      <c r="Q308" s="34"/>
      <c r="R308" s="9"/>
    </row>
    <row r="309" spans="1:19" ht="15.75" customHeight="1">
      <c r="A309" s="13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34"/>
      <c r="M309" s="9"/>
      <c r="N309" s="9"/>
      <c r="O309" s="9"/>
      <c r="P309" s="9"/>
      <c r="Q309" s="34"/>
      <c r="R309" s="9"/>
    </row>
    <row r="310" spans="1:19" ht="15.75" customHeight="1">
      <c r="A310" s="13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34"/>
      <c r="M310" s="9"/>
      <c r="N310" s="9"/>
      <c r="O310" s="9"/>
      <c r="P310" s="9"/>
      <c r="Q310" s="34"/>
      <c r="R310" s="9"/>
    </row>
    <row r="311" spans="1:19" ht="15.75" customHeight="1">
      <c r="A311" s="13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34"/>
      <c r="M311" s="9"/>
      <c r="N311" s="9"/>
      <c r="O311" s="9"/>
      <c r="P311" s="9"/>
      <c r="Q311" s="34"/>
      <c r="R311" s="9"/>
    </row>
    <row r="312" spans="1:19" ht="15.75" customHeight="1">
      <c r="A312" s="13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34"/>
      <c r="M312" s="9"/>
      <c r="N312" s="9"/>
      <c r="O312" s="9"/>
      <c r="P312" s="9"/>
      <c r="Q312" s="34"/>
      <c r="R312" s="9"/>
    </row>
    <row r="313" spans="1:19" ht="15.75" customHeight="1">
      <c r="A313" s="13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34"/>
      <c r="M313" s="9"/>
      <c r="N313" s="9"/>
      <c r="O313" s="9"/>
      <c r="P313" s="9"/>
      <c r="Q313" s="34"/>
      <c r="R313" s="9"/>
      <c r="S313" s="4"/>
    </row>
    <row r="314" spans="1:19" ht="15.75" customHeight="1">
      <c r="A314" s="13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34"/>
      <c r="M314" s="9"/>
      <c r="N314" s="9"/>
      <c r="O314" s="9"/>
      <c r="P314" s="9"/>
      <c r="Q314" s="34"/>
      <c r="R314" s="9"/>
      <c r="S314" s="4"/>
    </row>
    <row r="315" spans="1:19" ht="15.75" customHeight="1">
      <c r="A315" s="13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34"/>
      <c r="M315" s="9"/>
      <c r="N315" s="9"/>
      <c r="O315" s="9"/>
      <c r="P315" s="9"/>
      <c r="Q315" s="34"/>
      <c r="R315" s="9"/>
      <c r="S315" s="4"/>
    </row>
    <row r="316" spans="1:19" ht="15.75" customHeight="1">
      <c r="A316" s="13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34"/>
      <c r="M316" s="9"/>
      <c r="N316" s="9"/>
      <c r="O316" s="9"/>
      <c r="P316" s="9"/>
      <c r="Q316" s="34"/>
      <c r="R316" s="9"/>
      <c r="S316" s="4"/>
    </row>
    <row r="317" spans="1:19" ht="15.75" customHeight="1">
      <c r="A317" s="13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34"/>
      <c r="M317" s="9"/>
      <c r="N317" s="9"/>
      <c r="O317" s="9"/>
      <c r="P317" s="9"/>
      <c r="Q317" s="34"/>
      <c r="R317" s="9"/>
      <c r="S317" s="4"/>
    </row>
    <row r="318" spans="1:19" ht="15.75" customHeight="1">
      <c r="A318" s="13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34"/>
      <c r="M318" s="9"/>
      <c r="N318" s="9"/>
      <c r="O318" s="9"/>
      <c r="P318" s="9"/>
      <c r="Q318" s="34"/>
      <c r="R318" s="9"/>
      <c r="S318" s="4"/>
    </row>
    <row r="319" spans="1:19" ht="15.75" customHeight="1">
      <c r="A319" s="13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34"/>
      <c r="M319" s="9"/>
      <c r="N319" s="9"/>
      <c r="O319" s="9"/>
      <c r="P319" s="9"/>
      <c r="Q319" s="34"/>
      <c r="R319" s="9"/>
      <c r="S319" s="4"/>
    </row>
    <row r="320" spans="1:19" ht="15.75" customHeight="1">
      <c r="A320" s="13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34"/>
      <c r="M320" s="9"/>
      <c r="N320" s="9"/>
      <c r="O320" s="9"/>
      <c r="P320" s="9"/>
      <c r="Q320" s="34"/>
      <c r="R320" s="9"/>
      <c r="S320" s="4"/>
    </row>
    <row r="321" spans="1:19" ht="15.75" customHeight="1">
      <c r="A321" s="13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34"/>
      <c r="M321" s="9"/>
      <c r="N321" s="9"/>
      <c r="O321" s="9"/>
      <c r="P321" s="9"/>
      <c r="Q321" s="34"/>
      <c r="R321" s="9"/>
      <c r="S321" s="4"/>
    </row>
    <row r="322" spans="1:19" ht="15.75" customHeight="1">
      <c r="A322" s="13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34"/>
      <c r="M322" s="9"/>
      <c r="N322" s="9"/>
      <c r="O322" s="9"/>
      <c r="P322" s="9"/>
      <c r="Q322" s="34"/>
      <c r="R322" s="9"/>
      <c r="S322" s="4"/>
    </row>
    <row r="323" spans="1:19" ht="15.75" customHeight="1">
      <c r="A323" s="13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34"/>
      <c r="M323" s="9"/>
      <c r="N323" s="9"/>
      <c r="O323" s="9"/>
      <c r="P323" s="9"/>
      <c r="Q323" s="34"/>
      <c r="R323" s="9"/>
      <c r="S323" s="4"/>
    </row>
    <row r="324" spans="1:19" ht="15.75" customHeight="1">
      <c r="A324" s="13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34"/>
      <c r="M324" s="9"/>
      <c r="N324" s="9"/>
      <c r="O324" s="9"/>
      <c r="P324" s="9"/>
      <c r="Q324" s="34"/>
      <c r="R324" s="9"/>
      <c r="S324" s="4"/>
    </row>
    <row r="325" spans="1:19" ht="15.75" customHeight="1">
      <c r="A325" s="13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34"/>
      <c r="M325" s="9"/>
      <c r="N325" s="9"/>
      <c r="O325" s="9"/>
      <c r="P325" s="9"/>
      <c r="Q325" s="34"/>
      <c r="R325" s="9"/>
      <c r="S325" s="4"/>
    </row>
    <row r="326" spans="1:19" ht="15.75" customHeight="1">
      <c r="A326" s="23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34"/>
      <c r="M326" s="9"/>
      <c r="N326" s="9"/>
      <c r="O326" s="9"/>
      <c r="P326" s="9"/>
      <c r="Q326" s="34"/>
      <c r="R326" s="9"/>
      <c r="S326" s="4"/>
    </row>
    <row r="327" spans="1:19" ht="15.75" customHeight="1">
      <c r="A327" s="23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34"/>
      <c r="M327" s="9"/>
      <c r="N327" s="9"/>
      <c r="O327" s="9"/>
      <c r="P327" s="9"/>
      <c r="Q327" s="34"/>
      <c r="R327" s="9"/>
      <c r="S327" s="4"/>
    </row>
    <row r="328" spans="1:19" ht="15.75" customHeight="1">
      <c r="A328" s="23"/>
      <c r="B328" s="15"/>
      <c r="R328" s="4"/>
    </row>
    <row r="329" spans="1:19" ht="15.75" customHeight="1">
      <c r="A329" s="23"/>
      <c r="B329" s="15"/>
      <c r="R329" s="4"/>
    </row>
    <row r="330" spans="1:19" ht="15.75" customHeight="1">
      <c r="A330" s="13"/>
      <c r="B330" s="14"/>
      <c r="R330" s="4"/>
      <c r="S330" s="4"/>
    </row>
    <row r="331" spans="1:19" ht="15.75" customHeight="1">
      <c r="A331" s="13"/>
      <c r="B331" s="14"/>
      <c r="R331" s="4"/>
      <c r="S331" s="4"/>
    </row>
    <row r="332" spans="1:19" ht="15.75" customHeight="1">
      <c r="A332" s="13"/>
      <c r="B332" s="1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 ht="15.75" customHeight="1">
      <c r="A333" s="13"/>
      <c r="B333" s="14"/>
      <c r="C333" s="18"/>
      <c r="D333" s="18"/>
      <c r="E333" s="9"/>
      <c r="F333" s="18"/>
      <c r="G333" s="9"/>
      <c r="H333" s="9"/>
      <c r="I333" s="9"/>
      <c r="J333" s="9"/>
      <c r="K333" s="18"/>
      <c r="L333" s="9"/>
      <c r="M333" s="18"/>
      <c r="N333" s="18"/>
      <c r="O333" s="18"/>
      <c r="P333" s="18"/>
      <c r="Q333" s="18"/>
      <c r="R333" s="9"/>
      <c r="S333" s="4"/>
    </row>
    <row r="334" spans="1:19" ht="15.75" customHeight="1">
      <c r="A334" s="13"/>
      <c r="B334" s="14"/>
      <c r="C334" s="18"/>
      <c r="D334" s="18"/>
      <c r="E334" s="9"/>
      <c r="F334" s="18"/>
      <c r="G334" s="9"/>
      <c r="H334" s="9"/>
      <c r="I334" s="9"/>
      <c r="J334" s="9"/>
      <c r="K334" s="18"/>
      <c r="L334" s="9"/>
      <c r="M334" s="18"/>
      <c r="N334" s="18"/>
      <c r="O334" s="18"/>
      <c r="P334" s="18"/>
      <c r="Q334" s="18"/>
      <c r="R334" s="9"/>
      <c r="S334" s="4"/>
    </row>
    <row r="335" spans="1:19" ht="15.75" customHeight="1">
      <c r="A335" s="13"/>
      <c r="B335" s="14"/>
      <c r="C335" s="9"/>
      <c r="D335" s="9"/>
      <c r="E335" s="9"/>
      <c r="F335" s="9"/>
      <c r="G335" s="9"/>
      <c r="H335" s="9"/>
      <c r="I335" s="9"/>
      <c r="J335" s="9"/>
      <c r="K335" s="9"/>
      <c r="L335" s="34"/>
      <c r="M335" s="9"/>
      <c r="N335" s="9"/>
      <c r="O335" s="9"/>
      <c r="P335" s="9"/>
      <c r="Q335" s="9"/>
      <c r="R335" s="9"/>
      <c r="S335" s="4"/>
    </row>
    <row r="336" spans="1:19" ht="15.75" customHeight="1">
      <c r="A336" s="13"/>
      <c r="B336" s="14"/>
      <c r="C336" s="18"/>
      <c r="D336" s="18"/>
      <c r="E336" s="9"/>
      <c r="F336" s="18"/>
      <c r="G336" s="9"/>
      <c r="H336" s="9"/>
      <c r="I336" s="9"/>
      <c r="J336" s="9"/>
      <c r="K336" s="18"/>
      <c r="L336" s="9"/>
      <c r="M336" s="18"/>
      <c r="N336" s="18"/>
      <c r="O336" s="18"/>
      <c r="P336" s="18"/>
      <c r="Q336" s="18"/>
      <c r="R336" s="9"/>
      <c r="S336" s="4"/>
    </row>
    <row r="337" spans="1:19" ht="15.75" customHeight="1">
      <c r="A337" s="13"/>
      <c r="B337" s="14"/>
      <c r="C337" s="9"/>
      <c r="D337" s="9"/>
      <c r="E337" s="9"/>
      <c r="F337" s="9"/>
      <c r="G337" s="9"/>
      <c r="H337" s="9"/>
      <c r="I337" s="9"/>
      <c r="J337" s="9"/>
      <c r="K337" s="9"/>
      <c r="L337" s="34"/>
      <c r="M337" s="9"/>
      <c r="N337" s="9"/>
      <c r="O337" s="9"/>
      <c r="P337" s="9"/>
      <c r="Q337" s="9"/>
      <c r="R337" s="9"/>
      <c r="S337" s="4"/>
    </row>
    <row r="338" spans="1:19" ht="15.75" customHeight="1">
      <c r="A338" s="13"/>
      <c r="B338" s="14"/>
      <c r="C338" s="18"/>
      <c r="D338" s="18"/>
      <c r="E338" s="9"/>
      <c r="F338" s="18"/>
      <c r="G338" s="9"/>
      <c r="H338" s="9"/>
      <c r="I338" s="9"/>
      <c r="J338" s="9"/>
      <c r="K338" s="18"/>
      <c r="L338" s="9"/>
      <c r="M338" s="18"/>
      <c r="N338" s="18"/>
      <c r="O338" s="18"/>
      <c r="P338" s="18"/>
      <c r="Q338" s="18"/>
      <c r="R338" s="9"/>
      <c r="S338" s="4"/>
    </row>
    <row r="339" spans="1:19" ht="15.75" customHeight="1">
      <c r="A339" s="13"/>
      <c r="B339" s="1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1:19" ht="15.75" customHeight="1">
      <c r="A340" s="13"/>
      <c r="B340" s="1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1:19" ht="15.75" customHeight="1">
      <c r="A341" s="13"/>
      <c r="B341" s="1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1:19" ht="15.75" customHeight="1">
      <c r="A342" s="13"/>
      <c r="B342" s="1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1:19" ht="15.75" customHeight="1">
      <c r="A343" s="13"/>
      <c r="B343" s="1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 ht="15.75" customHeight="1">
      <c r="A344" s="13"/>
      <c r="B344" s="1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1:19" ht="15.75" customHeight="1">
      <c r="A345" s="13"/>
      <c r="B345" s="1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 ht="15.75" customHeight="1">
      <c r="A346" s="13"/>
      <c r="B346" s="1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1:19" ht="15.75" customHeight="1">
      <c r="A347" s="13"/>
      <c r="B347" s="14"/>
      <c r="C347" s="9"/>
      <c r="D347" s="9"/>
      <c r="E347" s="9"/>
      <c r="F347" s="9"/>
      <c r="G347" s="9"/>
      <c r="H347" s="9"/>
      <c r="I347" s="9"/>
      <c r="J347" s="9"/>
      <c r="K347" s="9"/>
      <c r="L347" s="34"/>
      <c r="M347" s="4"/>
      <c r="N347" s="4"/>
      <c r="O347" s="4"/>
      <c r="P347" s="4"/>
      <c r="Q347" s="4"/>
      <c r="R347" s="4"/>
      <c r="S347" s="4"/>
    </row>
    <row r="348" spans="1:19" ht="15.75" customHeight="1">
      <c r="A348" s="13"/>
      <c r="B348" s="14"/>
      <c r="S348" s="4"/>
    </row>
    <row r="349" spans="1:19" ht="15.75" customHeight="1">
      <c r="A349" s="13"/>
      <c r="B349" s="14"/>
    </row>
    <row r="350" spans="1:19" ht="15.75" customHeight="1">
      <c r="A350" s="18"/>
    </row>
    <row r="351" spans="1:19" ht="15.75" customHeight="1">
      <c r="A351" s="18"/>
    </row>
    <row r="352" spans="1:19" ht="15.75" customHeight="1">
      <c r="A352" s="18"/>
    </row>
    <row r="353" spans="1:1" ht="15.75" customHeight="1">
      <c r="A353" s="18"/>
    </row>
    <row r="354" spans="1:1" ht="15.75" customHeight="1">
      <c r="A354" s="18"/>
    </row>
    <row r="355" spans="1:1" ht="15.75" customHeight="1">
      <c r="A355" s="18"/>
    </row>
    <row r="356" spans="1:1" ht="15.75" customHeight="1">
      <c r="A356" s="18"/>
    </row>
    <row r="357" spans="1:1" ht="15.75" customHeight="1">
      <c r="A357" s="18"/>
    </row>
    <row r="358" spans="1:1" ht="15.75" customHeight="1">
      <c r="A358" s="18"/>
    </row>
    <row r="359" spans="1:1" ht="15.75" customHeight="1">
      <c r="A359" s="18"/>
    </row>
    <row r="360" spans="1:1" ht="15.75" customHeight="1">
      <c r="A360" s="18"/>
    </row>
    <row r="361" spans="1:1" ht="15.75" customHeight="1">
      <c r="A361" s="18"/>
    </row>
    <row r="362" spans="1:1" ht="15.75" customHeight="1">
      <c r="A362" s="18"/>
    </row>
    <row r="363" spans="1:1" ht="15.75" customHeight="1">
      <c r="A363" s="18"/>
    </row>
    <row r="364" spans="1:1" ht="15.75" customHeight="1">
      <c r="A364" s="18"/>
    </row>
    <row r="365" spans="1:1" ht="15.75" customHeight="1">
      <c r="A365" s="18"/>
    </row>
    <row r="366" spans="1:1" ht="15.75" customHeight="1">
      <c r="A366" s="18"/>
    </row>
    <row r="367" spans="1:1" ht="15.75" customHeight="1">
      <c r="A367" s="18"/>
    </row>
    <row r="368" spans="1:1" ht="15.75" customHeight="1">
      <c r="A368" s="18"/>
    </row>
    <row r="369" spans="1:1" ht="15.75" customHeight="1">
      <c r="A369" s="18"/>
    </row>
    <row r="370" spans="1:1" ht="15.75" customHeight="1">
      <c r="A370" s="18"/>
    </row>
    <row r="371" spans="1:1" ht="15.75" customHeight="1">
      <c r="A371" s="18"/>
    </row>
    <row r="372" spans="1:1" ht="15.75" customHeight="1">
      <c r="A372" s="18"/>
    </row>
    <row r="373" spans="1:1" ht="15.75" customHeight="1">
      <c r="A373" s="18"/>
    </row>
    <row r="374" spans="1:1" ht="15.75" customHeight="1">
      <c r="A374" s="18"/>
    </row>
    <row r="375" spans="1:1" ht="15.75" customHeight="1">
      <c r="A375" s="18"/>
    </row>
    <row r="376" spans="1:1" ht="15.75" customHeight="1">
      <c r="A376" s="18"/>
    </row>
    <row r="377" spans="1:1" ht="15.75" customHeight="1">
      <c r="A377" s="18"/>
    </row>
    <row r="378" spans="1:1" ht="15.75" customHeight="1">
      <c r="A378" s="18"/>
    </row>
    <row r="379" spans="1:1" ht="15.75" customHeight="1">
      <c r="A379" s="18"/>
    </row>
    <row r="380" spans="1:1" ht="15.75" customHeight="1">
      <c r="A380" s="18"/>
    </row>
    <row r="381" spans="1:1" ht="15.75" customHeight="1">
      <c r="A381" s="18"/>
    </row>
    <row r="382" spans="1:1" ht="15.75" customHeight="1">
      <c r="A382" s="18"/>
    </row>
    <row r="383" spans="1:1" ht="15.75" customHeight="1">
      <c r="A383" s="18"/>
    </row>
    <row r="384" spans="1:1" ht="15.75" customHeight="1">
      <c r="A384" s="18"/>
    </row>
    <row r="385" spans="1:1" ht="15.75" customHeight="1">
      <c r="A385" s="18"/>
    </row>
    <row r="386" spans="1:1" ht="15.75" customHeight="1">
      <c r="A386" s="18"/>
    </row>
    <row r="387" spans="1:1" ht="15.75" customHeight="1">
      <c r="A387" s="18"/>
    </row>
    <row r="388" spans="1:1" ht="15.75" customHeight="1">
      <c r="A388" s="18"/>
    </row>
    <row r="389" spans="1:1" ht="15.75" customHeight="1">
      <c r="A389" s="18"/>
    </row>
    <row r="390" spans="1:1" ht="15.75" customHeight="1">
      <c r="A390" s="18"/>
    </row>
    <row r="391" spans="1:1" ht="15.75" customHeight="1">
      <c r="A391" s="18"/>
    </row>
    <row r="392" spans="1:1" ht="15.75" customHeight="1">
      <c r="A392" s="18"/>
    </row>
    <row r="393" spans="1:1" ht="15.75" customHeight="1">
      <c r="A393" s="18"/>
    </row>
    <row r="394" spans="1:1" ht="15.75" customHeight="1">
      <c r="A394" s="18"/>
    </row>
    <row r="395" spans="1:1" ht="15.75" customHeight="1">
      <c r="A395" s="18"/>
    </row>
    <row r="396" spans="1:1" ht="15.75" customHeight="1">
      <c r="A396" s="18"/>
    </row>
    <row r="397" spans="1:1" ht="15.75" customHeight="1">
      <c r="A397" s="18"/>
    </row>
    <row r="398" spans="1:1" ht="15.75" customHeight="1">
      <c r="A398" s="18"/>
    </row>
    <row r="399" spans="1:1" ht="15.75" customHeight="1">
      <c r="A399" s="18"/>
    </row>
    <row r="400" spans="1:1" ht="15.75" customHeight="1">
      <c r="A400" s="18"/>
    </row>
    <row r="401" spans="1:1" ht="15.75" customHeight="1">
      <c r="A401" s="18"/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spans="12:12" ht="15.75" customHeight="1">
      <c r="L1009" s="9"/>
    </row>
    <row r="1010" spans="12:12" ht="15.75" customHeight="1"/>
    <row r="1011" spans="12:12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K632"/>
  <sheetViews>
    <sheetView workbookViewId="0">
      <pane ySplit="1" topLeftCell="A8" activePane="bottomLeft" state="frozen"/>
      <selection pane="bottomLeft" activeCell="B1" sqref="B1:B38"/>
    </sheetView>
  </sheetViews>
  <sheetFormatPr defaultColWidth="12.5546875" defaultRowHeight="15" customHeight="1"/>
  <cols>
    <col min="3" max="3" width="19.6640625" customWidth="1"/>
    <col min="4" max="4" width="22.44140625" customWidth="1"/>
    <col min="5" max="11" width="15.6640625" customWidth="1"/>
    <col min="12" max="12" width="23.109375" customWidth="1"/>
    <col min="13" max="13" width="9.88671875" customWidth="1"/>
    <col min="14" max="14" width="13.88671875" customWidth="1"/>
    <col min="15" max="15" width="19.109375" customWidth="1"/>
    <col min="16" max="17" width="19" customWidth="1"/>
    <col min="18" max="18" width="28.88671875" customWidth="1"/>
  </cols>
  <sheetData>
    <row r="1" spans="1:37" ht="14.4">
      <c r="A1" s="105" t="s">
        <v>9</v>
      </c>
      <c r="B1" s="106" t="s">
        <v>10</v>
      </c>
      <c r="C1" s="98" t="s">
        <v>84</v>
      </c>
      <c r="D1" s="98" t="s">
        <v>85</v>
      </c>
      <c r="E1" s="98" t="s">
        <v>86</v>
      </c>
      <c r="F1" s="98" t="s">
        <v>87</v>
      </c>
      <c r="G1" s="98" t="s">
        <v>88</v>
      </c>
      <c r="H1" s="98" t="s">
        <v>89</v>
      </c>
      <c r="I1" s="98" t="s">
        <v>90</v>
      </c>
      <c r="J1" s="98" t="s">
        <v>91</v>
      </c>
      <c r="K1" s="98" t="s">
        <v>92</v>
      </c>
      <c r="L1" s="98" t="s">
        <v>93</v>
      </c>
      <c r="M1" s="98" t="s">
        <v>94</v>
      </c>
      <c r="N1" s="98" t="s">
        <v>95</v>
      </c>
      <c r="O1" s="98" t="s">
        <v>96</v>
      </c>
      <c r="P1" s="98" t="s">
        <v>97</v>
      </c>
      <c r="Q1" s="98" t="s">
        <v>98</v>
      </c>
      <c r="R1" s="99" t="s">
        <v>99</v>
      </c>
    </row>
    <row r="2" spans="1:37" ht="14.4">
      <c r="A2" s="93">
        <v>1</v>
      </c>
      <c r="B2" s="94">
        <v>1</v>
      </c>
      <c r="C2" s="95" t="s">
        <v>100</v>
      </c>
      <c r="D2" s="95" t="s">
        <v>101</v>
      </c>
      <c r="E2" s="95" t="s">
        <v>102</v>
      </c>
      <c r="F2" s="95">
        <v>25</v>
      </c>
      <c r="G2" s="95"/>
      <c r="H2" s="95"/>
      <c r="I2" s="95"/>
      <c r="J2" s="95"/>
      <c r="K2" s="95" t="s">
        <v>103</v>
      </c>
      <c r="L2" s="95" t="s">
        <v>104</v>
      </c>
      <c r="M2" s="95">
        <v>190</v>
      </c>
      <c r="N2" s="95" t="s">
        <v>82</v>
      </c>
      <c r="O2" s="95"/>
      <c r="P2" s="95" t="s">
        <v>105</v>
      </c>
      <c r="Q2" s="95"/>
      <c r="R2" s="101"/>
      <c r="S2" s="90"/>
    </row>
    <row r="3" spans="1:37" ht="14.4">
      <c r="A3" s="92">
        <v>1</v>
      </c>
      <c r="B3" s="97">
        <v>2</v>
      </c>
      <c r="C3" s="96" t="s">
        <v>100</v>
      </c>
      <c r="D3" s="96" t="s">
        <v>101</v>
      </c>
      <c r="E3" s="96" t="s">
        <v>102</v>
      </c>
      <c r="F3" s="96">
        <v>25</v>
      </c>
      <c r="G3" s="96"/>
      <c r="H3" s="96"/>
      <c r="I3" s="96"/>
      <c r="J3" s="96"/>
      <c r="K3" s="96" t="s">
        <v>103</v>
      </c>
      <c r="L3" s="96" t="s">
        <v>104</v>
      </c>
      <c r="M3" s="96">
        <v>190</v>
      </c>
      <c r="N3" s="96" t="s">
        <v>82</v>
      </c>
      <c r="O3" s="96"/>
      <c r="P3" s="96" t="s">
        <v>105</v>
      </c>
      <c r="Q3" s="96"/>
      <c r="R3" s="102"/>
      <c r="S3" s="9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7" ht="14.4">
      <c r="A4" s="92">
        <v>1</v>
      </c>
      <c r="B4" s="97">
        <v>3</v>
      </c>
      <c r="C4" s="96" t="s">
        <v>100</v>
      </c>
      <c r="D4" s="96" t="s">
        <v>101</v>
      </c>
      <c r="E4" s="96" t="s">
        <v>102</v>
      </c>
      <c r="F4" s="96">
        <v>25</v>
      </c>
      <c r="G4" s="96"/>
      <c r="H4" s="96"/>
      <c r="I4" s="96"/>
      <c r="J4" s="96"/>
      <c r="K4" s="96" t="s">
        <v>103</v>
      </c>
      <c r="L4" s="96" t="s">
        <v>104</v>
      </c>
      <c r="M4" s="96">
        <v>190</v>
      </c>
      <c r="N4" s="96" t="s">
        <v>82</v>
      </c>
      <c r="O4" s="96"/>
      <c r="P4" s="96" t="s">
        <v>105</v>
      </c>
      <c r="Q4" s="96"/>
      <c r="R4" s="102"/>
      <c r="S4" s="9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14.4">
      <c r="A5" s="92">
        <v>1</v>
      </c>
      <c r="B5" s="97">
        <v>4</v>
      </c>
      <c r="C5" s="96" t="s">
        <v>100</v>
      </c>
      <c r="D5" s="96" t="s">
        <v>101</v>
      </c>
      <c r="E5" s="96" t="s">
        <v>102</v>
      </c>
      <c r="F5" s="96">
        <v>25</v>
      </c>
      <c r="G5" s="96"/>
      <c r="H5" s="96"/>
      <c r="I5" s="96"/>
      <c r="J5" s="96"/>
      <c r="K5" s="96" t="s">
        <v>103</v>
      </c>
      <c r="L5" s="96" t="s">
        <v>104</v>
      </c>
      <c r="M5" s="96">
        <v>190</v>
      </c>
      <c r="N5" s="96" t="s">
        <v>82</v>
      </c>
      <c r="O5" s="96"/>
      <c r="P5" s="96" t="s">
        <v>105</v>
      </c>
      <c r="Q5" s="96"/>
      <c r="R5" s="102"/>
      <c r="S5" s="91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5" customHeight="1">
      <c r="A6" s="139">
        <v>2</v>
      </c>
      <c r="B6" s="140">
        <v>1</v>
      </c>
      <c r="C6" s="141" t="s">
        <v>100</v>
      </c>
      <c r="D6" s="141" t="s">
        <v>101</v>
      </c>
      <c r="E6" s="141" t="s">
        <v>102</v>
      </c>
      <c r="F6" s="141">
        <v>20</v>
      </c>
      <c r="G6" s="141">
        <v>1</v>
      </c>
      <c r="H6" s="141"/>
      <c r="I6" s="141"/>
      <c r="J6" s="141"/>
      <c r="K6" s="141" t="s">
        <v>103</v>
      </c>
      <c r="L6" s="141" t="s">
        <v>104</v>
      </c>
      <c r="M6" s="141">
        <v>20</v>
      </c>
      <c r="N6" s="141" t="s">
        <v>82</v>
      </c>
      <c r="O6" s="144"/>
      <c r="P6" s="141" t="s">
        <v>105</v>
      </c>
      <c r="Q6" s="145"/>
      <c r="R6" s="146"/>
      <c r="S6" s="91"/>
    </row>
    <row r="7" spans="1:37" ht="15" customHeight="1">
      <c r="A7" s="93">
        <v>3</v>
      </c>
      <c r="B7" s="94" t="s">
        <v>154</v>
      </c>
      <c r="C7" s="96" t="s">
        <v>106</v>
      </c>
      <c r="D7" s="96" t="s">
        <v>107</v>
      </c>
      <c r="E7" s="96"/>
      <c r="F7" s="96"/>
      <c r="G7" s="96"/>
      <c r="H7" s="96"/>
      <c r="I7" s="96"/>
      <c r="J7" s="96"/>
      <c r="K7" s="96"/>
      <c r="L7" s="96" t="s">
        <v>104</v>
      </c>
      <c r="M7" s="96"/>
      <c r="N7" s="96" t="s">
        <v>82</v>
      </c>
      <c r="O7" s="96"/>
      <c r="P7" s="95" t="s">
        <v>105</v>
      </c>
      <c r="Q7" s="96"/>
      <c r="R7" s="117">
        <v>1</v>
      </c>
      <c r="S7" s="91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5" customHeight="1">
      <c r="A8" s="92">
        <v>3</v>
      </c>
      <c r="B8" s="97" t="s">
        <v>155</v>
      </c>
      <c r="C8" s="96" t="s">
        <v>106</v>
      </c>
      <c r="D8" s="96" t="s">
        <v>107</v>
      </c>
      <c r="E8" s="96"/>
      <c r="F8" s="96"/>
      <c r="G8" s="96"/>
      <c r="H8" s="96"/>
      <c r="I8" s="96"/>
      <c r="J8" s="96"/>
      <c r="K8" s="96"/>
      <c r="L8" s="96" t="s">
        <v>104</v>
      </c>
      <c r="M8" s="96"/>
      <c r="N8" s="96" t="s">
        <v>82</v>
      </c>
      <c r="O8" s="96"/>
      <c r="P8" s="96" t="s">
        <v>105</v>
      </c>
      <c r="Q8" s="96"/>
      <c r="R8" s="117">
        <v>1</v>
      </c>
      <c r="S8" s="4"/>
    </row>
    <row r="9" spans="1:37" ht="15" customHeight="1">
      <c r="A9" s="92">
        <v>3</v>
      </c>
      <c r="B9" s="97" t="s">
        <v>156</v>
      </c>
      <c r="C9" s="96" t="s">
        <v>106</v>
      </c>
      <c r="D9" s="96" t="s">
        <v>107</v>
      </c>
      <c r="E9" s="96"/>
      <c r="F9" s="96"/>
      <c r="G9" s="96"/>
      <c r="H9" s="96"/>
      <c r="I9" s="96"/>
      <c r="J9" s="96"/>
      <c r="K9" s="96"/>
      <c r="L9" s="96" t="s">
        <v>104</v>
      </c>
      <c r="M9" s="96"/>
      <c r="N9" s="96" t="s">
        <v>82</v>
      </c>
      <c r="O9" s="96"/>
      <c r="P9" s="96" t="s">
        <v>105</v>
      </c>
      <c r="Q9" s="96"/>
      <c r="R9" s="117">
        <v>1</v>
      </c>
      <c r="S9" s="4"/>
    </row>
    <row r="10" spans="1:37" ht="15" customHeight="1">
      <c r="A10" s="92">
        <v>3</v>
      </c>
      <c r="B10" s="97" t="s">
        <v>157</v>
      </c>
      <c r="C10" s="96" t="s">
        <v>106</v>
      </c>
      <c r="D10" s="96" t="s">
        <v>107</v>
      </c>
      <c r="E10" s="96"/>
      <c r="F10" s="96"/>
      <c r="G10" s="96"/>
      <c r="H10" s="96"/>
      <c r="I10" s="96"/>
      <c r="J10" s="96"/>
      <c r="K10" s="96"/>
      <c r="L10" s="96" t="s">
        <v>104</v>
      </c>
      <c r="M10" s="96"/>
      <c r="N10" s="96" t="s">
        <v>82</v>
      </c>
      <c r="O10" s="96"/>
      <c r="P10" s="96" t="s">
        <v>105</v>
      </c>
      <c r="Q10" s="96"/>
      <c r="R10" s="117">
        <v>1</v>
      </c>
      <c r="S10" s="4"/>
    </row>
    <row r="11" spans="1:37" ht="15" customHeight="1">
      <c r="A11" s="92">
        <v>3</v>
      </c>
      <c r="B11" s="97" t="s">
        <v>158</v>
      </c>
      <c r="C11" s="96" t="s">
        <v>106</v>
      </c>
      <c r="D11" s="96" t="s">
        <v>107</v>
      </c>
      <c r="E11" s="96"/>
      <c r="F11" s="96"/>
      <c r="G11" s="96"/>
      <c r="H11" s="96"/>
      <c r="I11" s="96"/>
      <c r="J11" s="96"/>
      <c r="K11" s="96"/>
      <c r="L11" s="96" t="s">
        <v>104</v>
      </c>
      <c r="M11" s="96"/>
      <c r="N11" s="96" t="s">
        <v>82</v>
      </c>
      <c r="O11" s="96"/>
      <c r="P11" s="96" t="s">
        <v>105</v>
      </c>
      <c r="Q11" s="96"/>
      <c r="R11" s="117">
        <v>1</v>
      </c>
      <c r="S11" s="4"/>
    </row>
    <row r="12" spans="1:37" ht="15" customHeight="1">
      <c r="A12" s="92">
        <v>3</v>
      </c>
      <c r="B12" s="97" t="s">
        <v>159</v>
      </c>
      <c r="C12" s="96" t="s">
        <v>106</v>
      </c>
      <c r="D12" s="96" t="s">
        <v>107</v>
      </c>
      <c r="E12" s="96"/>
      <c r="F12" s="96"/>
      <c r="G12" s="96"/>
      <c r="H12" s="96"/>
      <c r="I12" s="96"/>
      <c r="J12" s="96"/>
      <c r="K12" s="96"/>
      <c r="L12" s="96" t="s">
        <v>104</v>
      </c>
      <c r="M12" s="96"/>
      <c r="N12" s="96" t="s">
        <v>82</v>
      </c>
      <c r="O12" s="96"/>
      <c r="P12" s="96" t="s">
        <v>105</v>
      </c>
      <c r="Q12" s="96"/>
      <c r="R12" s="117">
        <v>1</v>
      </c>
      <c r="S12" s="4"/>
    </row>
    <row r="13" spans="1:37" ht="15" customHeight="1">
      <c r="A13" s="92">
        <v>3</v>
      </c>
      <c r="B13" s="97" t="s">
        <v>160</v>
      </c>
      <c r="C13" s="96" t="s">
        <v>106</v>
      </c>
      <c r="D13" s="96" t="s">
        <v>107</v>
      </c>
      <c r="E13" s="96"/>
      <c r="F13" s="96"/>
      <c r="G13" s="96"/>
      <c r="H13" s="96"/>
      <c r="I13" s="96"/>
      <c r="J13" s="96"/>
      <c r="K13" s="96"/>
      <c r="L13" s="96" t="s">
        <v>104</v>
      </c>
      <c r="M13" s="96"/>
      <c r="N13" s="96" t="s">
        <v>82</v>
      </c>
      <c r="O13" s="96"/>
      <c r="P13" s="96" t="s">
        <v>105</v>
      </c>
      <c r="Q13" s="96"/>
      <c r="R13" s="117">
        <v>1</v>
      </c>
      <c r="S13" s="4"/>
    </row>
    <row r="14" spans="1:37" ht="15" customHeight="1">
      <c r="A14" s="92">
        <v>3</v>
      </c>
      <c r="B14" s="97" t="s">
        <v>161</v>
      </c>
      <c r="C14" s="96" t="s">
        <v>106</v>
      </c>
      <c r="D14" s="96" t="s">
        <v>107</v>
      </c>
      <c r="E14" s="96"/>
      <c r="F14" s="96"/>
      <c r="G14" s="96"/>
      <c r="H14" s="96"/>
      <c r="I14" s="96"/>
      <c r="J14" s="96"/>
      <c r="K14" s="96"/>
      <c r="L14" s="96" t="s">
        <v>104</v>
      </c>
      <c r="M14" s="96"/>
      <c r="N14" s="96" t="s">
        <v>82</v>
      </c>
      <c r="O14" s="96"/>
      <c r="P14" s="96" t="s">
        <v>105</v>
      </c>
      <c r="Q14" s="96"/>
      <c r="R14" s="117">
        <v>1</v>
      </c>
      <c r="S14" s="4"/>
    </row>
    <row r="15" spans="1:37" ht="15" customHeight="1">
      <c r="A15" s="139">
        <v>4</v>
      </c>
      <c r="B15" s="140">
        <v>1</v>
      </c>
      <c r="C15" s="141" t="s">
        <v>106</v>
      </c>
      <c r="D15" s="141" t="s">
        <v>108</v>
      </c>
      <c r="E15" s="183"/>
      <c r="F15" s="183"/>
      <c r="G15" s="183"/>
      <c r="H15" s="183"/>
      <c r="I15" s="183"/>
      <c r="J15" s="183"/>
      <c r="K15" s="183"/>
      <c r="L15" s="183"/>
      <c r="M15" s="183"/>
      <c r="N15" s="141" t="s">
        <v>82</v>
      </c>
      <c r="O15" s="141" t="s">
        <v>109</v>
      </c>
      <c r="P15" s="141"/>
      <c r="Q15" s="141"/>
      <c r="R15" s="184"/>
      <c r="S15" s="91"/>
    </row>
    <row r="16" spans="1:37" ht="15" customHeight="1">
      <c r="A16" s="93">
        <v>5</v>
      </c>
      <c r="B16" s="94">
        <v>1</v>
      </c>
      <c r="C16" s="95" t="s">
        <v>100</v>
      </c>
      <c r="D16" s="95" t="s">
        <v>101</v>
      </c>
      <c r="E16" s="95" t="s">
        <v>102</v>
      </c>
      <c r="F16" s="95"/>
      <c r="G16" s="95"/>
      <c r="H16" s="95"/>
      <c r="I16" s="95">
        <v>25</v>
      </c>
      <c r="J16" s="95">
        <v>1</v>
      </c>
      <c r="K16" s="95" t="s">
        <v>103</v>
      </c>
      <c r="L16" s="95" t="s">
        <v>110</v>
      </c>
      <c r="M16" s="95">
        <v>190</v>
      </c>
      <c r="N16" s="95" t="s">
        <v>82</v>
      </c>
      <c r="O16" s="95" t="s">
        <v>109</v>
      </c>
      <c r="P16" s="95" t="s">
        <v>105</v>
      </c>
      <c r="Q16" s="189"/>
      <c r="R16" s="101"/>
      <c r="S16" s="91"/>
    </row>
    <row r="17" spans="1:37" ht="15" customHeight="1">
      <c r="A17" s="93">
        <v>6</v>
      </c>
      <c r="B17" s="94">
        <v>1</v>
      </c>
      <c r="C17" s="95" t="s">
        <v>100</v>
      </c>
      <c r="D17" s="95" t="s">
        <v>101</v>
      </c>
      <c r="E17" s="95" t="s">
        <v>111</v>
      </c>
      <c r="F17" s="95">
        <v>25</v>
      </c>
      <c r="G17" s="95"/>
      <c r="H17" s="95"/>
      <c r="I17" s="95">
        <v>25</v>
      </c>
      <c r="J17" s="95">
        <v>2</v>
      </c>
      <c r="K17" s="95" t="s">
        <v>103</v>
      </c>
      <c r="L17" s="95" t="s">
        <v>110</v>
      </c>
      <c r="M17" s="95">
        <v>190</v>
      </c>
      <c r="N17" s="95" t="s">
        <v>82</v>
      </c>
      <c r="O17" s="95" t="s">
        <v>109</v>
      </c>
      <c r="P17" s="95" t="s">
        <v>105</v>
      </c>
      <c r="Q17" s="95"/>
      <c r="R17" s="115">
        <v>1</v>
      </c>
      <c r="S17" s="9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15" customHeight="1">
      <c r="A18" s="92">
        <v>6</v>
      </c>
      <c r="B18" s="97">
        <v>2</v>
      </c>
      <c r="C18" s="96" t="s">
        <v>100</v>
      </c>
      <c r="D18" s="96" t="s">
        <v>101</v>
      </c>
      <c r="E18" s="96" t="s">
        <v>111</v>
      </c>
      <c r="F18" s="96">
        <v>25</v>
      </c>
      <c r="G18" s="96"/>
      <c r="H18" s="96"/>
      <c r="I18" s="96">
        <v>25</v>
      </c>
      <c r="J18" s="96">
        <v>2</v>
      </c>
      <c r="K18" s="96" t="s">
        <v>103</v>
      </c>
      <c r="L18" s="96" t="s">
        <v>110</v>
      </c>
      <c r="M18" s="96">
        <v>190</v>
      </c>
      <c r="N18" s="96" t="s">
        <v>82</v>
      </c>
      <c r="O18" s="96" t="s">
        <v>109</v>
      </c>
      <c r="P18" s="96" t="s">
        <v>105</v>
      </c>
      <c r="Q18" s="96"/>
      <c r="R18" s="117">
        <v>1</v>
      </c>
      <c r="S18" s="9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15" customHeight="1">
      <c r="A19" s="92">
        <v>6</v>
      </c>
      <c r="B19" s="97">
        <v>3</v>
      </c>
      <c r="C19" s="96" t="s">
        <v>100</v>
      </c>
      <c r="D19" s="96" t="s">
        <v>101</v>
      </c>
      <c r="E19" s="96" t="s">
        <v>111</v>
      </c>
      <c r="F19" s="96">
        <v>25</v>
      </c>
      <c r="G19" s="96"/>
      <c r="H19" s="96"/>
      <c r="I19" s="96">
        <v>25</v>
      </c>
      <c r="J19" s="96">
        <v>2</v>
      </c>
      <c r="K19" s="96" t="s">
        <v>103</v>
      </c>
      <c r="L19" s="96" t="s">
        <v>110</v>
      </c>
      <c r="M19" s="96">
        <v>190</v>
      </c>
      <c r="N19" s="96" t="s">
        <v>82</v>
      </c>
      <c r="O19" s="96" t="s">
        <v>109</v>
      </c>
      <c r="P19" s="96" t="s">
        <v>105</v>
      </c>
      <c r="Q19" s="96"/>
      <c r="R19" s="117">
        <v>1</v>
      </c>
      <c r="S19" s="9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15" customHeight="1">
      <c r="A20" s="92">
        <v>6</v>
      </c>
      <c r="B20" s="97">
        <v>4</v>
      </c>
      <c r="C20" s="96" t="s">
        <v>100</v>
      </c>
      <c r="D20" s="96" t="s">
        <v>101</v>
      </c>
      <c r="E20" s="96" t="s">
        <v>111</v>
      </c>
      <c r="F20" s="96">
        <v>25</v>
      </c>
      <c r="G20" s="96"/>
      <c r="H20" s="96"/>
      <c r="I20" s="96">
        <v>25</v>
      </c>
      <c r="J20" s="96">
        <v>2</v>
      </c>
      <c r="K20" s="96" t="s">
        <v>103</v>
      </c>
      <c r="L20" s="96" t="s">
        <v>110</v>
      </c>
      <c r="M20" s="96">
        <v>190</v>
      </c>
      <c r="N20" s="96" t="s">
        <v>82</v>
      </c>
      <c r="O20" s="96" t="s">
        <v>109</v>
      </c>
      <c r="P20" s="96" t="s">
        <v>105</v>
      </c>
      <c r="Q20" s="96"/>
      <c r="R20" s="117">
        <v>1</v>
      </c>
      <c r="S20" s="9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15" customHeight="1">
      <c r="A21" s="92">
        <v>6</v>
      </c>
      <c r="B21" s="97">
        <v>5</v>
      </c>
      <c r="C21" s="96" t="s">
        <v>112</v>
      </c>
      <c r="D21" s="96" t="s">
        <v>113</v>
      </c>
      <c r="E21" s="96" t="s">
        <v>111</v>
      </c>
      <c r="F21" s="96">
        <v>25</v>
      </c>
      <c r="G21" s="96"/>
      <c r="H21" s="96"/>
      <c r="I21" s="96">
        <v>25</v>
      </c>
      <c r="J21" s="96">
        <v>2</v>
      </c>
      <c r="K21" s="96" t="s">
        <v>103</v>
      </c>
      <c r="L21" s="96" t="s">
        <v>110</v>
      </c>
      <c r="M21" s="96">
        <v>135</v>
      </c>
      <c r="N21" s="96" t="s">
        <v>82</v>
      </c>
      <c r="O21" s="96"/>
      <c r="P21" s="96" t="s">
        <v>105</v>
      </c>
      <c r="Q21" s="96"/>
      <c r="R21" s="117">
        <v>1</v>
      </c>
      <c r="S21" s="9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15" customHeight="1">
      <c r="A22" s="92">
        <v>6</v>
      </c>
      <c r="B22" s="97">
        <v>6</v>
      </c>
      <c r="C22" s="96" t="s">
        <v>112</v>
      </c>
      <c r="D22" s="96" t="s">
        <v>113</v>
      </c>
      <c r="E22" s="96" t="s">
        <v>111</v>
      </c>
      <c r="F22" s="96">
        <v>25</v>
      </c>
      <c r="G22" s="96"/>
      <c r="H22" s="96"/>
      <c r="I22" s="96">
        <v>25</v>
      </c>
      <c r="J22" s="96">
        <v>2</v>
      </c>
      <c r="K22" s="96" t="s">
        <v>103</v>
      </c>
      <c r="L22" s="96" t="s">
        <v>110</v>
      </c>
      <c r="M22" s="96">
        <v>145</v>
      </c>
      <c r="N22" s="96" t="s">
        <v>82</v>
      </c>
      <c r="O22" s="96"/>
      <c r="P22" s="96" t="s">
        <v>105</v>
      </c>
      <c r="Q22" s="96"/>
      <c r="R22" s="117">
        <v>1</v>
      </c>
      <c r="S22" s="91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5" customHeight="1">
      <c r="A23" s="92">
        <v>6</v>
      </c>
      <c r="B23" s="97">
        <v>7</v>
      </c>
      <c r="C23" s="96" t="s">
        <v>112</v>
      </c>
      <c r="D23" s="96" t="s">
        <v>113</v>
      </c>
      <c r="E23" s="96" t="s">
        <v>111</v>
      </c>
      <c r="F23" s="96">
        <v>25</v>
      </c>
      <c r="G23" s="96"/>
      <c r="H23" s="96"/>
      <c r="I23" s="96">
        <v>25</v>
      </c>
      <c r="J23" s="96">
        <v>2</v>
      </c>
      <c r="K23" s="96" t="s">
        <v>103</v>
      </c>
      <c r="L23" s="96" t="s">
        <v>110</v>
      </c>
      <c r="M23" s="96">
        <v>155</v>
      </c>
      <c r="N23" s="96" t="s">
        <v>82</v>
      </c>
      <c r="O23" s="96"/>
      <c r="P23" s="96" t="s">
        <v>105</v>
      </c>
      <c r="Q23" s="96"/>
      <c r="R23" s="117">
        <v>1</v>
      </c>
      <c r="S23" s="91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15" customHeight="1">
      <c r="A24" s="93">
        <v>7</v>
      </c>
      <c r="B24" s="187">
        <v>1</v>
      </c>
      <c r="C24" s="95" t="s">
        <v>106</v>
      </c>
      <c r="D24" s="95" t="s">
        <v>114</v>
      </c>
      <c r="E24" s="95" t="s">
        <v>111</v>
      </c>
      <c r="F24" s="95">
        <v>25</v>
      </c>
      <c r="G24" s="126"/>
      <c r="H24" s="163"/>
      <c r="I24" s="126"/>
      <c r="J24" s="126"/>
      <c r="K24" s="95" t="s">
        <v>103</v>
      </c>
      <c r="L24" s="95"/>
      <c r="M24" s="126"/>
      <c r="N24" s="95" t="s">
        <v>82</v>
      </c>
      <c r="O24" s="95"/>
      <c r="P24" s="95" t="s">
        <v>115</v>
      </c>
      <c r="Q24" s="95">
        <v>1</v>
      </c>
      <c r="R24" s="115">
        <v>1</v>
      </c>
      <c r="S24" s="91"/>
    </row>
    <row r="25" spans="1:37" ht="15" customHeight="1">
      <c r="A25" s="92">
        <v>7</v>
      </c>
      <c r="B25" s="188">
        <v>2</v>
      </c>
      <c r="C25" s="96" t="s">
        <v>106</v>
      </c>
      <c r="D25" s="96" t="s">
        <v>114</v>
      </c>
      <c r="E25" s="96" t="s">
        <v>111</v>
      </c>
      <c r="F25" s="96">
        <v>25</v>
      </c>
      <c r="G25" s="90"/>
      <c r="H25" s="100"/>
      <c r="I25" s="90"/>
      <c r="J25" s="90"/>
      <c r="K25" s="96" t="s">
        <v>103</v>
      </c>
      <c r="L25" s="96"/>
      <c r="M25" s="90"/>
      <c r="N25" s="96" t="s">
        <v>82</v>
      </c>
      <c r="O25" s="96"/>
      <c r="P25" s="96" t="s">
        <v>115</v>
      </c>
      <c r="Q25" s="96">
        <v>1</v>
      </c>
      <c r="R25" s="117">
        <v>1</v>
      </c>
      <c r="S25" s="91"/>
      <c r="V25" s="9"/>
    </row>
    <row r="26" spans="1:37" ht="15" customHeight="1">
      <c r="A26" s="92">
        <v>7</v>
      </c>
      <c r="B26" s="188">
        <v>3</v>
      </c>
      <c r="C26" s="96" t="s">
        <v>106</v>
      </c>
      <c r="D26" s="96" t="s">
        <v>114</v>
      </c>
      <c r="E26" s="96" t="s">
        <v>111</v>
      </c>
      <c r="F26" s="96">
        <v>25</v>
      </c>
      <c r="G26" s="90"/>
      <c r="H26" s="100"/>
      <c r="I26" s="90"/>
      <c r="J26" s="90"/>
      <c r="K26" s="96" t="s">
        <v>103</v>
      </c>
      <c r="L26" s="96"/>
      <c r="M26" s="91"/>
      <c r="N26" s="96" t="s">
        <v>82</v>
      </c>
      <c r="O26" s="96"/>
      <c r="P26" s="96" t="s">
        <v>115</v>
      </c>
      <c r="Q26" s="96">
        <v>1</v>
      </c>
      <c r="R26" s="117">
        <v>1</v>
      </c>
      <c r="S26" s="91"/>
    </row>
    <row r="27" spans="1:37" ht="15" customHeight="1">
      <c r="A27" s="93">
        <v>8</v>
      </c>
      <c r="B27" s="187">
        <v>1</v>
      </c>
      <c r="C27" s="95" t="s">
        <v>106</v>
      </c>
      <c r="D27" s="158"/>
      <c r="E27" s="158"/>
      <c r="F27" s="158"/>
      <c r="G27" s="158"/>
      <c r="H27" s="158"/>
      <c r="I27" s="158"/>
      <c r="J27" s="158"/>
      <c r="K27" s="158"/>
      <c r="L27" s="95"/>
      <c r="M27" s="158"/>
      <c r="N27" s="95" t="s">
        <v>82</v>
      </c>
      <c r="O27" s="95"/>
      <c r="P27" s="95" t="s">
        <v>115</v>
      </c>
      <c r="Q27" s="95"/>
      <c r="R27" s="224"/>
      <c r="S27" s="91"/>
    </row>
    <row r="28" spans="1:37" ht="15" customHeight="1">
      <c r="A28" s="92">
        <v>8</v>
      </c>
      <c r="B28" s="188">
        <v>2</v>
      </c>
      <c r="C28" s="96" t="s">
        <v>106</v>
      </c>
      <c r="D28" s="91"/>
      <c r="E28" s="91"/>
      <c r="F28" s="91"/>
      <c r="G28" s="91"/>
      <c r="H28" s="91"/>
      <c r="I28" s="91"/>
      <c r="J28" s="91"/>
      <c r="K28" s="91"/>
      <c r="L28" s="96"/>
      <c r="M28" s="91"/>
      <c r="N28" s="96" t="s">
        <v>82</v>
      </c>
      <c r="O28" s="96"/>
      <c r="P28" s="96" t="s">
        <v>115</v>
      </c>
      <c r="Q28" s="96"/>
      <c r="R28" s="225"/>
      <c r="S28" s="91"/>
    </row>
    <row r="29" spans="1:37" ht="15" customHeight="1">
      <c r="A29" s="92">
        <v>8</v>
      </c>
      <c r="B29" s="188">
        <v>3</v>
      </c>
      <c r="C29" s="96" t="s">
        <v>106</v>
      </c>
      <c r="D29" s="91"/>
      <c r="E29" s="91"/>
      <c r="F29" s="91"/>
      <c r="G29" s="91"/>
      <c r="H29" s="91"/>
      <c r="I29" s="91"/>
      <c r="J29" s="91"/>
      <c r="K29" s="91"/>
      <c r="L29" s="96"/>
      <c r="M29" s="91"/>
      <c r="N29" s="96" t="s">
        <v>82</v>
      </c>
      <c r="O29" s="96"/>
      <c r="P29" s="96" t="s">
        <v>115</v>
      </c>
      <c r="Q29" s="96"/>
      <c r="R29" s="225"/>
      <c r="S29" s="91"/>
    </row>
    <row r="30" spans="1:37" ht="15" customHeight="1">
      <c r="A30" s="92">
        <v>8</v>
      </c>
      <c r="B30" s="188">
        <v>4</v>
      </c>
      <c r="C30" s="96" t="s">
        <v>106</v>
      </c>
      <c r="D30" s="91"/>
      <c r="E30" s="91"/>
      <c r="F30" s="91"/>
      <c r="G30" s="91"/>
      <c r="H30" s="91"/>
      <c r="I30" s="91"/>
      <c r="J30" s="91"/>
      <c r="K30" s="91"/>
      <c r="L30" s="96"/>
      <c r="M30" s="91"/>
      <c r="N30" s="96" t="s">
        <v>82</v>
      </c>
      <c r="O30" s="96"/>
      <c r="P30" s="96" t="s">
        <v>115</v>
      </c>
      <c r="Q30" s="96"/>
      <c r="R30" s="225"/>
      <c r="S30" s="91"/>
    </row>
    <row r="31" spans="1:37" ht="15" customHeight="1">
      <c r="A31" s="230">
        <v>9</v>
      </c>
      <c r="B31" s="187">
        <v>1</v>
      </c>
      <c r="C31" s="95" t="s">
        <v>106</v>
      </c>
      <c r="D31" s="95" t="s">
        <v>107</v>
      </c>
      <c r="E31" s="95"/>
      <c r="F31" s="95"/>
      <c r="G31" s="95"/>
      <c r="H31" s="95"/>
      <c r="I31" s="95"/>
      <c r="J31" s="95"/>
      <c r="K31" s="95"/>
      <c r="L31" s="95" t="s">
        <v>104</v>
      </c>
      <c r="M31" s="95"/>
      <c r="N31" s="95" t="s">
        <v>82</v>
      </c>
      <c r="O31" s="95"/>
      <c r="P31" s="95" t="s">
        <v>105</v>
      </c>
      <c r="Q31" s="95"/>
      <c r="R31" s="115">
        <v>1</v>
      </c>
      <c r="S31" s="91"/>
    </row>
    <row r="32" spans="1:37" ht="15" customHeight="1">
      <c r="A32" s="125">
        <v>9</v>
      </c>
      <c r="B32" s="188">
        <v>2</v>
      </c>
      <c r="C32" s="96" t="s">
        <v>106</v>
      </c>
      <c r="D32" s="96" t="s">
        <v>107</v>
      </c>
      <c r="E32" s="96"/>
      <c r="F32" s="96"/>
      <c r="G32" s="96"/>
      <c r="H32" s="96"/>
      <c r="I32" s="96"/>
      <c r="J32" s="96"/>
      <c r="K32" s="96"/>
      <c r="L32" s="96" t="s">
        <v>104</v>
      </c>
      <c r="M32" s="96"/>
      <c r="N32" s="96" t="s">
        <v>82</v>
      </c>
      <c r="O32" s="96"/>
      <c r="P32" s="96" t="s">
        <v>105</v>
      </c>
      <c r="Q32" s="96"/>
      <c r="R32" s="117">
        <v>1</v>
      </c>
      <c r="S32" s="91"/>
    </row>
    <row r="33" spans="1:19" ht="15" customHeight="1">
      <c r="A33" s="125">
        <v>9</v>
      </c>
      <c r="B33" s="188">
        <v>3</v>
      </c>
      <c r="C33" s="96" t="s">
        <v>106</v>
      </c>
      <c r="D33" s="96" t="s">
        <v>107</v>
      </c>
      <c r="E33" s="96"/>
      <c r="F33" s="96"/>
      <c r="G33" s="96"/>
      <c r="H33" s="96"/>
      <c r="I33" s="96"/>
      <c r="J33" s="96"/>
      <c r="K33" s="96"/>
      <c r="L33" s="96" t="s">
        <v>104</v>
      </c>
      <c r="M33" s="96"/>
      <c r="N33" s="96" t="s">
        <v>82</v>
      </c>
      <c r="O33" s="96"/>
      <c r="P33" s="96" t="s">
        <v>105</v>
      </c>
      <c r="Q33" s="96"/>
      <c r="R33" s="117">
        <v>1</v>
      </c>
      <c r="S33" s="91"/>
    </row>
    <row r="34" spans="1:19" ht="15" customHeight="1">
      <c r="A34" s="125">
        <v>9</v>
      </c>
      <c r="B34" s="188">
        <v>4</v>
      </c>
      <c r="C34" s="96" t="s">
        <v>106</v>
      </c>
      <c r="D34" s="96" t="s">
        <v>107</v>
      </c>
      <c r="E34" s="96"/>
      <c r="F34" s="96"/>
      <c r="G34" s="96"/>
      <c r="H34" s="96"/>
      <c r="I34" s="96"/>
      <c r="J34" s="96"/>
      <c r="K34" s="96"/>
      <c r="L34" s="96" t="s">
        <v>104</v>
      </c>
      <c r="M34" s="96"/>
      <c r="N34" s="96" t="s">
        <v>82</v>
      </c>
      <c r="O34" s="96"/>
      <c r="P34" s="96" t="s">
        <v>105</v>
      </c>
      <c r="Q34" s="96"/>
      <c r="R34" s="117">
        <v>1</v>
      </c>
      <c r="S34" s="91"/>
    </row>
    <row r="35" spans="1:19" ht="15" customHeight="1">
      <c r="A35" s="125">
        <v>9</v>
      </c>
      <c r="B35" s="188">
        <v>6</v>
      </c>
      <c r="C35" s="96" t="s">
        <v>106</v>
      </c>
      <c r="D35" s="96" t="s">
        <v>107</v>
      </c>
      <c r="E35" s="96"/>
      <c r="F35" s="96"/>
      <c r="G35" s="96"/>
      <c r="H35" s="96"/>
      <c r="I35" s="96"/>
      <c r="J35" s="96"/>
      <c r="K35" s="96"/>
      <c r="L35" s="96" t="s">
        <v>104</v>
      </c>
      <c r="M35" s="96"/>
      <c r="N35" s="96" t="s">
        <v>82</v>
      </c>
      <c r="O35" s="96"/>
      <c r="P35" s="96" t="s">
        <v>105</v>
      </c>
      <c r="Q35" s="96"/>
      <c r="R35" s="117">
        <v>1</v>
      </c>
      <c r="S35" s="91"/>
    </row>
    <row r="36" spans="1:19" ht="15" customHeight="1">
      <c r="A36" s="125">
        <v>9</v>
      </c>
      <c r="B36" s="188">
        <v>7</v>
      </c>
      <c r="C36" s="96" t="s">
        <v>106</v>
      </c>
      <c r="D36" s="96" t="s">
        <v>107</v>
      </c>
      <c r="E36" s="96"/>
      <c r="F36" s="96"/>
      <c r="G36" s="96"/>
      <c r="H36" s="96"/>
      <c r="I36" s="96"/>
      <c r="J36" s="96"/>
      <c r="K36" s="96"/>
      <c r="L36" s="96" t="s">
        <v>104</v>
      </c>
      <c r="M36" s="96"/>
      <c r="N36" s="96" t="s">
        <v>82</v>
      </c>
      <c r="O36" s="96"/>
      <c r="P36" s="96" t="s">
        <v>105</v>
      </c>
      <c r="Q36" s="96"/>
      <c r="R36" s="117">
        <v>1</v>
      </c>
      <c r="S36" s="91"/>
    </row>
    <row r="37" spans="1:19" ht="15" customHeight="1">
      <c r="A37" s="139">
        <v>10</v>
      </c>
      <c r="B37" s="140">
        <v>1</v>
      </c>
      <c r="C37" s="141" t="s">
        <v>106</v>
      </c>
      <c r="D37" s="141" t="s">
        <v>114</v>
      </c>
      <c r="E37" s="141"/>
      <c r="F37" s="141"/>
      <c r="G37" s="141"/>
      <c r="H37" s="141"/>
      <c r="I37" s="141"/>
      <c r="J37" s="141"/>
      <c r="K37" s="141"/>
      <c r="L37" s="141"/>
      <c r="M37" s="141"/>
      <c r="N37" s="141" t="s">
        <v>82</v>
      </c>
      <c r="O37" s="141"/>
      <c r="P37" s="141"/>
      <c r="Q37" s="141"/>
      <c r="R37" s="142">
        <v>1.6</v>
      </c>
      <c r="S37" s="91"/>
    </row>
    <row r="38" spans="1:19" ht="15" customHeight="1">
      <c r="A38" s="139">
        <v>11</v>
      </c>
      <c r="B38" s="140">
        <v>1</v>
      </c>
      <c r="C38" s="141" t="s">
        <v>106</v>
      </c>
      <c r="D38" s="141" t="s">
        <v>114</v>
      </c>
      <c r="E38" s="141"/>
      <c r="F38" s="141"/>
      <c r="G38" s="141"/>
      <c r="H38" s="141"/>
      <c r="I38" s="141"/>
      <c r="J38" s="141"/>
      <c r="K38" s="141"/>
      <c r="L38" s="141"/>
      <c r="M38" s="141"/>
      <c r="N38" s="141" t="s">
        <v>82</v>
      </c>
      <c r="O38" s="141"/>
      <c r="P38" s="141"/>
      <c r="Q38" s="141"/>
      <c r="R38" s="142">
        <v>1.6</v>
      </c>
      <c r="S38" s="4"/>
    </row>
    <row r="39" spans="1:19" ht="15" customHeight="1">
      <c r="A39" s="23"/>
      <c r="B39" s="15"/>
      <c r="C39" s="18"/>
      <c r="D39" s="4"/>
      <c r="E39" s="4"/>
      <c r="F39" s="4"/>
      <c r="G39" s="4"/>
      <c r="H39" s="4"/>
      <c r="I39" s="4"/>
      <c r="J39" s="4"/>
      <c r="K39" s="4"/>
      <c r="L39" s="100"/>
      <c r="M39" s="4"/>
      <c r="N39" s="18"/>
      <c r="O39" s="4"/>
      <c r="P39" s="18"/>
      <c r="Q39" s="18"/>
      <c r="R39" s="18"/>
      <c r="S39" s="4"/>
    </row>
    <row r="40" spans="1:19" ht="15" customHeight="1">
      <c r="A40" s="23"/>
      <c r="B40" s="15"/>
      <c r="C40" s="18"/>
      <c r="D40" s="4"/>
      <c r="E40" s="4"/>
      <c r="F40" s="4"/>
      <c r="G40" s="4"/>
      <c r="H40" s="4"/>
      <c r="I40" s="4"/>
      <c r="J40" s="4"/>
      <c r="K40" s="4"/>
      <c r="L40" s="18"/>
      <c r="M40" s="4"/>
      <c r="N40" s="18"/>
      <c r="O40" s="4"/>
      <c r="P40" s="18"/>
      <c r="Q40" s="18"/>
      <c r="R40" s="18"/>
      <c r="S40" s="4"/>
    </row>
    <row r="41" spans="1:19" ht="15" customHeight="1">
      <c r="A41" s="13"/>
      <c r="B41" s="15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9"/>
      <c r="P41" s="9"/>
      <c r="Q41" s="9"/>
      <c r="R41" s="18"/>
      <c r="S41" s="4"/>
    </row>
    <row r="42" spans="1:19" ht="15" customHeight="1">
      <c r="A42" s="13"/>
      <c r="B42" s="15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9"/>
      <c r="P42" s="9"/>
      <c r="Q42" s="9"/>
      <c r="R42" s="18"/>
      <c r="S42" s="4"/>
    </row>
    <row r="43" spans="1:19" ht="15" customHeight="1">
      <c r="A43" s="13"/>
      <c r="B43" s="1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9"/>
      <c r="P43" s="9"/>
      <c r="Q43" s="9"/>
      <c r="R43" s="18"/>
      <c r="S43" s="4"/>
    </row>
    <row r="44" spans="1:19" ht="15" customHeight="1">
      <c r="A44" s="13"/>
      <c r="B44" s="15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9"/>
      <c r="P44" s="9"/>
      <c r="Q44" s="9"/>
      <c r="R44" s="18"/>
      <c r="S44" s="4"/>
    </row>
    <row r="45" spans="1:19" ht="15" customHeight="1">
      <c r="A45" s="23"/>
      <c r="B45" s="15"/>
      <c r="C45" s="18"/>
      <c r="D45" s="4"/>
      <c r="E45" s="4"/>
      <c r="F45" s="4"/>
      <c r="G45" s="4"/>
      <c r="H45" s="4"/>
      <c r="I45" s="4"/>
      <c r="J45" s="4"/>
      <c r="K45" s="4"/>
      <c r="L45" s="18"/>
      <c r="M45" s="4"/>
      <c r="N45" s="4"/>
      <c r="O45" s="9"/>
      <c r="P45" s="9"/>
      <c r="Q45" s="9"/>
      <c r="R45" s="4"/>
      <c r="S45" s="4"/>
    </row>
    <row r="46" spans="1:19" ht="15" customHeight="1">
      <c r="A46" s="23"/>
      <c r="B46" s="15"/>
      <c r="C46" s="18"/>
      <c r="D46" s="4"/>
      <c r="E46" s="4"/>
      <c r="F46" s="4"/>
      <c r="G46" s="4"/>
      <c r="H46" s="4"/>
      <c r="I46" s="4"/>
      <c r="J46" s="4"/>
      <c r="K46" s="4"/>
      <c r="L46" s="18"/>
      <c r="M46" s="4"/>
      <c r="N46" s="4"/>
      <c r="O46" s="9"/>
      <c r="P46" s="9"/>
      <c r="Q46" s="9"/>
      <c r="R46" s="4"/>
      <c r="S46" s="4"/>
    </row>
    <row r="47" spans="1:19" ht="15" customHeight="1">
      <c r="A47" s="23"/>
      <c r="B47" s="15"/>
      <c r="C47" s="18"/>
      <c r="D47" s="4"/>
      <c r="E47" s="4"/>
      <c r="F47" s="4"/>
      <c r="G47" s="4"/>
      <c r="H47" s="4"/>
      <c r="I47" s="4"/>
      <c r="J47" s="4"/>
      <c r="K47" s="4"/>
      <c r="L47" s="18"/>
      <c r="M47" s="4"/>
      <c r="N47" s="4"/>
      <c r="O47" s="9"/>
      <c r="P47" s="9"/>
      <c r="Q47" s="9"/>
      <c r="R47" s="4"/>
      <c r="S47" s="4"/>
    </row>
    <row r="48" spans="1:19" ht="15" customHeight="1">
      <c r="A48" s="23"/>
      <c r="B48" s="15"/>
      <c r="C48" s="18"/>
      <c r="D48" s="4"/>
      <c r="E48" s="4"/>
      <c r="F48" s="4"/>
      <c r="G48" s="4"/>
      <c r="H48" s="4"/>
      <c r="I48" s="4"/>
      <c r="J48" s="4"/>
      <c r="K48" s="4"/>
      <c r="L48" s="18"/>
      <c r="M48" s="4"/>
      <c r="N48" s="4"/>
      <c r="O48" s="9"/>
      <c r="P48" s="9"/>
      <c r="Q48" s="9"/>
      <c r="R48" s="4"/>
      <c r="S48" s="4"/>
    </row>
    <row r="49" spans="1:19" ht="15" customHeight="1">
      <c r="A49" s="13"/>
      <c r="B49" s="14"/>
      <c r="C49" s="18"/>
      <c r="D49" s="4"/>
      <c r="E49" s="18"/>
      <c r="F49" s="18"/>
      <c r="G49" s="18"/>
      <c r="H49" s="18"/>
      <c r="I49" s="18"/>
      <c r="J49" s="18"/>
      <c r="K49" s="18"/>
      <c r="L49" s="9"/>
      <c r="M49" s="4"/>
      <c r="N49" s="18"/>
      <c r="O49" s="9"/>
      <c r="P49" s="9"/>
      <c r="Q49" s="4"/>
      <c r="R49" s="4"/>
      <c r="S49" s="4"/>
    </row>
    <row r="50" spans="1:19" ht="15" customHeight="1">
      <c r="A50" s="13"/>
      <c r="B50" s="14"/>
      <c r="C50" s="18"/>
      <c r="D50" s="4"/>
      <c r="E50" s="18"/>
      <c r="F50" s="18"/>
      <c r="G50" s="18"/>
      <c r="H50" s="18"/>
      <c r="I50" s="18"/>
      <c r="J50" s="18"/>
      <c r="K50" s="18"/>
      <c r="L50" s="9"/>
      <c r="M50" s="4"/>
      <c r="N50" s="18"/>
      <c r="O50" s="9"/>
      <c r="P50" s="9"/>
      <c r="Q50" s="4"/>
      <c r="R50" s="4"/>
      <c r="S50" s="4"/>
    </row>
    <row r="51" spans="1:19" ht="15" customHeight="1">
      <c r="A51" s="13"/>
      <c r="B51" s="14"/>
      <c r="C51" s="18"/>
      <c r="D51" s="4"/>
      <c r="E51" s="18"/>
      <c r="F51" s="18"/>
      <c r="G51" s="18"/>
      <c r="H51" s="18"/>
      <c r="I51" s="18"/>
      <c r="J51" s="18"/>
      <c r="K51" s="18"/>
      <c r="L51" s="9"/>
      <c r="M51" s="4"/>
      <c r="N51" s="18"/>
      <c r="O51" s="9"/>
      <c r="P51" s="9"/>
      <c r="Q51" s="4"/>
      <c r="R51" s="4"/>
      <c r="S51" s="4"/>
    </row>
    <row r="52" spans="1:19" ht="15" customHeight="1">
      <c r="A52" s="13"/>
      <c r="B52" s="14"/>
      <c r="C52" s="18"/>
      <c r="D52" s="4"/>
      <c r="E52" s="18"/>
      <c r="F52" s="18"/>
      <c r="G52" s="18"/>
      <c r="H52" s="18"/>
      <c r="I52" s="18"/>
      <c r="J52" s="18"/>
      <c r="K52" s="18"/>
      <c r="L52" s="9"/>
      <c r="M52" s="4"/>
      <c r="N52" s="18"/>
      <c r="O52" s="9"/>
      <c r="P52" s="9"/>
      <c r="Q52" s="4"/>
      <c r="R52" s="4"/>
      <c r="S52" s="4"/>
    </row>
    <row r="53" spans="1:19" ht="15" customHeight="1">
      <c r="A53" s="13"/>
      <c r="B53" s="14"/>
      <c r="C53" s="18"/>
      <c r="D53" s="4"/>
      <c r="E53" s="4"/>
      <c r="F53" s="4"/>
      <c r="G53" s="4"/>
      <c r="H53" s="4"/>
      <c r="I53" s="4"/>
      <c r="J53" s="4"/>
      <c r="K53" s="4"/>
      <c r="L53" s="18"/>
      <c r="M53" s="4"/>
      <c r="N53" s="18"/>
      <c r="O53" s="4"/>
      <c r="P53" s="9"/>
      <c r="Q53" s="4"/>
      <c r="R53" s="18"/>
      <c r="S53" s="4"/>
    </row>
    <row r="54" spans="1:19" ht="15" customHeight="1">
      <c r="A54" s="13"/>
      <c r="B54" s="14"/>
      <c r="C54" s="18"/>
      <c r="L54" s="18"/>
      <c r="N54" s="18"/>
      <c r="O54" s="4"/>
      <c r="P54" s="9"/>
      <c r="Q54" s="4"/>
      <c r="R54" s="18"/>
      <c r="S54" s="4"/>
    </row>
    <row r="55" spans="1:19" ht="15" customHeight="1">
      <c r="A55" s="13"/>
      <c r="B55" s="14"/>
      <c r="C55" s="18"/>
      <c r="L55" s="18"/>
      <c r="N55" s="18"/>
      <c r="O55" s="4"/>
      <c r="P55" s="9"/>
      <c r="Q55" s="4"/>
      <c r="R55" s="18"/>
      <c r="S55" s="4"/>
    </row>
    <row r="56" spans="1:19" ht="15" customHeight="1">
      <c r="A56" s="13"/>
      <c r="B56" s="14"/>
      <c r="C56" s="18"/>
      <c r="D56" s="4"/>
      <c r="E56" s="4"/>
      <c r="F56" s="4"/>
      <c r="G56" s="4"/>
      <c r="H56" s="4"/>
      <c r="I56" s="4"/>
      <c r="J56" s="4"/>
      <c r="K56" s="4"/>
      <c r="L56" s="18"/>
      <c r="M56" s="4"/>
      <c r="N56" s="18"/>
      <c r="O56" s="4"/>
      <c r="P56" s="9"/>
      <c r="Q56" s="4"/>
      <c r="R56" s="18"/>
      <c r="S56" s="4"/>
    </row>
    <row r="57" spans="1:19" ht="15" customHeight="1">
      <c r="A57" s="13"/>
      <c r="B57" s="15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18"/>
      <c r="O57" s="4"/>
      <c r="P57" s="9"/>
      <c r="Q57" s="4"/>
      <c r="R57" s="4"/>
      <c r="S57" s="4"/>
    </row>
    <row r="58" spans="1:19" ht="15" customHeight="1">
      <c r="A58" s="13"/>
      <c r="B58" s="15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18"/>
      <c r="O58" s="4"/>
      <c r="P58" s="9"/>
      <c r="Q58" s="4"/>
      <c r="R58" s="4"/>
      <c r="S58" s="4"/>
    </row>
    <row r="59" spans="1:19" ht="15" customHeight="1">
      <c r="A59" s="13"/>
      <c r="B59" s="15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18"/>
      <c r="O59" s="4"/>
      <c r="P59" s="9"/>
      <c r="Q59" s="4"/>
      <c r="R59" s="4"/>
      <c r="S59" s="4"/>
    </row>
    <row r="60" spans="1:19" ht="15" customHeight="1">
      <c r="A60" s="13"/>
      <c r="B60" s="15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18"/>
      <c r="O60" s="4"/>
      <c r="P60" s="9"/>
      <c r="Q60" s="4"/>
      <c r="R60" s="4"/>
      <c r="S60" s="4"/>
    </row>
    <row r="61" spans="1:19" ht="15" customHeight="1">
      <c r="A61" s="13"/>
      <c r="B61" s="15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18"/>
      <c r="O61" s="4"/>
      <c r="P61" s="9"/>
      <c r="Q61" s="4"/>
      <c r="R61" s="4"/>
      <c r="S61" s="4"/>
    </row>
    <row r="62" spans="1:19" ht="15" customHeight="1">
      <c r="A62" s="13"/>
      <c r="B62" s="15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18"/>
      <c r="O62" s="4"/>
      <c r="P62" s="9"/>
      <c r="Q62" s="4"/>
      <c r="R62" s="4"/>
      <c r="S62" s="4"/>
    </row>
    <row r="63" spans="1:19" ht="15" customHeight="1">
      <c r="A63" s="13"/>
      <c r="B63" s="15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18"/>
      <c r="O63" s="4"/>
      <c r="P63" s="9"/>
      <c r="Q63" s="4"/>
      <c r="R63" s="4"/>
      <c r="S63" s="4"/>
    </row>
    <row r="64" spans="1:19" ht="15" customHeight="1">
      <c r="A64" s="13"/>
      <c r="B64" s="14"/>
      <c r="C64" s="18"/>
      <c r="D64" s="9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P64" s="18"/>
      <c r="Q64" s="18"/>
      <c r="R64" s="18"/>
      <c r="S64" s="4"/>
    </row>
    <row r="65" spans="1:19" ht="15" customHeight="1">
      <c r="A65" s="13"/>
      <c r="B65" s="14"/>
      <c r="C65" s="18"/>
      <c r="D65" s="9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9"/>
      <c r="P65" s="18"/>
      <c r="Q65" s="18"/>
      <c r="R65" s="18"/>
      <c r="S65" s="4"/>
    </row>
    <row r="66" spans="1:19" ht="15" customHeight="1">
      <c r="A66" s="13"/>
      <c r="B66" s="14"/>
      <c r="C66" s="18"/>
      <c r="D66" s="9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9"/>
      <c r="P66" s="18"/>
      <c r="Q66" s="18"/>
      <c r="R66" s="18"/>
      <c r="S66" s="4"/>
    </row>
    <row r="67" spans="1:19" ht="15" customHeight="1">
      <c r="A67" s="13"/>
      <c r="B67" s="14"/>
      <c r="C67" s="18"/>
      <c r="D67" s="9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9"/>
      <c r="P67" s="18"/>
      <c r="Q67" s="18"/>
      <c r="R67" s="18"/>
      <c r="S67" s="4"/>
    </row>
    <row r="68" spans="1:19" ht="15" customHeight="1">
      <c r="A68" s="13"/>
      <c r="B68" s="14"/>
      <c r="C68" s="18"/>
      <c r="D68" s="9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9"/>
      <c r="P68" s="18"/>
      <c r="Q68" s="18"/>
      <c r="R68" s="18"/>
      <c r="S68" s="4"/>
    </row>
    <row r="69" spans="1:19" ht="15" customHeight="1">
      <c r="A69" s="13"/>
      <c r="B69" s="14"/>
      <c r="C69" s="18"/>
      <c r="D69" s="9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9"/>
      <c r="P69" s="18"/>
      <c r="Q69" s="18"/>
      <c r="R69" s="18"/>
      <c r="S69" s="4"/>
    </row>
    <row r="70" spans="1:19" ht="15" customHeight="1">
      <c r="A70" s="13"/>
      <c r="B70" s="14"/>
      <c r="C70" s="18"/>
      <c r="D70" s="9"/>
      <c r="E70" s="4"/>
      <c r="F70" s="4"/>
      <c r="G70" s="4"/>
      <c r="H70" s="4"/>
      <c r="I70" s="4"/>
      <c r="J70" s="4"/>
      <c r="K70" s="4"/>
      <c r="L70" s="9"/>
      <c r="M70" s="18"/>
      <c r="N70" s="9"/>
      <c r="O70" s="9"/>
      <c r="P70" s="4"/>
      <c r="Q70" s="18"/>
      <c r="R70" s="4"/>
      <c r="S70" s="4"/>
    </row>
    <row r="71" spans="1:19" ht="15" customHeight="1">
      <c r="A71" s="13"/>
      <c r="B71" s="14"/>
      <c r="C71" s="18"/>
      <c r="D71" s="9"/>
      <c r="L71" s="9"/>
      <c r="M71" s="18"/>
      <c r="N71" s="9"/>
      <c r="O71" s="9"/>
      <c r="P71" s="4"/>
      <c r="Q71" s="18"/>
      <c r="R71" s="4"/>
      <c r="S71" s="4"/>
    </row>
    <row r="72" spans="1:19" ht="15" customHeight="1">
      <c r="A72" s="13"/>
      <c r="B72" s="14"/>
      <c r="C72" s="18"/>
      <c r="D72" s="9"/>
      <c r="L72" s="9"/>
      <c r="M72" s="18"/>
      <c r="N72" s="9"/>
      <c r="O72" s="9"/>
      <c r="P72" s="4"/>
      <c r="Q72" s="18"/>
      <c r="R72" s="4"/>
      <c r="S72" s="4"/>
    </row>
    <row r="73" spans="1:19" ht="15" customHeight="1">
      <c r="A73" s="13"/>
      <c r="B73" s="14"/>
      <c r="C73" s="18"/>
      <c r="D73" s="9"/>
      <c r="L73" s="9"/>
      <c r="M73" s="18"/>
      <c r="N73" s="9"/>
      <c r="O73" s="9"/>
      <c r="P73" s="4"/>
      <c r="Q73" s="18"/>
      <c r="R73" s="4"/>
      <c r="S73" s="4"/>
    </row>
    <row r="74" spans="1:19" ht="15" customHeight="1">
      <c r="A74" s="13"/>
      <c r="B74" s="14"/>
      <c r="C74" s="18"/>
      <c r="D74" s="9"/>
      <c r="L74" s="9"/>
      <c r="M74" s="18"/>
      <c r="N74" s="9"/>
      <c r="O74" s="9"/>
      <c r="P74" s="4"/>
      <c r="Q74" s="18"/>
      <c r="R74" s="4"/>
      <c r="S74" s="4"/>
    </row>
    <row r="75" spans="1:19" ht="15" customHeight="1">
      <c r="A75" s="13"/>
      <c r="B75" s="14"/>
      <c r="C75" s="18"/>
      <c r="D75" s="9"/>
      <c r="L75" s="9"/>
      <c r="M75" s="18"/>
      <c r="N75" s="9"/>
      <c r="O75" s="9"/>
      <c r="P75" s="4"/>
      <c r="Q75" s="18"/>
      <c r="R75" s="4"/>
      <c r="S75" s="4"/>
    </row>
    <row r="76" spans="1:19" ht="15" customHeight="1">
      <c r="A76" s="13"/>
      <c r="B76" s="14"/>
      <c r="C76" s="18"/>
      <c r="D76" s="9"/>
      <c r="L76" s="9"/>
      <c r="M76" s="18"/>
      <c r="N76" s="9"/>
      <c r="O76" s="9"/>
      <c r="P76" s="4"/>
      <c r="Q76" s="18"/>
      <c r="R76" s="4"/>
      <c r="S76" s="4"/>
    </row>
    <row r="77" spans="1:19" ht="15" customHeight="1">
      <c r="A77" s="13"/>
      <c r="B77" s="14"/>
      <c r="C77" s="18"/>
      <c r="D77" s="9"/>
      <c r="E77" s="4"/>
      <c r="F77" s="4"/>
      <c r="G77" s="4"/>
      <c r="H77" s="4"/>
      <c r="I77" s="4"/>
      <c r="J77" s="4"/>
      <c r="K77" s="4"/>
      <c r="L77" s="9"/>
      <c r="M77" s="18"/>
      <c r="N77" s="9"/>
      <c r="O77" s="9"/>
      <c r="P77" s="4"/>
      <c r="Q77" s="18"/>
      <c r="R77" s="4"/>
      <c r="S77" s="4"/>
    </row>
    <row r="78" spans="1:19" ht="15" customHeight="1">
      <c r="A78" s="13"/>
      <c r="B78" s="14"/>
      <c r="C78" s="18"/>
      <c r="D78" s="4"/>
      <c r="E78" s="4"/>
      <c r="F78" s="4"/>
      <c r="G78" s="4"/>
      <c r="H78" s="4"/>
      <c r="I78" s="4"/>
      <c r="J78" s="4"/>
      <c r="K78" s="4"/>
      <c r="L78" s="18"/>
      <c r="M78" s="4"/>
      <c r="N78" s="9"/>
      <c r="O78" s="4"/>
      <c r="P78" s="4"/>
      <c r="Q78" s="4"/>
      <c r="R78" s="18"/>
      <c r="S78" s="4"/>
    </row>
    <row r="79" spans="1:19" ht="15" customHeight="1">
      <c r="A79" s="13"/>
      <c r="B79" s="14"/>
      <c r="C79" s="18"/>
      <c r="D79" s="4"/>
      <c r="E79" s="4"/>
      <c r="F79" s="4"/>
      <c r="G79" s="4"/>
      <c r="H79" s="4"/>
      <c r="I79" s="4"/>
      <c r="J79" s="4"/>
      <c r="K79" s="4"/>
      <c r="L79" s="18"/>
      <c r="M79" s="4"/>
      <c r="N79" s="9"/>
      <c r="O79" s="4"/>
      <c r="P79" s="4"/>
      <c r="Q79" s="4"/>
      <c r="R79" s="18"/>
      <c r="S79" s="4"/>
    </row>
    <row r="80" spans="1:19" ht="15" customHeight="1">
      <c r="A80" s="13"/>
      <c r="B80" s="14"/>
      <c r="C80" s="18"/>
      <c r="D80" s="4"/>
      <c r="E80" s="4"/>
      <c r="F80" s="4"/>
      <c r="G80" s="4"/>
      <c r="H80" s="4"/>
      <c r="I80" s="4"/>
      <c r="J80" s="4"/>
      <c r="K80" s="4"/>
      <c r="L80" s="18"/>
      <c r="M80" s="4"/>
      <c r="N80" s="9"/>
      <c r="O80" s="4"/>
      <c r="P80" s="4"/>
      <c r="Q80" s="4"/>
      <c r="R80" s="18"/>
      <c r="S80" s="4"/>
    </row>
    <row r="81" spans="1:19" ht="15" customHeight="1">
      <c r="A81" s="13"/>
      <c r="B81" s="14"/>
      <c r="C81" s="18"/>
      <c r="D81" s="4"/>
      <c r="E81" s="4"/>
      <c r="F81" s="4"/>
      <c r="G81" s="4"/>
      <c r="H81" s="4"/>
      <c r="I81" s="4"/>
      <c r="J81" s="4"/>
      <c r="K81" s="4"/>
      <c r="L81" s="18"/>
      <c r="M81" s="4"/>
      <c r="N81" s="9"/>
      <c r="O81" s="4"/>
      <c r="P81" s="4"/>
      <c r="Q81" s="4"/>
      <c r="R81" s="18"/>
      <c r="S81" s="4"/>
    </row>
    <row r="82" spans="1:19" ht="15" customHeight="1">
      <c r="A82" s="13"/>
      <c r="B82" s="14"/>
      <c r="C82" s="18"/>
      <c r="D82" s="4"/>
      <c r="E82" s="4"/>
      <c r="F82" s="4"/>
      <c r="G82" s="4"/>
      <c r="H82" s="4"/>
      <c r="I82" s="4"/>
      <c r="J82" s="4"/>
      <c r="K82" s="4"/>
      <c r="L82" s="18"/>
      <c r="M82" s="4"/>
      <c r="N82" s="9"/>
      <c r="O82" s="4"/>
      <c r="P82" s="4"/>
      <c r="Q82" s="4"/>
      <c r="R82" s="18"/>
      <c r="S82" s="4"/>
    </row>
    <row r="83" spans="1:19" ht="15" customHeight="1">
      <c r="A83" s="23"/>
      <c r="B83" s="15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"/>
    </row>
    <row r="84" spans="1:19" ht="15" customHeight="1">
      <c r="A84" s="23"/>
      <c r="B84" s="15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4"/>
    </row>
    <row r="85" spans="1:19" ht="15" customHeight="1">
      <c r="A85" s="23"/>
      <c r="B85" s="15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"/>
    </row>
    <row r="86" spans="1:19" ht="15" customHeight="1">
      <c r="A86" s="23"/>
      <c r="B86" s="15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"/>
    </row>
    <row r="87" spans="1:19" ht="15" customHeight="1">
      <c r="A87" s="23"/>
      <c r="B87" s="15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"/>
    </row>
    <row r="88" spans="1:19" ht="15" customHeight="1">
      <c r="A88" s="23"/>
      <c r="B88" s="15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"/>
    </row>
    <row r="89" spans="1:19" ht="15" customHeight="1">
      <c r="A89" s="23"/>
      <c r="B89" s="15"/>
      <c r="C89" s="9"/>
      <c r="D89" s="9"/>
      <c r="E89" s="9"/>
      <c r="F89" s="9"/>
      <c r="G89" s="9"/>
      <c r="H89" s="4"/>
      <c r="I89" s="4"/>
      <c r="J89" s="4"/>
      <c r="K89" s="9"/>
      <c r="L89" s="18"/>
      <c r="M89" s="9"/>
      <c r="N89" s="9"/>
      <c r="O89" s="9"/>
      <c r="P89" s="9"/>
      <c r="Q89" s="4"/>
      <c r="R89" s="4"/>
      <c r="S89" s="4"/>
    </row>
    <row r="90" spans="1:19" ht="15" customHeight="1">
      <c r="A90" s="23"/>
      <c r="B90" s="15"/>
      <c r="C90" s="9"/>
      <c r="D90" s="9"/>
      <c r="E90" s="9"/>
      <c r="F90" s="9"/>
      <c r="G90" s="9"/>
      <c r="H90" s="4"/>
      <c r="I90" s="4"/>
      <c r="J90" s="4"/>
      <c r="K90" s="9"/>
      <c r="L90" s="18"/>
      <c r="M90" s="9"/>
      <c r="N90" s="9"/>
      <c r="O90" s="9"/>
      <c r="P90" s="9"/>
      <c r="Q90" s="4"/>
      <c r="R90" s="4"/>
      <c r="S90" s="4"/>
    </row>
    <row r="91" spans="1:19" ht="15" customHeight="1">
      <c r="A91" s="23"/>
      <c r="B91" s="15"/>
      <c r="C91" s="9"/>
      <c r="D91" s="9"/>
      <c r="E91" s="9"/>
      <c r="F91" s="9"/>
      <c r="G91" s="9"/>
      <c r="H91" s="4"/>
      <c r="I91" s="4"/>
      <c r="J91" s="4"/>
      <c r="K91" s="9"/>
      <c r="L91" s="18"/>
      <c r="M91" s="9"/>
      <c r="N91" s="9"/>
      <c r="O91" s="9"/>
      <c r="P91" s="9"/>
      <c r="Q91" s="4"/>
      <c r="R91" s="4"/>
      <c r="S91" s="4"/>
    </row>
    <row r="92" spans="1:19" ht="15" customHeight="1">
      <c r="A92" s="23"/>
      <c r="B92" s="15"/>
      <c r="C92" s="18"/>
      <c r="D92" s="51"/>
      <c r="E92" s="9"/>
      <c r="F92" s="9"/>
      <c r="G92" s="9"/>
      <c r="H92" s="4"/>
      <c r="I92" s="4"/>
      <c r="J92" s="4"/>
      <c r="K92" s="9"/>
      <c r="L92" s="18"/>
      <c r="M92" s="4"/>
      <c r="N92" s="9"/>
      <c r="O92" s="4"/>
      <c r="P92" s="9"/>
      <c r="Q92" s="4"/>
      <c r="R92" s="4"/>
      <c r="S92" s="4"/>
    </row>
    <row r="93" spans="1:19" ht="15" customHeight="1">
      <c r="A93" s="23"/>
      <c r="B93" s="15"/>
      <c r="C93" s="18"/>
      <c r="D93" s="51"/>
      <c r="E93" s="9"/>
      <c r="F93" s="9"/>
      <c r="G93" s="9"/>
      <c r="H93" s="4"/>
      <c r="I93" s="4"/>
      <c r="J93" s="4"/>
      <c r="K93" s="9"/>
      <c r="L93" s="18"/>
      <c r="M93" s="4"/>
      <c r="N93" s="9"/>
      <c r="O93" s="4"/>
      <c r="P93" s="9"/>
      <c r="Q93" s="4"/>
      <c r="R93" s="4"/>
      <c r="S93" s="4"/>
    </row>
    <row r="94" spans="1:19" ht="15" customHeight="1">
      <c r="A94" s="23"/>
      <c r="B94" s="15"/>
      <c r="C94" s="18"/>
      <c r="D94" s="51"/>
      <c r="E94" s="9"/>
      <c r="F94" s="9"/>
      <c r="G94" s="9"/>
      <c r="H94" s="4"/>
      <c r="I94" s="4"/>
      <c r="J94" s="4"/>
      <c r="K94" s="9"/>
      <c r="L94" s="18"/>
      <c r="M94" s="4"/>
      <c r="N94" s="9"/>
      <c r="O94" s="4"/>
      <c r="P94" s="9"/>
      <c r="Q94" s="4"/>
      <c r="R94" s="4"/>
      <c r="S94" s="4"/>
    </row>
    <row r="95" spans="1:19" ht="15" customHeight="1">
      <c r="A95" s="13"/>
      <c r="B95" s="14"/>
      <c r="C95" s="9"/>
      <c r="D95" s="9"/>
      <c r="E95" s="9"/>
      <c r="F95" s="9"/>
      <c r="G95" s="9"/>
      <c r="H95" s="18"/>
      <c r="I95" s="18"/>
      <c r="J95" s="18"/>
      <c r="K95" s="9"/>
      <c r="L95" s="9"/>
      <c r="M95" s="9"/>
      <c r="N95" s="9"/>
      <c r="O95" s="9"/>
      <c r="P95" s="9"/>
      <c r="Q95" s="18"/>
      <c r="R95" s="18"/>
      <c r="S95" s="4"/>
    </row>
    <row r="96" spans="1:19" ht="15" customHeight="1">
      <c r="A96" s="13"/>
      <c r="B96" s="14"/>
      <c r="C96" s="9"/>
      <c r="D96" s="9"/>
      <c r="E96" s="9"/>
      <c r="F96" s="9"/>
      <c r="G96" s="9"/>
      <c r="H96" s="18"/>
      <c r="I96" s="18"/>
      <c r="J96" s="18"/>
      <c r="K96" s="9"/>
      <c r="L96" s="9"/>
      <c r="M96" s="9"/>
      <c r="N96" s="18"/>
      <c r="O96" s="9"/>
      <c r="P96" s="9"/>
      <c r="Q96" s="18"/>
      <c r="R96" s="18"/>
      <c r="S96" s="4"/>
    </row>
    <row r="97" spans="1:19" ht="15" customHeight="1">
      <c r="A97" s="13"/>
      <c r="B97" s="14"/>
      <c r="C97" s="9"/>
      <c r="D97" s="9"/>
      <c r="E97" s="9"/>
      <c r="F97" s="9"/>
      <c r="G97" s="9"/>
      <c r="H97" s="18"/>
      <c r="I97" s="18"/>
      <c r="J97" s="18"/>
      <c r="K97" s="9"/>
      <c r="L97" s="9"/>
      <c r="M97" s="9"/>
      <c r="N97" s="9"/>
      <c r="O97" s="9"/>
      <c r="P97" s="9"/>
      <c r="Q97" s="18"/>
      <c r="R97" s="18"/>
      <c r="S97" s="4"/>
    </row>
    <row r="98" spans="1:19" ht="15" customHeight="1">
      <c r="A98" s="13"/>
      <c r="B98" s="14"/>
      <c r="C98" s="9"/>
      <c r="D98" s="9"/>
      <c r="E98" s="9"/>
      <c r="F98" s="9"/>
      <c r="G98" s="9"/>
      <c r="H98" s="4"/>
      <c r="I98" s="4"/>
      <c r="J98" s="4"/>
      <c r="K98" s="9"/>
      <c r="L98" s="9"/>
      <c r="M98" s="9"/>
      <c r="N98" s="9"/>
      <c r="O98" s="9"/>
      <c r="P98" s="4"/>
      <c r="Q98" s="9"/>
      <c r="R98" s="4"/>
      <c r="S98" s="4"/>
    </row>
    <row r="99" spans="1:19" ht="15" customHeight="1">
      <c r="A99" s="13"/>
      <c r="B99" s="14"/>
      <c r="C99" s="9"/>
      <c r="D99" s="9"/>
      <c r="E99" s="9"/>
      <c r="F99" s="9"/>
      <c r="G99" s="9"/>
      <c r="K99" s="9"/>
      <c r="L99" s="9"/>
      <c r="M99" s="9"/>
      <c r="N99" s="9"/>
      <c r="O99" s="9"/>
      <c r="Q99" s="9"/>
      <c r="R99" s="4"/>
      <c r="S99" s="4"/>
    </row>
    <row r="100" spans="1:19" ht="15" customHeight="1">
      <c r="A100" s="13"/>
      <c r="B100" s="14"/>
      <c r="C100" s="9"/>
      <c r="D100" s="9"/>
      <c r="E100" s="9"/>
      <c r="F100" s="9"/>
      <c r="G100" s="9"/>
      <c r="K100" s="9"/>
      <c r="L100" s="9"/>
      <c r="M100" s="9"/>
      <c r="N100" s="9"/>
      <c r="O100" s="9"/>
      <c r="Q100" s="9"/>
      <c r="R100" s="4"/>
      <c r="S100" s="4"/>
    </row>
    <row r="101" spans="1:19" ht="15" customHeight="1">
      <c r="A101" s="13"/>
      <c r="B101" s="14"/>
      <c r="C101" s="9"/>
      <c r="D101" s="9"/>
      <c r="E101" s="9"/>
      <c r="F101" s="9"/>
      <c r="G101" s="9"/>
      <c r="K101" s="9"/>
      <c r="L101" s="9"/>
      <c r="M101" s="9"/>
      <c r="N101" s="9"/>
      <c r="O101" s="9"/>
      <c r="Q101" s="9"/>
      <c r="R101" s="4"/>
      <c r="S101" s="4"/>
    </row>
    <row r="102" spans="1:19" ht="15" customHeight="1">
      <c r="A102" s="13"/>
      <c r="B102" s="14"/>
      <c r="C102" s="9"/>
      <c r="D102" s="9"/>
      <c r="E102" s="9"/>
      <c r="F102" s="9"/>
      <c r="G102" s="9"/>
      <c r="K102" s="9"/>
      <c r="L102" s="9"/>
      <c r="M102" s="9"/>
      <c r="N102" s="9"/>
      <c r="O102" s="9"/>
      <c r="Q102" s="9"/>
      <c r="R102" s="4"/>
      <c r="S102" s="4"/>
    </row>
    <row r="103" spans="1:19" ht="15" customHeight="1">
      <c r="A103" s="13"/>
      <c r="B103" s="14"/>
      <c r="C103" s="9"/>
      <c r="D103" s="51"/>
      <c r="E103" s="9"/>
      <c r="F103" s="9"/>
      <c r="G103" s="9"/>
      <c r="K103" s="9"/>
      <c r="L103" s="9"/>
      <c r="N103" s="9"/>
      <c r="O103" s="9"/>
      <c r="P103" s="4"/>
      <c r="Q103" s="9"/>
      <c r="R103" s="9"/>
      <c r="S103" s="4"/>
    </row>
    <row r="104" spans="1:19" ht="15" customHeight="1">
      <c r="A104" s="13"/>
      <c r="B104" s="14"/>
      <c r="C104" s="9"/>
      <c r="D104" s="51"/>
      <c r="E104" s="9"/>
      <c r="F104" s="9"/>
      <c r="G104" s="9"/>
      <c r="K104" s="9"/>
      <c r="L104" s="9"/>
      <c r="N104" s="9"/>
      <c r="O104" s="9"/>
      <c r="P104" s="4"/>
      <c r="Q104" s="9"/>
      <c r="R104" s="9"/>
      <c r="S104" s="4"/>
    </row>
    <row r="105" spans="1:19" ht="15" customHeight="1">
      <c r="A105" s="13"/>
      <c r="B105" s="14"/>
      <c r="C105" s="9"/>
      <c r="D105" s="51"/>
      <c r="E105" s="9"/>
      <c r="F105" s="9"/>
      <c r="G105" s="9"/>
      <c r="K105" s="9"/>
      <c r="L105" s="9"/>
      <c r="N105" s="9"/>
      <c r="O105" s="9"/>
      <c r="P105" s="4"/>
      <c r="Q105" s="9"/>
      <c r="R105" s="9"/>
      <c r="S105" s="4"/>
    </row>
    <row r="106" spans="1:19" ht="15" customHeight="1">
      <c r="A106" s="13"/>
      <c r="B106" s="14"/>
      <c r="C106" s="9"/>
      <c r="D106" s="51"/>
      <c r="E106" s="9"/>
      <c r="F106" s="9"/>
      <c r="G106" s="9"/>
      <c r="K106" s="9"/>
      <c r="L106" s="9"/>
      <c r="N106" s="9"/>
      <c r="O106" s="9"/>
      <c r="P106" s="4"/>
      <c r="Q106" s="9"/>
      <c r="R106" s="9"/>
      <c r="S106" s="4"/>
    </row>
    <row r="107" spans="1:19" ht="15" customHeight="1">
      <c r="A107" s="13"/>
      <c r="B107" s="14"/>
      <c r="C107" s="9"/>
      <c r="D107" s="51"/>
      <c r="E107" s="9"/>
      <c r="F107" s="9"/>
      <c r="G107" s="9"/>
      <c r="H107" s="4"/>
      <c r="I107" s="4"/>
      <c r="J107" s="4"/>
      <c r="K107" s="9"/>
      <c r="L107" s="9"/>
      <c r="M107" s="4"/>
      <c r="N107" s="9"/>
      <c r="O107" s="9"/>
      <c r="P107" s="4"/>
      <c r="Q107" s="9"/>
      <c r="R107" s="9"/>
      <c r="S107" s="4"/>
    </row>
    <row r="108" spans="1:19" ht="15" customHeight="1">
      <c r="A108" s="23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4"/>
    </row>
    <row r="109" spans="1:19" ht="15" customHeight="1">
      <c r="A109" s="23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4"/>
    </row>
    <row r="110" spans="1:19" ht="15" customHeight="1">
      <c r="A110" s="23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4"/>
    </row>
    <row r="111" spans="1:19" ht="15" customHeight="1">
      <c r="A111" s="23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4"/>
    </row>
    <row r="112" spans="1:19" ht="15" customHeight="1">
      <c r="A112" s="23"/>
      <c r="B112" s="15"/>
      <c r="C112" s="9"/>
      <c r="D112" s="51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4"/>
    </row>
    <row r="113" spans="1:19" ht="15" customHeight="1">
      <c r="A113" s="23"/>
      <c r="B113" s="15"/>
      <c r="C113" s="9"/>
      <c r="D113" s="51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4"/>
    </row>
    <row r="114" spans="1:19" ht="15" customHeight="1">
      <c r="A114" s="23"/>
      <c r="B114" s="15"/>
      <c r="C114" s="9"/>
      <c r="D114" s="51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4"/>
    </row>
    <row r="115" spans="1:19" ht="15" customHeight="1">
      <c r="A115" s="23"/>
      <c r="B115" s="15"/>
      <c r="C115" s="9"/>
      <c r="D115" s="5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4"/>
    </row>
    <row r="116" spans="1:19" ht="15" customHeight="1">
      <c r="A116" s="23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4"/>
    </row>
    <row r="117" spans="1:19" ht="15" customHeight="1">
      <c r="A117" s="23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4"/>
    </row>
    <row r="118" spans="1:19" ht="15" customHeight="1">
      <c r="A118" s="23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4"/>
    </row>
    <row r="119" spans="1:19" ht="15" customHeight="1">
      <c r="A119" s="23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4"/>
    </row>
    <row r="120" spans="1:19" ht="15" customHeight="1">
      <c r="A120" s="23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4"/>
    </row>
    <row r="121" spans="1:19" ht="15" customHeight="1">
      <c r="A121" s="23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4"/>
    </row>
    <row r="122" spans="1:19" ht="15" customHeight="1">
      <c r="A122" s="23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4"/>
    </row>
    <row r="123" spans="1:19" ht="15" customHeight="1">
      <c r="A123" s="23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4"/>
    </row>
    <row r="124" spans="1:19" ht="15" customHeight="1">
      <c r="A124" s="23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4"/>
    </row>
    <row r="125" spans="1:19" ht="15" customHeight="1">
      <c r="A125" s="23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4"/>
    </row>
    <row r="126" spans="1:19" ht="15" customHeight="1">
      <c r="A126" s="23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4"/>
    </row>
    <row r="127" spans="1:19" ht="15" customHeight="1">
      <c r="A127" s="23"/>
      <c r="B127" s="15"/>
      <c r="C127" s="9"/>
      <c r="D127" s="51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4"/>
    </row>
    <row r="128" spans="1:19" ht="15" customHeight="1">
      <c r="A128" s="23"/>
      <c r="B128" s="15"/>
      <c r="C128" s="9"/>
      <c r="D128" s="51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4"/>
    </row>
    <row r="129" spans="1:19" ht="15" customHeight="1">
      <c r="A129" s="23"/>
      <c r="B129" s="15"/>
      <c r="C129" s="9"/>
      <c r="D129" s="9"/>
      <c r="E129" s="9"/>
      <c r="F129" s="9"/>
      <c r="G129" s="9"/>
      <c r="H129" s="18"/>
      <c r="I129" s="18"/>
      <c r="J129" s="18"/>
      <c r="K129" s="9"/>
      <c r="L129" s="9"/>
      <c r="M129" s="9"/>
      <c r="N129" s="9"/>
      <c r="O129" s="9"/>
      <c r="P129" s="4"/>
      <c r="Q129" s="9"/>
      <c r="R129" s="4"/>
      <c r="S129" s="4"/>
    </row>
    <row r="130" spans="1:19" ht="15" customHeight="1">
      <c r="A130" s="23"/>
      <c r="B130" s="15"/>
      <c r="C130" s="9"/>
      <c r="D130" s="9"/>
      <c r="E130" s="9"/>
      <c r="F130" s="9"/>
      <c r="G130" s="9"/>
      <c r="H130" s="18"/>
      <c r="I130" s="18"/>
      <c r="J130" s="18"/>
      <c r="K130" s="9"/>
      <c r="L130" s="9"/>
      <c r="M130" s="9"/>
      <c r="N130" s="9"/>
      <c r="O130" s="9"/>
      <c r="P130" s="4"/>
      <c r="Q130" s="9"/>
      <c r="R130" s="4"/>
      <c r="S130" s="4"/>
    </row>
    <row r="131" spans="1:19" ht="15" customHeight="1">
      <c r="A131" s="23"/>
      <c r="B131" s="15"/>
      <c r="C131" s="9"/>
      <c r="D131" s="9"/>
      <c r="E131" s="9"/>
      <c r="F131" s="9"/>
      <c r="G131" s="9"/>
      <c r="H131" s="18"/>
      <c r="I131" s="18"/>
      <c r="J131" s="18"/>
      <c r="K131" s="9"/>
      <c r="L131" s="9"/>
      <c r="M131" s="9"/>
      <c r="N131" s="9"/>
      <c r="O131" s="9"/>
      <c r="P131" s="4"/>
      <c r="Q131" s="9"/>
      <c r="R131" s="4"/>
      <c r="S131" s="4"/>
    </row>
    <row r="132" spans="1:19" ht="15" customHeight="1">
      <c r="A132" s="23"/>
      <c r="B132" s="15"/>
      <c r="C132" s="9"/>
      <c r="D132" s="9"/>
      <c r="E132" s="9"/>
      <c r="F132" s="9"/>
      <c r="G132" s="9"/>
      <c r="H132" s="18"/>
      <c r="I132" s="18"/>
      <c r="J132" s="18"/>
      <c r="K132" s="9"/>
      <c r="L132" s="9"/>
      <c r="M132" s="9"/>
      <c r="N132" s="9"/>
      <c r="O132" s="9"/>
      <c r="P132" s="4"/>
      <c r="Q132" s="9"/>
      <c r="R132" s="4"/>
      <c r="S132" s="4"/>
    </row>
    <row r="133" spans="1:19" ht="15" customHeight="1">
      <c r="A133" s="23"/>
      <c r="B133" s="15"/>
      <c r="C133" s="9"/>
      <c r="D133" s="9"/>
      <c r="E133" s="9"/>
      <c r="F133" s="9"/>
      <c r="G133" s="9"/>
      <c r="H133" s="18"/>
      <c r="I133" s="18"/>
      <c r="J133" s="18"/>
      <c r="K133" s="9"/>
      <c r="L133" s="9"/>
      <c r="M133" s="9"/>
      <c r="N133" s="9"/>
      <c r="O133" s="9"/>
      <c r="P133" s="4"/>
      <c r="Q133" s="9"/>
      <c r="R133" s="4"/>
      <c r="S133" s="4"/>
    </row>
    <row r="134" spans="1:19" ht="15" customHeight="1">
      <c r="A134" s="23"/>
      <c r="B134" s="15"/>
      <c r="C134" s="9"/>
      <c r="D134" s="9"/>
      <c r="E134" s="9"/>
      <c r="F134" s="9"/>
      <c r="G134" s="9"/>
      <c r="H134" s="18"/>
      <c r="I134" s="18"/>
      <c r="J134" s="18"/>
      <c r="K134" s="9"/>
      <c r="L134" s="9"/>
      <c r="M134" s="9"/>
      <c r="N134" s="9"/>
      <c r="O134" s="9"/>
      <c r="P134" s="4"/>
      <c r="Q134" s="9"/>
      <c r="R134" s="4"/>
      <c r="S134" s="4"/>
    </row>
    <row r="135" spans="1:19" ht="15" customHeight="1">
      <c r="A135" s="23"/>
      <c r="B135" s="15"/>
      <c r="C135" s="9"/>
      <c r="D135" s="9"/>
      <c r="E135" s="9"/>
      <c r="F135" s="9"/>
      <c r="G135" s="9"/>
      <c r="H135" s="18"/>
      <c r="I135" s="18"/>
      <c r="J135" s="18"/>
      <c r="K135" s="9"/>
      <c r="L135" s="9"/>
      <c r="M135" s="9"/>
      <c r="N135" s="9"/>
      <c r="O135" s="9"/>
      <c r="P135" s="4"/>
      <c r="Q135" s="9"/>
      <c r="R135" s="4"/>
      <c r="S135" s="4"/>
    </row>
    <row r="136" spans="1:19" ht="15" customHeight="1">
      <c r="A136" s="23"/>
      <c r="B136" s="15"/>
      <c r="C136" s="9"/>
      <c r="D136" s="9"/>
      <c r="E136" s="9"/>
      <c r="F136" s="9"/>
      <c r="G136" s="9"/>
      <c r="H136" s="18"/>
      <c r="I136" s="18"/>
      <c r="J136" s="18"/>
      <c r="K136" s="9"/>
      <c r="L136" s="9"/>
      <c r="M136" s="9"/>
      <c r="N136" s="9"/>
      <c r="O136" s="9"/>
      <c r="P136" s="4"/>
      <c r="Q136" s="9"/>
      <c r="R136" s="4"/>
      <c r="S136" s="4"/>
    </row>
    <row r="137" spans="1:19" ht="15" customHeight="1">
      <c r="A137" s="23"/>
      <c r="B137" s="15"/>
      <c r="C137" s="9"/>
      <c r="D137" s="9"/>
      <c r="E137" s="9"/>
      <c r="F137" s="9"/>
      <c r="G137" s="9"/>
      <c r="H137" s="18"/>
      <c r="I137" s="18"/>
      <c r="J137" s="18"/>
      <c r="K137" s="9"/>
      <c r="L137" s="9"/>
      <c r="M137" s="9"/>
      <c r="N137" s="9"/>
      <c r="O137" s="9"/>
      <c r="P137" s="4"/>
      <c r="Q137" s="9"/>
      <c r="R137" s="4"/>
      <c r="S137" s="4"/>
    </row>
    <row r="138" spans="1:19" ht="15" customHeight="1">
      <c r="A138" s="23"/>
      <c r="B138" s="15"/>
      <c r="C138" s="9"/>
      <c r="D138" s="9"/>
      <c r="E138" s="9"/>
      <c r="F138" s="9"/>
      <c r="G138" s="9"/>
      <c r="H138" s="18"/>
      <c r="I138" s="18"/>
      <c r="J138" s="18"/>
      <c r="K138" s="9"/>
      <c r="L138" s="9"/>
      <c r="M138" s="9"/>
      <c r="N138" s="9"/>
      <c r="O138" s="9"/>
      <c r="P138" s="4"/>
      <c r="Q138" s="9"/>
      <c r="R138" s="4"/>
      <c r="S138" s="4"/>
    </row>
    <row r="139" spans="1:19" ht="15" customHeight="1">
      <c r="A139" s="23"/>
      <c r="B139" s="15"/>
      <c r="C139" s="9"/>
      <c r="D139" s="9"/>
      <c r="E139" s="9"/>
      <c r="F139" s="9"/>
      <c r="G139" s="9"/>
      <c r="H139" s="18"/>
      <c r="I139" s="18"/>
      <c r="J139" s="18"/>
      <c r="K139" s="9"/>
      <c r="L139" s="9"/>
      <c r="M139" s="9"/>
      <c r="N139" s="9"/>
      <c r="O139" s="9"/>
      <c r="P139" s="4"/>
      <c r="Q139" s="9"/>
      <c r="R139" s="4"/>
      <c r="S139" s="4"/>
    </row>
    <row r="140" spans="1:19" ht="15" customHeight="1">
      <c r="A140" s="23"/>
      <c r="B140" s="15"/>
      <c r="C140" s="9"/>
      <c r="D140" s="9"/>
      <c r="E140" s="9"/>
      <c r="F140" s="9"/>
      <c r="G140" s="9"/>
      <c r="H140" s="18"/>
      <c r="I140" s="18"/>
      <c r="J140" s="18"/>
      <c r="K140" s="9"/>
      <c r="L140" s="9"/>
      <c r="M140" s="9"/>
      <c r="N140" s="9"/>
      <c r="O140" s="9"/>
      <c r="P140" s="4"/>
      <c r="Q140" s="9"/>
      <c r="R140" s="4"/>
      <c r="S140" s="4"/>
    </row>
    <row r="141" spans="1:19" ht="15" customHeight="1">
      <c r="A141" s="21"/>
      <c r="B141" s="14"/>
      <c r="C141" s="9"/>
      <c r="D141" s="9"/>
      <c r="E141" s="4"/>
      <c r="F141" s="4"/>
      <c r="G141" s="4"/>
      <c r="H141" s="4"/>
      <c r="I141" s="4"/>
      <c r="J141" s="4"/>
      <c r="K141" s="4"/>
      <c r="L141" s="18"/>
      <c r="M141" s="18"/>
      <c r="N141" s="9"/>
      <c r="O141" s="9"/>
      <c r="P141" s="9"/>
      <c r="Q141" s="4"/>
      <c r="R141" s="4"/>
      <c r="S141" s="4"/>
    </row>
    <row r="142" spans="1:19" ht="15" customHeight="1">
      <c r="A142" s="21"/>
      <c r="B142" s="14"/>
      <c r="C142" s="9"/>
      <c r="D142" s="9"/>
      <c r="E142" s="4"/>
      <c r="F142" s="4"/>
      <c r="G142" s="4"/>
      <c r="H142" s="4"/>
      <c r="I142" s="4"/>
      <c r="J142" s="4"/>
      <c r="K142" s="4"/>
      <c r="L142" s="18"/>
      <c r="M142" s="18"/>
      <c r="N142" s="9"/>
      <c r="O142" s="9"/>
      <c r="P142" s="9"/>
      <c r="Q142" s="4"/>
      <c r="R142" s="4"/>
      <c r="S142" s="4"/>
    </row>
    <row r="143" spans="1:19" ht="15" customHeight="1">
      <c r="A143" s="21"/>
      <c r="B143" s="14"/>
      <c r="C143" s="9"/>
      <c r="D143" s="9"/>
      <c r="E143" s="4"/>
      <c r="F143" s="4"/>
      <c r="G143" s="4"/>
      <c r="H143" s="4"/>
      <c r="I143" s="4"/>
      <c r="J143" s="4"/>
      <c r="K143" s="4"/>
      <c r="L143" s="18"/>
      <c r="M143" s="18"/>
      <c r="N143" s="9"/>
      <c r="O143" s="9"/>
      <c r="P143" s="9"/>
      <c r="Q143" s="4"/>
      <c r="R143" s="4"/>
      <c r="S143" s="4"/>
    </row>
    <row r="144" spans="1:19" ht="15" customHeight="1">
      <c r="A144" s="21"/>
      <c r="B144" s="14"/>
      <c r="C144" s="9"/>
      <c r="D144" s="9"/>
      <c r="E144" s="4"/>
      <c r="F144" s="4"/>
      <c r="G144" s="4"/>
      <c r="H144" s="4"/>
      <c r="I144" s="4"/>
      <c r="J144" s="4"/>
      <c r="K144" s="4"/>
      <c r="L144" s="18"/>
      <c r="M144" s="18"/>
      <c r="N144" s="9"/>
      <c r="O144" s="9"/>
      <c r="P144" s="9"/>
      <c r="Q144" s="4"/>
      <c r="R144" s="4"/>
      <c r="S144" s="4"/>
    </row>
    <row r="145" spans="1:37" ht="15" customHeight="1">
      <c r="A145" s="13"/>
      <c r="B145" s="14"/>
      <c r="C145" s="9"/>
      <c r="D145" s="51"/>
      <c r="E145" s="9"/>
      <c r="F145" s="4"/>
      <c r="G145" s="4"/>
      <c r="H145" s="4"/>
      <c r="I145" s="4"/>
      <c r="J145" s="4"/>
      <c r="K145" s="4"/>
      <c r="L145" s="18"/>
      <c r="M145" s="4"/>
      <c r="N145" s="9"/>
      <c r="O145" s="4"/>
      <c r="P145" s="18"/>
      <c r="Q145" s="9"/>
      <c r="R145" s="18"/>
      <c r="S145" s="4"/>
    </row>
    <row r="146" spans="1:37" ht="15" customHeight="1">
      <c r="A146" s="13"/>
      <c r="B146" s="14"/>
      <c r="C146" s="9"/>
      <c r="D146" s="51"/>
      <c r="E146" s="9"/>
      <c r="F146" s="4"/>
      <c r="G146" s="4"/>
      <c r="H146" s="4"/>
      <c r="I146" s="4"/>
      <c r="J146" s="4"/>
      <c r="K146" s="4"/>
      <c r="L146" s="18"/>
      <c r="M146" s="4"/>
      <c r="N146" s="9"/>
      <c r="O146" s="4"/>
      <c r="P146" s="18"/>
      <c r="Q146" s="9"/>
      <c r="R146" s="18"/>
      <c r="S146" s="4"/>
    </row>
    <row r="147" spans="1:37" ht="15" customHeight="1">
      <c r="A147" s="13"/>
      <c r="B147" s="14"/>
      <c r="C147" s="9"/>
      <c r="D147" s="51"/>
      <c r="E147" s="9"/>
      <c r="F147" s="4"/>
      <c r="G147" s="4"/>
      <c r="H147" s="4"/>
      <c r="I147" s="4"/>
      <c r="J147" s="4"/>
      <c r="K147" s="4"/>
      <c r="L147" s="18"/>
      <c r="M147" s="4"/>
      <c r="N147" s="9"/>
      <c r="O147" s="4"/>
      <c r="P147" s="18"/>
      <c r="Q147" s="9"/>
      <c r="R147" s="18"/>
      <c r="S147" s="4"/>
    </row>
    <row r="148" spans="1:37" ht="15" customHeight="1">
      <c r="A148" s="13"/>
      <c r="B148" s="14"/>
      <c r="C148" s="9"/>
      <c r="D148" s="51"/>
      <c r="E148" s="9"/>
      <c r="F148" s="4"/>
      <c r="G148" s="4"/>
      <c r="H148" s="4"/>
      <c r="I148" s="4"/>
      <c r="J148" s="4"/>
      <c r="K148" s="4"/>
      <c r="L148" s="18"/>
      <c r="M148" s="4"/>
      <c r="N148" s="9"/>
      <c r="O148" s="4"/>
      <c r="P148" s="18"/>
      <c r="Q148" s="9"/>
      <c r="R148" s="18"/>
      <c r="S148" s="4"/>
    </row>
    <row r="149" spans="1:37" ht="15" customHeight="1">
      <c r="A149" s="13"/>
      <c r="B149" s="14"/>
      <c r="C149" s="9"/>
      <c r="D149" s="9"/>
      <c r="E149" s="4"/>
      <c r="F149" s="4"/>
      <c r="G149" s="4"/>
      <c r="H149" s="4"/>
      <c r="I149" s="4"/>
      <c r="J149" s="4"/>
      <c r="K149" s="4"/>
      <c r="L149" s="18"/>
      <c r="M149" s="4"/>
      <c r="N149" s="9"/>
      <c r="O149" s="4"/>
      <c r="P149" s="18"/>
      <c r="Q149" s="4"/>
      <c r="R149" s="18"/>
      <c r="S149" s="4"/>
    </row>
    <row r="150" spans="1:37" ht="15" customHeight="1">
      <c r="A150" s="13"/>
      <c r="B150" s="14"/>
      <c r="C150" s="9"/>
      <c r="D150" s="9"/>
      <c r="E150" s="4"/>
      <c r="F150" s="4"/>
      <c r="G150" s="4"/>
      <c r="H150" s="4"/>
      <c r="I150" s="4"/>
      <c r="J150" s="4"/>
      <c r="K150" s="4"/>
      <c r="L150" s="18"/>
      <c r="M150" s="4"/>
      <c r="N150" s="9"/>
      <c r="O150" s="4"/>
      <c r="P150" s="18"/>
      <c r="Q150" s="4"/>
      <c r="R150" s="18"/>
      <c r="S150" s="4"/>
    </row>
    <row r="151" spans="1:37" ht="15" customHeight="1">
      <c r="A151" s="13"/>
      <c r="B151" s="14"/>
      <c r="C151" s="9"/>
      <c r="D151" s="9"/>
      <c r="E151" s="4"/>
      <c r="F151" s="4"/>
      <c r="G151" s="4"/>
      <c r="H151" s="4"/>
      <c r="I151" s="4"/>
      <c r="J151" s="4"/>
      <c r="K151" s="4"/>
      <c r="L151" s="18"/>
      <c r="M151" s="4"/>
      <c r="N151" s="9"/>
      <c r="O151" s="4"/>
      <c r="P151" s="18"/>
      <c r="Q151" s="4"/>
      <c r="R151" s="18"/>
      <c r="S151" s="4"/>
    </row>
    <row r="152" spans="1:37" ht="15" customHeight="1">
      <c r="A152" s="13"/>
      <c r="B152" s="14"/>
      <c r="C152" s="9"/>
      <c r="D152" s="9"/>
      <c r="E152" s="4"/>
      <c r="F152" s="4"/>
      <c r="G152" s="4"/>
      <c r="H152" s="4"/>
      <c r="I152" s="4"/>
      <c r="J152" s="4"/>
      <c r="K152" s="4"/>
      <c r="L152" s="18"/>
      <c r="M152" s="4"/>
      <c r="N152" s="9"/>
      <c r="O152" s="4"/>
      <c r="P152" s="18"/>
      <c r="Q152" s="4"/>
      <c r="R152" s="18"/>
      <c r="S152" s="4"/>
    </row>
    <row r="153" spans="1:37" ht="15" customHeight="1">
      <c r="A153" s="13"/>
      <c r="B153" s="14"/>
      <c r="C153" s="9"/>
      <c r="D153" s="9"/>
      <c r="E153" s="4"/>
      <c r="F153" s="4"/>
      <c r="G153" s="4"/>
      <c r="H153" s="4"/>
      <c r="I153" s="4"/>
      <c r="J153" s="4"/>
      <c r="K153" s="4"/>
      <c r="L153" s="18"/>
      <c r="M153" s="4"/>
      <c r="N153" s="9"/>
      <c r="O153" s="4"/>
      <c r="P153" s="18"/>
      <c r="Q153" s="4"/>
      <c r="R153" s="18"/>
      <c r="S153" s="4"/>
    </row>
    <row r="154" spans="1:37" ht="15" customHeight="1">
      <c r="A154" s="13"/>
      <c r="B154" s="14"/>
      <c r="C154" s="9"/>
      <c r="D154" s="9"/>
      <c r="E154" s="4"/>
      <c r="F154" s="4"/>
      <c r="G154" s="4"/>
      <c r="H154" s="4"/>
      <c r="I154" s="4"/>
      <c r="J154" s="4"/>
      <c r="K154" s="4"/>
      <c r="L154" s="18"/>
      <c r="M154" s="4"/>
      <c r="N154" s="9"/>
      <c r="O154" s="4"/>
      <c r="P154" s="18"/>
      <c r="Q154" s="4"/>
      <c r="R154" s="18"/>
      <c r="S154" s="4"/>
    </row>
    <row r="155" spans="1:37" ht="15" customHeight="1">
      <c r="A155" s="13"/>
      <c r="B155" s="14"/>
      <c r="C155" s="9"/>
      <c r="D155" s="9"/>
      <c r="E155" s="4"/>
      <c r="F155" s="4"/>
      <c r="G155" s="4"/>
      <c r="H155" s="4"/>
      <c r="I155" s="4"/>
      <c r="J155" s="4"/>
      <c r="K155" s="4"/>
      <c r="L155" s="18"/>
      <c r="M155" s="4"/>
      <c r="N155" s="9"/>
      <c r="O155" s="4"/>
      <c r="P155" s="18"/>
      <c r="Q155" s="4"/>
      <c r="R155" s="18"/>
      <c r="S155" s="4"/>
    </row>
    <row r="156" spans="1:37" ht="15" customHeight="1">
      <c r="A156" s="13"/>
      <c r="B156" s="15"/>
      <c r="C156" s="9"/>
      <c r="D156" s="51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4"/>
      <c r="R156" s="4"/>
      <c r="S156" s="4"/>
    </row>
    <row r="157" spans="1:37" ht="15" customHeight="1">
      <c r="A157" s="13"/>
      <c r="B157" s="15"/>
      <c r="C157" s="9"/>
      <c r="D157" s="51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4"/>
      <c r="R157" s="4"/>
      <c r="S157" s="4"/>
    </row>
    <row r="158" spans="1:37" ht="15" customHeight="1">
      <c r="A158" s="13"/>
      <c r="B158" s="15"/>
      <c r="C158" s="9"/>
      <c r="D158" s="51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4"/>
      <c r="R158" s="4"/>
      <c r="S158" s="4"/>
    </row>
    <row r="159" spans="1:37" ht="15" customHeight="1">
      <c r="A159" s="13"/>
      <c r="B159" s="15"/>
      <c r="C159" s="9"/>
      <c r="D159" s="51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4"/>
      <c r="R159" s="4"/>
      <c r="S159" s="4"/>
    </row>
    <row r="160" spans="1:37" ht="15" customHeight="1">
      <c r="A160" s="23"/>
      <c r="B160" s="15"/>
      <c r="C160" s="9"/>
      <c r="D160" s="51"/>
      <c r="E160" s="9"/>
      <c r="F160" s="9"/>
      <c r="G160" s="9"/>
      <c r="H160" s="9"/>
      <c r="I160" s="9"/>
      <c r="J160" s="9"/>
      <c r="K160" s="9"/>
      <c r="L160" s="18"/>
      <c r="M160" s="9"/>
      <c r="N160" s="9"/>
      <c r="O160" s="9"/>
      <c r="P160" s="9"/>
      <c r="Q160" s="9"/>
      <c r="R160" s="18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</row>
    <row r="161" spans="1:37" ht="15" customHeight="1">
      <c r="A161" s="23"/>
      <c r="B161" s="15"/>
      <c r="C161" s="9"/>
      <c r="D161" s="51"/>
      <c r="E161" s="9"/>
      <c r="F161" s="9"/>
      <c r="G161" s="9"/>
      <c r="H161" s="9"/>
      <c r="I161" s="9"/>
      <c r="J161" s="9"/>
      <c r="K161" s="9"/>
      <c r="L161" s="18"/>
      <c r="M161" s="9"/>
      <c r="N161" s="9"/>
      <c r="O161" s="9"/>
      <c r="P161" s="9"/>
      <c r="Q161" s="9"/>
      <c r="R161" s="18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</row>
    <row r="162" spans="1:37" ht="15" customHeight="1">
      <c r="A162" s="23"/>
      <c r="B162" s="15"/>
      <c r="C162" s="9"/>
      <c r="D162" s="51"/>
      <c r="E162" s="9"/>
      <c r="F162" s="9"/>
      <c r="G162" s="9"/>
      <c r="H162" s="9"/>
      <c r="I162" s="9"/>
      <c r="J162" s="9"/>
      <c r="K162" s="9"/>
      <c r="L162" s="18"/>
      <c r="M162" s="9"/>
      <c r="N162" s="9"/>
      <c r="O162" s="9"/>
      <c r="P162" s="9"/>
      <c r="Q162" s="9"/>
      <c r="R162" s="18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</row>
    <row r="163" spans="1:37" ht="15" customHeight="1">
      <c r="A163" s="23"/>
      <c r="B163" s="15"/>
      <c r="C163" s="9"/>
      <c r="D163" s="51"/>
      <c r="E163" s="9"/>
      <c r="F163" s="9"/>
      <c r="G163" s="9"/>
      <c r="H163" s="9"/>
      <c r="I163" s="9"/>
      <c r="J163" s="9"/>
      <c r="K163" s="9"/>
      <c r="L163" s="18"/>
      <c r="M163" s="9"/>
      <c r="N163" s="9"/>
      <c r="O163" s="9"/>
      <c r="P163" s="9"/>
      <c r="Q163" s="9"/>
      <c r="R163" s="18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</row>
    <row r="164" spans="1:37" ht="15" customHeight="1">
      <c r="A164" s="23"/>
      <c r="B164" s="15"/>
      <c r="C164" s="9"/>
      <c r="D164" s="51"/>
      <c r="E164" s="9"/>
      <c r="F164" s="9"/>
      <c r="G164" s="9"/>
      <c r="H164" s="9"/>
      <c r="I164" s="9"/>
      <c r="J164" s="9"/>
      <c r="K164" s="9"/>
      <c r="L164" s="18"/>
      <c r="M164" s="9"/>
      <c r="N164" s="9"/>
      <c r="O164" s="9"/>
      <c r="P164" s="9"/>
      <c r="Q164" s="9"/>
      <c r="R164" s="18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</row>
    <row r="165" spans="1:37" ht="15" customHeight="1">
      <c r="A165" s="13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</row>
    <row r="166" spans="1:37" ht="15" customHeight="1">
      <c r="A166" s="13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</row>
    <row r="167" spans="1:37" ht="15" customHeight="1">
      <c r="A167" s="13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</row>
    <row r="168" spans="1:37" ht="15" customHeight="1">
      <c r="A168" s="13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</row>
    <row r="169" spans="1:37" ht="15" customHeight="1">
      <c r="A169" s="13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</row>
    <row r="170" spans="1:37" ht="15" customHeight="1">
      <c r="A170" s="13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</row>
    <row r="171" spans="1:37" ht="15" customHeight="1">
      <c r="A171" s="13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4"/>
    </row>
    <row r="172" spans="1:37" ht="15" customHeight="1">
      <c r="A172" s="13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4"/>
    </row>
    <row r="173" spans="1:37" ht="15" customHeight="1">
      <c r="A173" s="13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4"/>
    </row>
    <row r="174" spans="1:37" ht="15" customHeight="1">
      <c r="A174" s="13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4"/>
    </row>
    <row r="175" spans="1:37" ht="15" customHeight="1">
      <c r="A175" s="13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4"/>
    </row>
    <row r="176" spans="1:37" ht="15" customHeight="1">
      <c r="A176" s="13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4"/>
    </row>
    <row r="177" spans="1:19" ht="15" customHeight="1">
      <c r="A177" s="13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4"/>
    </row>
    <row r="178" spans="1:19" ht="15" customHeight="1">
      <c r="A178" s="23"/>
      <c r="B178" s="15"/>
      <c r="C178" s="9"/>
      <c r="D178" s="51"/>
      <c r="E178" s="9"/>
      <c r="F178" s="9"/>
      <c r="G178" s="9"/>
      <c r="H178" s="9"/>
      <c r="I178" s="9"/>
      <c r="J178" s="9"/>
      <c r="K178" s="9"/>
      <c r="L178" s="18"/>
      <c r="M178" s="9"/>
      <c r="N178" s="9"/>
      <c r="O178" s="9"/>
      <c r="P178" s="9"/>
      <c r="Q178" s="18"/>
      <c r="R178" s="9"/>
      <c r="S178" s="4"/>
    </row>
    <row r="179" spans="1:19" ht="15" customHeight="1">
      <c r="A179" s="23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4"/>
    </row>
    <row r="180" spans="1:19" ht="15" customHeight="1">
      <c r="A180" s="23"/>
      <c r="B180" s="15"/>
      <c r="C180" s="9"/>
      <c r="D180" s="51"/>
      <c r="E180" s="4"/>
      <c r="F180" s="4"/>
      <c r="G180" s="4"/>
      <c r="H180" s="4"/>
      <c r="I180" s="4"/>
      <c r="J180" s="4"/>
      <c r="K180" s="4"/>
      <c r="L180" s="18"/>
      <c r="M180" s="4"/>
      <c r="N180" s="9"/>
      <c r="O180" s="4"/>
      <c r="P180" s="9"/>
      <c r="Q180" s="4"/>
      <c r="R180" s="9"/>
      <c r="S180" s="4"/>
    </row>
    <row r="181" spans="1:19" ht="15" customHeight="1">
      <c r="A181" s="23"/>
      <c r="B181" s="15"/>
      <c r="C181" s="9"/>
      <c r="D181" s="51"/>
      <c r="E181" s="4"/>
      <c r="F181" s="4"/>
      <c r="G181" s="4"/>
      <c r="H181" s="4"/>
      <c r="I181" s="4"/>
      <c r="J181" s="4"/>
      <c r="K181" s="4"/>
      <c r="L181" s="18"/>
      <c r="M181" s="4"/>
      <c r="N181" s="9"/>
      <c r="O181" s="4"/>
      <c r="P181" s="9"/>
      <c r="Q181" s="4"/>
      <c r="R181" s="9"/>
      <c r="S181" s="4"/>
    </row>
    <row r="182" spans="1:19" ht="15" customHeight="1">
      <c r="A182" s="23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52"/>
      <c r="Q182" s="9"/>
      <c r="R182" s="9"/>
      <c r="S182" s="4"/>
    </row>
    <row r="183" spans="1:19" ht="15" customHeight="1">
      <c r="A183" s="23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52"/>
      <c r="Q183" s="9"/>
      <c r="R183" s="9"/>
      <c r="S183" s="4"/>
    </row>
    <row r="184" spans="1:19" ht="15" customHeight="1">
      <c r="A184" s="23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52"/>
      <c r="Q184" s="9"/>
      <c r="R184" s="9"/>
      <c r="S184" s="4"/>
    </row>
    <row r="185" spans="1:19" ht="15" customHeight="1">
      <c r="A185" s="23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52"/>
      <c r="Q185" s="9"/>
      <c r="R185" s="9"/>
      <c r="S185" s="4"/>
    </row>
    <row r="186" spans="1:19" ht="15" customHeight="1">
      <c r="A186" s="23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52"/>
      <c r="Q186" s="9"/>
      <c r="R186" s="9"/>
      <c r="S186" s="4"/>
    </row>
    <row r="187" spans="1:19" ht="15" customHeight="1">
      <c r="A187" s="13"/>
      <c r="B187" s="14"/>
      <c r="C187" s="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9"/>
      <c r="O187" s="4"/>
      <c r="P187" s="9"/>
      <c r="Q187" s="4"/>
      <c r="R187" s="4"/>
      <c r="S187" s="4"/>
    </row>
    <row r="188" spans="1:19" ht="15" customHeight="1">
      <c r="A188" s="13"/>
      <c r="B188" s="14"/>
      <c r="C188" s="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9"/>
      <c r="O188" s="4"/>
      <c r="P188" s="9"/>
      <c r="Q188" s="4"/>
      <c r="R188" s="4"/>
      <c r="S188" s="4"/>
    </row>
    <row r="189" spans="1:19" ht="15" customHeight="1">
      <c r="A189" s="13"/>
      <c r="B189" s="14"/>
      <c r="C189" s="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9"/>
      <c r="O189" s="4"/>
      <c r="P189" s="9"/>
      <c r="Q189" s="4"/>
      <c r="R189" s="4"/>
      <c r="S189" s="4"/>
    </row>
    <row r="190" spans="1:19" ht="15" customHeight="1">
      <c r="A190" s="13"/>
      <c r="B190" s="14"/>
      <c r="C190" s="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9"/>
      <c r="O190" s="4"/>
      <c r="P190" s="9"/>
      <c r="Q190" s="4"/>
      <c r="R190" s="4"/>
      <c r="S190" s="4"/>
    </row>
    <row r="191" spans="1:19" ht="15" customHeight="1">
      <c r="A191" s="13"/>
      <c r="B191" s="14"/>
      <c r="C191" s="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9"/>
      <c r="O191" s="4"/>
      <c r="P191" s="9"/>
      <c r="Q191" s="4"/>
      <c r="R191" s="4"/>
      <c r="S191" s="4"/>
    </row>
    <row r="192" spans="1:19" ht="15" customHeight="1">
      <c r="A192" s="13"/>
      <c r="B192" s="14"/>
      <c r="C192" s="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9"/>
      <c r="O192" s="4"/>
      <c r="P192" s="9"/>
      <c r="Q192" s="4"/>
      <c r="R192" s="4"/>
      <c r="S192" s="4"/>
    </row>
    <row r="193" spans="1:19" ht="15" customHeight="1">
      <c r="A193" s="13"/>
      <c r="B193" s="14"/>
      <c r="C193" s="9"/>
      <c r="D193" s="51"/>
      <c r="E193" s="4"/>
      <c r="F193" s="4"/>
      <c r="G193" s="4"/>
      <c r="H193" s="4"/>
      <c r="I193" s="4"/>
      <c r="J193" s="4"/>
      <c r="K193" s="4"/>
      <c r="L193" s="18"/>
      <c r="M193" s="4"/>
      <c r="N193" s="9"/>
      <c r="O193" s="4"/>
      <c r="P193" s="9"/>
      <c r="Q193" s="4"/>
      <c r="R193" s="9"/>
      <c r="S193" s="4"/>
    </row>
    <row r="194" spans="1:19" ht="15" customHeight="1">
      <c r="A194" s="13"/>
      <c r="B194" s="14"/>
      <c r="C194" s="9"/>
      <c r="D194" s="51"/>
      <c r="E194" s="4"/>
      <c r="F194" s="4"/>
      <c r="G194" s="4"/>
      <c r="H194" s="4"/>
      <c r="I194" s="4"/>
      <c r="J194" s="4"/>
      <c r="K194" s="4"/>
      <c r="L194" s="18"/>
      <c r="M194" s="4"/>
      <c r="N194" s="9"/>
      <c r="O194" s="4"/>
      <c r="P194" s="9"/>
      <c r="Q194" s="4"/>
      <c r="R194" s="9"/>
      <c r="S194" s="4"/>
    </row>
    <row r="195" spans="1:19" ht="15" customHeight="1">
      <c r="A195" s="13"/>
      <c r="B195" s="14"/>
      <c r="C195" s="9"/>
      <c r="D195" s="51"/>
      <c r="E195" s="4"/>
      <c r="F195" s="4"/>
      <c r="G195" s="4"/>
      <c r="H195" s="4"/>
      <c r="I195" s="4"/>
      <c r="J195" s="4"/>
      <c r="K195" s="4"/>
      <c r="L195" s="18"/>
      <c r="M195" s="4"/>
      <c r="N195" s="9"/>
      <c r="O195" s="4"/>
      <c r="P195" s="9"/>
      <c r="Q195" s="4"/>
      <c r="R195" s="9"/>
      <c r="S195" s="4"/>
    </row>
    <row r="196" spans="1:19" ht="15" customHeight="1">
      <c r="A196" s="13"/>
      <c r="B196" s="14"/>
      <c r="C196" s="9"/>
      <c r="D196" s="51"/>
      <c r="E196" s="4"/>
      <c r="F196" s="4"/>
      <c r="G196" s="4"/>
      <c r="H196" s="4"/>
      <c r="I196" s="4"/>
      <c r="J196" s="4"/>
      <c r="K196" s="4"/>
      <c r="L196" s="18"/>
      <c r="M196" s="4"/>
      <c r="N196" s="9"/>
      <c r="O196" s="4"/>
      <c r="P196" s="9"/>
      <c r="Q196" s="4"/>
      <c r="R196" s="9"/>
      <c r="S196" s="4"/>
    </row>
    <row r="197" spans="1:19" ht="15" customHeight="1">
      <c r="A197" s="13"/>
      <c r="B197" s="14"/>
      <c r="C197" s="9"/>
      <c r="D197" s="51"/>
      <c r="E197" s="4"/>
      <c r="F197" s="4"/>
      <c r="G197" s="4"/>
      <c r="H197" s="4"/>
      <c r="I197" s="4"/>
      <c r="J197" s="4"/>
      <c r="K197" s="4"/>
      <c r="L197" s="18"/>
      <c r="M197" s="4"/>
      <c r="N197" s="9"/>
      <c r="O197" s="4"/>
      <c r="P197" s="9"/>
      <c r="Q197" s="4"/>
      <c r="R197" s="9"/>
      <c r="S197" s="4"/>
    </row>
    <row r="198" spans="1:19" ht="15" customHeight="1">
      <c r="A198" s="13"/>
      <c r="B198" s="14"/>
      <c r="C198" s="9"/>
      <c r="D198" s="51"/>
      <c r="E198" s="4"/>
      <c r="F198" s="4"/>
      <c r="G198" s="4"/>
      <c r="H198" s="4"/>
      <c r="I198" s="4"/>
      <c r="J198" s="4"/>
      <c r="K198" s="4"/>
      <c r="L198" s="18"/>
      <c r="M198" s="4"/>
      <c r="N198" s="9"/>
      <c r="O198" s="4"/>
      <c r="P198" s="9"/>
      <c r="Q198" s="4"/>
      <c r="R198" s="9"/>
      <c r="S198" s="4"/>
    </row>
    <row r="199" spans="1:19" ht="15" customHeight="1">
      <c r="A199" s="13"/>
      <c r="B199" s="14"/>
      <c r="C199" s="9"/>
      <c r="D199" s="51"/>
      <c r="E199" s="4"/>
      <c r="F199" s="4"/>
      <c r="G199" s="4"/>
      <c r="H199" s="4"/>
      <c r="I199" s="4"/>
      <c r="J199" s="4"/>
      <c r="K199" s="4"/>
      <c r="L199" s="18"/>
      <c r="M199" s="4"/>
      <c r="N199" s="9"/>
      <c r="O199" s="4"/>
      <c r="P199" s="9"/>
      <c r="Q199" s="4"/>
      <c r="R199" s="9"/>
      <c r="S199" s="4"/>
    </row>
    <row r="200" spans="1:19" ht="15" customHeight="1">
      <c r="A200" s="13"/>
      <c r="B200" s="14"/>
      <c r="C200" s="9"/>
      <c r="D200" s="51"/>
      <c r="E200" s="4"/>
      <c r="F200" s="4"/>
      <c r="G200" s="4"/>
      <c r="H200" s="4"/>
      <c r="I200" s="4"/>
      <c r="J200" s="4"/>
      <c r="K200" s="4"/>
      <c r="L200" s="18"/>
      <c r="M200" s="4"/>
      <c r="N200" s="9"/>
      <c r="O200" s="4"/>
      <c r="P200" s="9"/>
      <c r="Q200" s="4"/>
      <c r="R200" s="9"/>
      <c r="S200" s="4"/>
    </row>
    <row r="201" spans="1:19" ht="15" customHeight="1">
      <c r="A201" s="13"/>
      <c r="B201" s="14"/>
      <c r="C201" s="9"/>
      <c r="D201" s="51"/>
      <c r="E201" s="4"/>
      <c r="F201" s="4"/>
      <c r="G201" s="4"/>
      <c r="H201" s="4"/>
      <c r="I201" s="4"/>
      <c r="J201" s="4"/>
      <c r="K201" s="4"/>
      <c r="L201" s="18"/>
      <c r="M201" s="9"/>
      <c r="N201" s="9"/>
      <c r="O201" s="4"/>
      <c r="P201" s="9"/>
      <c r="Q201" s="9"/>
      <c r="R201" s="9"/>
      <c r="S201" s="4"/>
    </row>
    <row r="202" spans="1:19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624" spans="13:15" ht="15" customHeight="1">
      <c r="M624" s="9"/>
      <c r="O624" s="18"/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</sheetData>
  <autoFilter ref="A1:AK632" xr:uid="{00000000-0001-0000-06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N708"/>
  <sheetViews>
    <sheetView workbookViewId="0">
      <selection activeCell="E20" sqref="E20"/>
    </sheetView>
  </sheetViews>
  <sheetFormatPr defaultColWidth="12.5546875" defaultRowHeight="15" customHeight="1"/>
  <cols>
    <col min="3" max="5" width="13" bestFit="1" customWidth="1"/>
    <col min="6" max="6" width="13.88671875" customWidth="1"/>
    <col min="7" max="11" width="13" bestFit="1" customWidth="1"/>
    <col min="12" max="12" width="18.33203125" customWidth="1"/>
    <col min="13" max="18" width="13" bestFit="1" customWidth="1"/>
    <col min="19" max="19" width="11.44140625" customWidth="1"/>
    <col min="25" max="27" width="11.44140625" customWidth="1"/>
    <col min="28" max="28" width="9.33203125" customWidth="1"/>
    <col min="29" max="29" width="10.44140625" customWidth="1"/>
    <col min="30" max="30" width="13.88671875" customWidth="1"/>
  </cols>
  <sheetData>
    <row r="1" spans="1:65" ht="14.4">
      <c r="A1" s="105" t="s">
        <v>9</v>
      </c>
      <c r="B1" s="106" t="s">
        <v>10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</row>
    <row r="2" spans="1:65" ht="14.4">
      <c r="A2" s="93">
        <v>1</v>
      </c>
      <c r="B2" s="94">
        <v>1</v>
      </c>
      <c r="C2" s="95">
        <v>2.1150000000000002</v>
      </c>
      <c r="D2" s="95">
        <v>4.4720000000000004</v>
      </c>
      <c r="E2" s="95">
        <v>9.4580000000000002</v>
      </c>
      <c r="F2" s="95">
        <v>20.353000000000002</v>
      </c>
      <c r="G2" s="95">
        <v>44.567</v>
      </c>
      <c r="H2" s="95">
        <v>97.590999999999994</v>
      </c>
      <c r="I2" s="95">
        <v>210.00899999999999</v>
      </c>
      <c r="J2" s="95">
        <v>407.08300000000003</v>
      </c>
      <c r="K2" s="95">
        <v>802.952</v>
      </c>
      <c r="L2" s="95">
        <v>1477.204</v>
      </c>
      <c r="M2" s="95">
        <v>2624.5929999999998</v>
      </c>
      <c r="N2" s="95">
        <v>4425.7910000000002</v>
      </c>
      <c r="O2" s="95">
        <v>6960.8549999999996</v>
      </c>
      <c r="P2" s="95">
        <v>10211.212</v>
      </c>
      <c r="Q2" s="95">
        <v>14466.489</v>
      </c>
      <c r="R2" s="95">
        <v>19451.64</v>
      </c>
      <c r="S2" s="95">
        <v>24823.113000000001</v>
      </c>
      <c r="T2" s="95">
        <v>32234.468000000001</v>
      </c>
      <c r="U2" s="95">
        <v>41858.633999999998</v>
      </c>
      <c r="V2" s="115">
        <v>54356.262000000002</v>
      </c>
      <c r="W2" s="119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</row>
    <row r="3" spans="1:65" ht="14.4">
      <c r="A3" s="92">
        <v>1</v>
      </c>
      <c r="B3" s="97">
        <v>2</v>
      </c>
      <c r="C3" s="116">
        <v>1.321</v>
      </c>
      <c r="D3" s="116">
        <v>2.4740000000000002</v>
      </c>
      <c r="E3" s="116">
        <v>4.8789999999999996</v>
      </c>
      <c r="F3" s="116">
        <v>10.14</v>
      </c>
      <c r="G3" s="116">
        <v>21.074000000000002</v>
      </c>
      <c r="H3" s="116">
        <v>50.345999999999997</v>
      </c>
      <c r="I3" s="116">
        <v>104.633</v>
      </c>
      <c r="J3" s="116">
        <v>237.24100000000001</v>
      </c>
      <c r="K3" s="116">
        <v>484.53399999999999</v>
      </c>
      <c r="L3" s="116">
        <v>955.72400000000005</v>
      </c>
      <c r="M3" s="116">
        <v>1789.154</v>
      </c>
      <c r="N3" s="116">
        <v>3017.0059999999999</v>
      </c>
      <c r="O3" s="96">
        <v>5360.4139999999998</v>
      </c>
      <c r="P3" s="96">
        <v>7863.4430000000002</v>
      </c>
      <c r="Q3" s="96">
        <v>11737.933999999999</v>
      </c>
      <c r="R3" s="96">
        <v>16921.616000000002</v>
      </c>
      <c r="S3" s="96">
        <v>22752.802</v>
      </c>
      <c r="T3" s="96">
        <v>29546.05</v>
      </c>
      <c r="U3" s="96">
        <v>37705.021000000001</v>
      </c>
      <c r="V3" s="117">
        <v>53417.716999999997</v>
      </c>
      <c r="W3" s="119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</row>
    <row r="4" spans="1:65" ht="15" customHeight="1">
      <c r="A4" s="92">
        <v>1</v>
      </c>
      <c r="B4" s="97">
        <v>3</v>
      </c>
      <c r="C4" s="96">
        <v>1</v>
      </c>
      <c r="D4" s="96">
        <v>3.629</v>
      </c>
      <c r="E4" s="96">
        <v>7.4109999999999996</v>
      </c>
      <c r="F4" s="96">
        <v>14.618</v>
      </c>
      <c r="G4" s="96">
        <v>29.856000000000002</v>
      </c>
      <c r="H4" s="96">
        <v>70.094999999999999</v>
      </c>
      <c r="I4" s="96">
        <v>145.67599999999999</v>
      </c>
      <c r="J4" s="96">
        <v>313.48599999999999</v>
      </c>
      <c r="K4" s="96">
        <v>662.952</v>
      </c>
      <c r="L4" s="96">
        <v>1262.8789999999999</v>
      </c>
      <c r="M4" s="96">
        <v>2364.1579999999999</v>
      </c>
      <c r="N4" s="96">
        <v>4127.9409999999998</v>
      </c>
      <c r="O4" s="96">
        <v>6840.665</v>
      </c>
      <c r="P4" s="96">
        <v>10758.955</v>
      </c>
      <c r="Q4" s="96">
        <v>14979.306</v>
      </c>
      <c r="R4" s="96">
        <v>22359.925999999999</v>
      </c>
      <c r="S4" s="96">
        <v>21973.86</v>
      </c>
      <c r="T4" s="96">
        <v>29546.05</v>
      </c>
      <c r="U4" s="96">
        <v>39041.633000000002</v>
      </c>
      <c r="V4" s="117">
        <v>56283.148000000001</v>
      </c>
      <c r="W4" s="90"/>
      <c r="X4" s="58"/>
      <c r="Y4" s="59"/>
      <c r="Z4" s="57"/>
      <c r="AA4" s="58"/>
      <c r="AB4" s="57"/>
      <c r="AC4" s="57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</row>
    <row r="5" spans="1:65" ht="15" customHeight="1">
      <c r="A5" s="92">
        <v>1</v>
      </c>
      <c r="B5" s="97">
        <v>4</v>
      </c>
      <c r="C5" s="116">
        <v>710.78700000000003</v>
      </c>
      <c r="D5" s="116">
        <v>1137.5630000000001</v>
      </c>
      <c r="E5" s="116">
        <v>1401.998</v>
      </c>
      <c r="F5" s="116">
        <v>1758.26</v>
      </c>
      <c r="G5" s="116">
        <v>2092.7930000000001</v>
      </c>
      <c r="H5" s="116">
        <v>2447.9639999999999</v>
      </c>
      <c r="I5" s="116">
        <v>3178.8440000000001</v>
      </c>
      <c r="J5" s="116">
        <v>4056.6689999999999</v>
      </c>
      <c r="K5" s="116">
        <v>5454.5959999999995</v>
      </c>
      <c r="L5" s="116">
        <v>6722.55</v>
      </c>
      <c r="M5" s="116">
        <v>9691.3490000000002</v>
      </c>
      <c r="N5" s="116">
        <v>11944.169</v>
      </c>
      <c r="O5" s="96">
        <v>16342.294</v>
      </c>
      <c r="P5" s="96">
        <v>20855.149000000001</v>
      </c>
      <c r="Q5" s="96">
        <v>26154.657999999999</v>
      </c>
      <c r="R5" s="96">
        <v>31130.94</v>
      </c>
      <c r="S5" s="96">
        <v>41135.904000000002</v>
      </c>
      <c r="T5" s="96">
        <v>51588.93</v>
      </c>
      <c r="U5" s="96">
        <v>58278.305999999997</v>
      </c>
      <c r="V5" s="118">
        <v>71825.456000000006</v>
      </c>
      <c r="W5" s="119"/>
      <c r="X5" s="58"/>
      <c r="Y5" s="59"/>
      <c r="Z5" s="57"/>
      <c r="AA5" s="58"/>
      <c r="AB5" s="57"/>
      <c r="AC5" s="57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</row>
    <row r="6" spans="1:65" ht="15" customHeight="1">
      <c r="A6" s="93">
        <v>2</v>
      </c>
      <c r="B6" s="94">
        <v>1</v>
      </c>
      <c r="C6" s="169">
        <v>146.255</v>
      </c>
      <c r="D6" s="169">
        <v>211.86799999999999</v>
      </c>
      <c r="E6" s="169">
        <v>285.67200000000003</v>
      </c>
      <c r="F6" s="169">
        <v>413.83100000000002</v>
      </c>
      <c r="G6" s="169">
        <v>592.36</v>
      </c>
      <c r="H6" s="169">
        <v>868.42700000000002</v>
      </c>
      <c r="I6" s="169">
        <v>1199.279</v>
      </c>
      <c r="J6" s="169">
        <v>1758.1980000000001</v>
      </c>
      <c r="K6" s="169">
        <v>2399.1770000000001</v>
      </c>
      <c r="L6" s="169">
        <v>3645.7440000000001</v>
      </c>
      <c r="M6" s="95">
        <v>4915.7380000000003</v>
      </c>
      <c r="N6" s="95">
        <v>6788.5280000000002</v>
      </c>
      <c r="O6" s="95">
        <v>9263.4040000000005</v>
      </c>
      <c r="P6" s="95">
        <v>12490.308000000001</v>
      </c>
      <c r="Q6" s="95">
        <v>16641.168000000001</v>
      </c>
      <c r="R6" s="95">
        <v>20884.976999999999</v>
      </c>
      <c r="S6" s="95">
        <v>25899.532999999999</v>
      </c>
      <c r="T6" s="115">
        <v>32504.385999999999</v>
      </c>
      <c r="U6" s="95"/>
      <c r="V6" s="119"/>
      <c r="W6" s="119"/>
      <c r="X6" s="58"/>
      <c r="Y6" s="59"/>
      <c r="Z6" s="57"/>
      <c r="AA6" s="58"/>
      <c r="AB6" s="57"/>
      <c r="AC6" s="57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</row>
    <row r="7" spans="1:65" ht="15" customHeight="1">
      <c r="A7" s="93">
        <v>3</v>
      </c>
      <c r="B7" s="94">
        <v>1</v>
      </c>
      <c r="C7" s="95">
        <v>1909853258.5662465</v>
      </c>
      <c r="D7" s="95">
        <v>1782378767.4480915</v>
      </c>
      <c r="E7" s="95">
        <v>1737800828.7493825</v>
      </c>
      <c r="F7" s="95">
        <v>1621810097.358937</v>
      </c>
      <c r="G7" s="95">
        <v>1513561248.4362099</v>
      </c>
      <c r="H7" s="95">
        <v>1432187899.2735465</v>
      </c>
      <c r="I7" s="95">
        <v>1374041975.0125153</v>
      </c>
      <c r="J7" s="95">
        <v>1282330582.6560266</v>
      </c>
      <c r="K7" s="95">
        <v>1056817509.2136567</v>
      </c>
      <c r="L7" s="95">
        <v>509330871.05719721</v>
      </c>
      <c r="M7" s="95">
        <v>16904409.316432651</v>
      </c>
      <c r="N7" s="95">
        <v>1492794.409579</v>
      </c>
      <c r="O7" s="95">
        <v>748169.5005111543</v>
      </c>
      <c r="P7" s="95">
        <v>481947.79762512789</v>
      </c>
      <c r="Q7" s="95">
        <v>381065.82339377399</v>
      </c>
      <c r="R7" s="95">
        <v>309741.92992165795</v>
      </c>
      <c r="S7" s="163"/>
      <c r="T7" s="163"/>
      <c r="U7" s="164"/>
      <c r="V7" s="164"/>
      <c r="W7" s="165"/>
      <c r="X7" s="119"/>
      <c r="Y7" s="58"/>
      <c r="Z7" s="57"/>
      <c r="AA7" s="58"/>
      <c r="AB7" s="57"/>
      <c r="AC7" s="57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</row>
    <row r="8" spans="1:65" ht="15" customHeight="1">
      <c r="A8" s="92">
        <v>3</v>
      </c>
      <c r="B8" s="97">
        <v>2</v>
      </c>
      <c r="C8" s="122">
        <v>1963360276.8360441</v>
      </c>
      <c r="D8" s="122">
        <v>1990673338.9871852</v>
      </c>
      <c r="E8" s="122">
        <v>1857804455.0917041</v>
      </c>
      <c r="F8" s="122">
        <v>1621810097.358937</v>
      </c>
      <c r="G8" s="122">
        <v>1667247212.5510664</v>
      </c>
      <c r="H8" s="122">
        <v>1644371723.2149341</v>
      </c>
      <c r="I8" s="122">
        <v>1621810097.358937</v>
      </c>
      <c r="J8" s="122">
        <v>1577611269.6993535</v>
      </c>
      <c r="K8" s="122">
        <v>1213388850.4649789</v>
      </c>
      <c r="L8" s="122">
        <v>553350109.21573889</v>
      </c>
      <c r="M8" s="122">
        <v>74816950.051115602</v>
      </c>
      <c r="N8" s="122">
        <v>31841975.217261296</v>
      </c>
      <c r="O8" s="122">
        <v>18323144.22371212</v>
      </c>
      <c r="P8" s="122">
        <v>11803206.356517313</v>
      </c>
      <c r="Q8" s="122">
        <v>8472274.1414059792</v>
      </c>
      <c r="R8" s="122">
        <v>5997910.7625551019</v>
      </c>
      <c r="S8" s="122">
        <v>4197589.8399100872</v>
      </c>
      <c r="T8" s="122">
        <v>3013006.0241861255</v>
      </c>
      <c r="U8" s="122">
        <v>2517676.9277588599</v>
      </c>
      <c r="V8" s="122">
        <v>2133044.9131465787</v>
      </c>
      <c r="W8" s="123">
        <v>1621810.0973589318</v>
      </c>
      <c r="X8" s="119"/>
      <c r="Y8" s="59"/>
      <c r="Z8" s="57"/>
      <c r="AA8" s="58"/>
      <c r="AB8" s="57"/>
      <c r="AC8" s="57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</row>
    <row r="9" spans="1:65" ht="15" customHeight="1">
      <c r="A9" s="92">
        <v>3</v>
      </c>
      <c r="B9" s="97">
        <v>3</v>
      </c>
      <c r="C9" s="122">
        <v>2285598803.3754354</v>
      </c>
      <c r="D9" s="122">
        <v>2254239212.1524329</v>
      </c>
      <c r="E9" s="122">
        <v>2162718523.7270269</v>
      </c>
      <c r="F9" s="122">
        <v>2103778439.7664793</v>
      </c>
      <c r="G9" s="122">
        <v>1990673338.9871852</v>
      </c>
      <c r="H9" s="122">
        <v>1990673338.9871852</v>
      </c>
      <c r="I9" s="122">
        <v>1936421963.9466169</v>
      </c>
      <c r="J9" s="122">
        <v>1883649089.4898076</v>
      </c>
      <c r="K9" s="122">
        <v>1690440931.6432688</v>
      </c>
      <c r="L9" s="122">
        <v>1132400363.235559</v>
      </c>
      <c r="M9" s="122">
        <v>468813382.14526504</v>
      </c>
      <c r="N9" s="122">
        <v>293089324.52503276</v>
      </c>
      <c r="O9" s="122">
        <v>273526872.63067096</v>
      </c>
      <c r="P9" s="122">
        <v>241546083.4444941</v>
      </c>
      <c r="Q9" s="122">
        <v>231739464.99684829</v>
      </c>
      <c r="R9" s="122">
        <v>219280493.5350447</v>
      </c>
      <c r="S9" s="122">
        <v>222330989.06514028</v>
      </c>
      <c r="T9" s="122">
        <v>219280493.5350447</v>
      </c>
      <c r="U9" s="122">
        <v>207491351.74549174</v>
      </c>
      <c r="V9" s="122">
        <v>193642196.39466149</v>
      </c>
      <c r="W9" s="123">
        <v>176197604.64116356</v>
      </c>
      <c r="X9" s="119"/>
      <c r="Y9" s="58"/>
      <c r="Z9" s="58"/>
      <c r="AA9" s="58"/>
      <c r="AB9" s="18"/>
      <c r="AC9" s="18"/>
      <c r="AD9" s="1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</row>
    <row r="10" spans="1:65" ht="15" customHeight="1">
      <c r="A10" s="92">
        <v>3</v>
      </c>
      <c r="B10" s="97">
        <v>4</v>
      </c>
      <c r="C10" s="122">
        <v>3318944575.5261111</v>
      </c>
      <c r="D10" s="122">
        <v>3228494121.7126493</v>
      </c>
      <c r="E10" s="122">
        <v>3054921113.2155185</v>
      </c>
      <c r="F10" s="122">
        <v>3097419299.2165875</v>
      </c>
      <c r="G10" s="122">
        <v>3013006024.1861248</v>
      </c>
      <c r="H10" s="122">
        <v>2930893245.2503304</v>
      </c>
      <c r="I10" s="122">
        <v>2851018267.5039153</v>
      </c>
      <c r="J10" s="122">
        <v>2660725059.7988157</v>
      </c>
      <c r="K10" s="122">
        <v>2517676927.7588639</v>
      </c>
      <c r="L10" s="122">
        <v>1555965631.6050782</v>
      </c>
      <c r="M10" s="122">
        <v>727779804.53682554</v>
      </c>
      <c r="N10" s="122">
        <v>599791076.25551152</v>
      </c>
      <c r="O10" s="122">
        <v>538269782.51628971</v>
      </c>
      <c r="P10" s="122">
        <v>523600436.58575088</v>
      </c>
      <c r="Q10" s="122">
        <v>488652359.34283435</v>
      </c>
      <c r="R10" s="122">
        <v>481947797.62512773</v>
      </c>
      <c r="S10" s="122">
        <v>475335225.94280541</v>
      </c>
      <c r="T10" s="122">
        <v>462381021.39925981</v>
      </c>
      <c r="U10" s="122">
        <v>456036915.95129699</v>
      </c>
      <c r="V10" s="122">
        <v>437522105.15825355</v>
      </c>
      <c r="W10" s="123">
        <v>413999674.81973225</v>
      </c>
      <c r="X10" s="119"/>
      <c r="Y10" s="59"/>
      <c r="Z10" s="57"/>
      <c r="AA10" s="58"/>
      <c r="AB10" s="57"/>
      <c r="AC10" s="57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</row>
    <row r="11" spans="1:65" ht="15" customHeight="1">
      <c r="A11" s="92">
        <v>3</v>
      </c>
      <c r="B11" s="97">
        <v>1</v>
      </c>
      <c r="C11" s="122">
        <v>1435489433.3536599</v>
      </c>
      <c r="D11" s="122">
        <v>1402813704.5619621</v>
      </c>
      <c r="E11" s="122">
        <v>1358313446.5871544</v>
      </c>
      <c r="F11" s="122">
        <v>1339676687.4259391</v>
      </c>
      <c r="G11" s="122">
        <v>1288249551.6931362</v>
      </c>
      <c r="H11" s="122">
        <v>1250259030.2177198</v>
      </c>
      <c r="I11" s="122">
        <v>1202264434.6174154</v>
      </c>
      <c r="J11" s="122">
        <v>1114294533.5917342</v>
      </c>
      <c r="K11" s="122">
        <v>1023292992.280757</v>
      </c>
      <c r="L11" s="122">
        <v>707945784.38413846</v>
      </c>
      <c r="M11" s="122">
        <v>186208713.66628659</v>
      </c>
      <c r="N11" s="122">
        <v>109647819.61431865</v>
      </c>
      <c r="O11" s="122">
        <v>85703784.523037046</v>
      </c>
      <c r="P11" s="122">
        <v>75335556.373371795</v>
      </c>
      <c r="Q11" s="122">
        <v>68706844.001423299</v>
      </c>
      <c r="R11" s="122">
        <v>62661386.467233635</v>
      </c>
      <c r="S11" s="122">
        <v>55335010.921573825</v>
      </c>
      <c r="T11" s="122">
        <v>43351087.838752866</v>
      </c>
      <c r="U11" s="119"/>
      <c r="V11" s="119"/>
      <c r="W11" s="166"/>
      <c r="X11" s="119"/>
      <c r="Y11" s="59"/>
      <c r="Z11" s="57"/>
      <c r="AA11" s="58"/>
      <c r="AB11" s="57"/>
      <c r="AC11" s="57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</row>
    <row r="12" spans="1:65" ht="15" customHeight="1">
      <c r="A12" s="92">
        <v>3</v>
      </c>
      <c r="B12" s="97">
        <v>2</v>
      </c>
      <c r="C12" s="122">
        <v>1621810097.358937</v>
      </c>
      <c r="D12" s="122">
        <v>1595879147.2367318</v>
      </c>
      <c r="E12" s="122">
        <v>1548816618.912483</v>
      </c>
      <c r="F12" s="122">
        <v>1479108388.1682093</v>
      </c>
      <c r="G12" s="122">
        <v>1422328787.1228247</v>
      </c>
      <c r="H12" s="122">
        <v>1380384264.6028919</v>
      </c>
      <c r="I12" s="122">
        <v>1318256738.5564094</v>
      </c>
      <c r="J12" s="122">
        <v>1221799660.1648717</v>
      </c>
      <c r="K12" s="122">
        <v>1064143018.2243165</v>
      </c>
      <c r="L12" s="122">
        <v>812830516.1641022</v>
      </c>
      <c r="M12" s="122">
        <v>263026799.18953854</v>
      </c>
      <c r="N12" s="122">
        <v>174984668.86246598</v>
      </c>
      <c r="O12" s="122">
        <v>144543977.07459331</v>
      </c>
      <c r="P12" s="122">
        <v>131825673.85564078</v>
      </c>
      <c r="Q12" s="122">
        <v>121059813.35504861</v>
      </c>
      <c r="R12" s="122">
        <v>116680961.70609654</v>
      </c>
      <c r="S12" s="122">
        <v>105438689.6391259</v>
      </c>
      <c r="T12" s="122">
        <v>89742879.450074911</v>
      </c>
      <c r="U12" s="119"/>
      <c r="V12" s="119"/>
      <c r="W12" s="166"/>
      <c r="X12" s="119"/>
      <c r="Y12" s="59"/>
      <c r="Z12" s="57"/>
      <c r="AA12" s="58"/>
      <c r="AB12" s="57"/>
      <c r="AC12" s="57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</row>
    <row r="13" spans="1:65" ht="15" customHeight="1">
      <c r="A13" s="92">
        <v>3</v>
      </c>
      <c r="B13" s="97">
        <v>3</v>
      </c>
      <c r="C13" s="122">
        <v>2471724145.0161419</v>
      </c>
      <c r="D13" s="122">
        <v>2398832919.0194969</v>
      </c>
      <c r="E13" s="122">
        <v>2344228815.3199205</v>
      </c>
      <c r="F13" s="122">
        <v>2290867652.7677717</v>
      </c>
      <c r="G13" s="122">
        <v>2254239212.1524329</v>
      </c>
      <c r="H13" s="122">
        <v>2187761623.9495592</v>
      </c>
      <c r="I13" s="122">
        <v>2123244462.000222</v>
      </c>
      <c r="J13" s="122">
        <v>1995262314.9688866</v>
      </c>
      <c r="K13" s="122">
        <v>1790605854.0352988</v>
      </c>
      <c r="L13" s="122">
        <v>1174897554.939532</v>
      </c>
      <c r="M13" s="122">
        <v>449779854.89328849</v>
      </c>
      <c r="N13" s="122">
        <v>306902198.83911639</v>
      </c>
      <c r="O13" s="122">
        <v>258821291.51531005</v>
      </c>
      <c r="P13" s="122">
        <v>232809125.76650155</v>
      </c>
      <c r="Q13" s="122">
        <v>213796208.95022365</v>
      </c>
      <c r="R13" s="122">
        <v>200909281.26087371</v>
      </c>
      <c r="S13" s="122">
        <v>186208713.66628659</v>
      </c>
      <c r="T13" s="122">
        <v>148936107.77109185</v>
      </c>
      <c r="U13" s="119"/>
      <c r="V13" s="119"/>
      <c r="W13" s="166"/>
      <c r="X13" s="119"/>
      <c r="Y13" s="59"/>
      <c r="Z13" s="57"/>
      <c r="AA13" s="58"/>
      <c r="AB13" s="57"/>
      <c r="AC13" s="57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</row>
    <row r="14" spans="1:65" ht="15" customHeight="1">
      <c r="A14" s="103">
        <v>3</v>
      </c>
      <c r="B14" s="104">
        <v>4</v>
      </c>
      <c r="C14" s="155">
        <v>2999162518.9876609</v>
      </c>
      <c r="D14" s="155">
        <v>2773320104.6518426</v>
      </c>
      <c r="E14" s="155">
        <v>2798981319.6343627</v>
      </c>
      <c r="F14" s="155">
        <v>2818382931.2644596</v>
      </c>
      <c r="G14" s="155">
        <v>2648500138.6067033</v>
      </c>
      <c r="H14" s="155">
        <v>2630267991.8953881</v>
      </c>
      <c r="I14" s="155">
        <v>2529297996.4461565</v>
      </c>
      <c r="J14" s="155">
        <v>2415460834.4449434</v>
      </c>
      <c r="K14" s="155">
        <v>2202926463.0534601</v>
      </c>
      <c r="L14" s="155">
        <v>1513561248.4362099</v>
      </c>
      <c r="M14" s="155">
        <v>818464788.13479173</v>
      </c>
      <c r="N14" s="155">
        <v>635330931.85174572</v>
      </c>
      <c r="O14" s="155">
        <v>575439937.33715785</v>
      </c>
      <c r="P14" s="155">
        <v>533334895.48762274</v>
      </c>
      <c r="Q14" s="155">
        <v>493173803.95493627</v>
      </c>
      <c r="R14" s="155">
        <v>460256573.58135653</v>
      </c>
      <c r="S14" s="155">
        <v>419758983.99100816</v>
      </c>
      <c r="T14" s="155">
        <v>371535229.09717381</v>
      </c>
      <c r="U14" s="167"/>
      <c r="V14" s="167"/>
      <c r="W14" s="168"/>
      <c r="X14" s="119"/>
      <c r="Y14" s="59"/>
      <c r="Z14" s="57"/>
      <c r="AA14" s="58"/>
      <c r="AB14" s="57"/>
      <c r="AC14" s="57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</row>
    <row r="15" spans="1:65" ht="15" customHeight="1">
      <c r="A15" s="93">
        <v>4</v>
      </c>
      <c r="B15" s="94">
        <v>1</v>
      </c>
      <c r="C15" s="90"/>
      <c r="D15" s="119"/>
      <c r="E15" s="100"/>
      <c r="F15" s="100"/>
      <c r="G15" s="100"/>
      <c r="H15" s="100"/>
      <c r="I15" s="100"/>
      <c r="J15" s="100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58"/>
      <c r="Y15" s="59"/>
      <c r="Z15" s="57"/>
      <c r="AA15" s="58"/>
      <c r="AB15" s="57"/>
      <c r="AC15" s="5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</row>
    <row r="16" spans="1:65" ht="15" customHeight="1">
      <c r="A16" s="139">
        <v>5</v>
      </c>
      <c r="B16" s="206">
        <v>1</v>
      </c>
      <c r="C16" s="141">
        <v>147.44399999999999</v>
      </c>
      <c r="D16" s="141">
        <v>287.62299999999999</v>
      </c>
      <c r="E16" s="147">
        <v>636.68100000000004</v>
      </c>
      <c r="F16" s="147">
        <v>1155.434</v>
      </c>
      <c r="G16" s="147">
        <v>2115.8760000000002</v>
      </c>
      <c r="H16" s="147">
        <v>4017.1819999999998</v>
      </c>
      <c r="I16" s="147">
        <v>6252.8580000000002</v>
      </c>
      <c r="J16" s="147">
        <v>7979.2290000000003</v>
      </c>
      <c r="K16" s="147">
        <v>13593.562</v>
      </c>
      <c r="L16" s="147">
        <v>20042.907999999999</v>
      </c>
      <c r="M16" s="141">
        <v>26517.3</v>
      </c>
      <c r="N16" s="141">
        <v>33534.377</v>
      </c>
      <c r="O16" s="141">
        <v>42408.317000000003</v>
      </c>
      <c r="P16" s="141">
        <v>68437.509000000005</v>
      </c>
      <c r="Q16" s="141">
        <v>83477.322</v>
      </c>
      <c r="R16" s="141">
        <v>102745.966</v>
      </c>
      <c r="S16" s="141">
        <v>125325.398</v>
      </c>
      <c r="T16" s="141">
        <v>142213.639</v>
      </c>
      <c r="U16" s="141">
        <v>176627.69699999999</v>
      </c>
      <c r="V16" s="142">
        <v>219369.62700000001</v>
      </c>
      <c r="W16" s="96"/>
      <c r="X16" s="96"/>
      <c r="Y16" s="192"/>
      <c r="Z16" s="96"/>
      <c r="AA16" s="96"/>
      <c r="AB16" s="96"/>
      <c r="AC16" s="193"/>
      <c r="AD16" s="119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</row>
    <row r="17" spans="1:66" ht="15" customHeight="1">
      <c r="A17" s="92">
        <v>6</v>
      </c>
      <c r="B17" s="188">
        <v>1</v>
      </c>
      <c r="C17" s="96"/>
      <c r="D17" s="96"/>
      <c r="E17" s="96">
        <v>0.113</v>
      </c>
      <c r="F17" s="96">
        <v>0.36</v>
      </c>
      <c r="G17" s="96">
        <v>0.74</v>
      </c>
      <c r="H17" s="96">
        <v>2.0070000000000001</v>
      </c>
      <c r="I17" s="96">
        <v>3.3879999999999999</v>
      </c>
      <c r="J17" s="96">
        <v>8.0649999999999995</v>
      </c>
      <c r="K17" s="96">
        <v>48.789000000000001</v>
      </c>
      <c r="L17" s="96">
        <v>87.935000000000002</v>
      </c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5"/>
      <c r="X17" s="95"/>
      <c r="Y17" s="190"/>
      <c r="Z17" s="95"/>
      <c r="AA17" s="95"/>
      <c r="AB17" s="95"/>
      <c r="AC17" s="191"/>
      <c r="AD17" s="119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</row>
    <row r="18" spans="1:66" ht="15" customHeight="1">
      <c r="A18" s="92">
        <v>6</v>
      </c>
      <c r="B18" s="188">
        <v>2</v>
      </c>
      <c r="C18" s="96">
        <v>146.03800000000001</v>
      </c>
      <c r="D18" s="96">
        <v>183.637</v>
      </c>
      <c r="E18" s="96">
        <v>223.48</v>
      </c>
      <c r="F18" s="96">
        <v>267.55399999999997</v>
      </c>
      <c r="G18" s="96">
        <v>336.43700000000001</v>
      </c>
      <c r="H18" s="96">
        <v>444.34</v>
      </c>
      <c r="I18" s="96">
        <v>567.95600000000002</v>
      </c>
      <c r="J18" s="96">
        <v>702.58799999999997</v>
      </c>
      <c r="K18" s="96">
        <v>912.86400000000003</v>
      </c>
      <c r="L18" s="96">
        <v>1308.432</v>
      </c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192"/>
      <c r="Z18" s="96"/>
      <c r="AA18" s="96"/>
      <c r="AB18" s="96"/>
      <c r="AC18" s="193"/>
      <c r="AD18" s="119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</row>
    <row r="19" spans="1:66" ht="15" customHeight="1">
      <c r="A19" s="92">
        <v>6</v>
      </c>
      <c r="B19" s="188">
        <v>3</v>
      </c>
      <c r="C19" s="96">
        <v>1491.434</v>
      </c>
      <c r="D19" s="96">
        <v>1516.04</v>
      </c>
      <c r="E19" s="96">
        <v>1645.2950000000001</v>
      </c>
      <c r="F19" s="96">
        <v>1815.028</v>
      </c>
      <c r="G19" s="96">
        <v>1937.8030000000001</v>
      </c>
      <c r="H19" s="96">
        <v>2172.9789999999998</v>
      </c>
      <c r="I19" s="96">
        <v>2358.2440000000001</v>
      </c>
      <c r="J19" s="96">
        <v>2644.4459999999999</v>
      </c>
      <c r="K19" s="96">
        <v>3014.3090000000002</v>
      </c>
      <c r="L19" s="96">
        <v>3668.317</v>
      </c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192"/>
      <c r="Z19" s="96"/>
      <c r="AA19" s="96"/>
      <c r="AB19" s="96"/>
      <c r="AC19" s="193"/>
      <c r="AD19" s="119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</row>
    <row r="20" spans="1:66" ht="15" customHeight="1">
      <c r="A20" s="92">
        <v>6</v>
      </c>
      <c r="B20" s="188">
        <v>4</v>
      </c>
      <c r="C20" s="96">
        <v>29309.257000000001</v>
      </c>
      <c r="D20" s="96">
        <v>29309.257000000001</v>
      </c>
      <c r="E20" s="116">
        <v>30783.971000000001</v>
      </c>
      <c r="F20" s="116">
        <v>29792.82</v>
      </c>
      <c r="G20" s="116">
        <v>31291.865000000002</v>
      </c>
      <c r="H20" s="116">
        <v>31291.865000000002</v>
      </c>
      <c r="I20" s="116">
        <v>31291.865000000002</v>
      </c>
      <c r="J20" s="116">
        <v>30783.971000000001</v>
      </c>
      <c r="K20" s="116">
        <v>30284.345000000001</v>
      </c>
      <c r="L20" s="116">
        <v>32332.885999999999</v>
      </c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192"/>
      <c r="Z20" s="96"/>
      <c r="AA20" s="96"/>
      <c r="AB20" s="96"/>
      <c r="AC20" s="193"/>
      <c r="AD20" s="119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</row>
    <row r="21" spans="1:66" ht="15" customHeight="1">
      <c r="A21" s="92">
        <v>6</v>
      </c>
      <c r="B21" s="97">
        <v>5</v>
      </c>
      <c r="C21" s="96">
        <v>10.936</v>
      </c>
      <c r="D21" s="96">
        <v>22.718</v>
      </c>
      <c r="E21" s="96">
        <v>48.984999999999999</v>
      </c>
      <c r="F21" s="96">
        <v>103.285</v>
      </c>
      <c r="G21" s="96">
        <v>178.04900000000001</v>
      </c>
      <c r="H21" s="96">
        <v>291.315</v>
      </c>
      <c r="I21" s="96">
        <v>449.02199999999999</v>
      </c>
      <c r="J21" s="96">
        <v>609.673</v>
      </c>
      <c r="K21" s="96">
        <v>815.54300000000001</v>
      </c>
      <c r="L21" s="96">
        <v>1035.425</v>
      </c>
      <c r="M21" s="96">
        <v>1354.4079999999999</v>
      </c>
      <c r="N21" s="96">
        <v>1595.9659999999999</v>
      </c>
      <c r="O21" s="96">
        <v>1825.32</v>
      </c>
      <c r="P21" s="96">
        <v>2199.5439999999999</v>
      </c>
      <c r="Q21" s="96">
        <v>2813.4810000000002</v>
      </c>
      <c r="R21" s="96">
        <v>3441.2570000000001</v>
      </c>
      <c r="S21" s="96">
        <v>3848.692</v>
      </c>
      <c r="T21" s="96">
        <v>4535.1059999999998</v>
      </c>
      <c r="U21" s="96">
        <v>5034.3549999999996</v>
      </c>
      <c r="V21" s="96">
        <v>5225.6750000000002</v>
      </c>
      <c r="W21" s="96">
        <v>5424.27</v>
      </c>
      <c r="X21" s="96">
        <v>5630.4089999999997</v>
      </c>
      <c r="Y21" s="96">
        <v>5800.9470000000001</v>
      </c>
      <c r="Z21" s="96">
        <v>5800.9470000000001</v>
      </c>
      <c r="AA21" s="96">
        <v>5976.6490000000003</v>
      </c>
      <c r="AB21" s="96">
        <v>6111.9110000000001</v>
      </c>
      <c r="AC21" s="117">
        <v>6203.7830000000004</v>
      </c>
      <c r="AD21" s="119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</row>
    <row r="22" spans="1:66" ht="15" customHeight="1">
      <c r="A22" s="92">
        <v>6</v>
      </c>
      <c r="B22" s="97">
        <v>6</v>
      </c>
      <c r="C22" s="96">
        <v>40.348999999999997</v>
      </c>
      <c r="D22" s="96">
        <v>140.239</v>
      </c>
      <c r="E22" s="96">
        <v>364.38</v>
      </c>
      <c r="F22" s="96">
        <v>729.20699999999999</v>
      </c>
      <c r="G22" s="96">
        <v>1202.0250000000001</v>
      </c>
      <c r="H22" s="96">
        <v>1694.11</v>
      </c>
      <c r="I22" s="96">
        <v>2216.0129999999999</v>
      </c>
      <c r="J22" s="96">
        <v>2751.2170000000001</v>
      </c>
      <c r="K22" s="96">
        <v>3680.2280000000001</v>
      </c>
      <c r="L22" s="96">
        <v>4146.7759999999998</v>
      </c>
      <c r="M22" s="96">
        <v>4637.7430000000004</v>
      </c>
      <c r="N22" s="96">
        <v>5072.0510000000004</v>
      </c>
      <c r="O22" s="96">
        <v>5383.9560000000001</v>
      </c>
      <c r="P22" s="96">
        <v>5424.27</v>
      </c>
      <c r="Q22" s="96">
        <v>5505.8040000000001</v>
      </c>
      <c r="R22" s="96">
        <v>5588.5619999999999</v>
      </c>
      <c r="S22" s="96"/>
      <c r="T22" s="96"/>
      <c r="U22" s="96"/>
      <c r="V22" s="96"/>
      <c r="W22" s="96"/>
      <c r="X22" s="96"/>
      <c r="Y22" s="192"/>
      <c r="Z22" s="96"/>
      <c r="AA22" s="96"/>
      <c r="AB22" s="96"/>
      <c r="AC22" s="193"/>
      <c r="AD22" s="119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</row>
    <row r="23" spans="1:66" ht="15" customHeight="1">
      <c r="A23" s="92">
        <v>6</v>
      </c>
      <c r="B23" s="97">
        <v>7</v>
      </c>
      <c r="C23" s="96">
        <v>95.147999999999996</v>
      </c>
      <c r="D23" s="96">
        <v>582.98699999999997</v>
      </c>
      <c r="E23" s="96">
        <v>1492.3340000000001</v>
      </c>
      <c r="F23" s="96">
        <v>2515.6370000000002</v>
      </c>
      <c r="G23" s="96">
        <v>3415.68</v>
      </c>
      <c r="H23" s="96">
        <v>4501.4009999999998</v>
      </c>
      <c r="I23" s="96">
        <v>4922.9399999999996</v>
      </c>
      <c r="J23" s="96">
        <v>4922.9399999999996</v>
      </c>
      <c r="K23" s="96">
        <v>4959.8019999999997</v>
      </c>
      <c r="L23" s="96">
        <v>5225.6750000000002</v>
      </c>
      <c r="M23" s="96">
        <v>5547.0290000000005</v>
      </c>
      <c r="N23" s="96">
        <v>5630.4089999999997</v>
      </c>
      <c r="O23" s="96"/>
      <c r="P23" s="96"/>
      <c r="Q23" s="96"/>
      <c r="R23" s="96"/>
      <c r="S23" s="96"/>
      <c r="T23" s="96"/>
      <c r="U23" s="96"/>
      <c r="V23" s="96"/>
      <c r="W23" s="96"/>
      <c r="X23" s="156"/>
      <c r="Y23" s="194"/>
      <c r="Z23" s="156"/>
      <c r="AA23" s="156"/>
      <c r="AB23" s="156"/>
      <c r="AC23" s="195"/>
      <c r="AD23" s="119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</row>
    <row r="24" spans="1:66" ht="15" customHeight="1">
      <c r="A24" s="93">
        <v>7</v>
      </c>
      <c r="B24" s="187">
        <v>1</v>
      </c>
      <c r="C24" s="120">
        <v>271.10399999999998</v>
      </c>
      <c r="D24" s="120">
        <v>66.448999999999998</v>
      </c>
      <c r="E24" s="120">
        <v>46.881999999999998</v>
      </c>
      <c r="F24" s="120">
        <v>34.177</v>
      </c>
      <c r="G24" s="120">
        <v>26.89</v>
      </c>
      <c r="H24" s="120">
        <v>20.033999999999999</v>
      </c>
      <c r="I24" s="120">
        <v>16.11</v>
      </c>
      <c r="J24" s="120">
        <v>13.385</v>
      </c>
      <c r="K24" s="120">
        <v>10.647</v>
      </c>
      <c r="L24" s="120">
        <v>8.5609999999999999</v>
      </c>
      <c r="M24" s="120">
        <v>6.1740000000000004</v>
      </c>
      <c r="N24" s="120">
        <v>4.2619999999999996</v>
      </c>
      <c r="O24" s="120">
        <v>3.4649999999999999</v>
      </c>
      <c r="P24" s="120">
        <v>2.61</v>
      </c>
      <c r="Q24" s="120">
        <v>1.669</v>
      </c>
      <c r="R24" s="120">
        <v>1.3129999999999999</v>
      </c>
      <c r="S24" s="120">
        <v>1.079</v>
      </c>
      <c r="T24" s="164"/>
      <c r="U24" s="164"/>
      <c r="V24" s="164"/>
      <c r="W24" s="165"/>
      <c r="X24" s="119"/>
      <c r="Y24" s="196"/>
      <c r="Z24" s="119"/>
      <c r="AA24" s="119"/>
      <c r="AB24" s="119"/>
      <c r="AC24" s="197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</row>
    <row r="25" spans="1:66" ht="15" customHeight="1">
      <c r="A25" s="92">
        <v>7</v>
      </c>
      <c r="B25" s="188">
        <v>2</v>
      </c>
      <c r="C25" s="96">
        <v>9496.8259999999991</v>
      </c>
      <c r="D25" s="96">
        <v>4288.317</v>
      </c>
      <c r="E25" s="116">
        <v>2018.0540000000001</v>
      </c>
      <c r="F25" s="116">
        <v>1031.461</v>
      </c>
      <c r="G25" s="116">
        <v>634.87800000000004</v>
      </c>
      <c r="H25" s="116">
        <v>437.78</v>
      </c>
      <c r="I25" s="116">
        <v>367.30099999999999</v>
      </c>
      <c r="J25" s="116">
        <v>386.762</v>
      </c>
      <c r="K25" s="116">
        <v>374.96499999999997</v>
      </c>
      <c r="L25" s="116">
        <v>292.66300000000001</v>
      </c>
      <c r="M25" s="96">
        <v>243.02500000000001</v>
      </c>
      <c r="N25" s="96">
        <v>230.79599999999999</v>
      </c>
      <c r="O25" s="96">
        <v>126.806</v>
      </c>
      <c r="P25" s="96">
        <v>22.608000000000001</v>
      </c>
      <c r="Q25" s="96">
        <v>3.4169999999999998</v>
      </c>
      <c r="R25" s="96">
        <v>3.0190000000000001</v>
      </c>
      <c r="S25" s="96">
        <v>2.6949999999999998</v>
      </c>
      <c r="T25" s="96">
        <v>2.4550000000000001</v>
      </c>
      <c r="U25" s="96">
        <v>2.2610000000000001</v>
      </c>
      <c r="V25" s="96">
        <v>2.0819999999999999</v>
      </c>
      <c r="W25" s="117">
        <v>1.9770000000000001</v>
      </c>
      <c r="X25" s="96"/>
      <c r="Y25" s="192"/>
      <c r="Z25" s="96"/>
      <c r="AA25" s="96"/>
      <c r="AB25" s="96"/>
      <c r="AC25" s="193"/>
      <c r="AD25" s="119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</row>
    <row r="26" spans="1:66" s="90" customFormat="1" ht="15" customHeight="1">
      <c r="A26" s="92">
        <v>7</v>
      </c>
      <c r="B26" s="188">
        <v>3</v>
      </c>
      <c r="C26" s="122">
        <v>16762.168000000001</v>
      </c>
      <c r="D26" s="122">
        <v>16548.171999999999</v>
      </c>
      <c r="E26" s="122">
        <v>16762.168000000001</v>
      </c>
      <c r="F26" s="122">
        <v>16128.322</v>
      </c>
      <c r="G26" s="122">
        <v>12001.653</v>
      </c>
      <c r="H26" s="122">
        <v>7556.9790000000003</v>
      </c>
      <c r="I26" s="122">
        <v>4349.0339999999997</v>
      </c>
      <c r="J26" s="122">
        <v>1960.6990000000001</v>
      </c>
      <c r="K26" s="122">
        <v>1142.973</v>
      </c>
      <c r="L26" s="122">
        <v>701.42700000000002</v>
      </c>
      <c r="M26" s="122">
        <v>521.95600000000002</v>
      </c>
      <c r="N26" s="122">
        <v>199.11600000000001</v>
      </c>
      <c r="O26" s="122">
        <v>83.108000000000004</v>
      </c>
      <c r="P26" s="122">
        <v>16.463000000000001</v>
      </c>
      <c r="Q26" s="122">
        <v>2.5219999999999998</v>
      </c>
      <c r="R26" s="122">
        <v>2.3650000000000002</v>
      </c>
      <c r="S26" s="122">
        <v>2.0270000000000001</v>
      </c>
      <c r="T26" s="122">
        <v>1.694</v>
      </c>
      <c r="U26" s="122">
        <v>1.452</v>
      </c>
      <c r="V26" s="122">
        <v>1.31</v>
      </c>
      <c r="W26" s="123">
        <v>1.137</v>
      </c>
      <c r="X26" s="119"/>
      <c r="Y26" s="119"/>
      <c r="Z26" s="119"/>
      <c r="AA26" s="119"/>
      <c r="AB26" s="119"/>
      <c r="AC26" s="197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</row>
    <row r="27" spans="1:66" s="90" customFormat="1" ht="15" customHeight="1">
      <c r="A27" s="93">
        <v>8</v>
      </c>
      <c r="B27" s="187">
        <v>1</v>
      </c>
      <c r="C27" s="120">
        <v>4936.1180000000004</v>
      </c>
      <c r="D27" s="120">
        <v>4867.3220000000001</v>
      </c>
      <c r="E27" s="120">
        <v>4781.3270000000002</v>
      </c>
      <c r="F27" s="120">
        <v>4600.7370000000001</v>
      </c>
      <c r="G27" s="120">
        <v>4480.3440000000001</v>
      </c>
      <c r="H27" s="120">
        <v>4325.5529999999999</v>
      </c>
      <c r="I27" s="120">
        <v>4187.96</v>
      </c>
      <c r="J27" s="120">
        <v>4033.1689999999999</v>
      </c>
      <c r="K27" s="120">
        <v>3861.1790000000001</v>
      </c>
      <c r="L27" s="120">
        <v>3620.393</v>
      </c>
      <c r="M27" s="120">
        <v>3405.4050000000002</v>
      </c>
      <c r="N27" s="120">
        <v>3138.82</v>
      </c>
      <c r="O27" s="120">
        <v>2863.636</v>
      </c>
      <c r="P27" s="120">
        <v>2631.45</v>
      </c>
      <c r="Q27" s="120">
        <v>2399.2629999999999</v>
      </c>
      <c r="R27" s="120">
        <v>2141.277</v>
      </c>
      <c r="S27" s="120">
        <v>1934.8889999999999</v>
      </c>
      <c r="T27" s="95">
        <v>1737.1010000000001</v>
      </c>
      <c r="U27" s="95">
        <v>1565.11</v>
      </c>
      <c r="V27" s="95">
        <v>1453.317</v>
      </c>
      <c r="W27" s="95">
        <v>1358.722</v>
      </c>
      <c r="X27" s="95">
        <v>1264.127</v>
      </c>
      <c r="Y27" s="190">
        <v>1143.7349999999999</v>
      </c>
      <c r="Z27" s="95">
        <v>1031.941</v>
      </c>
      <c r="AA27" s="95">
        <v>902.94799999999998</v>
      </c>
      <c r="AB27" s="95">
        <v>799.75400000000002</v>
      </c>
      <c r="AC27" s="227">
        <v>705.15899999999999</v>
      </c>
      <c r="AD27" s="95">
        <v>670.76099999999997</v>
      </c>
      <c r="AE27" s="95">
        <v>610.56500000000005</v>
      </c>
      <c r="AF27" s="95">
        <v>558.96799999999996</v>
      </c>
      <c r="AG27" s="95">
        <v>533.16899999999998</v>
      </c>
      <c r="AH27" s="95">
        <v>524.57000000000005</v>
      </c>
      <c r="AI27" s="95">
        <v>472.97300000000001</v>
      </c>
      <c r="AJ27" s="95">
        <v>455.774</v>
      </c>
      <c r="AK27" s="95">
        <v>421.37599999999998</v>
      </c>
      <c r="AL27" s="115">
        <v>386.97800000000001</v>
      </c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</row>
    <row r="28" spans="1:66" s="90" customFormat="1" ht="15" customHeight="1">
      <c r="A28" s="92">
        <v>8</v>
      </c>
      <c r="B28" s="188">
        <v>2</v>
      </c>
      <c r="C28" s="122">
        <v>5417.69</v>
      </c>
      <c r="D28" s="122">
        <v>5374.6930000000002</v>
      </c>
      <c r="E28" s="122">
        <v>5280.098</v>
      </c>
      <c r="F28" s="122">
        <v>5090.9089999999997</v>
      </c>
      <c r="G28" s="122">
        <v>4807.125</v>
      </c>
      <c r="H28" s="122">
        <v>4583.5379999999996</v>
      </c>
      <c r="I28" s="122">
        <v>4402.9480000000003</v>
      </c>
      <c r="J28" s="122">
        <v>4222.3580000000002</v>
      </c>
      <c r="K28" s="122">
        <v>3998.7710000000002</v>
      </c>
      <c r="L28" s="122">
        <v>3792.3829999999998</v>
      </c>
      <c r="M28" s="122">
        <v>3517.1990000000001</v>
      </c>
      <c r="N28" s="122">
        <v>3250.614</v>
      </c>
      <c r="O28" s="122">
        <v>2932.4319999999998</v>
      </c>
      <c r="P28" s="122">
        <v>2622.8490000000002</v>
      </c>
      <c r="Q28" s="122">
        <v>2347.665</v>
      </c>
      <c r="R28" s="122">
        <v>2132.6779999999999</v>
      </c>
      <c r="S28" s="122">
        <v>1891.8920000000001</v>
      </c>
      <c r="T28" s="96">
        <v>1711.3019999999999</v>
      </c>
      <c r="U28" s="96">
        <v>1539.3109999999999</v>
      </c>
      <c r="V28" s="96">
        <v>1375.921</v>
      </c>
      <c r="W28" s="96">
        <v>1272.7270000000001</v>
      </c>
      <c r="X28" s="96">
        <v>1152.3330000000001</v>
      </c>
      <c r="Y28" s="192">
        <v>1040.54</v>
      </c>
      <c r="Z28" s="96">
        <v>911.548</v>
      </c>
      <c r="AA28" s="96">
        <v>791.154</v>
      </c>
      <c r="AB28" s="96">
        <v>644.96299999999997</v>
      </c>
      <c r="AC28" s="226">
        <v>541.76900000000001</v>
      </c>
      <c r="AD28" s="96">
        <v>472.97300000000001</v>
      </c>
      <c r="AE28" s="96">
        <v>464.37299999999999</v>
      </c>
      <c r="AF28" s="96">
        <v>421.37599999999998</v>
      </c>
      <c r="AG28" s="96">
        <v>395.577</v>
      </c>
      <c r="AH28" s="96">
        <v>378.37799999999999</v>
      </c>
      <c r="AI28" s="96">
        <v>378.37799999999999</v>
      </c>
      <c r="AJ28" s="96">
        <v>343.98</v>
      </c>
      <c r="AK28" s="96">
        <v>318.18099999999998</v>
      </c>
      <c r="AL28" s="117">
        <v>275.18400000000003</v>
      </c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</row>
    <row r="29" spans="1:66" ht="15" customHeight="1">
      <c r="A29" s="92">
        <v>8</v>
      </c>
      <c r="B29" s="188">
        <v>3</v>
      </c>
      <c r="C29" s="122">
        <v>6054.0540000000001</v>
      </c>
      <c r="D29" s="122">
        <v>5933.6610000000001</v>
      </c>
      <c r="E29" s="122">
        <v>5770.27</v>
      </c>
      <c r="F29" s="122">
        <v>5598.28</v>
      </c>
      <c r="G29" s="122">
        <v>5391.8919999999998</v>
      </c>
      <c r="H29" s="122">
        <v>5108.1080000000002</v>
      </c>
      <c r="I29" s="122">
        <v>4815.7250000000004</v>
      </c>
      <c r="J29" s="122">
        <v>4583.5379999999996</v>
      </c>
      <c r="K29" s="122">
        <v>4334.152</v>
      </c>
      <c r="L29" s="122">
        <v>4093.366</v>
      </c>
      <c r="M29" s="122">
        <v>3826.7809999999999</v>
      </c>
      <c r="N29" s="122">
        <v>3585.9949999999999</v>
      </c>
      <c r="O29" s="122">
        <v>3379.607</v>
      </c>
      <c r="P29" s="122">
        <v>3138.82</v>
      </c>
      <c r="Q29" s="122">
        <v>2932.4319999999998</v>
      </c>
      <c r="R29" s="122">
        <v>2708.8449999999998</v>
      </c>
      <c r="S29" s="122">
        <v>2511.056</v>
      </c>
      <c r="T29" s="96">
        <v>2304.6680000000001</v>
      </c>
      <c r="U29" s="96">
        <v>2158.4760000000001</v>
      </c>
      <c r="V29" s="96">
        <v>2046.683</v>
      </c>
      <c r="W29" s="96">
        <v>1909.0909999999999</v>
      </c>
      <c r="X29" s="96">
        <v>1814.4960000000001</v>
      </c>
      <c r="Y29" s="192">
        <v>1668.3040000000001</v>
      </c>
      <c r="Z29" s="96">
        <v>1530.713</v>
      </c>
      <c r="AA29" s="96">
        <v>1410.319</v>
      </c>
      <c r="AB29" s="96">
        <v>1272.7270000000001</v>
      </c>
      <c r="AC29" s="226">
        <v>1195.3320000000001</v>
      </c>
      <c r="AD29" s="96">
        <v>1126.5350000000001</v>
      </c>
      <c r="AE29" s="96">
        <v>1092.1369999999999</v>
      </c>
      <c r="AF29" s="96">
        <v>997.54200000000003</v>
      </c>
      <c r="AG29" s="96">
        <v>945.94500000000005</v>
      </c>
      <c r="AH29" s="96">
        <v>859.95100000000002</v>
      </c>
      <c r="AI29" s="96">
        <v>825.553</v>
      </c>
      <c r="AJ29" s="96">
        <v>730.95799999999997</v>
      </c>
      <c r="AK29" s="96">
        <v>670.76099999999997</v>
      </c>
      <c r="AL29" s="117">
        <v>644.96299999999997</v>
      </c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90"/>
    </row>
    <row r="30" spans="1:66" ht="15" customHeight="1">
      <c r="A30" s="92">
        <v>8</v>
      </c>
      <c r="B30" s="188">
        <v>4</v>
      </c>
      <c r="C30" s="122">
        <v>5546.683</v>
      </c>
      <c r="D30" s="122">
        <v>5512.2849999999999</v>
      </c>
      <c r="E30" s="122">
        <v>5383.2920000000004</v>
      </c>
      <c r="F30" s="122">
        <v>5194.1030000000001</v>
      </c>
      <c r="G30" s="122">
        <v>4936.1180000000004</v>
      </c>
      <c r="H30" s="122">
        <v>4600.7370000000001</v>
      </c>
      <c r="I30" s="122">
        <v>4291.1549999999997</v>
      </c>
      <c r="J30" s="122">
        <v>3921.3760000000002</v>
      </c>
      <c r="K30" s="122">
        <v>3646.1909999999998</v>
      </c>
      <c r="L30" s="122">
        <v>3448.4029999999998</v>
      </c>
      <c r="M30" s="122">
        <v>3181.8180000000002</v>
      </c>
      <c r="N30" s="122">
        <v>2984.029</v>
      </c>
      <c r="O30" s="122">
        <v>2777.64</v>
      </c>
      <c r="P30" s="122">
        <v>2588.4520000000002</v>
      </c>
      <c r="Q30" s="122">
        <v>2373.4639999999999</v>
      </c>
      <c r="R30" s="122">
        <v>2227.2730000000001</v>
      </c>
      <c r="S30" s="155">
        <v>2072.482</v>
      </c>
      <c r="T30" s="156">
        <v>1917.691</v>
      </c>
      <c r="U30" s="156">
        <v>1788.6969999999999</v>
      </c>
      <c r="V30" s="156">
        <v>1668.3040000000001</v>
      </c>
      <c r="W30" s="156">
        <v>1539.3109999999999</v>
      </c>
      <c r="X30" s="156">
        <v>1410.319</v>
      </c>
      <c r="Y30" s="194">
        <v>1307.124</v>
      </c>
      <c r="Z30" s="156">
        <v>1186.732</v>
      </c>
      <c r="AA30" s="156">
        <v>1066.3389999999999</v>
      </c>
      <c r="AB30" s="156">
        <v>928.74699999999996</v>
      </c>
      <c r="AC30" s="228">
        <v>859.95100000000002</v>
      </c>
      <c r="AD30" s="156">
        <v>791.154</v>
      </c>
      <c r="AE30" s="156">
        <v>748.15700000000004</v>
      </c>
      <c r="AF30" s="156">
        <v>679.36099999999999</v>
      </c>
      <c r="AG30" s="156">
        <v>619.16499999999996</v>
      </c>
      <c r="AH30" s="156">
        <v>610.56500000000005</v>
      </c>
      <c r="AI30" s="156">
        <v>576.16700000000003</v>
      </c>
      <c r="AJ30" s="156">
        <v>541.76900000000001</v>
      </c>
      <c r="AK30" s="156">
        <v>498.77100000000002</v>
      </c>
      <c r="AL30" s="118">
        <v>455.774</v>
      </c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90"/>
    </row>
    <row r="31" spans="1:66" ht="15" customHeight="1">
      <c r="A31" s="93">
        <v>9</v>
      </c>
      <c r="B31" s="187">
        <v>1</v>
      </c>
      <c r="C31" s="120">
        <v>1300169578033300.3</v>
      </c>
      <c r="D31" s="120">
        <v>1336595516546444.8</v>
      </c>
      <c r="E31" s="120">
        <v>1336595516546444.8</v>
      </c>
      <c r="F31" s="120">
        <v>1111731727281594.3</v>
      </c>
      <c r="G31" s="120">
        <v>769130440286612.88</v>
      </c>
      <c r="H31" s="120">
        <v>674528027697924.13</v>
      </c>
      <c r="I31" s="120">
        <v>575439937337157.63</v>
      </c>
      <c r="J31" s="120">
        <v>442588372362629.44</v>
      </c>
      <c r="K31" s="120">
        <v>322849412171265.56</v>
      </c>
      <c r="L31" s="120">
        <v>254683025258504.53</v>
      </c>
      <c r="M31" s="120">
        <v>135518941235103.8</v>
      </c>
      <c r="N31" s="120">
        <v>78162780458833.313</v>
      </c>
      <c r="O31" s="120">
        <v>41591061049402.383</v>
      </c>
      <c r="P31" s="120">
        <v>14157937799570.857</v>
      </c>
      <c r="Q31" s="120">
        <v>4111497211045.2354</v>
      </c>
      <c r="R31" s="121">
        <v>918332596483.58228</v>
      </c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97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</row>
    <row r="32" spans="1:66" ht="15" customHeight="1">
      <c r="A32" s="92">
        <v>9</v>
      </c>
      <c r="B32" s="188">
        <v>2</v>
      </c>
      <c r="C32" s="122">
        <v>93972331056464.453</v>
      </c>
      <c r="D32" s="122">
        <v>96382902362397.469</v>
      </c>
      <c r="E32" s="122">
        <v>96382902362397.469</v>
      </c>
      <c r="F32" s="122">
        <v>78162780458833.313</v>
      </c>
      <c r="G32" s="122">
        <v>60117373748327.961</v>
      </c>
      <c r="H32" s="122">
        <v>63241185137622.188</v>
      </c>
      <c r="I32" s="122">
        <v>58479008414448.156</v>
      </c>
      <c r="J32" s="122">
        <v>52601726639070.859</v>
      </c>
      <c r="K32" s="122">
        <v>40457589169744.383</v>
      </c>
      <c r="L32" s="122">
        <v>31988951096914.172</v>
      </c>
      <c r="M32" s="122">
        <v>23933157564053.945</v>
      </c>
      <c r="N32" s="122">
        <v>18407720014689.645</v>
      </c>
      <c r="O32" s="122">
        <v>6266138646723.376</v>
      </c>
      <c r="P32" s="122">
        <v>2494594726942.9644</v>
      </c>
      <c r="Q32" s="122">
        <v>440554863506.55408</v>
      </c>
      <c r="R32" s="123">
        <v>103752841581.80147</v>
      </c>
      <c r="S32" s="119"/>
      <c r="T32" s="58"/>
      <c r="U32" s="58"/>
      <c r="V32" s="58"/>
      <c r="W32" s="58"/>
      <c r="X32" s="58"/>
      <c r="Y32" s="58"/>
      <c r="Z32" s="58"/>
      <c r="AA32" s="58"/>
      <c r="AB32" s="58"/>
      <c r="AC32" s="57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</row>
    <row r="33" spans="1:65" ht="15" customHeight="1">
      <c r="A33" s="92">
        <v>9</v>
      </c>
      <c r="B33" s="188">
        <v>3</v>
      </c>
      <c r="C33" s="122">
        <v>11168632477805.631</v>
      </c>
      <c r="D33" s="122">
        <v>10592537251772.926</v>
      </c>
      <c r="E33" s="122">
        <v>10327614057614.004</v>
      </c>
      <c r="F33" s="122">
        <v>8590135215053.958</v>
      </c>
      <c r="G33" s="122">
        <v>4819477976251.2822</v>
      </c>
      <c r="H33" s="122">
        <v>3698281797802.6729</v>
      </c>
      <c r="I33" s="122">
        <v>2844461107447.9287</v>
      </c>
      <c r="J33" s="122">
        <v>2249054605835.7905</v>
      </c>
      <c r="K33" s="122">
        <v>1819700858609.9902</v>
      </c>
      <c r="L33" s="122">
        <v>1438798578255.845</v>
      </c>
      <c r="M33" s="122">
        <v>1227439231158.4128</v>
      </c>
      <c r="N33" s="122">
        <v>944060876285.92603</v>
      </c>
      <c r="O33" s="122">
        <v>603948629376.38306</v>
      </c>
      <c r="P33" s="122">
        <v>267300640866.33176</v>
      </c>
      <c r="Q33" s="122">
        <v>62950618285.719925</v>
      </c>
      <c r="R33" s="166"/>
      <c r="S33" s="119"/>
      <c r="T33" s="58"/>
      <c r="U33" s="58"/>
      <c r="V33" s="58"/>
      <c r="W33" s="58"/>
      <c r="X33" s="58"/>
      <c r="Y33" s="58"/>
      <c r="Z33" s="58"/>
      <c r="AA33" s="58"/>
      <c r="AB33" s="58"/>
      <c r="AC33" s="57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</row>
    <row r="34" spans="1:65" ht="15" customHeight="1">
      <c r="A34" s="92">
        <v>9</v>
      </c>
      <c r="B34" s="188">
        <v>4</v>
      </c>
      <c r="C34" s="124">
        <v>1595879147236.7371</v>
      </c>
      <c r="D34" s="124">
        <v>1475706533275.9001</v>
      </c>
      <c r="E34" s="124">
        <v>1399587322572.6257</v>
      </c>
      <c r="F34" s="124">
        <v>944060876285.92603</v>
      </c>
      <c r="G34" s="124">
        <v>417830366646.62317</v>
      </c>
      <c r="H34" s="124">
        <v>247172414501.61386</v>
      </c>
      <c r="I34" s="124">
        <v>190107827992.33032</v>
      </c>
      <c r="J34" s="124">
        <v>142232878712.28229</v>
      </c>
      <c r="K34" s="124">
        <v>84139514164.519989</v>
      </c>
      <c r="L34" s="124">
        <v>77624711662.86937</v>
      </c>
      <c r="M34" s="124">
        <v>64714261574.858345</v>
      </c>
      <c r="N34" s="124">
        <v>55207743928.076035</v>
      </c>
      <c r="O34" s="124">
        <v>36224299841.669914</v>
      </c>
      <c r="P34" s="124">
        <v>16032453906.900446</v>
      </c>
      <c r="Q34" s="124">
        <v>1099005839.4325244</v>
      </c>
      <c r="R34" s="166"/>
      <c r="S34" s="119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</row>
    <row r="35" spans="1:65" ht="15" customHeight="1">
      <c r="A35" s="92">
        <v>9</v>
      </c>
      <c r="B35" s="188">
        <v>5</v>
      </c>
      <c r="C35" s="124">
        <v>138675582887.18906</v>
      </c>
      <c r="D35" s="124">
        <v>121338885046.49773</v>
      </c>
      <c r="E35" s="124">
        <v>103752841581.80147</v>
      </c>
      <c r="F35" s="124">
        <v>62950618285.719925</v>
      </c>
      <c r="G35" s="124">
        <v>2177709772.3531628</v>
      </c>
      <c r="H35" s="124">
        <v>1428893958.5111048</v>
      </c>
      <c r="I35" s="124">
        <v>845278845.16029108</v>
      </c>
      <c r="J35" s="124">
        <v>474241985.2602461</v>
      </c>
      <c r="K35" s="124">
        <v>12274392.311584106</v>
      </c>
      <c r="L35" s="119"/>
      <c r="M35" s="119"/>
      <c r="N35" s="119"/>
      <c r="O35" s="119"/>
      <c r="P35" s="119"/>
      <c r="Q35" s="119"/>
      <c r="R35" s="166"/>
      <c r="S35" s="119"/>
      <c r="T35" s="58"/>
      <c r="U35" s="58"/>
      <c r="V35" s="58"/>
      <c r="W35" s="58"/>
      <c r="X35" s="58"/>
      <c r="Y35" s="58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8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8"/>
      <c r="BJ35" s="57"/>
      <c r="BK35" s="57"/>
      <c r="BL35" s="57"/>
      <c r="BM35" s="57"/>
    </row>
    <row r="36" spans="1:65" ht="15" customHeight="1">
      <c r="A36" s="92">
        <v>9</v>
      </c>
      <c r="B36" s="188">
        <v>6</v>
      </c>
      <c r="C36" s="124">
        <v>26424087573.219593</v>
      </c>
      <c r="D36" s="124">
        <v>25118864315.095894</v>
      </c>
      <c r="E36" s="124">
        <v>23173946499.684879</v>
      </c>
      <c r="F36" s="124">
        <v>14454397707.459311</v>
      </c>
      <c r="G36" s="124">
        <v>824138115.01300585</v>
      </c>
      <c r="H36" s="124">
        <v>426579518.80159384</v>
      </c>
      <c r="I36" s="124">
        <v>336511569.37549126</v>
      </c>
      <c r="J36" s="124">
        <v>103276140.57613984</v>
      </c>
      <c r="K36" s="119"/>
      <c r="L36" s="119"/>
      <c r="M36" s="119"/>
      <c r="N36" s="119"/>
      <c r="O36" s="119"/>
      <c r="P36" s="119"/>
      <c r="Q36" s="119"/>
      <c r="R36" s="166"/>
      <c r="S36" s="119"/>
      <c r="T36" s="58"/>
      <c r="U36" s="58"/>
      <c r="V36" s="58"/>
      <c r="W36" s="58"/>
      <c r="X36" s="58"/>
      <c r="Y36" s="58"/>
      <c r="Z36" s="58"/>
      <c r="AA36" s="58"/>
      <c r="AB36" s="60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</row>
    <row r="37" spans="1:65" ht="15" customHeight="1">
      <c r="A37" s="92">
        <v>9</v>
      </c>
      <c r="B37" s="188">
        <v>7</v>
      </c>
      <c r="C37" s="124">
        <v>2296148648.1123705</v>
      </c>
      <c r="D37" s="124">
        <v>2065380155.810529</v>
      </c>
      <c r="E37" s="124">
        <v>1857804455.0917041</v>
      </c>
      <c r="F37" s="124">
        <v>963829023.62397277</v>
      </c>
      <c r="G37" s="124">
        <v>54954087.38576249</v>
      </c>
      <c r="H37" s="124">
        <v>30831879.502493616</v>
      </c>
      <c r="I37" s="124">
        <v>20749135.174549151</v>
      </c>
      <c r="J37" s="124">
        <v>5727960.3098583007</v>
      </c>
      <c r="K37" s="124">
        <v>114024.9787561172</v>
      </c>
      <c r="L37" s="119"/>
      <c r="M37" s="119"/>
      <c r="N37" s="119"/>
      <c r="O37" s="119"/>
      <c r="P37" s="119"/>
      <c r="Q37" s="119"/>
      <c r="R37" s="166"/>
      <c r="S37" s="119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</row>
    <row r="38" spans="1:65" ht="15" customHeight="1">
      <c r="A38" s="93">
        <v>10</v>
      </c>
      <c r="B38" s="94">
        <v>1</v>
      </c>
      <c r="C38" s="120">
        <v>3622420538.9489999</v>
      </c>
      <c r="D38" s="120">
        <v>3524355895.2080002</v>
      </c>
      <c r="E38" s="120">
        <v>3245809610.8189998</v>
      </c>
      <c r="F38" s="120">
        <v>2948537589.4829998</v>
      </c>
      <c r="G38" s="120">
        <v>2791056663.7839999</v>
      </c>
      <c r="H38" s="120">
        <v>2570465226.8610001</v>
      </c>
      <c r="I38" s="120">
        <v>2210333235.9320002</v>
      </c>
      <c r="J38" s="120">
        <v>1703050554.4560001</v>
      </c>
      <c r="K38" s="120">
        <v>366240517.33999997</v>
      </c>
      <c r="L38" s="120">
        <v>74553360.208000004</v>
      </c>
      <c r="M38" s="120">
        <v>34101775.384000003</v>
      </c>
      <c r="N38" s="120">
        <v>24198589.908</v>
      </c>
      <c r="O38" s="120">
        <v>17408541.125999998</v>
      </c>
      <c r="P38" s="120">
        <v>11693325.703</v>
      </c>
      <c r="Q38" s="198">
        <v>7537628.7539999997</v>
      </c>
      <c r="R38" s="198">
        <v>4178084.8629999999</v>
      </c>
      <c r="S38" s="199">
        <v>721380.59299999999</v>
      </c>
      <c r="T38" s="119"/>
      <c r="U38" s="119"/>
      <c r="V38" s="119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</row>
    <row r="39" spans="1:65" ht="15" customHeight="1">
      <c r="A39" s="139">
        <v>11</v>
      </c>
      <c r="B39" s="140">
        <v>1</v>
      </c>
      <c r="C39" s="141">
        <v>4115694220.5700002</v>
      </c>
      <c r="D39" s="141">
        <v>4115694220.5700002</v>
      </c>
      <c r="E39" s="141">
        <v>3846514036.855</v>
      </c>
      <c r="F39" s="141">
        <v>3687289920.277</v>
      </c>
      <c r="G39" s="141">
        <v>3504899312.5549998</v>
      </c>
      <c r="H39" s="141">
        <v>3303481276.2010002</v>
      </c>
      <c r="I39" s="141">
        <v>3140074727.8800001</v>
      </c>
      <c r="J39" s="141">
        <v>3035653211.835</v>
      </c>
      <c r="K39" s="141">
        <v>2813224694.1719999</v>
      </c>
      <c r="L39" s="141">
        <v>2742763901.3429999</v>
      </c>
      <c r="M39" s="141">
        <v>2607093968.7859998</v>
      </c>
      <c r="N39" s="141">
        <v>2478134186.3720002</v>
      </c>
      <c r="O39" s="141">
        <v>2335720487.7550001</v>
      </c>
      <c r="P39" s="141">
        <v>2040184470.832</v>
      </c>
      <c r="Q39" s="141">
        <v>1737408767.944</v>
      </c>
      <c r="R39" s="141">
        <v>1314398518.4619999</v>
      </c>
      <c r="S39" s="141">
        <v>588694075.847</v>
      </c>
      <c r="T39" s="141">
        <v>118090613.479</v>
      </c>
      <c r="U39" s="141">
        <v>24921422.734000001</v>
      </c>
      <c r="V39" s="142">
        <v>16192062.069</v>
      </c>
      <c r="W39" s="119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</row>
    <row r="40" spans="1:65" ht="15" customHeight="1">
      <c r="A40" s="161"/>
      <c r="B40" s="162"/>
      <c r="C40" s="100"/>
      <c r="D40" s="100"/>
      <c r="E40" s="100"/>
      <c r="F40" s="90"/>
      <c r="G40" s="100"/>
      <c r="H40" s="100"/>
      <c r="I40" s="100"/>
      <c r="J40" s="100"/>
      <c r="K40" s="100"/>
      <c r="L40" s="100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</row>
    <row r="41" spans="1:65" ht="15" customHeight="1">
      <c r="A41" s="13"/>
      <c r="B41" s="14"/>
      <c r="C41" s="18"/>
      <c r="D41" s="18"/>
      <c r="E41" s="18"/>
      <c r="G41" s="18"/>
      <c r="H41" s="18"/>
      <c r="I41" s="18"/>
      <c r="J41" s="18"/>
      <c r="K41" s="18"/>
      <c r="L41" s="1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</row>
    <row r="42" spans="1:65" ht="15" customHeight="1">
      <c r="A42" s="13"/>
      <c r="B42" s="14"/>
      <c r="C42" s="18"/>
      <c r="D42" s="18"/>
      <c r="E42" s="26"/>
      <c r="G42" s="18"/>
      <c r="H42" s="18"/>
      <c r="I42" s="18"/>
      <c r="J42" s="18"/>
      <c r="K42" s="18"/>
      <c r="L42" s="1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</row>
    <row r="43" spans="1:65" ht="15" customHeight="1">
      <c r="A43" s="13"/>
      <c r="B43" s="14"/>
      <c r="C43" s="18"/>
      <c r="D43" s="18"/>
      <c r="E43" s="26"/>
      <c r="G43" s="18"/>
      <c r="H43" s="18"/>
      <c r="I43" s="18"/>
      <c r="J43" s="18"/>
      <c r="K43" s="18"/>
      <c r="L43" s="1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</row>
    <row r="44" spans="1:65" ht="15" customHeight="1">
      <c r="A44" s="13"/>
      <c r="B44" s="14"/>
      <c r="C44" s="18"/>
      <c r="D44" s="18"/>
      <c r="E44" s="26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</row>
    <row r="45" spans="1:65" ht="15" customHeight="1">
      <c r="A45" s="21"/>
      <c r="B45" s="22"/>
      <c r="C45" s="18"/>
      <c r="D45" s="18"/>
      <c r="E45" s="26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8"/>
      <c r="BG45" s="58"/>
      <c r="BH45" s="58"/>
      <c r="BI45" s="58"/>
      <c r="BJ45" s="58"/>
      <c r="BK45" s="58"/>
      <c r="BL45" s="58"/>
      <c r="BM45" s="58"/>
    </row>
    <row r="46" spans="1:65" ht="15" customHeight="1">
      <c r="A46" s="21"/>
      <c r="B46" s="22"/>
      <c r="C46" s="18"/>
      <c r="D46" s="18"/>
      <c r="E46" s="26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</row>
    <row r="47" spans="1:65" ht="15" customHeight="1">
      <c r="A47" s="21"/>
      <c r="B47" s="22"/>
      <c r="C47" s="18"/>
      <c r="D47" s="18"/>
      <c r="E47" s="2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</row>
    <row r="48" spans="1:65" ht="15" customHeight="1">
      <c r="A48" s="21"/>
      <c r="B48" s="22"/>
      <c r="C48" s="18"/>
      <c r="D48" s="18"/>
      <c r="E48" s="26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</row>
    <row r="49" spans="1:65" ht="15" customHeight="1">
      <c r="A49" s="21"/>
      <c r="B49" s="22"/>
      <c r="C49" s="18"/>
      <c r="D49" s="18"/>
      <c r="E49" s="26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</row>
    <row r="50" spans="1:65" ht="15" customHeight="1">
      <c r="A50" s="21"/>
      <c r="B50" s="22"/>
      <c r="C50" s="18"/>
      <c r="D50" s="18"/>
      <c r="E50" s="26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</row>
    <row r="51" spans="1:65" ht="15" customHeight="1">
      <c r="A51" s="21"/>
      <c r="B51" s="22"/>
      <c r="C51" s="18"/>
      <c r="D51" s="18"/>
      <c r="E51" s="26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</row>
    <row r="52" spans="1:65" ht="15" customHeight="1">
      <c r="A52" s="13"/>
      <c r="B52" s="14"/>
      <c r="C52" s="18"/>
      <c r="D52" s="18"/>
      <c r="E52" s="26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</row>
    <row r="53" spans="1:65" ht="15" customHeight="1">
      <c r="A53" s="13"/>
      <c r="B53" s="14"/>
      <c r="C53" s="18"/>
      <c r="D53" s="18"/>
      <c r="E53" s="26"/>
      <c r="G53" s="18"/>
      <c r="H53" s="18"/>
      <c r="I53" s="18"/>
      <c r="J53" s="18"/>
      <c r="K53" s="1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</row>
    <row r="54" spans="1:65" ht="15" customHeight="1">
      <c r="A54" s="13"/>
      <c r="B54" s="14"/>
      <c r="C54" s="18"/>
      <c r="D54" s="18"/>
      <c r="E54" s="26"/>
      <c r="F54" s="18"/>
      <c r="G54" s="18"/>
      <c r="H54" s="18"/>
      <c r="I54" s="18"/>
      <c r="J54" s="1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</row>
    <row r="55" spans="1:65" ht="15" customHeight="1">
      <c r="A55" s="13"/>
      <c r="B55" s="14"/>
      <c r="C55" s="18"/>
      <c r="D55" s="18"/>
      <c r="E55" s="2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</row>
    <row r="56" spans="1:65" ht="15" customHeight="1">
      <c r="A56" s="13"/>
      <c r="B56" s="15"/>
      <c r="C56" s="18"/>
      <c r="D56" s="58"/>
      <c r="E56" s="26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</row>
    <row r="57" spans="1:65" ht="15" customHeight="1">
      <c r="A57" s="13"/>
      <c r="B57" s="15"/>
      <c r="C57" s="58"/>
      <c r="D57" s="58"/>
      <c r="E57" s="26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</row>
    <row r="58" spans="1:65" ht="15" customHeight="1">
      <c r="A58" s="13"/>
      <c r="B58" s="15"/>
      <c r="C58" s="58"/>
      <c r="D58" s="58"/>
      <c r="E58" s="26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</row>
    <row r="59" spans="1:65" ht="15" customHeight="1">
      <c r="A59" s="13"/>
      <c r="B59" s="15"/>
      <c r="C59" s="58"/>
      <c r="D59" s="58"/>
      <c r="E59" s="26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</row>
    <row r="60" spans="1:65" ht="15" customHeight="1">
      <c r="A60" s="13"/>
      <c r="B60" s="15"/>
      <c r="C60" s="58"/>
      <c r="D60" s="58"/>
      <c r="E60" s="26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</row>
    <row r="61" spans="1:65" ht="15" customHeight="1">
      <c r="A61" s="13"/>
      <c r="B61" s="15"/>
      <c r="C61" s="18"/>
      <c r="D61" s="18"/>
      <c r="E61" s="26"/>
      <c r="F61" s="58"/>
      <c r="G61" s="58"/>
      <c r="H61" s="58"/>
      <c r="I61" s="58"/>
      <c r="J61" s="58"/>
      <c r="K61" s="58"/>
      <c r="L61" s="58"/>
      <c r="M61" s="58"/>
      <c r="N61" s="5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</row>
    <row r="62" spans="1:65" ht="15" customHeight="1">
      <c r="A62" s="13"/>
      <c r="B62" s="15"/>
      <c r="C62" s="18"/>
      <c r="D62" s="18"/>
      <c r="E62" s="26"/>
      <c r="F62" s="58"/>
      <c r="G62" s="58"/>
      <c r="H62" s="58"/>
      <c r="I62" s="58"/>
      <c r="J62" s="58"/>
      <c r="K62" s="58"/>
      <c r="L62" s="58"/>
      <c r="M62" s="58"/>
      <c r="N62" s="5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</row>
    <row r="63" spans="1:65" ht="15" customHeight="1">
      <c r="A63" s="13"/>
      <c r="B63" s="15"/>
      <c r="C63" s="58"/>
      <c r="D63" s="58"/>
      <c r="E63" s="26"/>
      <c r="F63" s="58"/>
      <c r="G63" s="34"/>
      <c r="H63" s="58"/>
      <c r="I63" s="58"/>
      <c r="J63" s="58"/>
      <c r="K63" s="58"/>
      <c r="L63" s="58"/>
      <c r="M63" s="58"/>
      <c r="N63" s="5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</row>
    <row r="64" spans="1:65" ht="15" customHeight="1">
      <c r="A64" s="13"/>
      <c r="B64" s="15"/>
      <c r="C64" s="58"/>
      <c r="D64" s="58"/>
      <c r="E64" s="26"/>
      <c r="F64" s="58"/>
      <c r="G64" s="58"/>
      <c r="H64" s="58"/>
      <c r="I64" s="58"/>
      <c r="J64" s="58"/>
      <c r="K64" s="58"/>
      <c r="L64" s="58"/>
      <c r="M64" s="58"/>
      <c r="N64" s="5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</row>
    <row r="65" spans="1:65" ht="15" customHeight="1">
      <c r="A65" s="13"/>
      <c r="B65" s="14"/>
      <c r="C65" s="18"/>
      <c r="D65" s="18"/>
      <c r="E65" s="26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</row>
    <row r="66" spans="1:65" ht="15" customHeight="1">
      <c r="A66" s="23"/>
      <c r="B66" s="15"/>
      <c r="C66" s="18"/>
      <c r="D66" s="18"/>
      <c r="E66" s="26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</row>
    <row r="67" spans="1:65" ht="15" customHeight="1">
      <c r="A67" s="23"/>
      <c r="B67" s="15"/>
      <c r="C67" s="18"/>
      <c r="D67" s="18"/>
      <c r="E67" s="26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</row>
    <row r="68" spans="1:65" ht="15" customHeight="1">
      <c r="A68" s="23"/>
      <c r="B68" s="15"/>
      <c r="C68" s="18"/>
      <c r="D68" s="18"/>
      <c r="E68" s="26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</row>
    <row r="69" spans="1:65" ht="15" customHeight="1">
      <c r="A69" s="23"/>
      <c r="B69" s="15"/>
      <c r="C69" s="18"/>
      <c r="D69" s="18"/>
      <c r="E69" s="26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</row>
    <row r="70" spans="1:65" ht="15" customHeight="1">
      <c r="A70" s="13"/>
      <c r="B70" s="14"/>
      <c r="C70" s="18"/>
      <c r="D70" s="18"/>
      <c r="E70" s="26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</row>
    <row r="71" spans="1:65" ht="15" customHeight="1">
      <c r="A71" s="13"/>
      <c r="B71" s="14"/>
      <c r="C71" s="18"/>
      <c r="D71" s="18"/>
      <c r="E71" s="26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</row>
    <row r="72" spans="1:65" ht="15" customHeight="1">
      <c r="A72" s="13"/>
      <c r="B72" s="14"/>
      <c r="C72" s="18"/>
      <c r="D72" s="18"/>
      <c r="E72" s="26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</row>
    <row r="73" spans="1:65" ht="15" customHeight="1">
      <c r="A73" s="13"/>
      <c r="B73" s="14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</row>
    <row r="74" spans="1:65" ht="15" customHeight="1">
      <c r="A74" s="13"/>
      <c r="B74" s="14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</row>
    <row r="75" spans="1:65" ht="15" customHeight="1">
      <c r="A75" s="13"/>
      <c r="B75" s="14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</row>
    <row r="76" spans="1:65" ht="15" customHeight="1">
      <c r="A76" s="13"/>
      <c r="B76" s="1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</row>
    <row r="77" spans="1:65" ht="15" customHeight="1">
      <c r="A77" s="13"/>
      <c r="B77" s="14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</row>
    <row r="78" spans="1:65" ht="15" customHeight="1">
      <c r="A78" s="13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</row>
    <row r="79" spans="1:65" ht="15" customHeight="1">
      <c r="A79" s="13"/>
      <c r="B79" s="1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</row>
    <row r="80" spans="1:65" ht="15" customHeight="1">
      <c r="A80" s="13"/>
      <c r="B80" s="14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</row>
    <row r="81" spans="1:65" ht="15" customHeight="1">
      <c r="A81" s="13"/>
      <c r="B81" s="14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</row>
    <row r="82" spans="1:65" ht="15" customHeight="1">
      <c r="A82" s="13"/>
      <c r="B82" s="14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</row>
    <row r="83" spans="1:65" ht="15" customHeight="1">
      <c r="A83" s="13"/>
      <c r="B83" s="14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</row>
    <row r="84" spans="1:65" ht="15" customHeight="1">
      <c r="A84" s="13"/>
      <c r="B84" s="14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</row>
    <row r="85" spans="1:65" ht="15" customHeight="1">
      <c r="A85" s="13"/>
      <c r="B85" s="14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</row>
    <row r="86" spans="1:65" ht="15" customHeight="1">
      <c r="A86" s="13"/>
      <c r="B86" s="14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</row>
    <row r="87" spans="1:65" ht="15" customHeight="1">
      <c r="A87" s="13"/>
      <c r="B87" s="14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</row>
    <row r="88" spans="1:65" ht="15" customHeight="1">
      <c r="A88" s="13"/>
      <c r="B88" s="14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</row>
    <row r="89" spans="1:65" ht="15" customHeight="1">
      <c r="A89" s="23"/>
      <c r="B89" s="15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</row>
    <row r="90" spans="1:65" ht="15" customHeight="1">
      <c r="A90" s="23"/>
      <c r="B90" s="15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</row>
    <row r="91" spans="1:65" ht="15" customHeight="1">
      <c r="A91" s="13"/>
      <c r="B91" s="15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</row>
    <row r="92" spans="1:65" ht="15" customHeight="1">
      <c r="A92" s="13"/>
      <c r="B92" s="15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</row>
    <row r="93" spans="1:65" ht="15" customHeight="1">
      <c r="A93" s="13"/>
      <c r="B93" s="15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</row>
    <row r="94" spans="1:65" ht="15" customHeight="1">
      <c r="A94" s="13"/>
      <c r="B94" s="15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</row>
    <row r="95" spans="1:65" ht="15" customHeight="1">
      <c r="A95" s="23"/>
      <c r="B95" s="1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</row>
    <row r="96" spans="1:65" ht="15" customHeight="1">
      <c r="A96" s="23"/>
      <c r="B96" s="15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</row>
    <row r="97" spans="1:65" ht="15" customHeight="1">
      <c r="A97" s="23"/>
      <c r="B97" s="1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</row>
    <row r="98" spans="1:65" ht="15" customHeight="1">
      <c r="A98" s="23"/>
      <c r="B98" s="1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</row>
    <row r="99" spans="1:65" ht="15" customHeight="1">
      <c r="A99" s="13"/>
      <c r="B99" s="14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</row>
    <row r="100" spans="1:65" ht="15" customHeight="1">
      <c r="A100" s="13"/>
      <c r="B100" s="14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</row>
    <row r="101" spans="1:65" ht="15" customHeight="1">
      <c r="A101" s="13"/>
      <c r="B101" s="14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</row>
    <row r="102" spans="1:65" ht="15" customHeight="1">
      <c r="A102" s="13"/>
      <c r="B102" s="14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</row>
    <row r="103" spans="1:65" ht="15" customHeight="1">
      <c r="A103" s="13"/>
      <c r="B103" s="14"/>
      <c r="C103" s="59"/>
      <c r="D103" s="59"/>
      <c r="E103" s="59"/>
      <c r="F103" s="59"/>
      <c r="G103" s="59"/>
      <c r="H103" s="59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</row>
    <row r="104" spans="1:65" ht="15" customHeight="1">
      <c r="A104" s="13"/>
      <c r="B104" s="14"/>
      <c r="C104" s="59"/>
      <c r="D104" s="59"/>
      <c r="E104" s="59"/>
      <c r="F104" s="59"/>
      <c r="G104" s="59"/>
      <c r="H104" s="59"/>
      <c r="I104" s="18"/>
      <c r="J104" s="59"/>
      <c r="K104" s="59"/>
      <c r="L104" s="59"/>
      <c r="M104" s="59"/>
      <c r="N104" s="18"/>
      <c r="O104" s="1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</row>
    <row r="105" spans="1:65" ht="15" customHeight="1">
      <c r="A105" s="13"/>
      <c r="B105" s="14"/>
      <c r="C105" s="59"/>
      <c r="D105" s="59"/>
      <c r="E105" s="18"/>
      <c r="F105" s="59"/>
      <c r="G105" s="59"/>
      <c r="H105" s="59"/>
      <c r="I105" s="59"/>
      <c r="J105" s="59"/>
      <c r="K105" s="18"/>
      <c r="L105" s="18"/>
      <c r="M105" s="18"/>
      <c r="N105" s="18"/>
      <c r="O105" s="1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</row>
    <row r="106" spans="1:65" ht="15" customHeight="1">
      <c r="A106" s="13"/>
      <c r="B106" s="14"/>
      <c r="C106" s="59"/>
      <c r="D106" s="59"/>
      <c r="E106" s="59"/>
      <c r="F106" s="59"/>
      <c r="G106" s="59"/>
      <c r="H106" s="59"/>
      <c r="I106" s="18"/>
      <c r="J106" s="59"/>
      <c r="K106" s="59"/>
      <c r="L106" s="59"/>
      <c r="M106" s="18"/>
      <c r="N106" s="18"/>
      <c r="O106" s="1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</row>
    <row r="107" spans="1:65" ht="15" customHeight="1">
      <c r="A107" s="13"/>
      <c r="B107" s="15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</row>
    <row r="108" spans="1:65" ht="15" customHeight="1">
      <c r="A108" s="13"/>
      <c r="B108" s="1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</row>
    <row r="109" spans="1:65" ht="15" customHeight="1">
      <c r="A109" s="13"/>
      <c r="B109" s="15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</row>
    <row r="110" spans="1:65" ht="15" customHeight="1">
      <c r="A110" s="13"/>
      <c r="B110" s="15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</row>
    <row r="111" spans="1:65" ht="15" customHeight="1">
      <c r="A111" s="13"/>
      <c r="B111" s="15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</row>
    <row r="112" spans="1:65" ht="15" customHeight="1">
      <c r="A112" s="13"/>
      <c r="B112" s="15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</row>
    <row r="113" spans="1:65" ht="15" customHeight="1">
      <c r="A113" s="13"/>
      <c r="B113" s="15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</row>
    <row r="114" spans="1:65" ht="15" customHeight="1">
      <c r="A114" s="13"/>
      <c r="B114" s="14"/>
      <c r="C114" s="18"/>
      <c r="D114" s="18"/>
      <c r="E114" s="59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</row>
    <row r="115" spans="1:65" ht="15" customHeight="1">
      <c r="A115" s="13"/>
      <c r="B115" s="14"/>
      <c r="C115" s="58"/>
      <c r="D115" s="58"/>
      <c r="E115" s="59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</row>
    <row r="116" spans="1:65" ht="15" customHeight="1">
      <c r="A116" s="13"/>
      <c r="B116" s="14"/>
      <c r="C116" s="58"/>
      <c r="D116" s="58"/>
      <c r="E116" s="59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</row>
    <row r="117" spans="1:65" ht="15" customHeight="1">
      <c r="A117" s="13"/>
      <c r="B117" s="14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</row>
    <row r="118" spans="1:65" ht="15" customHeight="1">
      <c r="A118" s="13"/>
      <c r="B118" s="14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</row>
    <row r="119" spans="1:65" ht="15" customHeight="1">
      <c r="A119" s="13"/>
      <c r="B119" s="14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</row>
    <row r="120" spans="1:65" ht="15" customHeight="1">
      <c r="A120" s="13"/>
      <c r="B120" s="14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</row>
    <row r="121" spans="1:65" ht="15" customHeight="1">
      <c r="A121" s="13"/>
      <c r="B121" s="14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</row>
    <row r="122" spans="1:65" ht="15" customHeight="1">
      <c r="A122" s="13"/>
      <c r="B122" s="14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</row>
    <row r="123" spans="1:65" ht="15" customHeight="1">
      <c r="A123" s="13"/>
      <c r="B123" s="14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</row>
    <row r="124" spans="1:65" ht="15" customHeight="1">
      <c r="A124" s="13"/>
      <c r="B124" s="14"/>
      <c r="C124" s="58"/>
      <c r="D124" s="58"/>
      <c r="E124" s="59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</row>
    <row r="125" spans="1:65" ht="15" customHeight="1">
      <c r="A125" s="13"/>
      <c r="B125" s="14"/>
      <c r="C125" s="58"/>
      <c r="D125" s="58"/>
      <c r="E125" s="59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</row>
    <row r="126" spans="1:65" ht="15" customHeight="1">
      <c r="A126" s="13"/>
      <c r="B126" s="14"/>
      <c r="C126" s="58"/>
      <c r="D126" s="58"/>
      <c r="E126" s="59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</row>
    <row r="127" spans="1:65" ht="15" customHeight="1">
      <c r="A127" s="13"/>
      <c r="B127" s="14"/>
      <c r="C127" s="18"/>
      <c r="D127" s="18"/>
      <c r="E127" s="59"/>
      <c r="F127" s="18"/>
      <c r="G127" s="18"/>
      <c r="H127" s="1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</row>
    <row r="128" spans="1:65" ht="15" customHeight="1">
      <c r="A128" s="13"/>
      <c r="B128" s="14"/>
      <c r="C128" s="19"/>
      <c r="D128" s="19"/>
      <c r="E128" s="19"/>
      <c r="F128" s="19"/>
      <c r="G128" s="19"/>
      <c r="H128" s="19"/>
      <c r="I128" s="1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</row>
    <row r="129" spans="1:65" ht="15" customHeight="1">
      <c r="A129" s="13"/>
      <c r="B129" s="14"/>
      <c r="C129" s="19"/>
      <c r="D129" s="19"/>
      <c r="E129" s="19"/>
      <c r="F129" s="19"/>
      <c r="G129" s="19"/>
      <c r="H129" s="19"/>
      <c r="I129" s="1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</row>
    <row r="130" spans="1:65" ht="15" customHeight="1">
      <c r="A130" s="13"/>
      <c r="B130" s="14"/>
      <c r="C130" s="19"/>
      <c r="D130" s="19"/>
      <c r="E130" s="19"/>
      <c r="F130" s="19"/>
      <c r="G130" s="19"/>
      <c r="H130" s="19"/>
      <c r="I130" s="18"/>
      <c r="J130" s="58"/>
      <c r="K130" s="58"/>
      <c r="L130" s="59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</row>
    <row r="131" spans="1:65" ht="15" customHeight="1">
      <c r="A131" s="13"/>
      <c r="B131" s="14"/>
      <c r="C131" s="19"/>
      <c r="D131" s="19"/>
      <c r="E131" s="19"/>
      <c r="F131" s="19"/>
      <c r="G131" s="19"/>
      <c r="H131" s="19"/>
      <c r="I131" s="18"/>
      <c r="J131" s="58"/>
      <c r="K131" s="58"/>
      <c r="L131" s="59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</row>
    <row r="132" spans="1:65" ht="15" customHeight="1">
      <c r="A132" s="13"/>
      <c r="B132" s="14"/>
      <c r="C132" s="19"/>
      <c r="D132" s="19"/>
      <c r="E132" s="19"/>
      <c r="F132" s="19"/>
      <c r="G132" s="19"/>
      <c r="H132" s="19"/>
      <c r="I132" s="19"/>
      <c r="J132" s="18"/>
      <c r="K132" s="18"/>
      <c r="L132" s="59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</row>
    <row r="133" spans="1:65" ht="15" customHeight="1">
      <c r="A133" s="23"/>
      <c r="B133" s="15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</row>
    <row r="134" spans="1:65" ht="15" customHeight="1">
      <c r="A134" s="23"/>
      <c r="B134" s="15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</row>
    <row r="135" spans="1:65" ht="15" customHeight="1">
      <c r="A135" s="23"/>
      <c r="B135" s="15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</row>
    <row r="136" spans="1:65" ht="15" customHeight="1">
      <c r="A136" s="23"/>
      <c r="B136" s="15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</row>
    <row r="137" spans="1:65" ht="15" customHeight="1">
      <c r="A137" s="23"/>
      <c r="B137" s="15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</row>
    <row r="138" spans="1:65" ht="15" customHeight="1">
      <c r="A138" s="23"/>
      <c r="B138" s="15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</row>
    <row r="139" spans="1:65" ht="15" customHeight="1">
      <c r="A139" s="23"/>
      <c r="B139" s="15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</row>
    <row r="140" spans="1:65" ht="15" customHeight="1">
      <c r="A140" s="23"/>
      <c r="B140" s="15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</row>
    <row r="141" spans="1:65" ht="15" customHeight="1">
      <c r="A141" s="23"/>
      <c r="B141" s="15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</row>
    <row r="142" spans="1:65" ht="15" customHeight="1">
      <c r="A142" s="23"/>
      <c r="B142" s="15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</row>
    <row r="143" spans="1:65" ht="15" customHeight="1">
      <c r="A143" s="23"/>
      <c r="B143" s="15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</row>
    <row r="144" spans="1:65" ht="15" customHeight="1">
      <c r="A144" s="23"/>
      <c r="B144" s="15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</row>
    <row r="145" spans="1:65" ht="15" customHeight="1">
      <c r="A145" s="13"/>
      <c r="B145" s="14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</row>
    <row r="146" spans="1:65" ht="15" customHeight="1">
      <c r="A146" s="13"/>
      <c r="B146" s="14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</row>
    <row r="147" spans="1:65" ht="15" customHeight="1">
      <c r="A147" s="13"/>
      <c r="B147" s="14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</row>
    <row r="148" spans="1:65" ht="15" customHeight="1">
      <c r="A148" s="13"/>
      <c r="B148" s="14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</row>
    <row r="149" spans="1:65" ht="15" customHeight="1">
      <c r="A149" s="13"/>
      <c r="B149" s="14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</row>
    <row r="150" spans="1:65" ht="15" customHeight="1">
      <c r="A150" s="13"/>
      <c r="B150" s="14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</row>
    <row r="151" spans="1:65" ht="15" customHeight="1">
      <c r="A151" s="13"/>
      <c r="B151" s="14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</row>
    <row r="152" spans="1:65" ht="15" customHeight="1">
      <c r="A152" s="13"/>
      <c r="B152" s="14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</row>
    <row r="153" spans="1:65" ht="15" customHeight="1">
      <c r="A153" s="13"/>
      <c r="B153" s="14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</row>
    <row r="154" spans="1:65" ht="15" customHeight="1">
      <c r="A154" s="13"/>
      <c r="B154" s="14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</row>
    <row r="155" spans="1:65" ht="15" customHeight="1">
      <c r="A155" s="13"/>
      <c r="B155" s="14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</row>
    <row r="156" spans="1:65" ht="15" customHeight="1">
      <c r="A156" s="13"/>
      <c r="B156" s="14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</row>
    <row r="157" spans="1:65" ht="15" customHeight="1">
      <c r="A157" s="13"/>
      <c r="B157" s="14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</row>
    <row r="158" spans="1:65" ht="15" customHeight="1">
      <c r="A158" s="23"/>
      <c r="B158" s="15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</row>
    <row r="159" spans="1:65" ht="15" customHeight="1">
      <c r="A159" s="23"/>
      <c r="B159" s="15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</row>
    <row r="160" spans="1:65" ht="15" customHeight="1">
      <c r="A160" s="23"/>
      <c r="B160" s="15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</row>
    <row r="161" spans="1:65" ht="15" customHeight="1">
      <c r="A161" s="23"/>
      <c r="B161" s="15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</row>
    <row r="162" spans="1:65" ht="15" customHeight="1">
      <c r="A162" s="23"/>
      <c r="B162" s="15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</row>
    <row r="163" spans="1:65" ht="15" customHeight="1">
      <c r="A163" s="23"/>
      <c r="B163" s="15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</row>
    <row r="164" spans="1:65" ht="15" customHeight="1">
      <c r="A164" s="23"/>
      <c r="B164" s="15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</row>
    <row r="165" spans="1:65" ht="15" customHeight="1">
      <c r="A165" s="23"/>
      <c r="B165" s="15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</row>
    <row r="166" spans="1:65" ht="15" customHeight="1">
      <c r="A166" s="23"/>
      <c r="B166" s="15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</row>
    <row r="167" spans="1:65" ht="15" customHeight="1">
      <c r="A167" s="23"/>
      <c r="B167" s="15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</row>
    <row r="168" spans="1:65" ht="15" customHeight="1">
      <c r="A168" s="23"/>
      <c r="B168" s="15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</row>
    <row r="169" spans="1:65" ht="15" customHeight="1">
      <c r="A169" s="23"/>
      <c r="B169" s="15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</row>
    <row r="170" spans="1:65" ht="15" customHeight="1">
      <c r="A170" s="23"/>
      <c r="B170" s="15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</row>
    <row r="171" spans="1:65" ht="15" customHeight="1">
      <c r="A171" s="23"/>
      <c r="B171" s="15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</row>
    <row r="172" spans="1:65" ht="15" customHeight="1">
      <c r="A172" s="23"/>
      <c r="B172" s="15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</row>
    <row r="173" spans="1:65" ht="15" customHeight="1">
      <c r="A173" s="23"/>
      <c r="B173" s="15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</row>
    <row r="174" spans="1:65" ht="15" customHeight="1">
      <c r="A174" s="23"/>
      <c r="B174" s="15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</row>
    <row r="175" spans="1:65" ht="15" customHeight="1">
      <c r="A175" s="23"/>
      <c r="B175" s="15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</row>
    <row r="176" spans="1:65" ht="15" customHeight="1">
      <c r="A176" s="23"/>
      <c r="B176" s="15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</row>
    <row r="177" spans="1:65" ht="15" customHeight="1">
      <c r="A177" s="23"/>
      <c r="B177" s="15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</row>
    <row r="178" spans="1:65" ht="15" customHeight="1">
      <c r="A178" s="23"/>
      <c r="B178" s="15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</row>
    <row r="179" spans="1:65" ht="15" customHeight="1">
      <c r="A179" s="23"/>
      <c r="B179" s="15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</row>
    <row r="180" spans="1:65" ht="15" customHeight="1">
      <c r="A180" s="23"/>
      <c r="B180" s="15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</row>
    <row r="181" spans="1:65" ht="15" customHeight="1">
      <c r="A181" s="23"/>
      <c r="B181" s="15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</row>
    <row r="182" spans="1:65" ht="15" customHeight="1">
      <c r="A182" s="23"/>
      <c r="B182" s="15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</row>
    <row r="183" spans="1:65" ht="15" customHeight="1">
      <c r="A183" s="23"/>
      <c r="B183" s="15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</row>
    <row r="184" spans="1:65" ht="15" customHeight="1">
      <c r="A184" s="23"/>
      <c r="B184" s="15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</row>
    <row r="185" spans="1:65" ht="15" customHeight="1">
      <c r="A185" s="23"/>
      <c r="B185" s="15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</row>
    <row r="186" spans="1:65" ht="15" customHeight="1">
      <c r="A186" s="23"/>
      <c r="B186" s="15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</row>
    <row r="187" spans="1:65" ht="15" customHeight="1">
      <c r="A187" s="23"/>
      <c r="B187" s="15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</row>
    <row r="188" spans="1:65" ht="15" customHeight="1">
      <c r="A188" s="23"/>
      <c r="B188" s="15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</row>
    <row r="189" spans="1:65" ht="15" customHeight="1">
      <c r="A189" s="23"/>
      <c r="B189" s="15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</row>
    <row r="190" spans="1:65" ht="15" customHeight="1">
      <c r="A190" s="23"/>
      <c r="B190" s="15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</row>
    <row r="191" spans="1:65" ht="15" customHeight="1">
      <c r="A191" s="21"/>
      <c r="B191" s="14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</row>
    <row r="192" spans="1:65" ht="15" customHeight="1">
      <c r="A192" s="21"/>
      <c r="B192" s="14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</row>
    <row r="193" spans="1:65" ht="15" customHeight="1">
      <c r="A193" s="21"/>
      <c r="B193" s="14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</row>
    <row r="194" spans="1:65" ht="15" customHeight="1">
      <c r="A194" s="21"/>
      <c r="B194" s="14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</row>
    <row r="195" spans="1:65" ht="15" customHeight="1">
      <c r="A195" s="13"/>
      <c r="B195" s="14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</row>
    <row r="196" spans="1:65" ht="15" customHeight="1">
      <c r="A196" s="13"/>
      <c r="B196" s="14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</row>
    <row r="197" spans="1:65" ht="15" customHeight="1">
      <c r="A197" s="13"/>
      <c r="B197" s="14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</row>
    <row r="198" spans="1:65" ht="15" customHeight="1">
      <c r="A198" s="13"/>
      <c r="B198" s="14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</row>
    <row r="199" spans="1:65" ht="15" customHeight="1">
      <c r="A199" s="13"/>
      <c r="B199" s="14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</row>
    <row r="200" spans="1:65" ht="15" customHeight="1">
      <c r="A200" s="13"/>
      <c r="B200" s="14"/>
      <c r="C200" s="18"/>
      <c r="D200" s="18"/>
      <c r="E200" s="18"/>
      <c r="F200" s="18"/>
      <c r="G200" s="18"/>
      <c r="H200" s="18"/>
      <c r="I200" s="18"/>
      <c r="J200" s="1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</row>
    <row r="201" spans="1:65" ht="15" customHeight="1">
      <c r="A201" s="13"/>
      <c r="B201" s="14"/>
      <c r="C201" s="18"/>
      <c r="D201" s="18"/>
      <c r="E201" s="18"/>
      <c r="F201" s="18"/>
      <c r="G201" s="18"/>
      <c r="H201" s="18"/>
      <c r="I201" s="18"/>
      <c r="J201" s="1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</row>
    <row r="202" spans="1:65" ht="15" customHeight="1">
      <c r="A202" s="13"/>
      <c r="B202" s="14"/>
      <c r="C202" s="18"/>
      <c r="D202" s="18"/>
      <c r="E202" s="18"/>
      <c r="F202" s="18"/>
      <c r="G202" s="18"/>
      <c r="H202" s="18"/>
      <c r="I202" s="18"/>
      <c r="J202" s="1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</row>
    <row r="203" spans="1:65" ht="15" customHeight="1">
      <c r="A203" s="13"/>
      <c r="B203" s="14"/>
      <c r="C203" s="18"/>
      <c r="D203" s="18"/>
      <c r="E203" s="18"/>
      <c r="F203" s="18"/>
      <c r="G203" s="18"/>
      <c r="H203" s="18"/>
      <c r="I203" s="18"/>
      <c r="J203" s="1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</row>
    <row r="204" spans="1:65" ht="15" customHeight="1">
      <c r="A204" s="13"/>
      <c r="B204" s="14"/>
      <c r="C204" s="18"/>
      <c r="D204" s="18"/>
      <c r="E204" s="18"/>
      <c r="F204" s="18"/>
      <c r="G204" s="18"/>
      <c r="H204" s="18"/>
      <c r="I204" s="18"/>
      <c r="J204" s="1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</row>
    <row r="205" spans="1:65" ht="15" customHeight="1">
      <c r="A205" s="13"/>
      <c r="B205" s="14"/>
      <c r="C205" s="18"/>
      <c r="D205" s="18"/>
      <c r="E205" s="18"/>
      <c r="F205" s="18"/>
      <c r="G205" s="18"/>
      <c r="H205" s="18"/>
      <c r="I205" s="18"/>
      <c r="J205" s="1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</row>
    <row r="206" spans="1:65" ht="15" customHeight="1">
      <c r="A206" s="13"/>
      <c r="B206" s="15"/>
      <c r="C206" s="18"/>
      <c r="D206" s="18"/>
      <c r="E206" s="18"/>
      <c r="F206" s="18"/>
      <c r="G206" s="18"/>
      <c r="H206" s="18"/>
      <c r="I206" s="1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</row>
    <row r="207" spans="1:65" ht="15" customHeight="1">
      <c r="A207" s="13"/>
      <c r="B207" s="15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</row>
    <row r="208" spans="1:65" ht="15" customHeight="1">
      <c r="A208" s="13"/>
      <c r="B208" s="15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</row>
    <row r="209" spans="1:65" ht="15" customHeight="1">
      <c r="A209" s="13"/>
      <c r="B209" s="15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</row>
    <row r="210" spans="1:65" ht="15" customHeight="1">
      <c r="A210" s="13"/>
      <c r="B210" s="15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</row>
    <row r="211" spans="1:65" ht="15" customHeight="1">
      <c r="A211" s="13"/>
      <c r="B211" s="15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</row>
    <row r="212" spans="1:65" ht="15" customHeight="1">
      <c r="A212" s="13"/>
      <c r="B212" s="15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</row>
    <row r="213" spans="1:65" ht="15" customHeight="1">
      <c r="A213" s="13"/>
      <c r="B213" s="15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</row>
    <row r="214" spans="1:65" ht="15" customHeight="1">
      <c r="A214" s="13"/>
      <c r="B214" s="15"/>
      <c r="C214" s="18"/>
      <c r="D214" s="18"/>
      <c r="E214" s="18"/>
      <c r="F214" s="18"/>
      <c r="G214" s="18"/>
      <c r="H214" s="18"/>
      <c r="I214" s="18"/>
      <c r="J214" s="1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</row>
    <row r="215" spans="1:65" ht="15" customHeight="1">
      <c r="A215" s="13"/>
      <c r="B215" s="15"/>
      <c r="C215" s="18"/>
      <c r="D215" s="18"/>
      <c r="E215" s="18"/>
      <c r="F215" s="18"/>
      <c r="G215" s="18"/>
      <c r="H215" s="18"/>
      <c r="I215" s="18"/>
      <c r="J215" s="18"/>
      <c r="K215" s="1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</row>
    <row r="216" spans="1:65" ht="15" customHeight="1">
      <c r="A216" s="13"/>
      <c r="B216" s="15"/>
      <c r="C216" s="18"/>
      <c r="D216" s="18"/>
      <c r="E216" s="18"/>
      <c r="F216" s="18"/>
      <c r="G216" s="18"/>
      <c r="H216" s="18"/>
      <c r="I216" s="18"/>
      <c r="J216" s="18"/>
      <c r="K216" s="1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</row>
    <row r="217" spans="1:65" ht="15" customHeight="1">
      <c r="A217" s="13"/>
      <c r="B217" s="15"/>
      <c r="C217" s="18"/>
      <c r="D217" s="18"/>
      <c r="E217" s="18"/>
      <c r="F217" s="18"/>
      <c r="G217" s="18"/>
      <c r="H217" s="18"/>
      <c r="I217" s="18"/>
      <c r="J217" s="18"/>
      <c r="K217" s="1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</row>
    <row r="218" spans="1:65" ht="15" customHeight="1">
      <c r="A218" s="13"/>
      <c r="B218" s="15"/>
      <c r="C218" s="18"/>
      <c r="D218" s="18"/>
      <c r="E218" s="18"/>
      <c r="F218" s="18"/>
      <c r="G218" s="18"/>
      <c r="H218" s="18"/>
      <c r="I218" s="18"/>
      <c r="J218" s="18"/>
      <c r="K218" s="1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</row>
    <row r="219" spans="1:65" ht="15" customHeight="1">
      <c r="A219" s="13"/>
      <c r="B219" s="15"/>
      <c r="C219" s="18"/>
      <c r="D219" s="18"/>
      <c r="E219" s="18"/>
      <c r="F219" s="18"/>
      <c r="G219" s="18"/>
      <c r="H219" s="18"/>
      <c r="I219" s="18"/>
      <c r="J219" s="1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</row>
    <row r="220" spans="1:65" ht="15" customHeight="1">
      <c r="A220" s="13"/>
      <c r="B220" s="15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</row>
    <row r="221" spans="1:65" ht="15" customHeight="1">
      <c r="A221" s="13"/>
      <c r="B221" s="15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</row>
    <row r="222" spans="1:65" ht="15" customHeight="1">
      <c r="A222" s="13"/>
      <c r="B222" s="15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</row>
    <row r="223" spans="1:65" ht="15" customHeight="1">
      <c r="A223" s="13"/>
      <c r="B223" s="15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</row>
    <row r="224" spans="1:65" ht="15" customHeight="1">
      <c r="A224" s="13"/>
      <c r="B224" s="15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</row>
    <row r="225" spans="1:65" ht="15" customHeight="1">
      <c r="A225" s="13"/>
      <c r="B225" s="15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</row>
    <row r="226" spans="1:65" ht="15" customHeight="1">
      <c r="A226" s="13"/>
      <c r="B226" s="15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</row>
    <row r="227" spans="1:65" ht="15" customHeight="1">
      <c r="A227" s="13"/>
      <c r="B227" s="15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</row>
    <row r="228" spans="1:65" ht="15" customHeight="1">
      <c r="A228" s="23"/>
      <c r="B228" s="15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</row>
    <row r="229" spans="1:65" ht="15" customHeight="1">
      <c r="A229" s="23"/>
      <c r="B229" s="15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</row>
    <row r="230" spans="1:65" ht="15" customHeight="1">
      <c r="A230" s="23"/>
      <c r="B230" s="15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</row>
    <row r="231" spans="1:65" ht="15" customHeight="1">
      <c r="A231" s="23"/>
      <c r="B231" s="15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</row>
    <row r="232" spans="1:65" ht="15" customHeight="1">
      <c r="A232" s="13"/>
      <c r="B232" s="14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</row>
    <row r="233" spans="1:65" ht="15" customHeight="1">
      <c r="A233" s="13"/>
      <c r="B233" s="14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</row>
    <row r="234" spans="1:65" ht="15" customHeight="1">
      <c r="A234" s="13"/>
      <c r="B234" s="14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</row>
    <row r="235" spans="1:65" ht="15" customHeight="1">
      <c r="A235" s="13"/>
      <c r="B235" s="14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</row>
    <row r="236" spans="1:65" ht="15" customHeight="1">
      <c r="A236" s="13"/>
      <c r="B236" s="14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</row>
    <row r="237" spans="1:65" ht="15" customHeight="1">
      <c r="A237" s="13"/>
      <c r="B237" s="14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</row>
    <row r="238" spans="1:65" ht="15" customHeight="1">
      <c r="A238" s="13"/>
      <c r="B238" s="14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</row>
    <row r="239" spans="1:65" ht="15" customHeight="1">
      <c r="A239" s="13"/>
      <c r="B239" s="14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</row>
    <row r="240" spans="1:65" ht="15" customHeight="1">
      <c r="A240" s="13"/>
      <c r="B240" s="14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</row>
    <row r="241" spans="1:65" ht="15" customHeight="1">
      <c r="A241" s="13"/>
      <c r="B241" s="14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</row>
    <row r="242" spans="1:65" ht="15" customHeight="1">
      <c r="A242" s="13"/>
      <c r="B242" s="14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</row>
    <row r="243" spans="1:65" ht="15" customHeight="1">
      <c r="A243" s="13"/>
      <c r="B243" s="14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</row>
    <row r="244" spans="1:65" ht="15" customHeight="1">
      <c r="A244" s="13"/>
      <c r="B244" s="14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</row>
    <row r="245" spans="1:65" ht="15" customHeight="1">
      <c r="A245" s="13"/>
      <c r="B245" s="14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</row>
    <row r="246" spans="1:65" ht="15" customHeight="1">
      <c r="A246" s="13"/>
      <c r="B246" s="14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</row>
    <row r="247" spans="1:65" ht="15" customHeight="1">
      <c r="A247" s="13"/>
      <c r="B247" s="14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</row>
    <row r="248" spans="1:65" ht="15" customHeight="1">
      <c r="A248" s="13"/>
      <c r="B248" s="14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</row>
    <row r="249" spans="1:65" ht="15" customHeight="1">
      <c r="A249" s="13"/>
      <c r="B249" s="14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</row>
    <row r="250" spans="1:65" ht="15" customHeight="1">
      <c r="A250" s="13"/>
      <c r="B250" s="14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</row>
    <row r="251" spans="1:65" ht="15" customHeight="1">
      <c r="A251" s="13"/>
      <c r="B251" s="14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</row>
    <row r="252" spans="1:65" ht="1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</row>
    <row r="253" spans="1:65" ht="14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</row>
    <row r="254" spans="1:65" ht="14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</row>
    <row r="255" spans="1:65" ht="1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3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</row>
    <row r="256" spans="1:65" ht="1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3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</row>
    <row r="257" spans="1:65" ht="1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3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</row>
    <row r="258" spans="1:65" ht="1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3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</row>
    <row r="259" spans="1:65" ht="1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3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</row>
    <row r="260" spans="1:65" ht="1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3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</row>
    <row r="261" spans="1:65" ht="1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3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</row>
    <row r="262" spans="1:65" ht="1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3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</row>
    <row r="263" spans="1:65" ht="1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3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</row>
    <row r="264" spans="1:65" ht="1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3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</row>
    <row r="265" spans="1:65" ht="1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3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</row>
    <row r="266" spans="1:65" ht="1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3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</row>
    <row r="267" spans="1:65" ht="1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3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</row>
    <row r="268" spans="1:65" ht="1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3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</row>
    <row r="269" spans="1:65" ht="1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3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</row>
    <row r="270" spans="1:65" ht="1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3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</row>
    <row r="271" spans="1:65" ht="1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3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</row>
    <row r="272" spans="1:65" ht="1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3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</row>
    <row r="273" spans="1:65" ht="1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3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</row>
    <row r="274" spans="1:65" ht="1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3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</row>
    <row r="275" spans="1:65" ht="1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3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</row>
    <row r="276" spans="1:65" ht="1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3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</row>
    <row r="277" spans="1:65" ht="1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3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</row>
    <row r="278" spans="1:65" ht="1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3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</row>
    <row r="279" spans="1:65" ht="1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3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</row>
    <row r="280" spans="1:65" ht="1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3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</row>
    <row r="281" spans="1:65" ht="1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3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</row>
    <row r="282" spans="1:65" ht="1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3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</row>
    <row r="283" spans="1:65" ht="1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3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</row>
    <row r="284" spans="1:65" ht="1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3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</row>
    <row r="285" spans="1:65" ht="1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3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</row>
    <row r="286" spans="1:65" ht="1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3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</row>
    <row r="287" spans="1:65" ht="1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3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</row>
    <row r="288" spans="1:65" ht="1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3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</row>
    <row r="289" spans="1:65" ht="1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3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</row>
    <row r="290" spans="1:65" ht="1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3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</row>
    <row r="291" spans="1:65" ht="1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3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</row>
    <row r="292" spans="1:65" ht="1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3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</row>
    <row r="293" spans="1:65" ht="1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3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</row>
    <row r="294" spans="1:65" ht="1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3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</row>
    <row r="295" spans="1:65" ht="1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3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</row>
    <row r="296" spans="1:65" ht="1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3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</row>
    <row r="297" spans="1:65" ht="1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3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</row>
    <row r="298" spans="1:65" ht="1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3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</row>
    <row r="299" spans="1:65" ht="1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3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</row>
    <row r="300" spans="1:65" ht="1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3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</row>
    <row r="301" spans="1:65" ht="1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3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</row>
    <row r="302" spans="1:65" ht="1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3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</row>
    <row r="303" spans="1:65" ht="1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3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</row>
    <row r="304" spans="1:65" ht="1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3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</row>
    <row r="305" spans="1:65" ht="1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3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</row>
    <row r="306" spans="1:65" ht="1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3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</row>
    <row r="307" spans="1:65" ht="1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3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</row>
    <row r="308" spans="1:65" ht="1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3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</row>
    <row r="309" spans="1:65" ht="1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3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</row>
    <row r="310" spans="1:65" ht="1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3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</row>
    <row r="311" spans="1:65" ht="1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3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</row>
    <row r="312" spans="1:65" ht="1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3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</row>
    <row r="313" spans="1:65" ht="1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3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</row>
    <row r="314" spans="1:65" ht="1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3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</row>
    <row r="315" spans="1:65" ht="1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3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</row>
    <row r="316" spans="1:65" ht="1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3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</row>
    <row r="317" spans="1:65" ht="1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3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</row>
    <row r="318" spans="1:65" ht="1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3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</row>
    <row r="319" spans="1:65" ht="1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3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</row>
    <row r="320" spans="1:65" ht="1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3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</row>
    <row r="321" spans="1:65" ht="1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3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</row>
    <row r="322" spans="1:65" ht="1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3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</row>
    <row r="323" spans="1:65" ht="1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3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</row>
    <row r="324" spans="1:65" ht="1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3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</row>
    <row r="325" spans="1:65" ht="1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3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</row>
    <row r="326" spans="1:65" ht="1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3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</row>
    <row r="327" spans="1:65" ht="1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3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</row>
    <row r="328" spans="1:65" ht="1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3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</row>
    <row r="329" spans="1:65" ht="1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3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</row>
    <row r="330" spans="1:65" ht="1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3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</row>
    <row r="331" spans="1:65" ht="14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</row>
    <row r="332" spans="1:65" ht="14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</row>
    <row r="333" spans="1:65" ht="14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</row>
    <row r="334" spans="1:65" ht="14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</row>
    <row r="335" spans="1:65" ht="14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</row>
    <row r="336" spans="1:65" ht="14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</row>
    <row r="337" spans="1:65" ht="14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</row>
    <row r="338" spans="1:65" ht="14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</row>
    <row r="339" spans="1:65" ht="14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</row>
    <row r="340" spans="1:65" ht="14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</row>
    <row r="341" spans="1:65" ht="14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</row>
    <row r="342" spans="1:65" ht="14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</row>
    <row r="343" spans="1:65" ht="14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</row>
    <row r="344" spans="1:65" ht="14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</row>
    <row r="345" spans="1:65" ht="14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</row>
    <row r="346" spans="1:65" ht="14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</row>
    <row r="347" spans="1:65" ht="14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</row>
    <row r="348" spans="1:65" ht="14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</row>
    <row r="349" spans="1:65" ht="14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</row>
    <row r="350" spans="1:65" ht="14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</row>
    <row r="351" spans="1:65" ht="14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</row>
    <row r="352" spans="1:65" ht="14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</row>
    <row r="353" spans="1:65" ht="14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</row>
    <row r="354" spans="1:65" ht="14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</row>
    <row r="355" spans="1:65" ht="14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</row>
    <row r="356" spans="1:65" ht="14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</row>
    <row r="357" spans="1:65" ht="14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</row>
    <row r="358" spans="1:65" ht="14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</row>
    <row r="359" spans="1:65" ht="14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</row>
    <row r="360" spans="1:65" ht="14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</row>
    <row r="361" spans="1:65" ht="14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</row>
    <row r="362" spans="1:65" ht="14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</row>
    <row r="363" spans="1:65" ht="14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</row>
    <row r="364" spans="1:65" ht="14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</row>
    <row r="365" spans="1:65" ht="14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</row>
    <row r="366" spans="1:65" ht="14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</row>
    <row r="367" spans="1:65" ht="14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</row>
    <row r="368" spans="1:65" ht="14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</row>
    <row r="369" spans="1:65" ht="14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</row>
    <row r="370" spans="1:65" ht="14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</row>
    <row r="371" spans="1:65" ht="14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</row>
    <row r="372" spans="1:65" ht="14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</row>
    <row r="373" spans="1:65" ht="14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</row>
    <row r="374" spans="1:65" ht="14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</row>
    <row r="375" spans="1:65" ht="14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</row>
    <row r="376" spans="1:65" ht="14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</row>
    <row r="377" spans="1:65" ht="14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</row>
    <row r="378" spans="1:65" ht="14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</row>
    <row r="379" spans="1:65" ht="14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</row>
    <row r="380" spans="1:65" ht="14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</row>
    <row r="381" spans="1:65" ht="14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</row>
    <row r="382" spans="1:65" ht="14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</row>
    <row r="383" spans="1:65" ht="14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</row>
    <row r="384" spans="1:65" ht="14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</row>
    <row r="385" spans="1:65" ht="14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</row>
    <row r="386" spans="1:65" ht="14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</row>
    <row r="387" spans="1:65" ht="14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</row>
    <row r="388" spans="1:65" ht="14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</row>
    <row r="389" spans="1:65" ht="14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</row>
    <row r="390" spans="1:65" ht="14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</row>
    <row r="391" spans="1:65" ht="14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</row>
    <row r="392" spans="1:65" ht="14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</row>
    <row r="393" spans="1:65" ht="14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</row>
    <row r="394" spans="1:65" ht="14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</row>
    <row r="395" spans="1:65" ht="14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</row>
    <row r="396" spans="1:65" ht="14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</row>
    <row r="397" spans="1:65" ht="14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</row>
    <row r="398" spans="1:65" ht="14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</row>
    <row r="399" spans="1:65" ht="14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</row>
    <row r="400" spans="1:65" ht="14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</row>
    <row r="401" spans="1:65" ht="14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</row>
    <row r="402" spans="1:65" ht="14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</row>
    <row r="403" spans="1:65" ht="14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</row>
    <row r="404" spans="1:65" ht="14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</row>
    <row r="405" spans="1:65" ht="14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</row>
    <row r="406" spans="1:65" ht="14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</row>
    <row r="407" spans="1:65" ht="14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</row>
    <row r="408" spans="1:65" ht="14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</row>
    <row r="409" spans="1:65" ht="14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</row>
    <row r="410" spans="1:65" ht="14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</row>
    <row r="411" spans="1:65" ht="14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</row>
    <row r="412" spans="1:65" ht="14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</row>
    <row r="413" spans="1:65" ht="14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</row>
    <row r="414" spans="1:65" ht="14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</row>
    <row r="415" spans="1:65" ht="14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</row>
    <row r="416" spans="1:65" ht="14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</row>
    <row r="417" spans="1:65" ht="14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</row>
    <row r="418" spans="1:65" ht="14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</row>
    <row r="419" spans="1:65" ht="14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</row>
    <row r="420" spans="1:65" ht="14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</row>
    <row r="421" spans="1:65" ht="14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</row>
    <row r="422" spans="1:65" ht="14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</row>
    <row r="423" spans="1:65" ht="14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</row>
    <row r="424" spans="1:65" ht="14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</row>
    <row r="425" spans="1:65" ht="14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</row>
    <row r="426" spans="1:65" ht="14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</row>
    <row r="427" spans="1:65" ht="14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</row>
    <row r="428" spans="1:65" ht="14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</row>
    <row r="429" spans="1:65" ht="14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</row>
    <row r="430" spans="1:65" ht="14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</row>
    <row r="431" spans="1:65" ht="14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</row>
    <row r="432" spans="1:65" ht="14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</row>
    <row r="433" spans="1:65" ht="14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</row>
    <row r="434" spans="1:65" ht="14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</row>
    <row r="435" spans="1:65" ht="14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</row>
    <row r="436" spans="1:65" ht="14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</row>
    <row r="437" spans="1:65" ht="14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</row>
    <row r="438" spans="1:65" ht="14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</row>
    <row r="439" spans="1:65" ht="14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</row>
    <row r="440" spans="1:65" ht="14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</row>
    <row r="441" spans="1:65" ht="14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</row>
    <row r="442" spans="1:65" ht="14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</row>
    <row r="443" spans="1:65" ht="14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</row>
    <row r="444" spans="1:65" ht="14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</row>
    <row r="445" spans="1:65" ht="14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</row>
    <row r="446" spans="1:65" ht="14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</row>
    <row r="447" spans="1:65" ht="14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</row>
    <row r="448" spans="1:65" ht="14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</row>
    <row r="449" spans="1:65" ht="14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</row>
    <row r="450" spans="1:65" ht="14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</row>
    <row r="451" spans="1:65" ht="14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</row>
    <row r="452" spans="1:65" ht="14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</row>
    <row r="453" spans="1:65" ht="14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</row>
    <row r="454" spans="1:65" ht="14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</row>
    <row r="455" spans="1:65" ht="14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</row>
    <row r="456" spans="1:65" ht="14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</row>
    <row r="457" spans="1:65" ht="14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</row>
    <row r="458" spans="1:65" ht="14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</row>
    <row r="459" spans="1:65" ht="14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</row>
    <row r="460" spans="1:65" ht="14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</row>
    <row r="461" spans="1:65" ht="14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</row>
    <row r="462" spans="1:65" ht="14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</row>
    <row r="463" spans="1:65" ht="14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</row>
    <row r="464" spans="1:65" ht="14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</row>
    <row r="465" spans="1:65" ht="14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</row>
    <row r="466" spans="1:65" ht="14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</row>
    <row r="467" spans="1:65" ht="14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</row>
    <row r="468" spans="1:65" ht="14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</row>
    <row r="469" spans="1:65" ht="14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</row>
    <row r="470" spans="1:65" ht="14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</row>
    <row r="471" spans="1:65" ht="14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</row>
    <row r="472" spans="1:65" ht="14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</row>
    <row r="473" spans="1:65" ht="14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</row>
    <row r="474" spans="1:65" ht="14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</row>
    <row r="475" spans="1:65" ht="14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</row>
    <row r="476" spans="1:65" ht="14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</row>
    <row r="477" spans="1:65" ht="14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</row>
    <row r="478" spans="1:65" ht="14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</row>
    <row r="479" spans="1:65" ht="14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</row>
    <row r="480" spans="1:65" ht="14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</row>
    <row r="481" spans="1:65" ht="14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</row>
    <row r="482" spans="1:65" ht="14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</row>
    <row r="483" spans="1:65" ht="14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</row>
    <row r="484" spans="1:65" ht="14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</row>
    <row r="485" spans="1:65" ht="14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</row>
    <row r="486" spans="1:65" ht="14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</row>
    <row r="487" spans="1:65" ht="14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</row>
    <row r="488" spans="1:65" ht="14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</row>
    <row r="489" spans="1:65" ht="14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</row>
    <row r="490" spans="1:65" ht="14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</row>
    <row r="491" spans="1:65" ht="14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</row>
    <row r="492" spans="1:65" ht="14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</row>
    <row r="493" spans="1:65" ht="14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</row>
    <row r="494" spans="1:65" ht="14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</row>
    <row r="495" spans="1:65" ht="14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</row>
    <row r="496" spans="1:65" ht="14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</row>
    <row r="497" spans="1:65" ht="14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</row>
    <row r="498" spans="1:65" ht="14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</row>
    <row r="499" spans="1:65" ht="14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</row>
    <row r="500" spans="1:65" ht="14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</row>
    <row r="501" spans="1:65" ht="14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</row>
    <row r="502" spans="1:65" ht="14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</row>
    <row r="503" spans="1:65" ht="14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</row>
    <row r="504" spans="1:65" ht="14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</row>
    <row r="505" spans="1:65" ht="14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</row>
    <row r="506" spans="1:65" ht="14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</row>
    <row r="507" spans="1:65" ht="14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</row>
    <row r="508" spans="1:65" ht="14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</row>
    <row r="509" spans="1:65" ht="14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</row>
    <row r="510" spans="1:65" ht="14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</row>
    <row r="511" spans="1:65" ht="14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</row>
    <row r="512" spans="1:65" ht="14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</row>
    <row r="513" spans="1:65" ht="14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</row>
    <row r="514" spans="1:65" ht="14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</row>
    <row r="515" spans="1:65" ht="14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</row>
    <row r="516" spans="1:65" ht="14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</row>
    <row r="517" spans="1:65" ht="14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</row>
    <row r="518" spans="1:65" ht="14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</row>
    <row r="519" spans="1:65" ht="14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</row>
    <row r="520" spans="1:65" ht="14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</row>
    <row r="521" spans="1:65" ht="14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</row>
    <row r="522" spans="1:65" ht="14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</row>
    <row r="523" spans="1:65" ht="14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</row>
    <row r="524" spans="1:65" ht="14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</row>
    <row r="525" spans="1:65" ht="14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</row>
    <row r="526" spans="1:65" ht="14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</row>
    <row r="527" spans="1:65" ht="14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</row>
    <row r="528" spans="1:65" ht="14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</row>
    <row r="529" spans="1:65" ht="14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</row>
    <row r="530" spans="1:65" ht="14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</row>
    <row r="531" spans="1:65" ht="14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</row>
    <row r="532" spans="1:65" ht="14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</row>
    <row r="533" spans="1:65" ht="14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</row>
    <row r="534" spans="1:65" ht="14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</row>
    <row r="535" spans="1:65" ht="14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</row>
    <row r="536" spans="1:65" ht="14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</row>
    <row r="537" spans="1:65" ht="14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</row>
    <row r="538" spans="1:65" ht="14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</row>
    <row r="539" spans="1:65" ht="14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</row>
    <row r="540" spans="1:65" ht="14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</row>
    <row r="541" spans="1:65" ht="14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</row>
    <row r="542" spans="1:65" ht="14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</row>
    <row r="543" spans="1:65" ht="14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</row>
    <row r="544" spans="1:65" ht="14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</row>
    <row r="545" spans="1:65" ht="14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</row>
    <row r="546" spans="1:65" ht="14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</row>
    <row r="547" spans="1:65" ht="14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</row>
    <row r="548" spans="1:65" ht="14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</row>
    <row r="549" spans="1:65" ht="14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</row>
    <row r="550" spans="1:65" ht="14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</row>
    <row r="551" spans="1:65" ht="14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</row>
    <row r="552" spans="1:65" ht="14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</row>
    <row r="553" spans="1:65" ht="14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</row>
    <row r="554" spans="1:65" ht="14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</row>
    <row r="555" spans="1:65" ht="14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</row>
    <row r="556" spans="1:65" ht="14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</row>
    <row r="557" spans="1:65" ht="14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</row>
    <row r="558" spans="1:65" ht="14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</row>
    <row r="559" spans="1:65" ht="14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</row>
    <row r="560" spans="1:65" ht="14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</row>
    <row r="561" spans="1:65" ht="14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</row>
    <row r="562" spans="1:65" ht="14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</row>
    <row r="563" spans="1:65" ht="14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</row>
    <row r="564" spans="1:65" ht="14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</row>
    <row r="565" spans="1:65" ht="14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</row>
    <row r="566" spans="1:65" ht="14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</row>
    <row r="567" spans="1:65" ht="14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</row>
    <row r="568" spans="1:65" ht="14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</row>
    <row r="569" spans="1:65" ht="14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</row>
    <row r="570" spans="1:65" ht="14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</row>
    <row r="571" spans="1:65" ht="14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</row>
    <row r="572" spans="1:65" ht="14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</row>
    <row r="573" spans="1:65" ht="14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</row>
    <row r="574" spans="1:65" ht="14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</row>
    <row r="575" spans="1:65" ht="14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</row>
    <row r="576" spans="1:65" ht="14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</row>
    <row r="577" spans="1:65" ht="14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</row>
    <row r="578" spans="1:65" ht="14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</row>
    <row r="579" spans="1:65" ht="14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</row>
    <row r="580" spans="1:65" ht="14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</row>
    <row r="581" spans="1:65" ht="14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</row>
    <row r="582" spans="1:65" ht="14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</row>
    <row r="583" spans="1:65" ht="14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</row>
    <row r="584" spans="1:65" ht="14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</row>
    <row r="585" spans="1:65" ht="14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</row>
    <row r="586" spans="1:65" ht="14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</row>
    <row r="587" spans="1:65" ht="14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</row>
    <row r="588" spans="1:65" ht="14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</row>
    <row r="589" spans="1:65" ht="14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</row>
    <row r="590" spans="1:65" ht="14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</row>
    <row r="591" spans="1:65" ht="14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</row>
    <row r="592" spans="1:65" ht="14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</row>
    <row r="593" spans="1:65" ht="14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</row>
    <row r="594" spans="1:65" ht="14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</row>
    <row r="595" spans="1:65" ht="14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</row>
    <row r="596" spans="1:65" ht="14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</row>
    <row r="597" spans="1:65" ht="14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</row>
    <row r="598" spans="1:65" ht="14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</row>
    <row r="599" spans="1:65" ht="14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</row>
    <row r="600" spans="1:65" ht="14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</row>
    <row r="601" spans="1:65" ht="14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</row>
    <row r="602" spans="1:65" ht="14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</row>
    <row r="603" spans="1:65" ht="14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</row>
    <row r="604" spans="1:65" ht="14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</row>
    <row r="605" spans="1:65" ht="14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</row>
    <row r="606" spans="1:65" ht="14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</row>
    <row r="607" spans="1:65" ht="14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</row>
    <row r="608" spans="1:65" ht="14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</row>
    <row r="609" spans="1:65" ht="14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</row>
    <row r="610" spans="1:65" ht="14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</row>
    <row r="611" spans="1:65" ht="14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</row>
    <row r="612" spans="1:65" ht="14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</row>
    <row r="613" spans="1:65" ht="14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</row>
    <row r="614" spans="1:65" ht="14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</row>
    <row r="615" spans="1:65" ht="14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</row>
    <row r="616" spans="1:65" ht="14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</row>
    <row r="617" spans="1:65" ht="14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</row>
    <row r="618" spans="1:65" ht="14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</row>
    <row r="619" spans="1:65" ht="14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</row>
    <row r="620" spans="1:65" ht="14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</row>
    <row r="621" spans="1:65" ht="14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</row>
    <row r="622" spans="1:65" ht="14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</row>
    <row r="623" spans="1:65" ht="14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</row>
    <row r="624" spans="1:65" ht="14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</row>
    <row r="625" spans="1:65" ht="14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</row>
    <row r="626" spans="1:65" ht="14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</row>
    <row r="627" spans="1:65" ht="14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</row>
    <row r="628" spans="1:65" ht="14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</row>
    <row r="629" spans="1:65" ht="14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</row>
    <row r="630" spans="1:65" ht="14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</row>
    <row r="631" spans="1:65" ht="14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</row>
    <row r="632" spans="1:65" ht="14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</row>
    <row r="633" spans="1:65" ht="14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</row>
    <row r="634" spans="1:65" ht="14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</row>
    <row r="635" spans="1:65" ht="14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</row>
    <row r="636" spans="1:65" ht="14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</row>
    <row r="637" spans="1:65" ht="14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</row>
    <row r="638" spans="1:65" ht="14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</row>
    <row r="639" spans="1:65" ht="14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</row>
    <row r="640" spans="1:65" ht="14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</row>
    <row r="641" spans="1:65" ht="14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</row>
    <row r="642" spans="1:65" ht="14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</row>
    <row r="643" spans="1:65" ht="14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</row>
    <row r="644" spans="1:65" ht="14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</row>
    <row r="645" spans="1:65" ht="14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</row>
    <row r="646" spans="1:65" ht="14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</row>
    <row r="647" spans="1:65" ht="14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</row>
    <row r="648" spans="1:65" ht="14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</row>
    <row r="649" spans="1:65" ht="14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</row>
    <row r="650" spans="1:65" ht="14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</row>
    <row r="651" spans="1:65" ht="14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</row>
    <row r="652" spans="1:65" ht="14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</row>
    <row r="653" spans="1:65" ht="14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</row>
    <row r="654" spans="1:65" ht="14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</row>
    <row r="655" spans="1:65" ht="14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</row>
    <row r="656" spans="1:65" ht="14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</row>
    <row r="657" spans="1:65" ht="14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</row>
    <row r="658" spans="1:65" ht="14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</row>
    <row r="659" spans="1:65" ht="14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</row>
    <row r="660" spans="1:65" ht="14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</row>
    <row r="661" spans="1:65" ht="14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</row>
    <row r="662" spans="1:65" ht="14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</row>
    <row r="663" spans="1:65" ht="14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</row>
    <row r="664" spans="1:65" ht="14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</row>
    <row r="665" spans="1:65" ht="14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</row>
    <row r="666" spans="1:65" ht="14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</row>
    <row r="667" spans="1:65" ht="14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</row>
    <row r="668" spans="1:65" ht="14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</row>
    <row r="669" spans="1:65" ht="14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</row>
    <row r="670" spans="1:65" ht="14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</row>
    <row r="671" spans="1:65" ht="14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</row>
    <row r="672" spans="1:65" ht="14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</row>
    <row r="673" spans="1:65" ht="14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</row>
    <row r="674" spans="1:65" ht="14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</row>
    <row r="675" spans="1:65" ht="14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</row>
    <row r="676" spans="1:65" ht="14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</row>
    <row r="677" spans="1:65" ht="14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</row>
    <row r="678" spans="1:65" ht="14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</row>
    <row r="679" spans="1:65" ht="14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</row>
    <row r="680" spans="1:65" ht="14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</row>
    <row r="681" spans="1:65" ht="14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</row>
    <row r="682" spans="1:65" ht="14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</row>
    <row r="683" spans="1:65" ht="14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</row>
    <row r="684" spans="1:65" ht="14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</row>
    <row r="685" spans="1:65" ht="14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</row>
    <row r="686" spans="1:65" ht="14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</row>
    <row r="687" spans="1:65" ht="14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</row>
    <row r="688" spans="1:65" ht="14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</row>
    <row r="689" spans="1:65" ht="14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</row>
    <row r="690" spans="1:65" ht="14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</row>
    <row r="691" spans="1:65" ht="14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</row>
    <row r="692" spans="1:65" ht="14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</row>
    <row r="693" spans="1:65" ht="14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</row>
    <row r="694" spans="1:65" ht="14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</row>
    <row r="695" spans="1:65" ht="14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</row>
    <row r="696" spans="1:65" ht="14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</row>
    <row r="697" spans="1:65" ht="14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</row>
    <row r="698" spans="1:65" ht="14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</row>
    <row r="699" spans="1:65" ht="14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</row>
    <row r="700" spans="1:65" ht="14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</row>
    <row r="701" spans="1:65" ht="14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</row>
    <row r="702" spans="1:65" ht="14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</row>
    <row r="703" spans="1:65" ht="14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</row>
    <row r="704" spans="1:65" ht="14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</row>
    <row r="705" spans="1:65" ht="14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</row>
    <row r="706" spans="1:65" ht="14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</row>
    <row r="707" spans="1:65" ht="14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</row>
    <row r="708" spans="1:65" ht="14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</row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987"/>
  <sheetViews>
    <sheetView workbookViewId="0">
      <selection activeCell="C41" sqref="C41"/>
    </sheetView>
  </sheetViews>
  <sheetFormatPr defaultColWidth="12.5546875" defaultRowHeight="15" customHeight="1"/>
  <cols>
    <col min="1" max="2" width="8.5546875" customWidth="1"/>
    <col min="3" max="3" width="18.33203125" customWidth="1"/>
    <col min="4" max="6" width="16" customWidth="1"/>
    <col min="7" max="11" width="14.88671875" customWidth="1"/>
    <col min="12" max="12" width="13.88671875" customWidth="1"/>
    <col min="13" max="15" width="8.5546875" customWidth="1"/>
    <col min="16" max="16" width="11.109375" customWidth="1"/>
    <col min="17" max="20" width="8.5546875" customWidth="1"/>
    <col min="21" max="21" width="11.109375" customWidth="1"/>
    <col min="22" max="46" width="8.5546875" customWidth="1"/>
  </cols>
  <sheetData>
    <row r="1" spans="1:29" ht="14.4">
      <c r="A1" s="105" t="s">
        <v>9</v>
      </c>
      <c r="B1" s="106" t="s">
        <v>10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9" ht="14.4">
      <c r="A2" s="93">
        <v>1</v>
      </c>
      <c r="B2" s="94">
        <v>1</v>
      </c>
      <c r="C2" s="126">
        <f>Storage_modulus_G!C2/1000000</f>
        <v>2.1150000000000001E-6</v>
      </c>
      <c r="D2" s="126">
        <f>Storage_modulus_G!D2/1000000</f>
        <v>4.4720000000000006E-6</v>
      </c>
      <c r="E2" s="126">
        <f>Storage_modulus_G!E2/1000000</f>
        <v>9.4579999999999999E-6</v>
      </c>
      <c r="F2" s="126">
        <f>Storage_modulus_G!F2/1000000</f>
        <v>2.0353000000000003E-5</v>
      </c>
      <c r="G2" s="126">
        <f>Storage_modulus_G!G2/1000000</f>
        <v>4.4567000000000002E-5</v>
      </c>
      <c r="H2" s="126">
        <f>Storage_modulus_G!H2/1000000</f>
        <v>9.7590999999999994E-5</v>
      </c>
      <c r="I2" s="126">
        <f>Storage_modulus_G!I2/1000000</f>
        <v>2.1000899999999999E-4</v>
      </c>
      <c r="J2" s="126">
        <f>Storage_modulus_G!J2/1000000</f>
        <v>4.0708300000000003E-4</v>
      </c>
      <c r="K2" s="126">
        <f>Storage_modulus_G!K2/1000000</f>
        <v>8.0295200000000001E-4</v>
      </c>
      <c r="L2" s="126">
        <f>Storage_modulus_G!L2/1000000</f>
        <v>1.477204E-3</v>
      </c>
      <c r="M2" s="126">
        <f>Storage_modulus_G!M2/1000000</f>
        <v>2.6245929999999997E-3</v>
      </c>
      <c r="N2" s="126">
        <f>Storage_modulus_G!N2/1000000</f>
        <v>4.4257910000000001E-3</v>
      </c>
      <c r="O2" s="126">
        <f>Storage_modulus_G!O2/1000000</f>
        <v>6.9608549999999993E-3</v>
      </c>
      <c r="P2" s="126">
        <f>Storage_modulus_G!P2/1000000</f>
        <v>1.0211211999999999E-2</v>
      </c>
      <c r="Q2" s="126">
        <f>Storage_modulus_G!Q2/1000000</f>
        <v>1.4466488999999999E-2</v>
      </c>
      <c r="R2" s="126">
        <f>Storage_modulus_G!R2/1000000</f>
        <v>1.9451639999999999E-2</v>
      </c>
      <c r="S2" s="126">
        <f>Storage_modulus_G!S2/1000000</f>
        <v>2.4823113000000001E-2</v>
      </c>
      <c r="T2" s="126">
        <f>Storage_modulus_G!T2/1000000</f>
        <v>3.2234468000000002E-2</v>
      </c>
      <c r="U2" s="126">
        <f>Storage_modulus_G!U2/1000000</f>
        <v>4.1858633999999999E-2</v>
      </c>
      <c r="V2" s="127">
        <f>Storage_modulus_G!V2/1000000</f>
        <v>5.4356262000000002E-2</v>
      </c>
      <c r="W2" s="90"/>
    </row>
    <row r="3" spans="1:29" ht="14.4">
      <c r="A3" s="92">
        <v>1</v>
      </c>
      <c r="B3" s="97">
        <v>2</v>
      </c>
      <c r="C3" s="90">
        <f>Storage_modulus_G!C3/1000000</f>
        <v>1.3209999999999999E-6</v>
      </c>
      <c r="D3" s="90">
        <f>Storage_modulus_G!D3/1000000</f>
        <v>2.4740000000000004E-6</v>
      </c>
      <c r="E3" s="90">
        <f>Storage_modulus_G!E3/1000000</f>
        <v>4.8789999999999994E-6</v>
      </c>
      <c r="F3" s="90">
        <f>Storage_modulus_G!F3/1000000</f>
        <v>1.0140000000000001E-5</v>
      </c>
      <c r="G3" s="90">
        <f>Storage_modulus_G!G3/1000000</f>
        <v>2.1074000000000002E-5</v>
      </c>
      <c r="H3" s="90">
        <f>Storage_modulus_G!H3/1000000</f>
        <v>5.0345999999999995E-5</v>
      </c>
      <c r="I3" s="90">
        <f>Storage_modulus_G!I3/1000000</f>
        <v>1.04633E-4</v>
      </c>
      <c r="J3" s="90">
        <f>Storage_modulus_G!J3/1000000</f>
        <v>2.3724100000000001E-4</v>
      </c>
      <c r="K3" s="90">
        <f>Storage_modulus_G!K3/1000000</f>
        <v>4.8453400000000001E-4</v>
      </c>
      <c r="L3" s="90">
        <f>Storage_modulus_G!L3/1000000</f>
        <v>9.5572400000000003E-4</v>
      </c>
      <c r="M3" s="90">
        <f>Storage_modulus_G!M3/1000000</f>
        <v>1.789154E-3</v>
      </c>
      <c r="N3" s="90">
        <f>Storage_modulus_G!N3/1000000</f>
        <v>3.017006E-3</v>
      </c>
      <c r="O3" s="90">
        <f>Storage_modulus_G!O3/1000000</f>
        <v>5.360414E-3</v>
      </c>
      <c r="P3" s="90">
        <f>Storage_modulus_G!P3/1000000</f>
        <v>7.8634429999999995E-3</v>
      </c>
      <c r="Q3" s="90">
        <f>Storage_modulus_G!Q3/1000000</f>
        <v>1.1737933999999998E-2</v>
      </c>
      <c r="R3" s="90">
        <f>Storage_modulus_G!R3/1000000</f>
        <v>1.6921616E-2</v>
      </c>
      <c r="S3" s="90">
        <f>Storage_modulus_G!S3/1000000</f>
        <v>2.2752801999999999E-2</v>
      </c>
      <c r="T3" s="90">
        <f>Storage_modulus_G!T3/1000000</f>
        <v>2.9546050000000001E-2</v>
      </c>
      <c r="U3" s="90">
        <f>Storage_modulus_G!U3/1000000</f>
        <v>3.7705020999999998E-2</v>
      </c>
      <c r="V3" s="128">
        <f>Storage_modulus_G!V3/1000000</f>
        <v>5.3417716999999997E-2</v>
      </c>
      <c r="W3" s="90"/>
    </row>
    <row r="4" spans="1:29" ht="14.4">
      <c r="A4" s="92">
        <v>1</v>
      </c>
      <c r="B4" s="97">
        <v>3</v>
      </c>
      <c r="C4" s="90">
        <f>Storage_modulus_G!C4/1000000</f>
        <v>9.9999999999999995E-7</v>
      </c>
      <c r="D4" s="90">
        <f>Storage_modulus_G!D4/1000000</f>
        <v>3.6289999999999999E-6</v>
      </c>
      <c r="E4" s="90">
        <f>Storage_modulus_G!E4/1000000</f>
        <v>7.4109999999999999E-6</v>
      </c>
      <c r="F4" s="90">
        <f>Storage_modulus_G!F4/1000000</f>
        <v>1.4618E-5</v>
      </c>
      <c r="G4" s="90">
        <f>Storage_modulus_G!G4/1000000</f>
        <v>2.9856E-5</v>
      </c>
      <c r="H4" s="90">
        <f>Storage_modulus_G!H4/1000000</f>
        <v>7.0094999999999999E-5</v>
      </c>
      <c r="I4" s="90">
        <f>Storage_modulus_G!I4/1000000</f>
        <v>1.4567599999999999E-4</v>
      </c>
      <c r="J4" s="90">
        <f>Storage_modulus_G!J4/1000000</f>
        <v>3.1348599999999997E-4</v>
      </c>
      <c r="K4" s="90">
        <f>Storage_modulus_G!K4/1000000</f>
        <v>6.6295199999999996E-4</v>
      </c>
      <c r="L4" s="90">
        <f>Storage_modulus_G!L4/1000000</f>
        <v>1.262879E-3</v>
      </c>
      <c r="M4" s="90">
        <f>Storage_modulus_G!M4/1000000</f>
        <v>2.3641579999999999E-3</v>
      </c>
      <c r="N4" s="90">
        <f>Storage_modulus_G!N4/1000000</f>
        <v>4.1279409999999996E-3</v>
      </c>
      <c r="O4" s="90">
        <f>Storage_modulus_G!O4/1000000</f>
        <v>6.8406650000000001E-3</v>
      </c>
      <c r="P4" s="90">
        <f>Storage_modulus_G!P4/1000000</f>
        <v>1.0758955000000001E-2</v>
      </c>
      <c r="Q4" s="90">
        <f>Storage_modulus_G!Q4/1000000</f>
        <v>1.4979306000000001E-2</v>
      </c>
      <c r="R4" s="90">
        <f>Storage_modulus_G!R4/1000000</f>
        <v>2.2359925999999999E-2</v>
      </c>
      <c r="S4" s="90">
        <f>Storage_modulus_G!S4/1000000</f>
        <v>2.1973860000000001E-2</v>
      </c>
      <c r="T4" s="90">
        <f>Storage_modulus_G!T4/1000000</f>
        <v>2.9546050000000001E-2</v>
      </c>
      <c r="U4" s="90">
        <f>Storage_modulus_G!U4/1000000</f>
        <v>3.9041632999999999E-2</v>
      </c>
      <c r="V4" s="128">
        <f>Storage_modulus_G!V4/1000000</f>
        <v>5.6283147999999998E-2</v>
      </c>
      <c r="W4" s="90"/>
    </row>
    <row r="5" spans="1:29" ht="14.4">
      <c r="A5" s="103">
        <v>1</v>
      </c>
      <c r="B5" s="104">
        <v>4</v>
      </c>
      <c r="C5" s="129">
        <f>Storage_modulus_G!C5/1000000</f>
        <v>7.1078700000000005E-4</v>
      </c>
      <c r="D5" s="129">
        <f>Storage_modulus_G!D5/1000000</f>
        <v>1.1375630000000001E-3</v>
      </c>
      <c r="E5" s="129">
        <f>Storage_modulus_G!E5/1000000</f>
        <v>1.401998E-3</v>
      </c>
      <c r="F5" s="129">
        <f>Storage_modulus_G!F5/1000000</f>
        <v>1.75826E-3</v>
      </c>
      <c r="G5" s="129">
        <f>Storage_modulus_G!G5/1000000</f>
        <v>2.0927929999999999E-3</v>
      </c>
      <c r="H5" s="129">
        <f>Storage_modulus_G!H5/1000000</f>
        <v>2.447964E-3</v>
      </c>
      <c r="I5" s="129">
        <f>Storage_modulus_G!I5/1000000</f>
        <v>3.1788440000000001E-3</v>
      </c>
      <c r="J5" s="129">
        <f>Storage_modulus_G!J5/1000000</f>
        <v>4.0566689999999997E-3</v>
      </c>
      <c r="K5" s="129">
        <f>Storage_modulus_G!K5/1000000</f>
        <v>5.4545959999999999E-3</v>
      </c>
      <c r="L5" s="129">
        <f>Storage_modulus_G!L5/1000000</f>
        <v>6.7225499999999999E-3</v>
      </c>
      <c r="M5" s="129">
        <f>Storage_modulus_G!M5/1000000</f>
        <v>9.6913490000000001E-3</v>
      </c>
      <c r="N5" s="129">
        <f>Storage_modulus_G!N5/1000000</f>
        <v>1.1944168999999999E-2</v>
      </c>
      <c r="O5" s="129">
        <f>Storage_modulus_G!O5/1000000</f>
        <v>1.6342294E-2</v>
      </c>
      <c r="P5" s="129">
        <f>Storage_modulus_G!P5/1000000</f>
        <v>2.0855149E-2</v>
      </c>
      <c r="Q5" s="129">
        <f>Storage_modulus_G!Q5/1000000</f>
        <v>2.6154658000000001E-2</v>
      </c>
      <c r="R5" s="129">
        <f>Storage_modulus_G!R5/1000000</f>
        <v>3.1130939999999999E-2</v>
      </c>
      <c r="S5" s="129">
        <f>Storage_modulus_G!S5/1000000</f>
        <v>4.1135904000000001E-2</v>
      </c>
      <c r="T5" s="129">
        <f>Storage_modulus_G!T5/1000000</f>
        <v>5.1588929999999998E-2</v>
      </c>
      <c r="U5" s="90">
        <f>Storage_modulus_G!U5/1000000</f>
        <v>5.8278305999999995E-2</v>
      </c>
      <c r="V5" s="130">
        <f>Storage_modulus_G!V5/1000000</f>
        <v>7.182545600000001E-2</v>
      </c>
      <c r="W5" s="90"/>
    </row>
    <row r="6" spans="1:29" ht="14.4">
      <c r="A6" s="93">
        <v>2</v>
      </c>
      <c r="B6" s="94">
        <v>1</v>
      </c>
      <c r="C6" s="90">
        <f>Storage_modulus_G!C6/1000000</f>
        <v>1.46255E-4</v>
      </c>
      <c r="D6" s="90">
        <f>Storage_modulus_G!D6/1000000</f>
        <v>2.1186799999999998E-4</v>
      </c>
      <c r="E6" s="90">
        <f>Storage_modulus_G!E6/1000000</f>
        <v>2.85672E-4</v>
      </c>
      <c r="F6" s="90">
        <f>Storage_modulus_G!F6/1000000</f>
        <v>4.1383100000000003E-4</v>
      </c>
      <c r="G6" s="90">
        <f>Storage_modulus_G!G6/1000000</f>
        <v>5.9236E-4</v>
      </c>
      <c r="H6" s="90">
        <f>Storage_modulus_G!H6/1000000</f>
        <v>8.6842700000000007E-4</v>
      </c>
      <c r="I6" s="90">
        <f>Storage_modulus_G!I6/1000000</f>
        <v>1.1992789999999999E-3</v>
      </c>
      <c r="J6" s="90">
        <f>Storage_modulus_G!J6/1000000</f>
        <v>1.7581980000000001E-3</v>
      </c>
      <c r="K6" s="90">
        <f>Storage_modulus_G!K6/1000000</f>
        <v>2.3991770000000002E-3</v>
      </c>
      <c r="L6" s="90">
        <f>Storage_modulus_G!L6/1000000</f>
        <v>3.6457440000000002E-3</v>
      </c>
      <c r="M6" s="90">
        <f>Storage_modulus_G!M6/1000000</f>
        <v>4.9157380000000002E-3</v>
      </c>
      <c r="N6" s="90">
        <f>Storage_modulus_G!N6/1000000</f>
        <v>6.7885280000000003E-3</v>
      </c>
      <c r="O6" s="90">
        <f>Storage_modulus_G!O6/1000000</f>
        <v>9.2634040000000011E-3</v>
      </c>
      <c r="P6" s="90">
        <f>Storage_modulus_G!P6/1000000</f>
        <v>1.2490308E-2</v>
      </c>
      <c r="Q6" s="90">
        <f>Storage_modulus_G!Q6/1000000</f>
        <v>1.6641168000000001E-2</v>
      </c>
      <c r="R6" s="90">
        <f>Storage_modulus_G!R6/1000000</f>
        <v>2.0884976999999999E-2</v>
      </c>
      <c r="S6" s="90">
        <f>Storage_modulus_G!S6/1000000</f>
        <v>2.5899532999999999E-2</v>
      </c>
      <c r="T6" s="90">
        <f>Storage_modulus_G!T6/1000000</f>
        <v>3.2504385999999996E-2</v>
      </c>
      <c r="U6" s="153"/>
      <c r="V6" s="90"/>
      <c r="W6" s="90"/>
    </row>
    <row r="7" spans="1:29" s="177" customFormat="1" ht="14.4">
      <c r="A7" s="170">
        <v>3</v>
      </c>
      <c r="B7" s="94" t="s">
        <v>154</v>
      </c>
      <c r="C7" s="174">
        <f>Storage_modulus_G!C7/1000000</f>
        <v>1909.8532585662465</v>
      </c>
      <c r="D7" s="174">
        <f>Storage_modulus_G!D7/1000000</f>
        <v>1782.3787674480916</v>
      </c>
      <c r="E7" s="174">
        <f>Storage_modulus_G!E7/1000000</f>
        <v>1737.8008287493824</v>
      </c>
      <c r="F7" s="174">
        <f>Storage_modulus_G!F7/1000000</f>
        <v>1621.8100973589371</v>
      </c>
      <c r="G7" s="174">
        <f>Storage_modulus_G!G7/1000000</f>
        <v>1513.56124843621</v>
      </c>
      <c r="H7" s="174">
        <f>Storage_modulus_G!H7/1000000</f>
        <v>1432.1878992735465</v>
      </c>
      <c r="I7" s="174">
        <f>Storage_modulus_G!I7/1000000</f>
        <v>1374.0419750125152</v>
      </c>
      <c r="J7" s="174">
        <f>Storage_modulus_G!J7/1000000</f>
        <v>1282.3305826560265</v>
      </c>
      <c r="K7" s="174">
        <f>Storage_modulus_G!K7/1000000</f>
        <v>1056.8175092136566</v>
      </c>
      <c r="L7" s="174">
        <f>Storage_modulus_G!L7/1000000</f>
        <v>509.33087105719721</v>
      </c>
      <c r="M7" s="174">
        <f>Storage_modulus_G!M7/1000000</f>
        <v>16.904409316432652</v>
      </c>
      <c r="N7" s="174">
        <f>Storage_modulus_G!N7/1000000</f>
        <v>1.492794409579</v>
      </c>
      <c r="O7" s="174">
        <f>Storage_modulus_G!O7/1000000</f>
        <v>0.74816950051115427</v>
      </c>
      <c r="P7" s="174">
        <f>Storage_modulus_G!P7/1000000</f>
        <v>0.4819477976251279</v>
      </c>
      <c r="Q7" s="174">
        <f>Storage_modulus_G!Q7/1000000</f>
        <v>0.38106582339377398</v>
      </c>
      <c r="R7" s="174">
        <f>Storage_modulus_G!R7/1000000</f>
        <v>0.30974192992165794</v>
      </c>
      <c r="S7" s="174"/>
      <c r="T7" s="174"/>
      <c r="U7" s="174"/>
      <c r="V7" s="174"/>
      <c r="W7" s="175"/>
      <c r="X7" s="176"/>
    </row>
    <row r="8" spans="1:29" s="177" customFormat="1" ht="14.4">
      <c r="A8" s="172">
        <v>3</v>
      </c>
      <c r="B8" s="97" t="s">
        <v>155</v>
      </c>
      <c r="C8" s="150">
        <f>Storage_modulus_G!C8/1000000</f>
        <v>1963.360276836044</v>
      </c>
      <c r="D8" s="150">
        <f>Storage_modulus_G!D8/1000000</f>
        <v>1990.6733389871852</v>
      </c>
      <c r="E8" s="150">
        <f>Storage_modulus_G!E8/1000000</f>
        <v>1857.8044550917041</v>
      </c>
      <c r="F8" s="150">
        <f>Storage_modulus_G!F8/1000000</f>
        <v>1621.8100973589371</v>
      </c>
      <c r="G8" s="150">
        <f>Storage_modulus_G!G8/1000000</f>
        <v>1667.2472125510665</v>
      </c>
      <c r="H8" s="150">
        <f>Storage_modulus_G!H8/1000000</f>
        <v>1644.371723214934</v>
      </c>
      <c r="I8" s="150">
        <f>Storage_modulus_G!I8/1000000</f>
        <v>1621.8100973589371</v>
      </c>
      <c r="J8" s="150">
        <f>Storage_modulus_G!J8/1000000</f>
        <v>1577.6112696993534</v>
      </c>
      <c r="K8" s="150">
        <f>Storage_modulus_G!K8/1000000</f>
        <v>1213.388850464979</v>
      </c>
      <c r="L8" s="150">
        <f>Storage_modulus_G!L8/1000000</f>
        <v>553.35010921573894</v>
      </c>
      <c r="M8" s="150">
        <f>Storage_modulus_G!M8/1000000</f>
        <v>74.816950051115597</v>
      </c>
      <c r="N8" s="150">
        <f>Storage_modulus_G!N8/1000000</f>
        <v>31.841975217261297</v>
      </c>
      <c r="O8" s="150">
        <f>Storage_modulus_G!O8/1000000</f>
        <v>18.32314422371212</v>
      </c>
      <c r="P8" s="150">
        <f>Storage_modulus_G!P8/1000000</f>
        <v>11.803206356517313</v>
      </c>
      <c r="Q8" s="150">
        <f>Storage_modulus_G!Q8/1000000</f>
        <v>8.472274141405979</v>
      </c>
      <c r="R8" s="150">
        <f>Storage_modulus_G!R8/1000000</f>
        <v>5.9979107625551018</v>
      </c>
      <c r="S8" s="150">
        <f>Storage_modulus_G!S8/1000000</f>
        <v>4.1975898399100871</v>
      </c>
      <c r="T8" s="150">
        <f>Storage_modulus_G!T8/1000000</f>
        <v>3.0130060241861254</v>
      </c>
      <c r="U8" s="150">
        <f>Storage_modulus_G!U8/1000000</f>
        <v>2.5176769277588598</v>
      </c>
      <c r="V8" s="150">
        <f>Storage_modulus_G!V8/1000000</f>
        <v>2.1330449131465787</v>
      </c>
      <c r="W8" s="178">
        <f>Storage_modulus_G!W8/1000000</f>
        <v>1.6218100973589318</v>
      </c>
      <c r="X8" s="176"/>
    </row>
    <row r="9" spans="1:29" s="177" customFormat="1" ht="14.4">
      <c r="A9" s="172">
        <v>3</v>
      </c>
      <c r="B9" s="97" t="s">
        <v>156</v>
      </c>
      <c r="C9" s="150">
        <f>Storage_modulus_G!C9/1000000</f>
        <v>2285.5988033754352</v>
      </c>
      <c r="D9" s="150">
        <f>Storage_modulus_G!D9/1000000</f>
        <v>2254.2392121524331</v>
      </c>
      <c r="E9" s="150">
        <f>Storage_modulus_G!E9/1000000</f>
        <v>2162.7185237270269</v>
      </c>
      <c r="F9" s="150">
        <f>Storage_modulus_G!F9/1000000</f>
        <v>2103.7784397664791</v>
      </c>
      <c r="G9" s="150">
        <f>Storage_modulus_G!G9/1000000</f>
        <v>1990.6733389871852</v>
      </c>
      <c r="H9" s="150">
        <f>Storage_modulus_G!H9/1000000</f>
        <v>1990.6733389871852</v>
      </c>
      <c r="I9" s="150">
        <f>Storage_modulus_G!I9/1000000</f>
        <v>1936.4219639466169</v>
      </c>
      <c r="J9" s="150">
        <f>Storage_modulus_G!J9/1000000</f>
        <v>1883.6490894898077</v>
      </c>
      <c r="K9" s="150">
        <f>Storage_modulus_G!K9/1000000</f>
        <v>1690.4409316432689</v>
      </c>
      <c r="L9" s="150">
        <f>Storage_modulus_G!L9/1000000</f>
        <v>1132.4003632355591</v>
      </c>
      <c r="M9" s="150">
        <f>Storage_modulus_G!M9/1000000</f>
        <v>468.81338214526505</v>
      </c>
      <c r="N9" s="150">
        <f>Storage_modulus_G!N9/1000000</f>
        <v>293.08932452503274</v>
      </c>
      <c r="O9" s="150">
        <f>Storage_modulus_G!O9/1000000</f>
        <v>273.52687263067094</v>
      </c>
      <c r="P9" s="150">
        <f>Storage_modulus_G!P9/1000000</f>
        <v>241.54608344449409</v>
      </c>
      <c r="Q9" s="150">
        <f>Storage_modulus_G!Q9/1000000</f>
        <v>231.73946499684828</v>
      </c>
      <c r="R9" s="150">
        <f>Storage_modulus_G!R9/1000000</f>
        <v>219.28049353504471</v>
      </c>
      <c r="S9" s="150">
        <f>Storage_modulus_G!S9/1000000</f>
        <v>222.33098906514027</v>
      </c>
      <c r="T9" s="150">
        <f>Storage_modulus_G!T9/1000000</f>
        <v>219.28049353504471</v>
      </c>
      <c r="U9" s="150">
        <f>Storage_modulus_G!U9/1000000</f>
        <v>207.49135174549176</v>
      </c>
      <c r="V9" s="150">
        <f>Storage_modulus_G!V9/1000000</f>
        <v>193.64219639466148</v>
      </c>
      <c r="W9" s="178">
        <f>Storage_modulus_G!W9/1000000</f>
        <v>176.19760464116357</v>
      </c>
      <c r="X9" s="176"/>
    </row>
    <row r="10" spans="1:29" s="177" customFormat="1" ht="14.4">
      <c r="A10" s="172">
        <v>3</v>
      </c>
      <c r="B10" s="97" t="s">
        <v>157</v>
      </c>
      <c r="C10" s="150">
        <f>Storage_modulus_G!C10/1000000</f>
        <v>3318.9445755261113</v>
      </c>
      <c r="D10" s="150">
        <f>Storage_modulus_G!D10/1000000</f>
        <v>3228.4941217126493</v>
      </c>
      <c r="E10" s="150">
        <f>Storage_modulus_G!E10/1000000</f>
        <v>3054.9211132155183</v>
      </c>
      <c r="F10" s="150">
        <f>Storage_modulus_G!F10/1000000</f>
        <v>3097.4192992165877</v>
      </c>
      <c r="G10" s="150">
        <f>Storage_modulus_G!G10/1000000</f>
        <v>3013.0060241861247</v>
      </c>
      <c r="H10" s="150">
        <f>Storage_modulus_G!H10/1000000</f>
        <v>2930.8932452503304</v>
      </c>
      <c r="I10" s="150">
        <f>Storage_modulus_G!I10/1000000</f>
        <v>2851.0182675039155</v>
      </c>
      <c r="J10" s="150">
        <f>Storage_modulus_G!J10/1000000</f>
        <v>2660.7250597988159</v>
      </c>
      <c r="K10" s="150">
        <f>Storage_modulus_G!K10/1000000</f>
        <v>2517.6769277588637</v>
      </c>
      <c r="L10" s="150">
        <f>Storage_modulus_G!L10/1000000</f>
        <v>1555.9656316050782</v>
      </c>
      <c r="M10" s="150">
        <f>Storage_modulus_G!M10/1000000</f>
        <v>727.77980453682551</v>
      </c>
      <c r="N10" s="150">
        <f>Storage_modulus_G!N10/1000000</f>
        <v>599.79107625551148</v>
      </c>
      <c r="O10" s="150">
        <f>Storage_modulus_G!O10/1000000</f>
        <v>538.26978251628975</v>
      </c>
      <c r="P10" s="150">
        <f>Storage_modulus_G!P10/1000000</f>
        <v>523.60043658575091</v>
      </c>
      <c r="Q10" s="150">
        <f>Storage_modulus_G!Q10/1000000</f>
        <v>488.65235934283436</v>
      </c>
      <c r="R10" s="150">
        <f>Storage_modulus_G!R10/1000000</f>
        <v>481.94779762512775</v>
      </c>
      <c r="S10" s="150">
        <f>Storage_modulus_G!S10/1000000</f>
        <v>475.33522594280544</v>
      </c>
      <c r="T10" s="150">
        <f>Storage_modulus_G!T10/1000000</f>
        <v>462.38102139925979</v>
      </c>
      <c r="U10" s="150">
        <f>Storage_modulus_G!U10/1000000</f>
        <v>456.03691595129698</v>
      </c>
      <c r="V10" s="150">
        <f>Storage_modulus_G!V10/1000000</f>
        <v>437.52210515825357</v>
      </c>
      <c r="W10" s="178">
        <f>Storage_modulus_G!W10/1000000</f>
        <v>413.99967481973226</v>
      </c>
      <c r="X10" s="150"/>
      <c r="Y10" s="36"/>
    </row>
    <row r="11" spans="1:29" s="177" customFormat="1" ht="14.4">
      <c r="A11" s="172">
        <v>3</v>
      </c>
      <c r="B11" s="97" t="s">
        <v>158</v>
      </c>
      <c r="C11" s="150">
        <f>Storage_modulus_G!C11/1000000</f>
        <v>1435.4894333536599</v>
      </c>
      <c r="D11" s="150">
        <f>Storage_modulus_G!D11/1000000</f>
        <v>1402.8137045619621</v>
      </c>
      <c r="E11" s="150">
        <f>Storage_modulus_G!E11/1000000</f>
        <v>1358.3134465871544</v>
      </c>
      <c r="F11" s="150">
        <f>Storage_modulus_G!F11/1000000</f>
        <v>1339.676687425939</v>
      </c>
      <c r="G11" s="150">
        <f>Storage_modulus_G!G11/1000000</f>
        <v>1288.2495516931363</v>
      </c>
      <c r="H11" s="150">
        <f>Storage_modulus_G!H11/1000000</f>
        <v>1250.2590302177198</v>
      </c>
      <c r="I11" s="150">
        <f>Storage_modulus_G!I11/1000000</f>
        <v>1202.2644346174154</v>
      </c>
      <c r="J11" s="150">
        <f>Storage_modulus_G!J11/1000000</f>
        <v>1114.2945335917341</v>
      </c>
      <c r="K11" s="150">
        <f>Storage_modulus_G!K11/1000000</f>
        <v>1023.2929922807569</v>
      </c>
      <c r="L11" s="150">
        <f>Storage_modulus_G!L11/1000000</f>
        <v>707.94578438413851</v>
      </c>
      <c r="M11" s="150">
        <f>Storage_modulus_G!M11/1000000</f>
        <v>186.2087136662866</v>
      </c>
      <c r="N11" s="150">
        <f>Storage_modulus_G!N11/1000000</f>
        <v>109.64781961431865</v>
      </c>
      <c r="O11" s="150">
        <f>Storage_modulus_G!O11/1000000</f>
        <v>85.703784523037044</v>
      </c>
      <c r="P11" s="150">
        <f>Storage_modulus_G!P11/1000000</f>
        <v>75.335556373371801</v>
      </c>
      <c r="Q11" s="150">
        <f>Storage_modulus_G!Q11/1000000</f>
        <v>68.706844001423306</v>
      </c>
      <c r="R11" s="150">
        <f>Storage_modulus_G!R11/1000000</f>
        <v>62.661386467233633</v>
      </c>
      <c r="S11" s="150">
        <f>Storage_modulus_G!S11/1000000</f>
        <v>55.335010921573826</v>
      </c>
      <c r="T11" s="150">
        <f>Storage_modulus_G!T11/1000000</f>
        <v>43.351087838752868</v>
      </c>
      <c r="U11" s="150"/>
      <c r="V11" s="150"/>
      <c r="W11" s="178"/>
      <c r="X11" s="150"/>
      <c r="Y11" s="36"/>
      <c r="Z11" s="36"/>
    </row>
    <row r="12" spans="1:29" s="177" customFormat="1" ht="14.4">
      <c r="A12" s="172">
        <v>3</v>
      </c>
      <c r="B12" s="97" t="s">
        <v>159</v>
      </c>
      <c r="C12" s="150">
        <f>Storage_modulus_G!C12/1000000</f>
        <v>1621.8100973589371</v>
      </c>
      <c r="D12" s="150">
        <f>Storage_modulus_G!D12/1000000</f>
        <v>1595.8791472367318</v>
      </c>
      <c r="E12" s="150">
        <f>Storage_modulus_G!E12/1000000</f>
        <v>1548.8166189124829</v>
      </c>
      <c r="F12" s="150">
        <f>Storage_modulus_G!F12/1000000</f>
        <v>1479.1083881682093</v>
      </c>
      <c r="G12" s="150">
        <f>Storage_modulus_G!G12/1000000</f>
        <v>1422.3287871228247</v>
      </c>
      <c r="H12" s="150">
        <f>Storage_modulus_G!H12/1000000</f>
        <v>1380.384264602892</v>
      </c>
      <c r="I12" s="150">
        <f>Storage_modulus_G!I12/1000000</f>
        <v>1318.2567385564093</v>
      </c>
      <c r="J12" s="150">
        <f>Storage_modulus_G!J12/1000000</f>
        <v>1221.7996601648717</v>
      </c>
      <c r="K12" s="150">
        <f>Storage_modulus_G!K12/1000000</f>
        <v>1064.1430182243164</v>
      </c>
      <c r="L12" s="150">
        <f>Storage_modulus_G!L12/1000000</f>
        <v>812.83051616410216</v>
      </c>
      <c r="M12" s="150">
        <f>Storage_modulus_G!M12/1000000</f>
        <v>263.02679918953856</v>
      </c>
      <c r="N12" s="150">
        <f>Storage_modulus_G!N12/1000000</f>
        <v>174.98466886246598</v>
      </c>
      <c r="O12" s="150">
        <f>Storage_modulus_G!O12/1000000</f>
        <v>144.5439770745933</v>
      </c>
      <c r="P12" s="150">
        <f>Storage_modulus_G!P12/1000000</f>
        <v>131.82567385564079</v>
      </c>
      <c r="Q12" s="150">
        <f>Storage_modulus_G!Q12/1000000</f>
        <v>121.05981335504862</v>
      </c>
      <c r="R12" s="150">
        <f>Storage_modulus_G!R12/1000000</f>
        <v>116.68096170609654</v>
      </c>
      <c r="S12" s="150">
        <f>Storage_modulus_G!S12/1000000</f>
        <v>105.4386896391259</v>
      </c>
      <c r="T12" s="150">
        <f>Storage_modulus_G!T12/1000000</f>
        <v>89.742879450074909</v>
      </c>
      <c r="U12" s="150"/>
      <c r="V12" s="150"/>
      <c r="W12" s="178"/>
      <c r="X12" s="150"/>
      <c r="Y12" s="36"/>
      <c r="Z12" s="36"/>
    </row>
    <row r="13" spans="1:29" s="177" customFormat="1" ht="14.4">
      <c r="A13" s="172">
        <v>3</v>
      </c>
      <c r="B13" s="97" t="s">
        <v>160</v>
      </c>
      <c r="C13" s="150">
        <f>Storage_modulus_G!C13/1000000</f>
        <v>2471.7241450161418</v>
      </c>
      <c r="D13" s="150">
        <f>Storage_modulus_G!D13/1000000</f>
        <v>2398.8329190194968</v>
      </c>
      <c r="E13" s="150">
        <f>Storage_modulus_G!E13/1000000</f>
        <v>2344.2288153199206</v>
      </c>
      <c r="F13" s="150">
        <f>Storage_modulus_G!F13/1000000</f>
        <v>2290.8676527677717</v>
      </c>
      <c r="G13" s="150">
        <f>Storage_modulus_G!G13/1000000</f>
        <v>2254.2392121524331</v>
      </c>
      <c r="H13" s="150">
        <f>Storage_modulus_G!H13/1000000</f>
        <v>2187.7616239495592</v>
      </c>
      <c r="I13" s="150">
        <f>Storage_modulus_G!I13/1000000</f>
        <v>2123.244462000222</v>
      </c>
      <c r="J13" s="150">
        <f>Storage_modulus_G!J13/1000000</f>
        <v>1995.2623149688866</v>
      </c>
      <c r="K13" s="150">
        <f>Storage_modulus_G!K13/1000000</f>
        <v>1790.6058540352988</v>
      </c>
      <c r="L13" s="150">
        <f>Storage_modulus_G!L13/1000000</f>
        <v>1174.897554939532</v>
      </c>
      <c r="M13" s="150">
        <f>Storage_modulus_G!M13/1000000</f>
        <v>449.77985489328847</v>
      </c>
      <c r="N13" s="150">
        <f>Storage_modulus_G!N13/1000000</f>
        <v>306.90219883911641</v>
      </c>
      <c r="O13" s="150">
        <f>Storage_modulus_G!O13/1000000</f>
        <v>258.82129151531007</v>
      </c>
      <c r="P13" s="150">
        <f>Storage_modulus_G!P13/1000000</f>
        <v>232.80912576650155</v>
      </c>
      <c r="Q13" s="150">
        <f>Storage_modulus_G!Q13/1000000</f>
        <v>213.79620895022364</v>
      </c>
      <c r="R13" s="150">
        <f>Storage_modulus_G!R13/1000000</f>
        <v>200.90928126087371</v>
      </c>
      <c r="S13" s="150">
        <f>Storage_modulus_G!S13/1000000</f>
        <v>186.2087136662866</v>
      </c>
      <c r="T13" s="150">
        <f>Storage_modulus_G!T13/1000000</f>
        <v>148.93610777109186</v>
      </c>
      <c r="U13" s="150"/>
      <c r="V13" s="150"/>
      <c r="W13" s="178"/>
      <c r="X13" s="150"/>
      <c r="Y13" s="36"/>
      <c r="Z13" s="36"/>
    </row>
    <row r="14" spans="1:29" s="177" customFormat="1" ht="14.4">
      <c r="A14" s="173">
        <v>3</v>
      </c>
      <c r="B14" s="97" t="s">
        <v>161</v>
      </c>
      <c r="C14" s="179">
        <f>Storage_modulus_G!C14/1000000</f>
        <v>2999.1625189876609</v>
      </c>
      <c r="D14" s="179">
        <f>Storage_modulus_G!D14/1000000</f>
        <v>2773.3201046518425</v>
      </c>
      <c r="E14" s="179">
        <f>Storage_modulus_G!E14/1000000</f>
        <v>2798.9813196343625</v>
      </c>
      <c r="F14" s="179">
        <f>Storage_modulus_G!F14/1000000</f>
        <v>2818.3829312644598</v>
      </c>
      <c r="G14" s="179">
        <f>Storage_modulus_G!G14/1000000</f>
        <v>2648.5001386067033</v>
      </c>
      <c r="H14" s="179">
        <f>Storage_modulus_G!H14/1000000</f>
        <v>2630.2679918953881</v>
      </c>
      <c r="I14" s="179">
        <f>Storage_modulus_G!I14/1000000</f>
        <v>2529.2979964461565</v>
      </c>
      <c r="J14" s="179">
        <f>Storage_modulus_G!J14/1000000</f>
        <v>2415.4608344449434</v>
      </c>
      <c r="K14" s="179">
        <f>Storage_modulus_G!K14/1000000</f>
        <v>2202.9264630534603</v>
      </c>
      <c r="L14" s="179">
        <f>Storage_modulus_G!L14/1000000</f>
        <v>1513.56124843621</v>
      </c>
      <c r="M14" s="179">
        <f>Storage_modulus_G!M14/1000000</f>
        <v>818.46478813479177</v>
      </c>
      <c r="N14" s="179">
        <f>Storage_modulus_G!N14/1000000</f>
        <v>635.33093185174573</v>
      </c>
      <c r="O14" s="179">
        <f>Storage_modulus_G!O14/1000000</f>
        <v>575.43993733715786</v>
      </c>
      <c r="P14" s="179">
        <f>Storage_modulus_G!P14/1000000</f>
        <v>533.3348954876227</v>
      </c>
      <c r="Q14" s="179">
        <f>Storage_modulus_G!Q14/1000000</f>
        <v>493.17380395493626</v>
      </c>
      <c r="R14" s="179">
        <f>Storage_modulus_G!R14/1000000</f>
        <v>460.25657358135652</v>
      </c>
      <c r="S14" s="179">
        <f>Storage_modulus_G!S14/1000000</f>
        <v>419.75898399100817</v>
      </c>
      <c r="T14" s="179">
        <f>Storage_modulus_G!T14/1000000</f>
        <v>371.53522909717378</v>
      </c>
      <c r="U14" s="179"/>
      <c r="V14" s="179"/>
      <c r="W14" s="180"/>
      <c r="X14" s="150"/>
      <c r="Y14" s="36"/>
      <c r="Z14" s="36"/>
    </row>
    <row r="15" spans="1:29" ht="14.4">
      <c r="A15" s="93">
        <v>4</v>
      </c>
      <c r="B15" s="94">
        <v>1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4"/>
      <c r="Y15" s="4"/>
    </row>
    <row r="16" spans="1:29" ht="14.4">
      <c r="A16" s="93">
        <v>5</v>
      </c>
      <c r="B16" s="94">
        <v>1</v>
      </c>
      <c r="C16" s="198">
        <f>Storage_modulus_G!C16/1000000</f>
        <v>1.4744399999999999E-4</v>
      </c>
      <c r="D16" s="198">
        <f>Storage_modulus_G!D16/1000000</f>
        <v>2.8762299999999998E-4</v>
      </c>
      <c r="E16" s="198">
        <f>Storage_modulus_G!E16/1000000</f>
        <v>6.3668100000000005E-4</v>
      </c>
      <c r="F16" s="198">
        <f>Storage_modulus_G!F16/1000000</f>
        <v>1.1554339999999999E-3</v>
      </c>
      <c r="G16" s="198">
        <f>Storage_modulus_G!G16/1000000</f>
        <v>2.115876E-3</v>
      </c>
      <c r="H16" s="198">
        <f>Storage_modulus_G!H16/1000000</f>
        <v>4.0171820000000002E-3</v>
      </c>
      <c r="I16" s="198">
        <f>Storage_modulus_G!I16/1000000</f>
        <v>6.252858E-3</v>
      </c>
      <c r="J16" s="198">
        <f>Storage_modulus_G!J16/1000000</f>
        <v>7.9792290000000009E-3</v>
      </c>
      <c r="K16" s="198">
        <f>Storage_modulus_G!K16/1000000</f>
        <v>1.3593562E-2</v>
      </c>
      <c r="L16" s="198">
        <f>Storage_modulus_G!L16/1000000</f>
        <v>2.0042907999999998E-2</v>
      </c>
      <c r="M16" s="198">
        <f>Storage_modulus_G!M16/1000000</f>
        <v>2.6517300000000001E-2</v>
      </c>
      <c r="N16" s="198">
        <f>Storage_modulus_G!N16/1000000</f>
        <v>3.3534376999999997E-2</v>
      </c>
      <c r="O16" s="198">
        <f>Storage_modulus_G!O16/1000000</f>
        <v>4.2408317000000001E-2</v>
      </c>
      <c r="P16" s="198">
        <f>Storage_modulus_G!P16/1000000</f>
        <v>6.8437509000000007E-2</v>
      </c>
      <c r="Q16" s="198">
        <f>Storage_modulus_G!Q16/1000000</f>
        <v>8.3477322000000007E-2</v>
      </c>
      <c r="R16" s="198">
        <f>Storage_modulus_G!R16/1000000</f>
        <v>0.10274596599999999</v>
      </c>
      <c r="S16" s="198">
        <f>Storage_modulus_G!S16/1000000</f>
        <v>0.125325398</v>
      </c>
      <c r="T16" s="198">
        <f>Storage_modulus_G!T16/1000000</f>
        <v>0.142213639</v>
      </c>
      <c r="U16" s="198">
        <f>Storage_modulus_G!U16/1000000</f>
        <v>0.17662769699999997</v>
      </c>
      <c r="V16" s="199">
        <f>Storage_modulus_G!V16/1000000</f>
        <v>0.21936962700000001</v>
      </c>
      <c r="W16" s="91"/>
      <c r="X16" s="91"/>
      <c r="Y16" s="90"/>
      <c r="Z16" s="90"/>
      <c r="AA16" s="90"/>
      <c r="AB16" s="90"/>
      <c r="AC16" s="90"/>
    </row>
    <row r="17" spans="1:46" ht="14.4">
      <c r="A17" s="93">
        <v>6</v>
      </c>
      <c r="B17" s="187">
        <v>1</v>
      </c>
      <c r="C17" s="198"/>
      <c r="D17" s="198"/>
      <c r="E17" s="198">
        <f>Storage_modulus_G!E17/1000000</f>
        <v>1.1300000000000001E-7</v>
      </c>
      <c r="F17" s="198">
        <f>Storage_modulus_G!F17/1000000</f>
        <v>3.5999999999999999E-7</v>
      </c>
      <c r="G17" s="198">
        <f>Storage_modulus_G!G17/1000000</f>
        <v>7.4000000000000001E-7</v>
      </c>
      <c r="H17" s="198">
        <f>Storage_modulus_G!H17/1000000</f>
        <v>2.007E-6</v>
      </c>
      <c r="I17" s="198">
        <f>Storage_modulus_G!I17/1000000</f>
        <v>3.388E-6</v>
      </c>
      <c r="J17" s="198">
        <f>Storage_modulus_G!J17/1000000</f>
        <v>8.0649999999999999E-6</v>
      </c>
      <c r="K17" s="198">
        <f>Storage_modulus_G!K17/1000000</f>
        <v>4.8789000000000003E-5</v>
      </c>
      <c r="L17" s="198">
        <f>Storage_modulus_G!L17/1000000</f>
        <v>8.7935000000000004E-5</v>
      </c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9"/>
      <c r="AD17" s="91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6" ht="14.4">
      <c r="A18" s="92">
        <v>6</v>
      </c>
      <c r="B18" s="188">
        <v>2</v>
      </c>
      <c r="C18" s="89">
        <f>Storage_modulus_G!C18/1000000</f>
        <v>1.46038E-4</v>
      </c>
      <c r="D18" s="89">
        <f>Storage_modulus_G!D18/1000000</f>
        <v>1.83637E-4</v>
      </c>
      <c r="E18" s="89">
        <f>Storage_modulus_G!E18/1000000</f>
        <v>2.2347999999999999E-4</v>
      </c>
      <c r="F18" s="89">
        <f>Storage_modulus_G!F18/1000000</f>
        <v>2.6755399999999998E-4</v>
      </c>
      <c r="G18" s="89">
        <f>Storage_modulus_G!G18/1000000</f>
        <v>3.3643700000000003E-4</v>
      </c>
      <c r="H18" s="89">
        <f>Storage_modulus_G!H18/1000000</f>
        <v>4.4433999999999999E-4</v>
      </c>
      <c r="I18" s="89">
        <f>Storage_modulus_G!I18/1000000</f>
        <v>5.6795599999999999E-4</v>
      </c>
      <c r="J18" s="89">
        <f>Storage_modulus_G!J18/1000000</f>
        <v>7.0258799999999998E-4</v>
      </c>
      <c r="K18" s="89">
        <f>Storage_modulus_G!K18/1000000</f>
        <v>9.1286399999999999E-4</v>
      </c>
      <c r="L18" s="89">
        <f>Storage_modulus_G!L18/1000000</f>
        <v>1.308432E-3</v>
      </c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200"/>
      <c r="AD18" s="91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14.4">
      <c r="A19" s="92">
        <v>6</v>
      </c>
      <c r="B19" s="188">
        <v>3</v>
      </c>
      <c r="C19" s="89">
        <f>Storage_modulus_G!C19/1000000</f>
        <v>1.491434E-3</v>
      </c>
      <c r="D19" s="89">
        <f>Storage_modulus_G!D19/1000000</f>
        <v>1.51604E-3</v>
      </c>
      <c r="E19" s="89">
        <f>Storage_modulus_G!E19/1000000</f>
        <v>1.6452950000000002E-3</v>
      </c>
      <c r="F19" s="89">
        <f>Storage_modulus_G!F19/1000000</f>
        <v>1.815028E-3</v>
      </c>
      <c r="G19" s="89">
        <f>Storage_modulus_G!G19/1000000</f>
        <v>1.9378030000000001E-3</v>
      </c>
      <c r="H19" s="89">
        <f>Storage_modulus_G!H19/1000000</f>
        <v>2.1729789999999998E-3</v>
      </c>
      <c r="I19" s="89">
        <f>Storage_modulus_G!I19/1000000</f>
        <v>2.3582440000000002E-3</v>
      </c>
      <c r="J19" s="89">
        <f>Storage_modulus_G!J19/1000000</f>
        <v>2.6444459999999999E-3</v>
      </c>
      <c r="K19" s="89">
        <f>Storage_modulus_G!K19/1000000</f>
        <v>3.0143090000000002E-3</v>
      </c>
      <c r="L19" s="89">
        <f>Storage_modulus_G!L19/1000000</f>
        <v>3.6683169999999999E-3</v>
      </c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200"/>
      <c r="AD19" s="91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14.4">
      <c r="A20" s="92">
        <v>6</v>
      </c>
      <c r="B20" s="188">
        <v>4</v>
      </c>
      <c r="C20" s="89">
        <f>Storage_modulus_G!C20/1000000</f>
        <v>2.9309257000000002E-2</v>
      </c>
      <c r="D20" s="89">
        <f>Storage_modulus_G!D20/1000000</f>
        <v>2.9309257000000002E-2</v>
      </c>
      <c r="E20" s="89">
        <f>Storage_modulus_G!E20/1000000</f>
        <v>3.0783971E-2</v>
      </c>
      <c r="F20" s="89">
        <f>Storage_modulus_G!F20/1000000</f>
        <v>2.9792820000000001E-2</v>
      </c>
      <c r="G20" s="89">
        <f>Storage_modulus_G!G20/1000000</f>
        <v>3.1291865000000002E-2</v>
      </c>
      <c r="H20" s="89">
        <f>Storage_modulus_G!H20/1000000</f>
        <v>3.1291865000000002E-2</v>
      </c>
      <c r="I20" s="89">
        <f>Storage_modulus_G!I20/1000000</f>
        <v>3.1291865000000002E-2</v>
      </c>
      <c r="J20" s="89">
        <f>Storage_modulus_G!J20/1000000</f>
        <v>3.0783971E-2</v>
      </c>
      <c r="K20" s="89">
        <f>Storage_modulus_G!K20/1000000</f>
        <v>3.0284345000000001E-2</v>
      </c>
      <c r="L20" s="89">
        <f>Storage_modulus_G!L20/1000000</f>
        <v>3.2332885999999998E-2</v>
      </c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200"/>
      <c r="AD20" s="91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t="15.75" customHeight="1">
      <c r="A21" s="92">
        <v>6</v>
      </c>
      <c r="B21" s="97">
        <v>5</v>
      </c>
      <c r="C21" s="89">
        <f>Storage_modulus_G!C21/1000000</f>
        <v>1.0936E-5</v>
      </c>
      <c r="D21" s="89">
        <f>Storage_modulus_G!D21/1000000</f>
        <v>2.2717999999999998E-5</v>
      </c>
      <c r="E21" s="89">
        <f>Storage_modulus_G!E21/1000000</f>
        <v>4.8984999999999999E-5</v>
      </c>
      <c r="F21" s="89">
        <f>Storage_modulus_G!F21/1000000</f>
        <v>1.03285E-4</v>
      </c>
      <c r="G21" s="89">
        <f>Storage_modulus_G!G21/1000000</f>
        <v>1.78049E-4</v>
      </c>
      <c r="H21" s="89">
        <f>Storage_modulus_G!H21/1000000</f>
        <v>2.91315E-4</v>
      </c>
      <c r="I21" s="89">
        <f>Storage_modulus_G!I21/1000000</f>
        <v>4.4902199999999998E-4</v>
      </c>
      <c r="J21" s="89">
        <f>Storage_modulus_G!J21/1000000</f>
        <v>6.0967300000000003E-4</v>
      </c>
      <c r="K21" s="89">
        <f>Storage_modulus_G!K21/1000000</f>
        <v>8.1554299999999995E-4</v>
      </c>
      <c r="L21" s="89">
        <f>Storage_modulus_G!L21/1000000</f>
        <v>1.035425E-3</v>
      </c>
      <c r="M21" s="89">
        <f>Storage_modulus_G!M21/1000000</f>
        <v>1.3544079999999999E-3</v>
      </c>
      <c r="N21" s="89">
        <f>Storage_modulus_G!N21/1000000</f>
        <v>1.5959659999999999E-3</v>
      </c>
      <c r="O21" s="89">
        <f>Storage_modulus_G!O21/1000000</f>
        <v>1.8253199999999999E-3</v>
      </c>
      <c r="P21" s="89">
        <f>Storage_modulus_G!P21/1000000</f>
        <v>2.1995439999999999E-3</v>
      </c>
      <c r="Q21" s="89">
        <f>Storage_modulus_G!Q21/1000000</f>
        <v>2.8134810000000001E-3</v>
      </c>
      <c r="R21" s="89">
        <f>Storage_modulus_G!R21/1000000</f>
        <v>3.4412570000000001E-3</v>
      </c>
      <c r="S21" s="89">
        <f>Storage_modulus_G!S21/1000000</f>
        <v>3.8486919999999999E-3</v>
      </c>
      <c r="T21" s="89">
        <f>Storage_modulus_G!T21/1000000</f>
        <v>4.5351059999999997E-3</v>
      </c>
      <c r="U21" s="89">
        <f>Storage_modulus_G!U21/1000000</f>
        <v>5.0343549999999999E-3</v>
      </c>
      <c r="V21" s="89">
        <f>Storage_modulus_G!V21/1000000</f>
        <v>5.2256749999999999E-3</v>
      </c>
      <c r="W21" s="89">
        <f>Storage_modulus_G!W21/1000000</f>
        <v>5.4242700000000001E-3</v>
      </c>
      <c r="X21" s="89">
        <f>Storage_modulus_G!X21/1000000</f>
        <v>5.6304089999999994E-3</v>
      </c>
      <c r="Y21" s="89">
        <f>Storage_modulus_G!Y21/1000000</f>
        <v>5.8009469999999999E-3</v>
      </c>
      <c r="Z21" s="89">
        <f>Storage_modulus_G!Z21/1000000</f>
        <v>5.8009469999999999E-3</v>
      </c>
      <c r="AA21" s="89">
        <f>Storage_modulus_G!AA21/1000000</f>
        <v>5.9766490000000005E-3</v>
      </c>
      <c r="AB21" s="89">
        <f>Storage_modulus_G!AB21/1000000</f>
        <v>6.1119110000000003E-3</v>
      </c>
      <c r="AC21" s="200">
        <f>Storage_modulus_G!AC21/1000000</f>
        <v>6.203783E-3</v>
      </c>
      <c r="AD21" s="91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ht="15.75" customHeight="1">
      <c r="A22" s="92">
        <v>6</v>
      </c>
      <c r="B22" s="97">
        <v>6</v>
      </c>
      <c r="C22" s="89">
        <f>Storage_modulus_G!C22/1000000</f>
        <v>4.0348999999999996E-5</v>
      </c>
      <c r="D22" s="89">
        <f>Storage_modulus_G!D22/1000000</f>
        <v>1.4023900000000001E-4</v>
      </c>
      <c r="E22" s="89">
        <f>Storage_modulus_G!E22/1000000</f>
        <v>3.6437999999999998E-4</v>
      </c>
      <c r="F22" s="89">
        <f>Storage_modulus_G!F22/1000000</f>
        <v>7.2920699999999995E-4</v>
      </c>
      <c r="G22" s="89">
        <f>Storage_modulus_G!G22/1000000</f>
        <v>1.202025E-3</v>
      </c>
      <c r="H22" s="89">
        <f>Storage_modulus_G!H22/1000000</f>
        <v>1.69411E-3</v>
      </c>
      <c r="I22" s="89">
        <f>Storage_modulus_G!I22/1000000</f>
        <v>2.2160129999999998E-3</v>
      </c>
      <c r="J22" s="89">
        <f>Storage_modulus_G!J22/1000000</f>
        <v>2.7512170000000002E-3</v>
      </c>
      <c r="K22" s="89">
        <f>Storage_modulus_G!K22/1000000</f>
        <v>3.6802280000000002E-3</v>
      </c>
      <c r="L22" s="89">
        <f>Storage_modulus_G!L22/1000000</f>
        <v>4.1467759999999996E-3</v>
      </c>
      <c r="M22" s="89">
        <f>Storage_modulus_G!M22/1000000</f>
        <v>4.6377430000000006E-3</v>
      </c>
      <c r="N22" s="89">
        <f>Storage_modulus_G!N22/1000000</f>
        <v>5.0720510000000002E-3</v>
      </c>
      <c r="O22" s="89">
        <f>Storage_modulus_G!O22/1000000</f>
        <v>5.3839560000000005E-3</v>
      </c>
      <c r="P22" s="89">
        <f>Storage_modulus_G!P22/1000000</f>
        <v>5.4242700000000001E-3</v>
      </c>
      <c r="Q22" s="89">
        <f>Storage_modulus_G!Q22/1000000</f>
        <v>5.5058040000000004E-3</v>
      </c>
      <c r="R22" s="89">
        <f>Storage_modulus_G!R22/1000000</f>
        <v>5.588562E-3</v>
      </c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200"/>
      <c r="AD22" s="91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ht="15.75" customHeight="1">
      <c r="A23" s="103">
        <v>6</v>
      </c>
      <c r="B23" s="104">
        <v>7</v>
      </c>
      <c r="C23" s="201">
        <f>Storage_modulus_G!C23/1000000</f>
        <v>9.5147999999999991E-5</v>
      </c>
      <c r="D23" s="201">
        <f>Storage_modulus_G!D23/1000000</f>
        <v>5.8298699999999998E-4</v>
      </c>
      <c r="E23" s="201">
        <f>Storage_modulus_G!E23/1000000</f>
        <v>1.4923340000000001E-3</v>
      </c>
      <c r="F23" s="201">
        <f>Storage_modulus_G!F23/1000000</f>
        <v>2.5156370000000003E-3</v>
      </c>
      <c r="G23" s="201">
        <f>Storage_modulus_G!G23/1000000</f>
        <v>3.4156799999999999E-3</v>
      </c>
      <c r="H23" s="201">
        <f>Storage_modulus_G!H23/1000000</f>
        <v>4.5014009999999995E-3</v>
      </c>
      <c r="I23" s="201">
        <f>Storage_modulus_G!I23/1000000</f>
        <v>4.9229399999999998E-3</v>
      </c>
      <c r="J23" s="201">
        <f>Storage_modulus_G!J23/1000000</f>
        <v>4.9229399999999998E-3</v>
      </c>
      <c r="K23" s="201">
        <f>Storage_modulus_G!K23/1000000</f>
        <v>4.9598019999999993E-3</v>
      </c>
      <c r="L23" s="201">
        <f>Storage_modulus_G!L23/1000000</f>
        <v>5.2256749999999999E-3</v>
      </c>
      <c r="M23" s="201">
        <f>Storage_modulus_G!M23/1000000</f>
        <v>5.5470290000000002E-3</v>
      </c>
      <c r="N23" s="201">
        <f>Storage_modulus_G!N23/1000000</f>
        <v>5.6304089999999994E-3</v>
      </c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2"/>
      <c r="AD23" s="91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ht="15.75" customHeight="1">
      <c r="A24" s="93">
        <v>7</v>
      </c>
      <c r="B24" s="187">
        <v>1</v>
      </c>
      <c r="C24" s="120">
        <v>271.10399999999998</v>
      </c>
      <c r="D24" s="120">
        <v>66.448999999999998</v>
      </c>
      <c r="E24" s="120">
        <v>46.881999999999998</v>
      </c>
      <c r="F24" s="120">
        <v>34.177</v>
      </c>
      <c r="G24" s="120">
        <v>26.89</v>
      </c>
      <c r="H24" s="120">
        <v>20.033999999999999</v>
      </c>
      <c r="I24" s="120">
        <v>16.11</v>
      </c>
      <c r="J24" s="120">
        <v>13.385</v>
      </c>
      <c r="K24" s="120">
        <v>10.647</v>
      </c>
      <c r="L24" s="120">
        <v>8.5609999999999999</v>
      </c>
      <c r="M24" s="120">
        <v>6.1740000000000004</v>
      </c>
      <c r="N24" s="120">
        <v>4.2619999999999996</v>
      </c>
      <c r="O24" s="120">
        <v>3.4649999999999999</v>
      </c>
      <c r="P24" s="120">
        <v>2.61</v>
      </c>
      <c r="Q24" s="120">
        <v>1.669</v>
      </c>
      <c r="R24" s="120">
        <v>1.3129999999999999</v>
      </c>
      <c r="S24" s="120">
        <v>1.079</v>
      </c>
      <c r="T24" s="164"/>
      <c r="U24" s="164"/>
      <c r="V24" s="164"/>
      <c r="W24" s="165"/>
      <c r="X24" s="91"/>
      <c r="Y24" s="91"/>
      <c r="Z24" s="91"/>
      <c r="AA24" s="91"/>
      <c r="AB24" s="91"/>
      <c r="AC24" s="91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6" ht="15.75" customHeight="1">
      <c r="A25" s="92">
        <v>7</v>
      </c>
      <c r="B25" s="188">
        <v>2</v>
      </c>
      <c r="C25" s="96">
        <v>9496.8259999999991</v>
      </c>
      <c r="D25" s="96">
        <v>4288.317</v>
      </c>
      <c r="E25" s="116">
        <v>2018.0540000000001</v>
      </c>
      <c r="F25" s="116">
        <v>1031.461</v>
      </c>
      <c r="G25" s="116">
        <v>634.87800000000004</v>
      </c>
      <c r="H25" s="116">
        <v>437.78</v>
      </c>
      <c r="I25" s="116">
        <v>367.30099999999999</v>
      </c>
      <c r="J25" s="116">
        <v>386.762</v>
      </c>
      <c r="K25" s="116">
        <v>374.96499999999997</v>
      </c>
      <c r="L25" s="116">
        <v>292.66300000000001</v>
      </c>
      <c r="M25" s="96">
        <v>243.02500000000001</v>
      </c>
      <c r="N25" s="96">
        <v>230.79599999999999</v>
      </c>
      <c r="O25" s="96">
        <v>126.806</v>
      </c>
      <c r="P25" s="96">
        <v>22.608000000000001</v>
      </c>
      <c r="Q25" s="96">
        <v>3.4169999999999998</v>
      </c>
      <c r="R25" s="96">
        <v>3.0190000000000001</v>
      </c>
      <c r="S25" s="96">
        <v>2.6949999999999998</v>
      </c>
      <c r="T25" s="96">
        <v>2.4550000000000001</v>
      </c>
      <c r="U25" s="96">
        <v>2.2610000000000001</v>
      </c>
      <c r="V25" s="96">
        <v>2.0819999999999999</v>
      </c>
      <c r="W25" s="117">
        <v>1.9770000000000001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46" ht="15.75" customHeight="1">
      <c r="A26" s="103">
        <v>7</v>
      </c>
      <c r="B26" s="209">
        <v>3</v>
      </c>
      <c r="C26" s="155">
        <v>16762.168000000001</v>
      </c>
      <c r="D26" s="155">
        <v>16548.171999999999</v>
      </c>
      <c r="E26" s="155">
        <v>16762.168000000001</v>
      </c>
      <c r="F26" s="155">
        <v>16128.322</v>
      </c>
      <c r="G26" s="155">
        <v>12001.653</v>
      </c>
      <c r="H26" s="155">
        <v>7556.9790000000003</v>
      </c>
      <c r="I26" s="155">
        <v>4349.0339999999997</v>
      </c>
      <c r="J26" s="155">
        <v>1960.6990000000001</v>
      </c>
      <c r="K26" s="155">
        <v>1142.973</v>
      </c>
      <c r="L26" s="155">
        <v>701.42700000000002</v>
      </c>
      <c r="M26" s="155">
        <v>521.95600000000002</v>
      </c>
      <c r="N26" s="155">
        <v>199.11600000000001</v>
      </c>
      <c r="O26" s="155">
        <v>83.108000000000004</v>
      </c>
      <c r="P26" s="155">
        <v>16.463000000000001</v>
      </c>
      <c r="Q26" s="155">
        <v>2.5219999999999998</v>
      </c>
      <c r="R26" s="155">
        <v>2.3650000000000002</v>
      </c>
      <c r="S26" s="155">
        <v>2.0270000000000001</v>
      </c>
      <c r="T26" s="155">
        <v>1.694</v>
      </c>
      <c r="U26" s="155">
        <v>1.452</v>
      </c>
      <c r="V26" s="155">
        <v>1.31</v>
      </c>
      <c r="W26" s="157">
        <v>1.137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46" ht="15.75" customHeight="1">
      <c r="A27" s="93">
        <v>8</v>
      </c>
      <c r="B27" s="187">
        <v>1</v>
      </c>
      <c r="C27" s="120">
        <v>4936.1180000000004</v>
      </c>
      <c r="D27" s="120">
        <v>4867.3220000000001</v>
      </c>
      <c r="E27" s="120">
        <v>4781.3270000000002</v>
      </c>
      <c r="F27" s="120">
        <v>4600.7370000000001</v>
      </c>
      <c r="G27" s="120">
        <v>4480.3440000000001</v>
      </c>
      <c r="H27" s="120">
        <v>4325.5529999999999</v>
      </c>
      <c r="I27" s="120">
        <v>4187.96</v>
      </c>
      <c r="J27" s="120">
        <v>4033.1689999999999</v>
      </c>
      <c r="K27" s="120">
        <v>3861.1790000000001</v>
      </c>
      <c r="L27" s="120">
        <v>3620.393</v>
      </c>
      <c r="M27" s="120">
        <v>3405.4050000000002</v>
      </c>
      <c r="N27" s="120">
        <v>3138.82</v>
      </c>
      <c r="O27" s="120">
        <v>2863.636</v>
      </c>
      <c r="P27" s="120">
        <v>2631.45</v>
      </c>
      <c r="Q27" s="120">
        <v>2399.2629999999999</v>
      </c>
      <c r="R27" s="120">
        <v>2141.277</v>
      </c>
      <c r="S27" s="120">
        <v>1934.8889999999999</v>
      </c>
      <c r="T27" s="95">
        <v>1737.1010000000001</v>
      </c>
      <c r="U27" s="95">
        <v>1565.11</v>
      </c>
      <c r="V27" s="95">
        <v>1453.317</v>
      </c>
      <c r="W27" s="95">
        <v>1358.722</v>
      </c>
      <c r="X27" s="95">
        <v>1264.127</v>
      </c>
      <c r="Y27" s="190">
        <v>1143.7349999999999</v>
      </c>
      <c r="Z27" s="95">
        <v>1031.941</v>
      </c>
      <c r="AA27" s="95">
        <v>902.94799999999998</v>
      </c>
      <c r="AB27" s="95">
        <v>799.75400000000002</v>
      </c>
      <c r="AC27" s="227">
        <v>705.15899999999999</v>
      </c>
      <c r="AD27" s="95">
        <v>670.76099999999997</v>
      </c>
      <c r="AE27" s="95">
        <v>610.56500000000005</v>
      </c>
      <c r="AF27" s="95">
        <v>558.96799999999996</v>
      </c>
      <c r="AG27" s="95">
        <v>533.16899999999998</v>
      </c>
      <c r="AH27" s="95">
        <v>524.57000000000005</v>
      </c>
      <c r="AI27" s="95">
        <v>472.97300000000001</v>
      </c>
      <c r="AJ27" s="95">
        <v>455.774</v>
      </c>
      <c r="AK27" s="95">
        <v>421.37599999999998</v>
      </c>
      <c r="AL27" s="115">
        <v>386.97800000000001</v>
      </c>
    </row>
    <row r="28" spans="1:46" ht="15.75" customHeight="1">
      <c r="A28" s="92">
        <v>8</v>
      </c>
      <c r="B28" s="188">
        <v>2</v>
      </c>
      <c r="C28" s="122">
        <v>5417.69</v>
      </c>
      <c r="D28" s="122">
        <v>5374.6930000000002</v>
      </c>
      <c r="E28" s="122">
        <v>5280.098</v>
      </c>
      <c r="F28" s="122">
        <v>5090.9089999999997</v>
      </c>
      <c r="G28" s="122">
        <v>4807.125</v>
      </c>
      <c r="H28" s="122">
        <v>4583.5379999999996</v>
      </c>
      <c r="I28" s="122">
        <v>4402.9480000000003</v>
      </c>
      <c r="J28" s="122">
        <v>4222.3580000000002</v>
      </c>
      <c r="K28" s="122">
        <v>3998.7710000000002</v>
      </c>
      <c r="L28" s="122">
        <v>3792.3829999999998</v>
      </c>
      <c r="M28" s="122">
        <v>3517.1990000000001</v>
      </c>
      <c r="N28" s="122">
        <v>3250.614</v>
      </c>
      <c r="O28" s="122">
        <v>2932.4319999999998</v>
      </c>
      <c r="P28" s="122">
        <v>2622.8490000000002</v>
      </c>
      <c r="Q28" s="122">
        <v>2347.665</v>
      </c>
      <c r="R28" s="122">
        <v>2132.6779999999999</v>
      </c>
      <c r="S28" s="122">
        <v>1891.8920000000001</v>
      </c>
      <c r="T28" s="96">
        <v>1711.3019999999999</v>
      </c>
      <c r="U28" s="96">
        <v>1539.3109999999999</v>
      </c>
      <c r="V28" s="96">
        <v>1375.921</v>
      </c>
      <c r="W28" s="96">
        <v>1272.7270000000001</v>
      </c>
      <c r="X28" s="96">
        <v>1152.3330000000001</v>
      </c>
      <c r="Y28" s="192">
        <v>1040.54</v>
      </c>
      <c r="Z28" s="96">
        <v>911.548</v>
      </c>
      <c r="AA28" s="96">
        <v>791.154</v>
      </c>
      <c r="AB28" s="96">
        <v>644.96299999999997</v>
      </c>
      <c r="AC28" s="226">
        <v>541.76900000000001</v>
      </c>
      <c r="AD28" s="96">
        <v>472.97300000000001</v>
      </c>
      <c r="AE28" s="96">
        <v>464.37299999999999</v>
      </c>
      <c r="AF28" s="96">
        <v>421.37599999999998</v>
      </c>
      <c r="AG28" s="96">
        <v>395.577</v>
      </c>
      <c r="AH28" s="96">
        <v>378.37799999999999</v>
      </c>
      <c r="AI28" s="96">
        <v>378.37799999999999</v>
      </c>
      <c r="AJ28" s="96">
        <v>343.98</v>
      </c>
      <c r="AK28" s="96">
        <v>318.18099999999998</v>
      </c>
      <c r="AL28" s="117">
        <v>275.18400000000003</v>
      </c>
    </row>
    <row r="29" spans="1:46" ht="15.75" customHeight="1">
      <c r="A29" s="92">
        <v>8</v>
      </c>
      <c r="B29" s="188">
        <v>3</v>
      </c>
      <c r="C29" s="122">
        <v>6054.0540000000001</v>
      </c>
      <c r="D29" s="122">
        <v>5933.6610000000001</v>
      </c>
      <c r="E29" s="122">
        <v>5770.27</v>
      </c>
      <c r="F29" s="122">
        <v>5598.28</v>
      </c>
      <c r="G29" s="122">
        <v>5391.8919999999998</v>
      </c>
      <c r="H29" s="122">
        <v>5108.1080000000002</v>
      </c>
      <c r="I29" s="122">
        <v>4815.7250000000004</v>
      </c>
      <c r="J29" s="122">
        <v>4583.5379999999996</v>
      </c>
      <c r="K29" s="122">
        <v>4334.152</v>
      </c>
      <c r="L29" s="122">
        <v>4093.366</v>
      </c>
      <c r="M29" s="122">
        <v>3826.7809999999999</v>
      </c>
      <c r="N29" s="122">
        <v>3585.9949999999999</v>
      </c>
      <c r="O29" s="122">
        <v>3379.607</v>
      </c>
      <c r="P29" s="122">
        <v>3138.82</v>
      </c>
      <c r="Q29" s="122">
        <v>2932.4319999999998</v>
      </c>
      <c r="R29" s="122">
        <v>2708.8449999999998</v>
      </c>
      <c r="S29" s="122">
        <v>2511.056</v>
      </c>
      <c r="T29" s="96">
        <v>2304.6680000000001</v>
      </c>
      <c r="U29" s="96">
        <v>2158.4760000000001</v>
      </c>
      <c r="V29" s="96">
        <v>2046.683</v>
      </c>
      <c r="W29" s="96">
        <v>1909.0909999999999</v>
      </c>
      <c r="X29" s="96">
        <v>1814.4960000000001</v>
      </c>
      <c r="Y29" s="192">
        <v>1668.3040000000001</v>
      </c>
      <c r="Z29" s="96">
        <v>1530.713</v>
      </c>
      <c r="AA29" s="96">
        <v>1410.319</v>
      </c>
      <c r="AB29" s="96">
        <v>1272.7270000000001</v>
      </c>
      <c r="AC29" s="226">
        <v>1195.3320000000001</v>
      </c>
      <c r="AD29" s="96">
        <v>1126.5350000000001</v>
      </c>
      <c r="AE29" s="96">
        <v>1092.1369999999999</v>
      </c>
      <c r="AF29" s="96">
        <v>997.54200000000003</v>
      </c>
      <c r="AG29" s="96">
        <v>945.94500000000005</v>
      </c>
      <c r="AH29" s="96">
        <v>859.95100000000002</v>
      </c>
      <c r="AI29" s="96">
        <v>825.553</v>
      </c>
      <c r="AJ29" s="96">
        <v>730.95799999999997</v>
      </c>
      <c r="AK29" s="96">
        <v>670.76099999999997</v>
      </c>
      <c r="AL29" s="117">
        <v>644.96299999999997</v>
      </c>
    </row>
    <row r="30" spans="1:46" ht="15.75" customHeight="1">
      <c r="A30" s="92">
        <v>8</v>
      </c>
      <c r="B30" s="188">
        <v>4</v>
      </c>
      <c r="C30" s="122">
        <v>5546.683</v>
      </c>
      <c r="D30" s="122">
        <v>5512.2849999999999</v>
      </c>
      <c r="E30" s="122">
        <v>5383.2920000000004</v>
      </c>
      <c r="F30" s="122">
        <v>5194.1030000000001</v>
      </c>
      <c r="G30" s="122">
        <v>4936.1180000000004</v>
      </c>
      <c r="H30" s="122">
        <v>4600.7370000000001</v>
      </c>
      <c r="I30" s="122">
        <v>4291.1549999999997</v>
      </c>
      <c r="J30" s="122">
        <v>3921.3760000000002</v>
      </c>
      <c r="K30" s="122">
        <v>3646.1909999999998</v>
      </c>
      <c r="L30" s="122">
        <v>3448.4029999999998</v>
      </c>
      <c r="M30" s="122">
        <v>3181.8180000000002</v>
      </c>
      <c r="N30" s="122">
        <v>2984.029</v>
      </c>
      <c r="O30" s="122">
        <v>2777.64</v>
      </c>
      <c r="P30" s="122">
        <v>2588.4520000000002</v>
      </c>
      <c r="Q30" s="122">
        <v>2373.4639999999999</v>
      </c>
      <c r="R30" s="122">
        <v>2227.2730000000001</v>
      </c>
      <c r="S30" s="155">
        <v>2072.482</v>
      </c>
      <c r="T30" s="156">
        <v>1917.691</v>
      </c>
      <c r="U30" s="156">
        <v>1788.6969999999999</v>
      </c>
      <c r="V30" s="156">
        <v>1668.3040000000001</v>
      </c>
      <c r="W30" s="156">
        <v>1539.3109999999999</v>
      </c>
      <c r="X30" s="156">
        <v>1410.319</v>
      </c>
      <c r="Y30" s="194">
        <v>1307.124</v>
      </c>
      <c r="Z30" s="156">
        <v>1186.732</v>
      </c>
      <c r="AA30" s="156">
        <v>1066.3389999999999</v>
      </c>
      <c r="AB30" s="156">
        <v>928.74699999999996</v>
      </c>
      <c r="AC30" s="228">
        <v>859.95100000000002</v>
      </c>
      <c r="AD30" s="156">
        <v>791.154</v>
      </c>
      <c r="AE30" s="156">
        <v>748.15700000000004</v>
      </c>
      <c r="AF30" s="156">
        <v>679.36099999999999</v>
      </c>
      <c r="AG30" s="156">
        <v>619.16499999999996</v>
      </c>
      <c r="AH30" s="156">
        <v>610.56500000000005</v>
      </c>
      <c r="AI30" s="156">
        <v>576.16700000000003</v>
      </c>
      <c r="AJ30" s="156">
        <v>541.76900000000001</v>
      </c>
      <c r="AK30" s="156">
        <v>498.77100000000002</v>
      </c>
      <c r="AL30" s="118">
        <v>455.774</v>
      </c>
    </row>
    <row r="31" spans="1:46" ht="15.75" customHeight="1">
      <c r="A31" s="93">
        <v>9</v>
      </c>
      <c r="B31" s="187">
        <v>1</v>
      </c>
      <c r="C31" s="95">
        <f>Storage_modulus_G!C31/1000000</f>
        <v>1300169578.0333002</v>
      </c>
      <c r="D31" s="95">
        <f>Storage_modulus_G!D31/1000000</f>
        <v>1336595516.5464447</v>
      </c>
      <c r="E31" s="95">
        <f>Storage_modulus_G!E31/1000000</f>
        <v>1336595516.5464447</v>
      </c>
      <c r="F31" s="95">
        <f>Storage_modulus_G!F31/1000000</f>
        <v>1111731727.2815943</v>
      </c>
      <c r="G31" s="95">
        <f>Storage_modulus_G!G31/1000000</f>
        <v>769130440.28661287</v>
      </c>
      <c r="H31" s="95">
        <f>Storage_modulus_G!H31/1000000</f>
        <v>674528027.69792414</v>
      </c>
      <c r="I31" s="95">
        <f>Storage_modulus_G!I31/1000000</f>
        <v>575439937.33715761</v>
      </c>
      <c r="J31" s="95">
        <f>Storage_modulus_G!J31/1000000</f>
        <v>442588372.36262941</v>
      </c>
      <c r="K31" s="95">
        <f>Storage_modulus_G!K31/1000000</f>
        <v>322849412.17126554</v>
      </c>
      <c r="L31" s="95">
        <f>Storage_modulus_G!L31/1000000</f>
        <v>254683025.25850454</v>
      </c>
      <c r="M31" s="95">
        <f>Storage_modulus_G!M31/1000000</f>
        <v>135518941.23510379</v>
      </c>
      <c r="N31" s="95">
        <f>Storage_modulus_G!N31/1000000</f>
        <v>78162780.458833307</v>
      </c>
      <c r="O31" s="95">
        <f>Storage_modulus_G!O31/1000000</f>
        <v>41591061.049402386</v>
      </c>
      <c r="P31" s="95">
        <f>Storage_modulus_G!P31/1000000</f>
        <v>14157937.799570857</v>
      </c>
      <c r="Q31" s="95">
        <f>Storage_modulus_G!Q31/1000000</f>
        <v>4111497.2110452354</v>
      </c>
      <c r="R31" s="115">
        <f>Storage_modulus_G!R31/1000000</f>
        <v>918332.59648358228</v>
      </c>
      <c r="S31" s="90"/>
    </row>
    <row r="32" spans="1:46" ht="15.75" customHeight="1">
      <c r="A32" s="92">
        <v>9</v>
      </c>
      <c r="B32" s="188">
        <v>2</v>
      </c>
      <c r="C32" s="96">
        <f>Storage_modulus_G!C32/1000000</f>
        <v>93972331.056464449</v>
      </c>
      <c r="D32" s="96">
        <f>Storage_modulus_G!D32/1000000</f>
        <v>96382902.362397462</v>
      </c>
      <c r="E32" s="96">
        <f>Storage_modulus_G!E32/1000000</f>
        <v>96382902.362397462</v>
      </c>
      <c r="F32" s="96">
        <f>Storage_modulus_G!F32/1000000</f>
        <v>78162780.458833307</v>
      </c>
      <c r="G32" s="96">
        <f>Storage_modulus_G!G32/1000000</f>
        <v>60117373.748327963</v>
      </c>
      <c r="H32" s="96">
        <f>Storage_modulus_G!H32/1000000</f>
        <v>63241185.137622185</v>
      </c>
      <c r="I32" s="96">
        <f>Storage_modulus_G!I32/1000000</f>
        <v>58479008.414448157</v>
      </c>
      <c r="J32" s="96">
        <f>Storage_modulus_G!J32/1000000</f>
        <v>52601726.639070861</v>
      </c>
      <c r="K32" s="96">
        <f>Storage_modulus_G!K32/1000000</f>
        <v>40457589.16974438</v>
      </c>
      <c r="L32" s="96">
        <f>Storage_modulus_G!L32/1000000</f>
        <v>31988951.096914172</v>
      </c>
      <c r="M32" s="96">
        <f>Storage_modulus_G!M32/1000000</f>
        <v>23933157.564053945</v>
      </c>
      <c r="N32" s="96">
        <f>Storage_modulus_G!N32/1000000</f>
        <v>18407720.014689643</v>
      </c>
      <c r="O32" s="96">
        <f>Storage_modulus_G!O32/1000000</f>
        <v>6266138.6467233757</v>
      </c>
      <c r="P32" s="96">
        <f>Storage_modulus_G!P32/1000000</f>
        <v>2494594.7269429644</v>
      </c>
      <c r="Q32" s="96">
        <f>Storage_modulus_G!Q32/1000000</f>
        <v>440554.8635065541</v>
      </c>
      <c r="R32" s="117">
        <f>Storage_modulus_G!R32/1000000</f>
        <v>103752.84158180146</v>
      </c>
      <c r="S32" s="91"/>
      <c r="T32" s="4"/>
      <c r="U32" s="4"/>
      <c r="V32" s="4"/>
      <c r="W32" s="4"/>
      <c r="X32" s="4"/>
      <c r="Y32" s="4"/>
      <c r="Z32" s="4"/>
      <c r="AA32" s="4"/>
    </row>
    <row r="33" spans="1:28" ht="15.75" customHeight="1">
      <c r="A33" s="92">
        <v>9</v>
      </c>
      <c r="B33" s="188">
        <v>3</v>
      </c>
      <c r="C33" s="96">
        <f>Storage_modulus_G!C33/1000000</f>
        <v>11168632.477805631</v>
      </c>
      <c r="D33" s="96">
        <f>Storage_modulus_G!D33/1000000</f>
        <v>10592537.251772925</v>
      </c>
      <c r="E33" s="96">
        <f>Storage_modulus_G!E33/1000000</f>
        <v>10327614.057614004</v>
      </c>
      <c r="F33" s="96">
        <f>Storage_modulus_G!F33/1000000</f>
        <v>8590135.2150539588</v>
      </c>
      <c r="G33" s="96">
        <f>Storage_modulus_G!G33/1000000</f>
        <v>4819477.9762512818</v>
      </c>
      <c r="H33" s="96">
        <f>Storage_modulus_G!H33/1000000</f>
        <v>3698281.7978026727</v>
      </c>
      <c r="I33" s="96">
        <f>Storage_modulus_G!I33/1000000</f>
        <v>2844461.1074479287</v>
      </c>
      <c r="J33" s="96">
        <f>Storage_modulus_G!J33/1000000</f>
        <v>2249054.6058357907</v>
      </c>
      <c r="K33" s="96">
        <f>Storage_modulus_G!K33/1000000</f>
        <v>1819700.8586099902</v>
      </c>
      <c r="L33" s="96">
        <f>Storage_modulus_G!L33/1000000</f>
        <v>1438798.578255845</v>
      </c>
      <c r="M33" s="96">
        <f>Storage_modulus_G!M33/1000000</f>
        <v>1227439.2311584128</v>
      </c>
      <c r="N33" s="96">
        <f>Storage_modulus_G!N33/1000000</f>
        <v>944060.87628592597</v>
      </c>
      <c r="O33" s="96">
        <f>Storage_modulus_G!O33/1000000</f>
        <v>603948.62937638303</v>
      </c>
      <c r="P33" s="96">
        <f>Storage_modulus_G!P33/1000000</f>
        <v>267300.64086633176</v>
      </c>
      <c r="Q33" s="96">
        <f>Storage_modulus_G!Q33/1000000</f>
        <v>62950.618285719924</v>
      </c>
      <c r="R33" s="117"/>
      <c r="S33" s="91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92">
        <v>9</v>
      </c>
      <c r="B34" s="188">
        <v>4</v>
      </c>
      <c r="C34" s="96">
        <f>Storage_modulus_G!C34/1000000</f>
        <v>1595879.147236737</v>
      </c>
      <c r="D34" s="96">
        <f>Storage_modulus_G!D34/1000000</f>
        <v>1475706.5332759002</v>
      </c>
      <c r="E34" s="96">
        <f>Storage_modulus_G!E34/1000000</f>
        <v>1399587.3225726257</v>
      </c>
      <c r="F34" s="96">
        <f>Storage_modulus_G!F34/1000000</f>
        <v>944060.87628592597</v>
      </c>
      <c r="G34" s="96">
        <f>Storage_modulus_G!G34/1000000</f>
        <v>417830.36664662318</v>
      </c>
      <c r="H34" s="96">
        <f>Storage_modulus_G!H34/1000000</f>
        <v>247172.41450161385</v>
      </c>
      <c r="I34" s="96">
        <f>Storage_modulus_G!I34/1000000</f>
        <v>190107.82799233033</v>
      </c>
      <c r="J34" s="96">
        <f>Storage_modulus_G!J34/1000000</f>
        <v>142232.87871228228</v>
      </c>
      <c r="K34" s="96">
        <f>Storage_modulus_G!K34/1000000</f>
        <v>84139.514164519991</v>
      </c>
      <c r="L34" s="96">
        <f>Storage_modulus_G!L34/1000000</f>
        <v>77624.711662869377</v>
      </c>
      <c r="M34" s="96">
        <f>Storage_modulus_G!M34/1000000</f>
        <v>64714.261574858348</v>
      </c>
      <c r="N34" s="96">
        <f>Storage_modulus_G!N34/1000000</f>
        <v>55207.743928076037</v>
      </c>
      <c r="O34" s="96">
        <f>Storage_modulus_G!O34/1000000</f>
        <v>36224.299841669912</v>
      </c>
      <c r="P34" s="96">
        <f>Storage_modulus_G!P34/1000000</f>
        <v>16032.453906900446</v>
      </c>
      <c r="Q34" s="96">
        <f>Storage_modulus_G!Q34/1000000</f>
        <v>1099.0058394325245</v>
      </c>
      <c r="R34" s="117"/>
      <c r="S34" s="91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92">
        <v>9</v>
      </c>
      <c r="B35" s="188">
        <v>5</v>
      </c>
      <c r="C35" s="96">
        <f>Storage_modulus_G!C35/1000000</f>
        <v>138675.58288718906</v>
      </c>
      <c r="D35" s="96">
        <f>Storage_modulus_G!D35/1000000</f>
        <v>121338.88504649773</v>
      </c>
      <c r="E35" s="96">
        <f>Storage_modulus_G!E35/1000000</f>
        <v>103752.84158180146</v>
      </c>
      <c r="F35" s="96">
        <f>Storage_modulus_G!F35/1000000</f>
        <v>62950.618285719924</v>
      </c>
      <c r="G35" s="96">
        <f>Storage_modulus_G!G35/1000000</f>
        <v>2177.7097723531629</v>
      </c>
      <c r="H35" s="96">
        <f>Storage_modulus_G!H35/1000000</f>
        <v>1428.8939585111048</v>
      </c>
      <c r="I35" s="96">
        <f>Storage_modulus_G!I35/1000000</f>
        <v>845.2788451602911</v>
      </c>
      <c r="J35" s="96">
        <f>Storage_modulus_G!J35/1000000</f>
        <v>474.24198526024611</v>
      </c>
      <c r="K35" s="96">
        <f>Storage_modulus_G!K35/1000000</f>
        <v>12.274392311584105</v>
      </c>
      <c r="L35" s="96"/>
      <c r="M35" s="96"/>
      <c r="N35" s="96"/>
      <c r="O35" s="96"/>
      <c r="P35" s="96"/>
      <c r="Q35" s="96"/>
      <c r="R35" s="117"/>
      <c r="S35" s="91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92">
        <v>9</v>
      </c>
      <c r="B36" s="188">
        <v>6</v>
      </c>
      <c r="C36" s="96">
        <f>Storage_modulus_G!C36/1000000</f>
        <v>26424.087573219593</v>
      </c>
      <c r="D36" s="96">
        <f>Storage_modulus_G!D36/1000000</f>
        <v>25118.864315095892</v>
      </c>
      <c r="E36" s="96">
        <f>Storage_modulus_G!E36/1000000</f>
        <v>23173.94649968488</v>
      </c>
      <c r="F36" s="96">
        <f>Storage_modulus_G!F36/1000000</f>
        <v>14454.397707459311</v>
      </c>
      <c r="G36" s="96">
        <f>Storage_modulus_G!G36/1000000</f>
        <v>824.13811501300586</v>
      </c>
      <c r="H36" s="96">
        <f>Storage_modulus_G!H36/1000000</f>
        <v>426.57951880159385</v>
      </c>
      <c r="I36" s="96">
        <f>Storage_modulus_G!I36/1000000</f>
        <v>336.51156937549126</v>
      </c>
      <c r="J36" s="96">
        <f>Storage_modulus_G!J36/1000000</f>
        <v>103.27614057613984</v>
      </c>
      <c r="K36" s="96"/>
      <c r="L36" s="96"/>
      <c r="M36" s="96"/>
      <c r="N36" s="96"/>
      <c r="O36" s="96"/>
      <c r="P36" s="96"/>
      <c r="Q36" s="96"/>
      <c r="R36" s="117"/>
      <c r="S36" s="91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92">
        <v>9</v>
      </c>
      <c r="B37" s="188">
        <v>7</v>
      </c>
      <c r="C37" s="96">
        <f>Storage_modulus_G!C37/1000000</f>
        <v>2296.1486481123707</v>
      </c>
      <c r="D37" s="96">
        <f>Storage_modulus_G!D37/1000000</f>
        <v>2065.3801558105288</v>
      </c>
      <c r="E37" s="96">
        <f>Storage_modulus_G!E37/1000000</f>
        <v>1857.8044550917041</v>
      </c>
      <c r="F37" s="96">
        <f>Storage_modulus_G!F37/1000000</f>
        <v>963.82902362397283</v>
      </c>
      <c r="G37" s="96">
        <f>Storage_modulus_G!G37/1000000</f>
        <v>54.954087385762492</v>
      </c>
      <c r="H37" s="96">
        <f>Storage_modulus_G!H37/1000000</f>
        <v>30.831879502493617</v>
      </c>
      <c r="I37" s="96">
        <f>Storage_modulus_G!I37/1000000</f>
        <v>20.749135174549153</v>
      </c>
      <c r="J37" s="96">
        <f>Storage_modulus_G!J37/1000000</f>
        <v>5.7279603098583003</v>
      </c>
      <c r="K37" s="96">
        <f>Storage_modulus_G!K37/1000000</f>
        <v>0.1140249787561172</v>
      </c>
      <c r="L37" s="96"/>
      <c r="M37" s="96"/>
      <c r="N37" s="96"/>
      <c r="O37" s="96"/>
      <c r="P37" s="96"/>
      <c r="Q37" s="96"/>
      <c r="R37" s="117"/>
      <c r="S37" s="91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234">
        <v>10</v>
      </c>
      <c r="B38" s="171">
        <v>1</v>
      </c>
      <c r="C38" s="108">
        <f>Storage_modulus_G!C38/1000000</f>
        <v>3622.4205389489998</v>
      </c>
      <c r="D38" s="108">
        <f>Storage_modulus_G!D38/1000000</f>
        <v>3524.3558952080002</v>
      </c>
      <c r="E38" s="108">
        <f>Storage_modulus_G!E38/1000000</f>
        <v>3245.8096108189998</v>
      </c>
      <c r="F38" s="108">
        <f>Storage_modulus_G!F38/1000000</f>
        <v>2948.5375894829999</v>
      </c>
      <c r="G38" s="108">
        <f>Storage_modulus_G!G38/1000000</f>
        <v>2791.0566637839997</v>
      </c>
      <c r="H38" s="108">
        <f>Storage_modulus_G!H38/1000000</f>
        <v>2570.4652268610002</v>
      </c>
      <c r="I38" s="108">
        <f>Storage_modulus_G!I38/1000000</f>
        <v>2210.3332359320002</v>
      </c>
      <c r="J38" s="108">
        <f>Storage_modulus_G!J38/1000000</f>
        <v>1703.0505544560001</v>
      </c>
      <c r="K38" s="108">
        <f>Storage_modulus_G!K38/1000000</f>
        <v>366.24051734</v>
      </c>
      <c r="L38" s="108">
        <f>Storage_modulus_G!L38/1000000</f>
        <v>74.553360208000001</v>
      </c>
      <c r="M38" s="108">
        <f>Storage_modulus_G!M38/1000000</f>
        <v>34.101775384000007</v>
      </c>
      <c r="N38" s="108">
        <f>Storage_modulus_G!N38/1000000</f>
        <v>24.198589907999999</v>
      </c>
      <c r="O38" s="108">
        <f>Storage_modulus_G!O38/1000000</f>
        <v>17.408541125999999</v>
      </c>
      <c r="P38" s="108">
        <f>Storage_modulus_G!P38/1000000</f>
        <v>11.693325702999999</v>
      </c>
      <c r="Q38" s="108">
        <f>Storage_modulus_G!Q38/1000000</f>
        <v>7.537628754</v>
      </c>
      <c r="R38" s="108">
        <f>Storage_modulus_G!R38/1000000</f>
        <v>4.1780848629999996</v>
      </c>
      <c r="S38" s="109">
        <f>Storage_modulus_G!S38/1000000</f>
        <v>0.72138059300000001</v>
      </c>
      <c r="T38" s="91"/>
      <c r="U38" s="91"/>
      <c r="V38" s="91"/>
      <c r="W38" s="4"/>
      <c r="X38" s="4"/>
      <c r="Y38" s="4"/>
      <c r="Z38" s="4"/>
      <c r="AA38" s="4"/>
    </row>
    <row r="39" spans="1:28" s="241" customFormat="1" ht="15.75" customHeight="1">
      <c r="A39" s="234">
        <v>11</v>
      </c>
      <c r="B39" s="235">
        <v>1</v>
      </c>
      <c r="C39" s="148">
        <f>Storage_modulus_G!C39/1000000</f>
        <v>4115.6942205699997</v>
      </c>
      <c r="D39" s="148">
        <f>Storage_modulus_G!D39/1000000</f>
        <v>4115.6942205699997</v>
      </c>
      <c r="E39" s="148">
        <f>Storage_modulus_G!E39/1000000</f>
        <v>3846.5140368550001</v>
      </c>
      <c r="F39" s="148">
        <f>Storage_modulus_G!F39/1000000</f>
        <v>3687.289920277</v>
      </c>
      <c r="G39" s="148">
        <f>Storage_modulus_G!G39/1000000</f>
        <v>3504.8993125550001</v>
      </c>
      <c r="H39" s="148">
        <f>Storage_modulus_G!H39/1000000</f>
        <v>3303.4812762010001</v>
      </c>
      <c r="I39" s="148">
        <f>Storage_modulus_G!I39/1000000</f>
        <v>3140.07472788</v>
      </c>
      <c r="J39" s="148">
        <f>Storage_modulus_G!J39/1000000</f>
        <v>3035.6532118350001</v>
      </c>
      <c r="K39" s="148">
        <f>Storage_modulus_G!K39/1000000</f>
        <v>2813.224694172</v>
      </c>
      <c r="L39" s="148">
        <f>Storage_modulus_G!L39/1000000</f>
        <v>2742.7639013429998</v>
      </c>
      <c r="M39" s="147">
        <f>Storage_modulus_G!M39/1000000</f>
        <v>2607.0939687859996</v>
      </c>
      <c r="N39" s="147">
        <f>Storage_modulus_G!N39/1000000</f>
        <v>2478.1341863720004</v>
      </c>
      <c r="O39" s="147">
        <f>Storage_modulus_G!O39/1000000</f>
        <v>2335.7204877550002</v>
      </c>
      <c r="P39" s="147">
        <f>Storage_modulus_G!P39/1000000</f>
        <v>2040.184470832</v>
      </c>
      <c r="Q39" s="147">
        <f>Storage_modulus_G!Q39/1000000</f>
        <v>1737.4087679439999</v>
      </c>
      <c r="R39" s="147">
        <f>Storage_modulus_G!R39/1000000</f>
        <v>1314.3985184619999</v>
      </c>
      <c r="S39" s="148">
        <f>Storage_modulus_G!S39/1000000</f>
        <v>588.69407584700002</v>
      </c>
      <c r="T39" s="148">
        <f>Storage_modulus_G!T39/1000000</f>
        <v>118.090613479</v>
      </c>
      <c r="U39" s="148">
        <f>Storage_modulus_G!U39/1000000</f>
        <v>24.921422734</v>
      </c>
      <c r="V39" s="149">
        <f>Storage_modulus_G!V39/1000000</f>
        <v>16.192062068999999</v>
      </c>
      <c r="W39" s="240"/>
    </row>
    <row r="40" spans="1:28" ht="15.75" customHeight="1">
      <c r="A40" s="23"/>
      <c r="B40" s="97"/>
      <c r="C40" s="232"/>
      <c r="D40" s="232"/>
      <c r="E40" s="232"/>
      <c r="F40" s="232"/>
      <c r="G40" s="232"/>
      <c r="H40" s="232"/>
      <c r="I40" s="232"/>
      <c r="J40" s="232"/>
      <c r="K40" s="91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</row>
    <row r="41" spans="1:28" ht="15.75" customHeight="1">
      <c r="A41" s="23"/>
      <c r="B41" s="15"/>
      <c r="C41" s="54"/>
      <c r="D41" s="54"/>
      <c r="E41" s="54"/>
      <c r="F41" s="54"/>
      <c r="G41" s="54"/>
      <c r="H41" s="54"/>
      <c r="I41" s="54"/>
      <c r="J41" s="54"/>
      <c r="K41" s="4"/>
    </row>
    <row r="42" spans="1:28" ht="15.75" customHeight="1">
      <c r="A42" s="23"/>
      <c r="B42" s="15"/>
      <c r="C42" s="54"/>
      <c r="D42" s="54"/>
      <c r="E42" s="54"/>
      <c r="F42" s="54"/>
      <c r="G42" s="54"/>
      <c r="H42" s="54"/>
      <c r="I42" s="54"/>
      <c r="J42" s="54"/>
      <c r="K42" s="4"/>
    </row>
    <row r="43" spans="1:28" ht="15.75" customHeight="1">
      <c r="A43" s="23"/>
      <c r="B43" s="15"/>
      <c r="C43" s="4"/>
      <c r="D43" s="4"/>
      <c r="E43" s="4"/>
      <c r="F43" s="4"/>
      <c r="G43" s="4"/>
      <c r="H43" s="4"/>
      <c r="I43" s="4"/>
      <c r="J43" s="4"/>
    </row>
    <row r="44" spans="1:28" ht="15.75" customHeight="1">
      <c r="A44" s="23"/>
      <c r="B44" s="15"/>
    </row>
    <row r="45" spans="1:28" ht="15.75" customHeight="1">
      <c r="A45" s="23"/>
      <c r="B45" s="15"/>
    </row>
    <row r="46" spans="1:28" ht="15.75" customHeight="1">
      <c r="A46" s="23"/>
      <c r="B46" s="15"/>
    </row>
    <row r="47" spans="1:28" ht="15.75" customHeight="1">
      <c r="A47" s="23"/>
      <c r="B47" s="15"/>
    </row>
    <row r="48" spans="1:28" ht="15.75" customHeight="1">
      <c r="A48" s="23"/>
      <c r="B48" s="15"/>
    </row>
    <row r="49" spans="1:16" ht="15.75" customHeight="1">
      <c r="A49" s="23"/>
      <c r="B49" s="15"/>
    </row>
    <row r="50" spans="1:16" ht="15.75" customHeight="1">
      <c r="A50" s="23"/>
      <c r="B50" s="1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6" ht="15.75" customHeight="1">
      <c r="A51" s="23"/>
      <c r="B51" s="1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15.75" customHeight="1">
      <c r="A52" s="23"/>
      <c r="B52" s="1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5.75" customHeight="1">
      <c r="A53" s="23"/>
      <c r="B53" s="1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5.75" customHeight="1">
      <c r="A54" s="23"/>
      <c r="B54" s="1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5.75" customHeight="1">
      <c r="A55" s="23"/>
      <c r="B55" s="1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5.75" customHeight="1">
      <c r="A56" s="23"/>
      <c r="B56" s="1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5.75" customHeight="1">
      <c r="A57" s="23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5.75" customHeight="1">
      <c r="A58" s="23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5.75" customHeight="1">
      <c r="A59" s="23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5.75" customHeight="1">
      <c r="A60" s="23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5.75" customHeight="1">
      <c r="A61" s="23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6" ht="15.75" customHeight="1">
      <c r="A62" s="23"/>
      <c r="B62" s="15"/>
    </row>
    <row r="63" spans="1:16" ht="15.75" customHeight="1">
      <c r="A63" s="23"/>
      <c r="B63" s="15"/>
    </row>
    <row r="64" spans="1:16" ht="15.75" customHeight="1">
      <c r="A64" s="23"/>
      <c r="B64" s="15"/>
    </row>
    <row r="65" spans="1:23" ht="15.75" customHeight="1">
      <c r="A65" s="23"/>
      <c r="B65" s="15"/>
    </row>
    <row r="66" spans="1:23" ht="15.75" customHeight="1">
      <c r="A66" s="23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23" ht="15.75" customHeight="1">
      <c r="A67" s="23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23" ht="15.75" customHeight="1">
      <c r="A68" s="23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23" ht="15.75" customHeight="1">
      <c r="A69" s="23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23" ht="15.75" customHeight="1">
      <c r="A70" s="13"/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23" ht="15.75" customHeight="1">
      <c r="A71" s="13"/>
      <c r="B71" s="1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23" ht="15.75" customHeight="1">
      <c r="A72" s="13"/>
      <c r="B72" s="1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23" ht="15.75" customHeight="1">
      <c r="A73" s="13"/>
      <c r="B73" s="1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3" ht="15.75" customHeight="1">
      <c r="A74" s="13"/>
      <c r="B74" s="1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>
      <c r="A75" s="13"/>
      <c r="B75" s="1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>
      <c r="A76" s="13"/>
      <c r="B76" s="1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4"/>
      <c r="P76" s="4"/>
      <c r="Q76" s="4"/>
      <c r="R76" s="4"/>
      <c r="S76" s="4"/>
      <c r="T76" s="4"/>
      <c r="U76" s="4"/>
      <c r="V76" s="4"/>
    </row>
    <row r="77" spans="1:23" ht="15.75" customHeight="1">
      <c r="A77" s="13"/>
      <c r="B77" s="14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4"/>
    </row>
    <row r="78" spans="1:23" ht="15.75" customHeight="1">
      <c r="A78" s="13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4"/>
    </row>
    <row r="79" spans="1:23" ht="15.75" customHeight="1">
      <c r="A79" s="13"/>
      <c r="B79" s="1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4"/>
    </row>
    <row r="80" spans="1:23" ht="15.75" customHeight="1">
      <c r="A80" s="13"/>
      <c r="B80" s="14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4"/>
    </row>
    <row r="81" spans="1:29" ht="15.75" customHeight="1">
      <c r="A81" s="13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Y81" s="46"/>
      <c r="Z81" s="20"/>
      <c r="AB81" s="20"/>
      <c r="AC81" s="20"/>
    </row>
    <row r="82" spans="1:29" ht="15.75" customHeight="1">
      <c r="A82" s="13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Y82" s="46"/>
      <c r="Z82" s="20"/>
      <c r="AB82" s="20"/>
      <c r="AC82" s="20"/>
    </row>
    <row r="83" spans="1:29" ht="15.75" customHeight="1">
      <c r="A83" s="13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Y83" s="46"/>
      <c r="Z83" s="20"/>
      <c r="AB83" s="20"/>
    </row>
    <row r="84" spans="1:29" ht="15.75" customHeight="1">
      <c r="A84" s="13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Y84" s="46"/>
      <c r="Z84" s="20"/>
      <c r="AB84" s="20"/>
      <c r="AC84" s="20"/>
    </row>
    <row r="85" spans="1:29" ht="15.75" customHeight="1">
      <c r="A85" s="13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Y85" s="46"/>
      <c r="Z85" s="20"/>
      <c r="AB85" s="20"/>
      <c r="AC85" s="20"/>
    </row>
    <row r="86" spans="1:29" ht="15.75" customHeight="1">
      <c r="A86" s="13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Y86" s="46"/>
      <c r="Z86" s="20"/>
      <c r="AB86" s="20"/>
      <c r="AC86" s="20"/>
    </row>
    <row r="87" spans="1:29" ht="15.75" customHeight="1">
      <c r="A87" s="13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Y87" s="46"/>
      <c r="Z87" s="20"/>
      <c r="AB87" s="20"/>
      <c r="AC87" s="20"/>
    </row>
    <row r="88" spans="1:29" ht="15.75" customHeight="1">
      <c r="A88" s="13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Y88" s="46"/>
      <c r="Z88" s="20"/>
      <c r="AB88" s="20"/>
      <c r="AC88" s="20"/>
    </row>
    <row r="89" spans="1:29" ht="15.75" customHeight="1">
      <c r="A89" s="13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Y89" s="46"/>
      <c r="Z89" s="20"/>
      <c r="AB89" s="20"/>
      <c r="AC89" s="20"/>
    </row>
    <row r="90" spans="1:29" ht="15.75" customHeight="1">
      <c r="A90" s="13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Y90" s="46"/>
      <c r="Z90" s="20"/>
      <c r="AB90" s="20"/>
      <c r="AC90" s="20"/>
    </row>
    <row r="91" spans="1:29" ht="15.75" customHeight="1">
      <c r="A91" s="13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Y91" s="46"/>
      <c r="Z91" s="20"/>
      <c r="AB91" s="20"/>
      <c r="AC91" s="20"/>
    </row>
    <row r="92" spans="1:29" ht="15.75" customHeight="1">
      <c r="A92" s="13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Y92" s="46"/>
      <c r="Z92" s="20"/>
      <c r="AB92" s="20"/>
      <c r="AC92" s="20"/>
    </row>
    <row r="93" spans="1:29" ht="15.75" customHeight="1">
      <c r="A93" s="13"/>
      <c r="B93" s="1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Y93" s="46"/>
      <c r="Z93" s="20"/>
      <c r="AB93" s="20"/>
      <c r="AC93" s="20"/>
    </row>
    <row r="94" spans="1:29" ht="15.75" customHeight="1">
      <c r="A94" s="13"/>
      <c r="B94" s="1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Y94" s="46"/>
      <c r="Z94" s="20"/>
      <c r="AB94" s="20"/>
    </row>
    <row r="95" spans="1:29" ht="15.75" customHeight="1">
      <c r="A95" s="13"/>
      <c r="B95" s="1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Y95" s="46"/>
      <c r="Z95" s="20"/>
      <c r="AB95" s="20"/>
      <c r="AC95" s="20"/>
    </row>
    <row r="96" spans="1:29" ht="15.75" customHeight="1">
      <c r="A96" s="13"/>
      <c r="B96" s="1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Y96" s="46"/>
      <c r="Z96" s="20"/>
      <c r="AB96" s="20"/>
      <c r="AC96" s="20"/>
    </row>
    <row r="97" spans="1:29" ht="15.75" customHeight="1">
      <c r="A97" s="13"/>
      <c r="B97" s="1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Y97" s="46"/>
      <c r="Z97" s="20"/>
      <c r="AB97" s="20"/>
      <c r="AC97" s="20"/>
    </row>
    <row r="98" spans="1:29" ht="15.75" customHeight="1">
      <c r="A98" s="13"/>
      <c r="B98" s="1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Y98" s="46"/>
      <c r="Z98" s="20"/>
      <c r="AB98" s="20"/>
      <c r="AC98" s="20"/>
    </row>
    <row r="99" spans="1:29" ht="15.75" customHeight="1">
      <c r="A99" s="13"/>
      <c r="B99" s="1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Y99" s="46"/>
      <c r="Z99" s="20"/>
      <c r="AB99" s="20"/>
      <c r="AC99" s="20"/>
    </row>
    <row r="100" spans="1:29" ht="15.75" customHeight="1">
      <c r="A100" s="13"/>
      <c r="B100" s="1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Y100" s="46"/>
      <c r="Z100" s="20"/>
      <c r="AB100" s="20"/>
      <c r="AC100" s="20"/>
    </row>
    <row r="101" spans="1:29" ht="15.75" customHeight="1">
      <c r="A101" s="13"/>
      <c r="B101" s="1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29" ht="15.75" customHeight="1">
      <c r="A102" s="13"/>
      <c r="B102" s="14"/>
      <c r="C102" s="4"/>
      <c r="D102" s="4"/>
      <c r="E102" s="4"/>
      <c r="F102" s="4"/>
      <c r="G102" s="4"/>
      <c r="H102" s="4"/>
      <c r="I102" s="4"/>
      <c r="J102" s="4"/>
      <c r="K102" s="4"/>
    </row>
    <row r="103" spans="1:29" ht="15.75" customHeight="1">
      <c r="A103" s="13"/>
      <c r="B103" s="14"/>
      <c r="C103" s="4"/>
      <c r="D103" s="4"/>
      <c r="E103" s="4"/>
      <c r="F103" s="4"/>
      <c r="G103" s="4"/>
      <c r="H103" s="4"/>
      <c r="I103" s="4"/>
      <c r="J103" s="4"/>
      <c r="K103" s="4"/>
    </row>
    <row r="104" spans="1:29" ht="15.75" customHeight="1">
      <c r="A104" s="13"/>
      <c r="B104" s="14"/>
      <c r="C104" s="4"/>
      <c r="D104" s="4"/>
      <c r="E104" s="4"/>
      <c r="F104" s="4"/>
      <c r="G104" s="4"/>
      <c r="H104" s="4"/>
      <c r="I104" s="4"/>
      <c r="J104" s="4"/>
      <c r="K104" s="4"/>
    </row>
    <row r="105" spans="1:29" ht="15.75" customHeight="1">
      <c r="A105" s="13"/>
      <c r="B105" s="14"/>
      <c r="C105" s="4"/>
      <c r="D105" s="4"/>
      <c r="E105" s="4"/>
      <c r="F105" s="4"/>
      <c r="G105" s="4"/>
      <c r="H105" s="4"/>
      <c r="I105" s="4"/>
      <c r="J105" s="4"/>
      <c r="K105" s="4"/>
    </row>
    <row r="106" spans="1:29" ht="15.75" customHeight="1">
      <c r="A106" s="13"/>
      <c r="B106" s="14"/>
      <c r="C106" s="4"/>
      <c r="D106" s="4"/>
      <c r="E106" s="4"/>
      <c r="F106" s="4"/>
      <c r="G106" s="4"/>
      <c r="H106" s="4"/>
      <c r="I106" s="4"/>
      <c r="J106" s="4"/>
      <c r="K106" s="4"/>
    </row>
    <row r="107" spans="1:29" ht="15.75" customHeight="1">
      <c r="A107" s="13"/>
      <c r="B107" s="14"/>
      <c r="C107" s="4"/>
      <c r="D107" s="4"/>
      <c r="E107" s="4"/>
      <c r="F107" s="4"/>
      <c r="G107" s="4"/>
      <c r="H107" s="4"/>
      <c r="I107" s="4"/>
      <c r="J107" s="4"/>
      <c r="K107" s="4"/>
    </row>
    <row r="108" spans="1:29" ht="15.75" customHeight="1">
      <c r="A108" s="13"/>
      <c r="B108" s="14"/>
      <c r="C108" s="4"/>
      <c r="D108" s="4"/>
      <c r="E108" s="4"/>
      <c r="F108" s="4"/>
      <c r="G108" s="4"/>
      <c r="H108" s="4"/>
      <c r="I108" s="4"/>
      <c r="J108" s="4"/>
      <c r="K108" s="4"/>
    </row>
    <row r="109" spans="1:29" ht="15.75" customHeight="1">
      <c r="A109" s="13"/>
      <c r="B109" s="14"/>
      <c r="C109" s="4"/>
      <c r="D109" s="4"/>
      <c r="E109" s="4"/>
      <c r="F109" s="4"/>
      <c r="G109" s="4"/>
      <c r="H109" s="4"/>
      <c r="I109" s="4"/>
      <c r="J109" s="4"/>
      <c r="K109" s="4"/>
    </row>
    <row r="110" spans="1:29" ht="15.75" customHeight="1">
      <c r="A110" s="13"/>
      <c r="B110" s="14"/>
      <c r="C110" s="4"/>
      <c r="D110" s="4"/>
      <c r="E110" s="4"/>
      <c r="F110" s="4"/>
      <c r="G110" s="4"/>
      <c r="H110" s="4"/>
      <c r="I110" s="4"/>
      <c r="J110" s="4"/>
      <c r="K110" s="4"/>
    </row>
    <row r="111" spans="1:29" ht="15.75" customHeight="1">
      <c r="A111" s="13"/>
      <c r="B111" s="14"/>
      <c r="C111" s="4"/>
      <c r="D111" s="4"/>
      <c r="E111" s="4"/>
      <c r="F111" s="4"/>
      <c r="G111" s="4"/>
      <c r="H111" s="4"/>
      <c r="I111" s="4"/>
      <c r="J111" s="4"/>
      <c r="K111" s="4"/>
    </row>
    <row r="112" spans="1:29" ht="15.75" customHeight="1">
      <c r="A112" s="13"/>
      <c r="B112" s="14"/>
      <c r="C112" s="4"/>
      <c r="D112" s="4"/>
      <c r="E112" s="4"/>
      <c r="F112" s="4"/>
      <c r="G112" s="4"/>
      <c r="H112" s="4"/>
      <c r="I112" s="4"/>
      <c r="J112" s="4"/>
      <c r="K112" s="4"/>
    </row>
    <row r="113" spans="1:12" ht="15.75" customHeight="1">
      <c r="A113" s="13"/>
      <c r="B113" s="14"/>
      <c r="C113" s="4"/>
      <c r="D113" s="4"/>
      <c r="E113" s="4"/>
      <c r="F113" s="4"/>
      <c r="G113" s="4"/>
      <c r="H113" s="4"/>
      <c r="I113" s="4"/>
      <c r="J113" s="4"/>
      <c r="K113" s="4"/>
    </row>
    <row r="114" spans="1:12" ht="15.75" customHeight="1">
      <c r="A114" s="13"/>
      <c r="B114" s="14"/>
      <c r="C114" s="4"/>
      <c r="D114" s="4"/>
      <c r="E114" s="4"/>
      <c r="F114" s="4"/>
      <c r="G114" s="4"/>
      <c r="H114" s="4"/>
      <c r="I114" s="4"/>
      <c r="J114" s="4"/>
      <c r="K114" s="4"/>
    </row>
    <row r="115" spans="1:12" ht="15.75" customHeight="1">
      <c r="A115" s="13"/>
      <c r="B115" s="14"/>
      <c r="C115" s="4"/>
      <c r="D115" s="4"/>
      <c r="E115" s="4"/>
      <c r="F115" s="4"/>
      <c r="G115" s="4"/>
      <c r="H115" s="4"/>
      <c r="I115" s="4"/>
      <c r="J115" s="4"/>
      <c r="K115" s="4"/>
    </row>
    <row r="116" spans="1:12" ht="15.75" customHeight="1">
      <c r="A116" s="13"/>
      <c r="B116" s="14"/>
      <c r="C116" s="4"/>
      <c r="D116" s="4"/>
      <c r="E116" s="4"/>
      <c r="F116" s="4"/>
      <c r="G116" s="4"/>
      <c r="H116" s="4"/>
      <c r="I116" s="4"/>
      <c r="J116" s="4"/>
      <c r="K116" s="4"/>
    </row>
    <row r="117" spans="1:12" ht="15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</row>
    <row r="118" spans="1:12" ht="15.75" customHeight="1">
      <c r="A118" s="13"/>
      <c r="B118" s="14"/>
    </row>
    <row r="119" spans="1:12" ht="15.75" customHeight="1">
      <c r="A119" s="13"/>
      <c r="B119" s="14"/>
    </row>
    <row r="120" spans="1:12" ht="15.75" customHeight="1">
      <c r="A120" s="13"/>
      <c r="B120" s="14"/>
    </row>
    <row r="121" spans="1:12" ht="15.75" customHeight="1">
      <c r="A121" s="13"/>
      <c r="B121" s="14"/>
    </row>
    <row r="122" spans="1:12" ht="15.75" customHeight="1">
      <c r="A122" s="13"/>
      <c r="B122" s="14"/>
    </row>
    <row r="123" spans="1:12" ht="15.75" customHeight="1">
      <c r="A123" s="13"/>
      <c r="B123" s="14"/>
    </row>
    <row r="124" spans="1:12" ht="15.75" customHeight="1">
      <c r="A124" s="13"/>
      <c r="B124" s="14"/>
      <c r="C124" s="4"/>
      <c r="D124" s="4"/>
      <c r="E124" s="4"/>
      <c r="F124" s="4"/>
      <c r="G124" s="4"/>
      <c r="H124" s="4"/>
      <c r="I124" s="4"/>
      <c r="J124" s="4"/>
      <c r="K124" s="4"/>
    </row>
    <row r="125" spans="1:12" ht="15.75" customHeight="1">
      <c r="A125" s="13"/>
      <c r="B125" s="1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customHeight="1">
      <c r="A126" s="13"/>
      <c r="B126" s="1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customHeight="1">
      <c r="A127" s="13"/>
      <c r="B127" s="1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customHeight="1">
      <c r="A128" s="13"/>
      <c r="B128" s="1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37" ht="15.75" customHeight="1">
      <c r="A129" s="13"/>
      <c r="B129" s="1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7" ht="15.75" customHeight="1">
      <c r="A130" s="21"/>
      <c r="B130" s="2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15.75" customHeight="1">
      <c r="A131" s="21"/>
      <c r="B131" s="2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15.75" customHeight="1">
      <c r="A132" s="21"/>
      <c r="B132" s="2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15.75" customHeight="1">
      <c r="A133" s="21"/>
      <c r="B133" s="2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15.75" customHeight="1">
      <c r="A134" s="21"/>
      <c r="B134" s="2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15.75" customHeight="1">
      <c r="A135" s="21"/>
      <c r="B135" s="2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15.75" customHeight="1">
      <c r="A136" s="21"/>
      <c r="B136" s="2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15.75" customHeight="1">
      <c r="A137" s="13"/>
      <c r="B137" s="14"/>
      <c r="C137" s="18"/>
      <c r="D137" s="18"/>
      <c r="E137" s="18"/>
      <c r="F137" s="18"/>
      <c r="G137" s="18"/>
      <c r="H137" s="18"/>
      <c r="I137" s="1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7" ht="15.75" customHeight="1">
      <c r="A138" s="13"/>
      <c r="B138" s="14"/>
      <c r="C138" s="18"/>
      <c r="D138" s="18"/>
      <c r="E138" s="18"/>
      <c r="F138" s="18"/>
      <c r="G138" s="18"/>
      <c r="H138" s="18"/>
      <c r="I138" s="18"/>
      <c r="J138" s="4"/>
    </row>
    <row r="139" spans="1:37" ht="15.75" customHeight="1">
      <c r="A139" s="13"/>
      <c r="B139" s="14"/>
      <c r="C139" s="18"/>
      <c r="D139" s="18"/>
      <c r="E139" s="18"/>
      <c r="F139" s="18"/>
      <c r="G139" s="18"/>
      <c r="H139" s="18"/>
      <c r="I139" s="18"/>
      <c r="J139" s="4"/>
    </row>
    <row r="140" spans="1:37" ht="15.75" customHeight="1">
      <c r="A140" s="13"/>
      <c r="B140" s="14"/>
      <c r="C140" s="18"/>
      <c r="D140" s="18"/>
      <c r="E140" s="18"/>
      <c r="F140" s="18"/>
      <c r="G140" s="18"/>
      <c r="H140" s="18"/>
      <c r="I140" s="1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37" ht="15.75" customHeight="1">
      <c r="A141" s="13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37" ht="15.75" customHeight="1">
      <c r="A142" s="13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37" ht="15.75" customHeight="1">
      <c r="A143" s="13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37" ht="15.75" customHeight="1">
      <c r="A144" s="13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38" ht="15.75" customHeight="1">
      <c r="A145" s="13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38" ht="15.75" customHeight="1">
      <c r="A146" s="13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>
      <c r="A147" s="13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>
      <c r="A148" s="13"/>
      <c r="B148" s="15"/>
      <c r="C148" s="4"/>
      <c r="D148" s="4"/>
      <c r="E148" s="4"/>
      <c r="F148" s="4"/>
      <c r="G148" s="3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>
      <c r="A149" s="13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>
      <c r="A151" s="23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8" ht="15.75" customHeight="1">
      <c r="A152" s="23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38" ht="15.75" customHeight="1">
      <c r="A153" s="23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38" ht="15.75" customHeight="1">
      <c r="A154" s="23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38" ht="15.75" customHeight="1">
      <c r="A155" s="13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38" ht="15.7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38" ht="15.75" customHeight="1">
      <c r="A157" s="13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38" ht="15.75" customHeight="1">
      <c r="A158" s="13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38" ht="15.75" customHeight="1">
      <c r="A159" s="13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38" ht="15.75" customHeight="1">
      <c r="A160" s="13"/>
      <c r="B160" s="1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8" ht="15.75" customHeight="1">
      <c r="A161" s="13"/>
      <c r="B161" s="1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8" ht="15.75" customHeight="1">
      <c r="A162" s="13"/>
      <c r="B162" s="1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8" ht="15.75" customHeight="1">
      <c r="A163" s="13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8" ht="15.75" customHeight="1">
      <c r="A164" s="13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8" ht="15.75" customHeight="1">
      <c r="A165" s="13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8" ht="15.75" customHeight="1">
      <c r="A166" s="13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8" ht="15.75" customHeight="1">
      <c r="A167" s="13"/>
      <c r="B167" s="1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28" ht="15.75" customHeight="1">
      <c r="A168" s="13"/>
      <c r="B168" s="1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28" ht="15.75" customHeight="1">
      <c r="A169" s="13"/>
      <c r="B169" s="14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4"/>
      <c r="N169" s="4"/>
      <c r="O169" s="4"/>
    </row>
    <row r="170" spans="1:28" ht="15.75" customHeight="1">
      <c r="A170" s="13"/>
      <c r="B170" s="14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4"/>
    </row>
    <row r="171" spans="1:28" ht="15.75" customHeight="1">
      <c r="A171" s="13"/>
      <c r="B171" s="14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4"/>
    </row>
    <row r="172" spans="1:28" ht="15.75" customHeight="1">
      <c r="A172" s="13"/>
      <c r="B172" s="14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4"/>
    </row>
    <row r="173" spans="1:28" ht="15.75" customHeight="1">
      <c r="A173" s="13"/>
      <c r="B173" s="14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4"/>
    </row>
    <row r="174" spans="1:28" ht="15.75" customHeight="1">
      <c r="A174" s="23"/>
      <c r="B174" s="15"/>
      <c r="C174" s="4"/>
      <c r="D174" s="4"/>
      <c r="E174" s="4"/>
      <c r="F174" s="4"/>
      <c r="G174" s="18"/>
      <c r="H174" s="4"/>
      <c r="I174" s="4"/>
      <c r="J174" s="4"/>
      <c r="K174" s="4"/>
      <c r="L174" s="4"/>
    </row>
    <row r="175" spans="1:28" ht="15.75" customHeight="1">
      <c r="A175" s="23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8" ht="15.75" customHeight="1">
      <c r="A176" s="13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35" ht="15.75" customHeight="1">
      <c r="A177" s="13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35" ht="15.75" customHeight="1">
      <c r="A178" s="13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35" ht="15.75" customHeight="1">
      <c r="A179" s="13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35" ht="15.75" customHeight="1">
      <c r="A180" s="23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35" ht="15.75" customHeight="1">
      <c r="A181" s="23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35" ht="15.75" customHeight="1">
      <c r="A182" s="23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35" ht="15.75" customHeight="1">
      <c r="A183" s="23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5" ht="15.75" customHeight="1">
      <c r="A184" s="13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15.75" customHeight="1">
      <c r="A185" s="13"/>
      <c r="B185" s="1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15.75" customHeight="1">
      <c r="A186" s="13"/>
      <c r="B186" s="1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15.75" customHeight="1">
      <c r="A187" s="13"/>
      <c r="B187" s="1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ht="15.75" customHeight="1">
      <c r="A188" s="13"/>
      <c r="B188" s="1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1:35" ht="15.75" customHeight="1">
      <c r="A189" s="13"/>
      <c r="B189" s="1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35" ht="15.75" customHeight="1">
      <c r="A190" s="13"/>
      <c r="B190" s="1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35" ht="15.75" customHeight="1">
      <c r="A191" s="13"/>
      <c r="B191" s="1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35" ht="15.75" customHeight="1">
      <c r="A192" s="13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5.75" customHeight="1">
      <c r="A193" s="13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5.75" customHeight="1">
      <c r="A194" s="13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5.75" customHeight="1">
      <c r="A195" s="13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5.75" customHeight="1">
      <c r="A196" s="13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5.75" customHeight="1">
      <c r="A197" s="13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5.75" customHeight="1">
      <c r="A198" s="13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5.75" customHeight="1">
      <c r="A199" s="13"/>
      <c r="B199" s="14"/>
      <c r="C199" s="4"/>
      <c r="D199" s="4"/>
      <c r="E199" s="46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6" ht="15.75" customHeight="1">
      <c r="A200" s="13"/>
      <c r="B200" s="14"/>
      <c r="E200" s="46"/>
    </row>
    <row r="201" spans="1:16" ht="15.75" customHeight="1">
      <c r="A201" s="13"/>
      <c r="B201" s="14"/>
      <c r="E201" s="46"/>
    </row>
    <row r="202" spans="1:16" ht="15.75" customHeight="1">
      <c r="A202" s="13"/>
      <c r="B202" s="14"/>
    </row>
    <row r="203" spans="1:16" ht="15.75" customHeight="1">
      <c r="A203" s="13"/>
      <c r="B203" s="14"/>
    </row>
    <row r="204" spans="1:16" ht="15.75" customHeight="1">
      <c r="A204" s="13"/>
      <c r="B204" s="14"/>
    </row>
    <row r="205" spans="1:16" ht="15.75" customHeight="1">
      <c r="A205" s="13"/>
      <c r="B205" s="14"/>
    </row>
    <row r="206" spans="1:16" ht="15.75" customHeight="1">
      <c r="A206" s="13"/>
      <c r="B206" s="14"/>
    </row>
    <row r="207" spans="1:16" ht="15.75" customHeight="1">
      <c r="A207" s="13"/>
      <c r="B207" s="14"/>
    </row>
    <row r="208" spans="1:16" ht="15.75" customHeight="1">
      <c r="A208" s="13"/>
      <c r="B208" s="14"/>
    </row>
    <row r="209" spans="1:27" ht="15.75" customHeight="1">
      <c r="A209" s="13"/>
      <c r="B209" s="14"/>
      <c r="E209" s="46"/>
    </row>
    <row r="210" spans="1:27" ht="15.75" customHeight="1">
      <c r="A210" s="13"/>
      <c r="B210" s="14"/>
      <c r="E210" s="46"/>
    </row>
    <row r="211" spans="1:27" ht="15.75" customHeight="1">
      <c r="A211" s="13"/>
      <c r="B211" s="14"/>
      <c r="E211" s="46"/>
    </row>
    <row r="212" spans="1:27" ht="15.75" customHeight="1">
      <c r="A212" s="13"/>
      <c r="B212" s="14"/>
      <c r="C212" s="4"/>
      <c r="D212" s="4"/>
      <c r="E212" s="46"/>
      <c r="F212" s="4"/>
      <c r="G212" s="4"/>
      <c r="H212" s="4"/>
    </row>
    <row r="213" spans="1:27" ht="15.75" customHeight="1">
      <c r="A213" s="13"/>
      <c r="B213" s="14"/>
      <c r="C213" s="37"/>
      <c r="D213" s="37"/>
      <c r="E213" s="37"/>
      <c r="F213" s="37"/>
      <c r="G213" s="37"/>
      <c r="H213" s="37"/>
      <c r="I213" s="4"/>
    </row>
    <row r="214" spans="1:27" ht="15.75" customHeight="1">
      <c r="A214" s="13"/>
      <c r="B214" s="14"/>
      <c r="C214" s="37"/>
      <c r="D214" s="37"/>
      <c r="E214" s="37"/>
      <c r="F214" s="37"/>
      <c r="G214" s="37"/>
      <c r="H214" s="37"/>
      <c r="I214" s="4"/>
    </row>
    <row r="215" spans="1:27" ht="15.75" customHeight="1">
      <c r="A215" s="13"/>
      <c r="B215" s="14"/>
      <c r="C215" s="37"/>
      <c r="D215" s="37"/>
      <c r="E215" s="37"/>
      <c r="F215" s="37"/>
      <c r="G215" s="37"/>
      <c r="H215" s="37"/>
      <c r="I215" s="4"/>
      <c r="L215" s="46"/>
    </row>
    <row r="216" spans="1:27" ht="15.75" customHeight="1">
      <c r="A216" s="13"/>
      <c r="B216" s="14"/>
      <c r="C216" s="37"/>
      <c r="D216" s="37"/>
      <c r="E216" s="37"/>
      <c r="F216" s="37"/>
      <c r="G216" s="37"/>
      <c r="H216" s="37"/>
      <c r="I216" s="4"/>
      <c r="L216" s="46"/>
    </row>
    <row r="217" spans="1:27" ht="15.75" customHeight="1">
      <c r="A217" s="13"/>
      <c r="B217" s="14"/>
      <c r="C217" s="37"/>
      <c r="D217" s="37"/>
      <c r="E217" s="37"/>
      <c r="F217" s="37"/>
      <c r="G217" s="37"/>
      <c r="H217" s="37"/>
      <c r="I217" s="37"/>
      <c r="J217" s="4"/>
      <c r="K217" s="4"/>
      <c r="L217" s="4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7" ht="15.75" customHeight="1">
      <c r="A218" s="23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23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23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23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23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23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23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4" ht="15.75" customHeight="1">
      <c r="A225" s="23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23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23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23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23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4" ht="15.75" customHeight="1">
      <c r="A231" s="13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24" ht="15.7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24" ht="15.75" customHeight="1">
      <c r="A233" s="13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24" ht="15.75" customHeight="1">
      <c r="A234" s="13"/>
      <c r="B234" s="14"/>
    </row>
    <row r="235" spans="1:24" ht="15.75" customHeight="1">
      <c r="A235" s="13"/>
      <c r="B235" s="14"/>
    </row>
    <row r="236" spans="1:24" ht="15.75" customHeight="1">
      <c r="A236" s="13"/>
      <c r="B236" s="14"/>
    </row>
    <row r="237" spans="1:24" ht="15.75" customHeight="1">
      <c r="A237" s="13"/>
      <c r="B237" s="14"/>
    </row>
    <row r="238" spans="1:24" ht="15.75" customHeight="1">
      <c r="A238" s="13"/>
      <c r="B238" s="14"/>
    </row>
    <row r="239" spans="1:24" ht="15.75" customHeight="1">
      <c r="A239" s="13"/>
      <c r="B239" s="14"/>
    </row>
    <row r="240" spans="1:24" ht="15.75" customHeight="1">
      <c r="A240" s="13"/>
      <c r="B240" s="14"/>
    </row>
    <row r="241" spans="1:27" ht="15.75" customHeight="1">
      <c r="A241" s="13"/>
      <c r="B241" s="14"/>
    </row>
    <row r="242" spans="1:27" ht="15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27" ht="15.75" customHeight="1">
      <c r="A243" s="23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27" ht="15.75" customHeight="1">
      <c r="A244" s="23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27" ht="15.75" customHeight="1">
      <c r="A245" s="23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27" ht="15.75" customHeight="1">
      <c r="A246" s="23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27" ht="15.75" customHeight="1">
      <c r="A247" s="23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27" ht="15.75" customHeight="1">
      <c r="A248" s="23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27" ht="15.75" customHeight="1">
      <c r="A249" s="23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27" ht="15.75" customHeight="1">
      <c r="A250" s="23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7" ht="15.75" customHeight="1">
      <c r="A251" s="23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7" ht="15.75" customHeight="1">
      <c r="A252" s="23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7" ht="15.75" customHeight="1">
      <c r="A253" s="23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7" ht="15.75" customHeight="1">
      <c r="A254" s="23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7" ht="15.75" customHeight="1">
      <c r="A255" s="23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7" ht="15.75" customHeight="1">
      <c r="A256" s="23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8" ht="15.75" customHeight="1">
      <c r="A257" s="23"/>
      <c r="B257" s="1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>
      <c r="A258" s="23"/>
      <c r="B258" s="1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>
      <c r="A259" s="23"/>
      <c r="B259" s="1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>
      <c r="A260" s="23"/>
      <c r="B260" s="1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>
      <c r="A261" s="23"/>
      <c r="B261" s="1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>
      <c r="A262" s="23"/>
      <c r="B262" s="1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>
      <c r="A263" s="23"/>
      <c r="B263" s="1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>
      <c r="A264" s="23"/>
      <c r="B264" s="1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8" ht="15.75" customHeight="1">
      <c r="A265" s="23"/>
      <c r="B265" s="15"/>
    </row>
    <row r="266" spans="1:28" ht="15.75" customHeight="1">
      <c r="A266" s="23"/>
      <c r="B266" s="15"/>
    </row>
    <row r="267" spans="1:28" ht="15.75" customHeight="1">
      <c r="A267" s="23"/>
      <c r="B267" s="15"/>
    </row>
    <row r="268" spans="1:28" ht="15.75" customHeight="1">
      <c r="A268" s="23"/>
      <c r="B268" s="15"/>
    </row>
    <row r="269" spans="1:28" ht="15.75" customHeight="1">
      <c r="A269" s="23"/>
      <c r="B269" s="15"/>
    </row>
    <row r="270" spans="1:28" ht="15.75" customHeight="1">
      <c r="A270" s="23"/>
      <c r="B270" s="15"/>
    </row>
    <row r="271" spans="1:28" ht="15.75" customHeight="1">
      <c r="A271" s="23"/>
      <c r="B271" s="15"/>
    </row>
    <row r="272" spans="1:28" ht="15.75" customHeight="1">
      <c r="A272" s="23"/>
      <c r="B272" s="15"/>
    </row>
    <row r="273" spans="1:19" ht="15.75" customHeight="1">
      <c r="A273" s="23"/>
      <c r="B273" s="15"/>
    </row>
    <row r="274" spans="1:19" ht="15.75" customHeight="1">
      <c r="A274" s="23"/>
      <c r="B274" s="15"/>
    </row>
    <row r="275" spans="1:19" ht="15.75" customHeight="1">
      <c r="A275" s="23"/>
      <c r="B275" s="1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9" ht="15.75" customHeight="1">
      <c r="A276" s="21"/>
      <c r="B276" s="1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 ht="15.75" customHeight="1">
      <c r="A277" s="21"/>
      <c r="B277" s="1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 ht="15.75" customHeight="1">
      <c r="A278" s="21"/>
      <c r="B278" s="1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 ht="15.75" customHeight="1">
      <c r="A279" s="21"/>
      <c r="B279" s="1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 ht="15.75" customHeight="1">
      <c r="A280" s="13"/>
      <c r="B280" s="1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 ht="15.75" customHeight="1">
      <c r="A281" s="13"/>
      <c r="B281" s="1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 ht="15.75" customHeight="1">
      <c r="A282" s="13"/>
      <c r="B282" s="1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 ht="15.75" customHeight="1">
      <c r="A283" s="13"/>
      <c r="B283" s="1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 ht="15.75" customHeight="1">
      <c r="A284" s="13"/>
      <c r="B284" s="1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9" ht="15.75" customHeight="1">
      <c r="A285" s="13"/>
      <c r="B285" s="14"/>
      <c r="C285" s="4"/>
      <c r="D285" s="4"/>
      <c r="E285" s="4"/>
      <c r="F285" s="4"/>
      <c r="G285" s="4"/>
      <c r="H285" s="4"/>
      <c r="I285" s="4"/>
      <c r="J285" s="4"/>
    </row>
    <row r="286" spans="1:19" ht="15.75" customHeight="1">
      <c r="A286" s="13"/>
      <c r="B286" s="14"/>
      <c r="C286" s="4"/>
      <c r="D286" s="4"/>
      <c r="E286" s="4"/>
      <c r="F286" s="4"/>
      <c r="G286" s="4"/>
      <c r="H286" s="4"/>
      <c r="I286" s="4"/>
      <c r="J286" s="4"/>
    </row>
    <row r="287" spans="1:19" ht="15.75" customHeight="1">
      <c r="A287" s="13"/>
      <c r="B287" s="14"/>
      <c r="C287" s="4"/>
      <c r="D287" s="4"/>
      <c r="E287" s="4"/>
      <c r="F287" s="4"/>
      <c r="G287" s="4"/>
      <c r="H287" s="4"/>
      <c r="I287" s="4"/>
      <c r="J287" s="4"/>
    </row>
    <row r="288" spans="1:19" ht="15.75" customHeight="1">
      <c r="A288" s="13"/>
      <c r="B288" s="14"/>
      <c r="C288" s="4"/>
      <c r="D288" s="4"/>
      <c r="E288" s="4"/>
      <c r="F288" s="4"/>
      <c r="G288" s="4"/>
      <c r="H288" s="4"/>
      <c r="I288" s="4"/>
      <c r="J288" s="4"/>
    </row>
    <row r="289" spans="1:11" ht="15.75" customHeight="1">
      <c r="A289" s="13"/>
      <c r="B289" s="14"/>
      <c r="C289" s="4"/>
      <c r="D289" s="4"/>
      <c r="E289" s="4"/>
      <c r="F289" s="4"/>
      <c r="G289" s="4"/>
      <c r="H289" s="4"/>
      <c r="I289" s="4"/>
      <c r="J289" s="4"/>
    </row>
    <row r="290" spans="1:11" ht="15.75" customHeight="1">
      <c r="A290" s="13"/>
      <c r="B290" s="14"/>
      <c r="C290" s="4"/>
      <c r="D290" s="4"/>
      <c r="E290" s="4"/>
      <c r="F290" s="4"/>
      <c r="G290" s="4"/>
      <c r="H290" s="4"/>
      <c r="I290" s="4"/>
      <c r="J290" s="4"/>
    </row>
    <row r="291" spans="1:11" ht="15.75" customHeight="1">
      <c r="A291" s="13"/>
      <c r="B291" s="15"/>
    </row>
    <row r="292" spans="1:11" ht="15.75" customHeight="1">
      <c r="A292" s="13"/>
      <c r="B292" s="15"/>
    </row>
    <row r="293" spans="1:11" ht="15.75" customHeight="1">
      <c r="A293" s="13"/>
      <c r="B293" s="15"/>
    </row>
    <row r="294" spans="1:11" ht="15.75" customHeight="1">
      <c r="A294" s="13"/>
      <c r="B294" s="15"/>
    </row>
    <row r="295" spans="1:11" ht="15.75" customHeight="1">
      <c r="A295" s="13"/>
      <c r="B295" s="15"/>
    </row>
    <row r="296" spans="1:11" ht="15.75" customHeight="1">
      <c r="A296" s="13"/>
      <c r="B296" s="15"/>
    </row>
    <row r="297" spans="1:11" ht="15.75" customHeight="1">
      <c r="A297" s="13"/>
      <c r="B297" s="15"/>
    </row>
    <row r="298" spans="1:11" ht="15.75" customHeight="1">
      <c r="A298" s="13"/>
      <c r="B298" s="15"/>
    </row>
    <row r="299" spans="1:11" ht="15.75" customHeight="1">
      <c r="A299" s="13"/>
      <c r="B299" s="15"/>
    </row>
    <row r="300" spans="1:11" ht="15.75" customHeight="1">
      <c r="A300" s="13"/>
      <c r="B300" s="15"/>
      <c r="C300" s="4"/>
      <c r="D300" s="4"/>
      <c r="E300" s="4"/>
      <c r="F300" s="4"/>
      <c r="G300" s="4"/>
      <c r="H300" s="4"/>
      <c r="I300" s="4"/>
      <c r="J300" s="4"/>
      <c r="K300" s="4"/>
    </row>
    <row r="301" spans="1:11" ht="15.75" customHeight="1">
      <c r="A301" s="13"/>
      <c r="B301" s="15"/>
      <c r="C301" s="4"/>
      <c r="D301" s="4"/>
      <c r="E301" s="4"/>
      <c r="F301" s="4"/>
      <c r="G301" s="4"/>
      <c r="H301" s="4"/>
      <c r="I301" s="4"/>
      <c r="J301" s="4"/>
      <c r="K301" s="4"/>
    </row>
    <row r="302" spans="1:11" ht="15.75" customHeight="1">
      <c r="A302" s="13"/>
      <c r="B302" s="15"/>
      <c r="C302" s="4"/>
      <c r="D302" s="4"/>
      <c r="E302" s="4"/>
      <c r="F302" s="4"/>
      <c r="G302" s="4"/>
      <c r="H302" s="4"/>
      <c r="I302" s="4"/>
      <c r="J302" s="4"/>
      <c r="K302" s="4"/>
    </row>
    <row r="303" spans="1:11" ht="15.75" customHeight="1">
      <c r="A303" s="13"/>
      <c r="B303" s="15"/>
      <c r="C303" s="4"/>
      <c r="D303" s="4"/>
      <c r="E303" s="4"/>
      <c r="F303" s="4"/>
      <c r="G303" s="4"/>
      <c r="H303" s="4"/>
      <c r="I303" s="4"/>
      <c r="J303" s="4"/>
      <c r="K303" s="4"/>
    </row>
    <row r="304" spans="1:11" ht="15.75" customHeight="1">
      <c r="A304" s="13"/>
      <c r="B304" s="15"/>
    </row>
    <row r="305" spans="1:18" ht="15.75" customHeight="1">
      <c r="A305" s="13"/>
      <c r="B305" s="15"/>
    </row>
    <row r="306" spans="1:18" ht="15.75" customHeight="1">
      <c r="A306" s="13"/>
      <c r="B306" s="15"/>
    </row>
    <row r="307" spans="1:18" ht="15.75" customHeight="1">
      <c r="A307" s="13"/>
      <c r="B307" s="15"/>
    </row>
    <row r="308" spans="1:18" ht="15.75" customHeight="1">
      <c r="A308" s="13"/>
      <c r="B308" s="15"/>
    </row>
    <row r="309" spans="1:18" ht="15.75" customHeight="1">
      <c r="A309" s="13"/>
      <c r="B309" s="15"/>
    </row>
    <row r="310" spans="1:18" ht="15.75" customHeight="1">
      <c r="A310" s="13"/>
      <c r="B310" s="15"/>
    </row>
    <row r="311" spans="1:18" ht="15.75" customHeight="1">
      <c r="A311" s="13"/>
      <c r="B311" s="15"/>
    </row>
    <row r="312" spans="1:18" ht="15.75" customHeight="1">
      <c r="A312" s="13"/>
      <c r="B312" s="15"/>
    </row>
    <row r="313" spans="1:18" ht="15.75" customHeight="1">
      <c r="A313" s="23"/>
      <c r="B313" s="1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5.75" customHeight="1">
      <c r="A314" s="23"/>
      <c r="B314" s="1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5.75" customHeight="1">
      <c r="A315" s="23"/>
      <c r="B315" s="1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8" ht="15.75" customHeight="1">
      <c r="A316" s="23"/>
      <c r="B316" s="1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8" ht="15.75" customHeight="1">
      <c r="A317" s="13"/>
      <c r="B317" s="1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8" ht="15.75" customHeight="1">
      <c r="A318" s="13"/>
      <c r="B318" s="1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8" ht="15.75" customHeight="1">
      <c r="A319" s="13"/>
      <c r="B319" s="1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8" ht="15.75" customHeight="1">
      <c r="A320" s="13"/>
      <c r="B320" s="1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9" ht="15.75" customHeight="1">
      <c r="A321" s="13"/>
      <c r="B321" s="1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9" ht="15.75" customHeight="1">
      <c r="A322" s="13"/>
      <c r="B322" s="1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ht="15.75" customHeight="1">
      <c r="A323" s="13"/>
      <c r="B323" s="1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 ht="15.75" customHeight="1">
      <c r="A324" s="13"/>
      <c r="B324" s="1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 ht="15.75" customHeight="1">
      <c r="A325" s="13"/>
      <c r="B325" s="1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 ht="15.75" customHeight="1">
      <c r="A326" s="13"/>
      <c r="B326" s="1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 ht="15.75" customHeight="1">
      <c r="A327" s="13"/>
      <c r="B327" s="1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ht="15.75" customHeight="1">
      <c r="A328" s="13"/>
      <c r="B328" s="14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"/>
    </row>
    <row r="329" spans="1:19" ht="15.75" customHeight="1">
      <c r="A329" s="13"/>
      <c r="B329" s="14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4"/>
    </row>
    <row r="330" spans="1:19" ht="15.75" customHeight="1">
      <c r="A330" s="13"/>
      <c r="B330" s="14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4"/>
    </row>
    <row r="331" spans="1:19" ht="15.75" customHeight="1">
      <c r="A331" s="13"/>
      <c r="B331" s="1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4"/>
    </row>
    <row r="332" spans="1:19" ht="15.75" customHeight="1">
      <c r="A332" s="13"/>
      <c r="B332" s="14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4"/>
    </row>
    <row r="333" spans="1:19" ht="15.75" customHeight="1">
      <c r="A333" s="13"/>
      <c r="B333" s="14"/>
      <c r="C333" s="36"/>
      <c r="D333" s="36"/>
      <c r="E333" s="36"/>
      <c r="F333" s="36"/>
      <c r="G333" s="36"/>
      <c r="H333" s="36"/>
      <c r="I333" s="36"/>
      <c r="J333" s="4"/>
      <c r="K333" s="4"/>
      <c r="L333" s="4"/>
      <c r="M333" s="4"/>
      <c r="N333" s="4"/>
    </row>
    <row r="334" spans="1:19" ht="15.75" customHeight="1">
      <c r="A334" s="13"/>
      <c r="B334" s="14"/>
      <c r="C334" s="36"/>
      <c r="D334" s="36"/>
      <c r="E334" s="36"/>
      <c r="F334" s="36"/>
      <c r="G334" s="36"/>
      <c r="H334" s="36"/>
      <c r="I334" s="36"/>
      <c r="J334" s="4"/>
      <c r="K334" s="4"/>
      <c r="L334" s="4"/>
      <c r="M334" s="4"/>
      <c r="N334" s="4"/>
    </row>
    <row r="335" spans="1:19" ht="15.75" customHeight="1">
      <c r="A335" s="13"/>
      <c r="B335" s="14"/>
      <c r="C335" s="36"/>
      <c r="D335" s="36"/>
      <c r="E335" s="36"/>
      <c r="F335" s="36"/>
      <c r="G335" s="36"/>
      <c r="H335" s="36"/>
      <c r="I335" s="36"/>
      <c r="J335" s="4"/>
      <c r="K335" s="4"/>
      <c r="L335" s="4"/>
      <c r="M335" s="4"/>
      <c r="N335" s="4"/>
    </row>
    <row r="336" spans="1:19" ht="15.75" customHeight="1">
      <c r="A336" s="13"/>
      <c r="B336" s="1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AT987" xr:uid="{00000000-0001-0000-08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254"/>
  <sheetViews>
    <sheetView workbookViewId="0">
      <selection activeCell="K44" sqref="K44"/>
    </sheetView>
  </sheetViews>
  <sheetFormatPr defaultColWidth="12.5546875" defaultRowHeight="15" customHeight="1"/>
  <sheetData>
    <row r="1" spans="1:23" ht="14.4">
      <c r="A1" s="12" t="s">
        <v>9</v>
      </c>
      <c r="B1" s="11" t="s">
        <v>10</v>
      </c>
    </row>
    <row r="2" spans="1:23" ht="14.4">
      <c r="A2" s="93">
        <v>1</v>
      </c>
      <c r="B2" s="94">
        <v>1</v>
      </c>
    </row>
    <row r="3" spans="1:23" ht="14.4">
      <c r="A3" s="92">
        <v>1</v>
      </c>
      <c r="B3" s="15">
        <v>2</v>
      </c>
    </row>
    <row r="4" spans="1:23" ht="14.4">
      <c r="A4" s="92">
        <v>1</v>
      </c>
      <c r="B4" s="15">
        <v>3</v>
      </c>
      <c r="U4" s="90"/>
    </row>
    <row r="5" spans="1:23" ht="14.4">
      <c r="A5" s="92">
        <v>1</v>
      </c>
      <c r="B5" s="97">
        <v>4</v>
      </c>
      <c r="C5" s="90"/>
      <c r="D5" s="90"/>
      <c r="E5" s="90"/>
      <c r="F5" s="90"/>
      <c r="G5" s="150"/>
      <c r="H5" s="15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3" ht="14.4">
      <c r="A6" s="139">
        <v>2</v>
      </c>
      <c r="B6" s="140">
        <v>1</v>
      </c>
      <c r="C6" s="141">
        <v>73.988</v>
      </c>
      <c r="D6" s="141">
        <v>100.961</v>
      </c>
      <c r="E6" s="141">
        <v>136.131</v>
      </c>
      <c r="F6" s="141">
        <v>183.55199999999999</v>
      </c>
      <c r="G6" s="141">
        <v>256.52999999999997</v>
      </c>
      <c r="H6" s="141">
        <v>358.52300000000002</v>
      </c>
      <c r="I6" s="141">
        <v>507.09399999999999</v>
      </c>
      <c r="J6" s="141">
        <v>708.70799999999997</v>
      </c>
      <c r="K6" s="141">
        <v>1026.6510000000001</v>
      </c>
      <c r="L6" s="141">
        <v>1541.539</v>
      </c>
      <c r="M6" s="141">
        <v>2399.1770000000001</v>
      </c>
      <c r="N6" s="141">
        <v>3434.2</v>
      </c>
      <c r="O6" s="141">
        <v>4915.7380000000003</v>
      </c>
      <c r="P6" s="141">
        <v>7469.8630000000003</v>
      </c>
      <c r="Q6" s="141">
        <v>10821.013000000001</v>
      </c>
      <c r="R6" s="141">
        <v>14765.995999999999</v>
      </c>
      <c r="S6" s="141">
        <v>19909.725999999999</v>
      </c>
      <c r="T6" s="142">
        <v>28160.253000000001</v>
      </c>
      <c r="U6" s="96"/>
      <c r="V6" s="90"/>
    </row>
    <row r="7" spans="1:23" ht="14.4">
      <c r="A7" s="93">
        <v>3</v>
      </c>
      <c r="B7" s="94">
        <v>1</v>
      </c>
      <c r="C7" s="90"/>
      <c r="D7" s="90"/>
      <c r="E7" s="90"/>
      <c r="F7" s="90"/>
      <c r="G7" s="150"/>
      <c r="H7" s="15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</row>
    <row r="8" spans="1:23" ht="14.4">
      <c r="A8" s="92">
        <v>3</v>
      </c>
      <c r="B8" s="97">
        <v>2</v>
      </c>
      <c r="G8" s="36"/>
      <c r="H8" s="36"/>
      <c r="U8" s="90"/>
    </row>
    <row r="9" spans="1:23" ht="14.4">
      <c r="A9" s="92">
        <v>3</v>
      </c>
      <c r="B9" s="97">
        <v>3</v>
      </c>
      <c r="G9" s="36"/>
      <c r="H9" s="36"/>
    </row>
    <row r="10" spans="1:23" ht="14.4">
      <c r="A10" s="92">
        <v>3</v>
      </c>
      <c r="B10" s="97">
        <v>4</v>
      </c>
      <c r="G10" s="36"/>
      <c r="H10" s="36"/>
    </row>
    <row r="11" spans="1:23" ht="14.4">
      <c r="A11" s="92">
        <v>3</v>
      </c>
      <c r="B11" s="97">
        <v>1</v>
      </c>
      <c r="G11" s="36"/>
      <c r="H11" s="36"/>
    </row>
    <row r="12" spans="1:23" ht="14.4">
      <c r="A12" s="92">
        <v>3</v>
      </c>
      <c r="B12" s="97">
        <v>2</v>
      </c>
      <c r="G12" s="36"/>
      <c r="H12" s="36"/>
    </row>
    <row r="13" spans="1:23" ht="14.4">
      <c r="A13" s="92">
        <v>3</v>
      </c>
      <c r="B13" s="97">
        <v>3</v>
      </c>
      <c r="G13" s="36"/>
      <c r="H13" s="36"/>
    </row>
    <row r="14" spans="1:23" ht="14.4">
      <c r="A14" s="103">
        <v>3</v>
      </c>
      <c r="B14" s="104">
        <v>4</v>
      </c>
      <c r="C14" s="4"/>
      <c r="G14" s="36"/>
      <c r="H14" s="36"/>
    </row>
    <row r="15" spans="1:23" ht="14.4">
      <c r="A15" s="93">
        <v>4</v>
      </c>
      <c r="B15" s="94">
        <v>1</v>
      </c>
      <c r="C15" s="90"/>
      <c r="D15" s="90"/>
      <c r="E15" s="90"/>
      <c r="F15" s="90"/>
      <c r="G15" s="150"/>
      <c r="H15" s="15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</row>
    <row r="16" spans="1:23" ht="14.4">
      <c r="A16" s="93">
        <v>5</v>
      </c>
      <c r="B16" s="94">
        <v>1</v>
      </c>
      <c r="C16" s="183">
        <v>1898.5909999999999</v>
      </c>
      <c r="D16" s="183">
        <v>2724.5450000000001</v>
      </c>
      <c r="E16" s="183">
        <v>4127.4930000000004</v>
      </c>
      <c r="F16" s="183">
        <v>6031.0379999999996</v>
      </c>
      <c r="G16" s="186">
        <v>8973.0689999999995</v>
      </c>
      <c r="H16" s="186">
        <v>12876.681</v>
      </c>
      <c r="I16" s="186">
        <v>17036.190999999999</v>
      </c>
      <c r="J16" s="186">
        <v>18478.682000000001</v>
      </c>
      <c r="K16" s="183">
        <v>26757.837</v>
      </c>
      <c r="L16" s="183">
        <v>33232.923999999999</v>
      </c>
      <c r="M16" s="183">
        <v>39098.214</v>
      </c>
      <c r="N16" s="183">
        <v>47261.752</v>
      </c>
      <c r="O16" s="183">
        <v>53148.411</v>
      </c>
      <c r="P16" s="183">
        <v>60310.394999999997</v>
      </c>
      <c r="Q16" s="183">
        <v>69058.256999999998</v>
      </c>
      <c r="R16" s="183">
        <v>78364.187000000005</v>
      </c>
      <c r="S16" s="183">
        <v>83477.322</v>
      </c>
      <c r="T16" s="186">
        <v>87332.630999999994</v>
      </c>
      <c r="U16" s="186">
        <v>96452.562000000005</v>
      </c>
      <c r="V16" s="184">
        <v>100907.056</v>
      </c>
      <c r="W16" s="90"/>
    </row>
    <row r="17" spans="1:24" ht="14.4">
      <c r="A17" s="93">
        <v>6</v>
      </c>
      <c r="B17" s="187">
        <v>1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</row>
    <row r="18" spans="1:24" ht="14.4">
      <c r="A18" s="92">
        <v>6</v>
      </c>
      <c r="B18" s="188">
        <v>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24" ht="14.4">
      <c r="A19" s="92">
        <v>6</v>
      </c>
      <c r="B19" s="188">
        <v>3</v>
      </c>
    </row>
    <row r="20" spans="1:24" ht="14.4">
      <c r="A20" s="92">
        <v>6</v>
      </c>
      <c r="B20" s="188">
        <v>4</v>
      </c>
    </row>
    <row r="21" spans="1:24" ht="14.4">
      <c r="A21" s="92">
        <v>6</v>
      </c>
      <c r="B21" s="97">
        <v>5</v>
      </c>
    </row>
    <row r="22" spans="1:24" ht="14.4">
      <c r="A22" s="92">
        <v>6</v>
      </c>
      <c r="B22" s="97">
        <v>6</v>
      </c>
    </row>
    <row r="23" spans="1:24" ht="14.4">
      <c r="A23" s="92">
        <v>6</v>
      </c>
      <c r="B23" s="97">
        <v>7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4" ht="14.4">
      <c r="A24" s="93">
        <v>7</v>
      </c>
      <c r="B24" s="187">
        <v>1</v>
      </c>
      <c r="C24" s="120">
        <v>1220.086</v>
      </c>
      <c r="D24" s="120">
        <v>918.99599999999998</v>
      </c>
      <c r="E24" s="120">
        <v>669.93899999999996</v>
      </c>
      <c r="F24" s="120">
        <v>556.62400000000002</v>
      </c>
      <c r="G24" s="120">
        <v>452.50299999999999</v>
      </c>
      <c r="H24" s="120">
        <v>388.46300000000002</v>
      </c>
      <c r="I24" s="120">
        <v>322.75700000000001</v>
      </c>
      <c r="J24" s="120">
        <v>271.10399999999998</v>
      </c>
      <c r="K24" s="120">
        <v>222.80699999999999</v>
      </c>
      <c r="L24" s="120">
        <v>195.49</v>
      </c>
      <c r="M24" s="120">
        <v>171.52199999999999</v>
      </c>
      <c r="N24" s="120">
        <v>150.49299999999999</v>
      </c>
      <c r="O24" s="120">
        <v>126.408</v>
      </c>
      <c r="P24" s="120">
        <v>113.354</v>
      </c>
      <c r="Q24" s="120">
        <v>98.378</v>
      </c>
      <c r="R24" s="120">
        <v>86.316999999999993</v>
      </c>
      <c r="S24" s="120">
        <v>74.100999999999999</v>
      </c>
      <c r="T24" s="120">
        <v>62.923999999999999</v>
      </c>
      <c r="U24" s="120">
        <v>50.598999999999997</v>
      </c>
      <c r="V24" s="120">
        <v>42.500999999999998</v>
      </c>
      <c r="W24" s="121">
        <v>33.076999999999998</v>
      </c>
      <c r="X24" s="90"/>
    </row>
    <row r="25" spans="1:24" ht="14.4">
      <c r="A25" s="92">
        <v>7</v>
      </c>
      <c r="B25" s="188">
        <v>2</v>
      </c>
      <c r="C25" s="122">
        <v>7039.366</v>
      </c>
      <c r="D25" s="122">
        <v>4244.2659999999996</v>
      </c>
      <c r="E25" s="122">
        <v>2722.5610000000001</v>
      </c>
      <c r="F25" s="122">
        <v>1465.2760000000001</v>
      </c>
      <c r="G25" s="122">
        <v>979.56100000000004</v>
      </c>
      <c r="H25" s="122">
        <v>634.87800000000004</v>
      </c>
      <c r="I25" s="122">
        <v>572.59500000000003</v>
      </c>
      <c r="J25" s="122">
        <v>538.197</v>
      </c>
      <c r="K25" s="122">
        <v>490.43700000000001</v>
      </c>
      <c r="L25" s="122">
        <v>411.48099999999999</v>
      </c>
      <c r="M25" s="122">
        <v>382.78899999999999</v>
      </c>
      <c r="N25" s="122">
        <v>334.70600000000002</v>
      </c>
      <c r="O25" s="122">
        <v>208.154</v>
      </c>
      <c r="P25" s="122">
        <v>64.813000000000002</v>
      </c>
      <c r="Q25" s="122">
        <v>7.5670000000000002</v>
      </c>
      <c r="R25" s="122">
        <v>6.3490000000000002</v>
      </c>
      <c r="S25" s="122">
        <v>5.5510000000000002</v>
      </c>
      <c r="T25" s="122">
        <v>4.7060000000000004</v>
      </c>
      <c r="U25" s="122">
        <v>4.1150000000000002</v>
      </c>
      <c r="V25" s="122">
        <v>3.3820000000000001</v>
      </c>
      <c r="W25" s="123">
        <v>2.867</v>
      </c>
      <c r="X25" s="90"/>
    </row>
    <row r="26" spans="1:24" ht="14.4">
      <c r="A26" s="103">
        <v>7</v>
      </c>
      <c r="B26" s="209">
        <v>3</v>
      </c>
      <c r="C26" s="155">
        <v>46257.123</v>
      </c>
      <c r="D26" s="155">
        <v>33119.923000000003</v>
      </c>
      <c r="E26" s="155">
        <v>24331.041000000001</v>
      </c>
      <c r="F26" s="155">
        <v>15719.137000000001</v>
      </c>
      <c r="G26" s="155">
        <v>7654.7070000000003</v>
      </c>
      <c r="H26" s="155">
        <v>4819.8739999999998</v>
      </c>
      <c r="I26" s="155">
        <v>3451.0120000000002</v>
      </c>
      <c r="J26" s="155">
        <v>2535.2339999999999</v>
      </c>
      <c r="K26" s="155">
        <v>1659.075</v>
      </c>
      <c r="L26" s="155">
        <v>1187.8920000000001</v>
      </c>
      <c r="M26" s="155">
        <v>942.60699999999997</v>
      </c>
      <c r="N26" s="155">
        <v>495.80700000000002</v>
      </c>
      <c r="O26" s="155">
        <v>308.20499999999998</v>
      </c>
      <c r="P26" s="155">
        <v>65.105000000000004</v>
      </c>
      <c r="Q26" s="155">
        <v>14.478</v>
      </c>
      <c r="R26" s="155">
        <v>12.731999999999999</v>
      </c>
      <c r="S26" s="155">
        <v>11.054</v>
      </c>
      <c r="T26" s="155">
        <v>8.3320000000000007</v>
      </c>
      <c r="U26" s="155">
        <v>6.8719999999999999</v>
      </c>
      <c r="V26" s="155">
        <v>5.3140000000000001</v>
      </c>
      <c r="W26" s="157">
        <v>4.1630000000000003</v>
      </c>
      <c r="X26" s="90"/>
    </row>
    <row r="27" spans="1:24" ht="15" customHeight="1">
      <c r="A27" s="93">
        <v>8</v>
      </c>
      <c r="B27" s="187">
        <v>1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4" ht="15" customHeight="1">
      <c r="A28" s="92">
        <v>8</v>
      </c>
      <c r="B28" s="188">
        <v>2</v>
      </c>
    </row>
    <row r="29" spans="1:24" ht="15" customHeight="1">
      <c r="A29" s="92">
        <v>8</v>
      </c>
      <c r="B29" s="188">
        <v>3</v>
      </c>
    </row>
    <row r="30" spans="1:24" ht="15" customHeight="1">
      <c r="A30" s="92">
        <v>8</v>
      </c>
      <c r="B30" s="188">
        <v>4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</row>
    <row r="31" spans="1:24" ht="15" customHeight="1">
      <c r="A31" s="93">
        <v>9</v>
      </c>
      <c r="B31" s="187">
        <v>1</v>
      </c>
      <c r="C31" s="126">
        <v>40831938633269.445</v>
      </c>
      <c r="D31" s="126">
        <v>39994474976109.867</v>
      </c>
      <c r="E31" s="126">
        <v>42756288615158.703</v>
      </c>
      <c r="F31" s="126">
        <v>52119471110508.328</v>
      </c>
      <c r="G31" s="126">
        <v>62373483548242.125</v>
      </c>
      <c r="H31" s="126">
        <v>79615935041731.828</v>
      </c>
      <c r="I31" s="126">
        <v>49888448746001.359</v>
      </c>
      <c r="J31" s="126">
        <v>45708818961487.711</v>
      </c>
      <c r="K31" s="126">
        <v>36559479161312.641</v>
      </c>
      <c r="L31" s="126">
        <v>37411058827205.477</v>
      </c>
      <c r="M31" s="126">
        <v>30619634336906.875</v>
      </c>
      <c r="N31" s="126">
        <v>21928049353504.512</v>
      </c>
      <c r="O31" s="126">
        <v>12882495516931.373</v>
      </c>
      <c r="P31" s="126">
        <v>5188000389289.626</v>
      </c>
      <c r="Q31" s="126">
        <v>1866379690834.6777</v>
      </c>
      <c r="R31" s="127"/>
      <c r="S31" s="90"/>
    </row>
    <row r="32" spans="1:24" ht="15" customHeight="1">
      <c r="A32" s="92">
        <v>9</v>
      </c>
      <c r="B32" s="188">
        <v>2</v>
      </c>
      <c r="C32" s="90">
        <v>2722701308077.9277</v>
      </c>
      <c r="D32" s="90">
        <v>3111716337106.0288</v>
      </c>
      <c r="E32" s="90">
        <v>3801893963205.6279</v>
      </c>
      <c r="F32" s="90">
        <v>4954501908047.917</v>
      </c>
      <c r="G32" s="90">
        <v>3881503659906.4956</v>
      </c>
      <c r="H32" s="90">
        <v>5188000389289.626</v>
      </c>
      <c r="I32" s="90">
        <v>3556313185689.8589</v>
      </c>
      <c r="J32" s="90">
        <v>2228435149270.3149</v>
      </c>
      <c r="K32" s="90">
        <v>2382319469358.6997</v>
      </c>
      <c r="L32" s="90">
        <v>2786121168629.7759</v>
      </c>
      <c r="M32" s="90">
        <v>3475361614432.0767</v>
      </c>
      <c r="N32" s="90">
        <v>3111716337106.0288</v>
      </c>
      <c r="O32" s="90">
        <v>1399587322572.6257</v>
      </c>
      <c r="P32" s="90">
        <v>470977326396.9549</v>
      </c>
      <c r="Q32" s="90">
        <v>34276778654.645119</v>
      </c>
      <c r="R32" s="128"/>
      <c r="S32" s="90"/>
    </row>
    <row r="33" spans="1:20" ht="15" customHeight="1">
      <c r="A33" s="92">
        <v>9</v>
      </c>
      <c r="B33" s="188">
        <v>3</v>
      </c>
      <c r="C33" s="90">
        <v>132739445772.97427</v>
      </c>
      <c r="D33" s="90">
        <v>165958690743.75656</v>
      </c>
      <c r="E33" s="90">
        <v>264240875732.19531</v>
      </c>
      <c r="F33" s="90">
        <v>767361489361.82178</v>
      </c>
      <c r="G33" s="90">
        <v>385478357665.77325</v>
      </c>
      <c r="H33" s="90">
        <v>301995172040.20282</v>
      </c>
      <c r="I33" s="90">
        <v>252929799644.6153</v>
      </c>
      <c r="J33" s="90">
        <v>169824365246.17493</v>
      </c>
      <c r="K33" s="90">
        <v>162181009735.89349</v>
      </c>
      <c r="L33" s="90">
        <v>181134009261.96045</v>
      </c>
      <c r="M33" s="90">
        <v>211836113524.85074</v>
      </c>
      <c r="N33" s="90">
        <v>202768271952.12894</v>
      </c>
      <c r="O33" s="90">
        <v>145211161758.77493</v>
      </c>
      <c r="P33" s="90">
        <v>46773514128.719872</v>
      </c>
      <c r="Q33" s="90">
        <v>7244359600.7499132</v>
      </c>
      <c r="R33" s="128"/>
      <c r="S33" s="90"/>
    </row>
    <row r="34" spans="1:20" ht="15" customHeight="1">
      <c r="A34" s="92">
        <v>9</v>
      </c>
      <c r="B34" s="188">
        <v>4</v>
      </c>
      <c r="C34" s="90">
        <v>25703957827.688728</v>
      </c>
      <c r="D34" s="90">
        <v>29376496519.615356</v>
      </c>
      <c r="E34" s="90">
        <v>38282474331.682419</v>
      </c>
      <c r="F34" s="90">
        <v>148593564228.70142</v>
      </c>
      <c r="G34" s="90">
        <v>34276778654.645119</v>
      </c>
      <c r="H34" s="90">
        <v>15066070661.867485</v>
      </c>
      <c r="I34" s="90">
        <v>15776112696.993551</v>
      </c>
      <c r="J34" s="90">
        <v>12618275345.906754</v>
      </c>
      <c r="K34" s="90">
        <v>13803842646.028885</v>
      </c>
      <c r="L34" s="90">
        <v>12618275345.906754</v>
      </c>
      <c r="M34" s="90">
        <v>12912192736.135387</v>
      </c>
      <c r="N34" s="90">
        <v>12912192736.135387</v>
      </c>
      <c r="O34" s="90">
        <v>9885530946.5693932</v>
      </c>
      <c r="P34" s="90">
        <v>3564511334.2624512</v>
      </c>
      <c r="Q34" s="90">
        <v>803526122.18561745</v>
      </c>
      <c r="R34" s="128">
        <v>142232878.71228233</v>
      </c>
      <c r="S34" s="90"/>
    </row>
    <row r="35" spans="1:20" ht="15" customHeight="1">
      <c r="A35" s="92">
        <v>9</v>
      </c>
      <c r="B35" s="188">
        <v>5</v>
      </c>
      <c r="C35" s="90">
        <v>3118889584.0939398</v>
      </c>
      <c r="D35" s="90">
        <v>3118889584.0939398</v>
      </c>
      <c r="E35" s="90">
        <v>4064433291.6521416</v>
      </c>
      <c r="F35" s="90">
        <v>33573761424.295574</v>
      </c>
      <c r="G35" s="90">
        <v>961612278.38366616</v>
      </c>
      <c r="H35" s="90">
        <v>302691342.81013095</v>
      </c>
      <c r="I35" s="90">
        <v>155596563.16050765</v>
      </c>
      <c r="J35" s="90">
        <v>73113908.348341912</v>
      </c>
      <c r="K35" s="90">
        <v>6353309.3185174437</v>
      </c>
      <c r="L35" s="90"/>
      <c r="M35" s="90"/>
      <c r="N35" s="90"/>
      <c r="O35" s="90"/>
      <c r="P35" s="90"/>
      <c r="Q35" s="90"/>
      <c r="R35" s="128"/>
      <c r="S35" s="90"/>
    </row>
    <row r="36" spans="1:20" ht="15" customHeight="1">
      <c r="A36" s="92">
        <v>9</v>
      </c>
      <c r="B36" s="188">
        <v>6</v>
      </c>
      <c r="C36" s="90">
        <v>552077439.2807591</v>
      </c>
      <c r="D36" s="90">
        <v>472063041.26359135</v>
      </c>
      <c r="E36" s="90">
        <v>688652296.34427571</v>
      </c>
      <c r="F36" s="90">
        <v>3723917062.5456915</v>
      </c>
      <c r="G36" s="90">
        <v>247742205.76332876</v>
      </c>
      <c r="H36" s="90">
        <v>59841159.506032072</v>
      </c>
      <c r="I36" s="90">
        <v>25763211.570025779</v>
      </c>
      <c r="J36" s="90">
        <v>11324003.632355604</v>
      </c>
      <c r="K36" s="90">
        <v>4073802.7780411378</v>
      </c>
      <c r="L36" s="90"/>
      <c r="M36" s="90"/>
      <c r="N36" s="90"/>
      <c r="O36" s="90"/>
      <c r="P36" s="90"/>
      <c r="Q36" s="90"/>
      <c r="R36" s="128"/>
      <c r="S36" s="90"/>
    </row>
    <row r="37" spans="1:20" ht="15" customHeight="1">
      <c r="A37" s="92">
        <v>9</v>
      </c>
      <c r="B37" s="188">
        <v>7</v>
      </c>
      <c r="C37" s="90">
        <v>57279603.098583072</v>
      </c>
      <c r="D37" s="90">
        <v>76383578.357769176</v>
      </c>
      <c r="E37" s="90">
        <v>97498963.771738812</v>
      </c>
      <c r="F37" s="90">
        <v>338064836.20598263</v>
      </c>
      <c r="G37" s="90">
        <v>17258378.919902094</v>
      </c>
      <c r="H37" s="90">
        <v>3491403.1547858678</v>
      </c>
      <c r="I37" s="90">
        <v>1342764.9611378668</v>
      </c>
      <c r="J37" s="90">
        <v>494310.68698683626</v>
      </c>
      <c r="K37" s="90">
        <v>116949.93910198708</v>
      </c>
      <c r="L37" s="90"/>
      <c r="M37" s="90"/>
      <c r="N37" s="90"/>
      <c r="O37" s="90"/>
      <c r="P37" s="90"/>
      <c r="Q37" s="90"/>
      <c r="R37" s="128"/>
      <c r="S37" s="90"/>
    </row>
    <row r="38" spans="1:20" ht="15" customHeight="1">
      <c r="A38" s="139">
        <v>10</v>
      </c>
      <c r="B38" s="140">
        <v>1</v>
      </c>
      <c r="C38" s="141">
        <v>100826708.48100001</v>
      </c>
      <c r="D38" s="141">
        <v>105064053.469</v>
      </c>
      <c r="E38" s="141">
        <v>105064053.469</v>
      </c>
      <c r="F38" s="141">
        <v>102219851.80400001</v>
      </c>
      <c r="G38" s="141">
        <v>100826708.48100001</v>
      </c>
      <c r="H38" s="141">
        <v>99452645.865999997</v>
      </c>
      <c r="I38" s="141">
        <v>148061137.69400001</v>
      </c>
      <c r="J38" s="141">
        <v>298108383.76099998</v>
      </c>
      <c r="K38" s="141">
        <v>267115053.78</v>
      </c>
      <c r="L38" s="141">
        <v>55126301.373999998</v>
      </c>
      <c r="M38" s="141">
        <v>13413217.972999999</v>
      </c>
      <c r="N38" s="141">
        <v>5807710.2199999997</v>
      </c>
      <c r="O38" s="141">
        <v>2884505.835</v>
      </c>
      <c r="P38" s="141">
        <v>1911117.693</v>
      </c>
      <c r="Q38" s="141">
        <v>1119097.0660000001</v>
      </c>
      <c r="R38" s="141">
        <v>721380.59299999999</v>
      </c>
      <c r="S38" s="142">
        <v>105642.291</v>
      </c>
      <c r="T38" s="90"/>
    </row>
    <row r="39" spans="1:20" ht="15" customHeight="1">
      <c r="A39" s="139">
        <v>11</v>
      </c>
      <c r="B39" s="140">
        <v>1</v>
      </c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</row>
    <row r="40" spans="1:20" ht="15" customHeight="1">
      <c r="A40" s="13"/>
      <c r="B40" s="14"/>
    </row>
    <row r="41" spans="1:20" ht="15" customHeight="1">
      <c r="A41" s="13"/>
      <c r="B41" s="14"/>
      <c r="C41" s="4"/>
      <c r="D41" s="4"/>
      <c r="E41" s="4"/>
      <c r="F41" s="4"/>
      <c r="G41" s="4"/>
      <c r="H41" s="4"/>
      <c r="I41" s="4"/>
    </row>
    <row r="42" spans="1:20" ht="15" customHeight="1">
      <c r="A42" s="13"/>
      <c r="B42" s="14"/>
      <c r="C42" s="4"/>
      <c r="D42" s="4"/>
      <c r="E42" s="4"/>
      <c r="F42" s="4"/>
      <c r="G42" s="4"/>
      <c r="H42" s="4"/>
      <c r="I42" s="4"/>
      <c r="J42" s="4"/>
    </row>
    <row r="43" spans="1:20" ht="15" customHeight="1">
      <c r="A43" s="13"/>
      <c r="B43" s="14"/>
      <c r="C43" s="4"/>
      <c r="D43" s="4"/>
      <c r="E43" s="4"/>
      <c r="F43" s="4"/>
      <c r="G43" s="4"/>
      <c r="H43" s="4"/>
      <c r="I43" s="4"/>
      <c r="J43" s="4"/>
    </row>
    <row r="44" spans="1:20" ht="15" customHeight="1">
      <c r="A44" s="13"/>
      <c r="B44" s="14"/>
      <c r="C44" s="4"/>
      <c r="D44" s="4"/>
      <c r="E44" s="4"/>
      <c r="F44" s="4"/>
      <c r="G44" s="4"/>
      <c r="H44" s="4"/>
      <c r="I44" s="4"/>
      <c r="J44" s="4"/>
    </row>
    <row r="45" spans="1:20" ht="15" customHeight="1">
      <c r="A45" s="13"/>
      <c r="B45" s="14"/>
      <c r="C45" s="4"/>
      <c r="D45" s="4"/>
      <c r="E45" s="4"/>
      <c r="F45" s="4"/>
      <c r="G45" s="4"/>
      <c r="H45" s="4"/>
      <c r="I45" s="4"/>
      <c r="J45" s="4"/>
    </row>
    <row r="46" spans="1:20" ht="15" customHeight="1">
      <c r="A46" s="13"/>
      <c r="B46" s="14"/>
      <c r="C46" s="4"/>
      <c r="D46" s="4"/>
      <c r="E46" s="4"/>
      <c r="F46" s="4"/>
      <c r="G46" s="4"/>
      <c r="H46" s="4"/>
      <c r="I46" s="4"/>
      <c r="J46" s="4"/>
    </row>
    <row r="47" spans="1:20" ht="15" customHeight="1">
      <c r="A47" s="21"/>
      <c r="B47" s="22"/>
      <c r="C47" s="4"/>
      <c r="D47" s="4"/>
      <c r="E47" s="4"/>
      <c r="F47" s="4"/>
      <c r="G47" s="4"/>
      <c r="H47" s="4"/>
      <c r="I47" s="4"/>
    </row>
    <row r="48" spans="1:20" ht="15" customHeight="1">
      <c r="A48" s="21"/>
      <c r="B48" s="22"/>
    </row>
    <row r="49" spans="1:2" ht="15" customHeight="1">
      <c r="A49" s="21"/>
      <c r="B49" s="22"/>
    </row>
    <row r="50" spans="1:2" ht="15" customHeight="1">
      <c r="A50" s="21"/>
      <c r="B50" s="22"/>
    </row>
    <row r="51" spans="1:2" ht="15" customHeight="1">
      <c r="A51" s="21"/>
      <c r="B51" s="22"/>
    </row>
    <row r="52" spans="1:2" ht="15" customHeight="1">
      <c r="A52" s="21"/>
      <c r="B52" s="22"/>
    </row>
    <row r="53" spans="1:2" ht="15" customHeight="1">
      <c r="A53" s="21"/>
      <c r="B53" s="22"/>
    </row>
    <row r="54" spans="1:2" ht="15" customHeight="1">
      <c r="A54" s="13"/>
      <c r="B54" s="14"/>
    </row>
    <row r="55" spans="1:2" ht="15" customHeight="1">
      <c r="A55" s="13"/>
      <c r="B55" s="14"/>
    </row>
    <row r="56" spans="1:2" ht="15" customHeight="1">
      <c r="A56" s="13"/>
      <c r="B56" s="14"/>
    </row>
    <row r="57" spans="1:2" ht="15" customHeight="1">
      <c r="A57" s="13"/>
      <c r="B57" s="14"/>
    </row>
    <row r="58" spans="1:2" ht="15" customHeight="1">
      <c r="A58" s="13"/>
      <c r="B58" s="15"/>
    </row>
    <row r="59" spans="1:2" ht="15" customHeight="1">
      <c r="A59" s="13"/>
      <c r="B59" s="15"/>
    </row>
    <row r="60" spans="1:2" ht="15" customHeight="1">
      <c r="A60" s="13"/>
      <c r="B60" s="15"/>
    </row>
    <row r="61" spans="1:2" ht="15" customHeight="1">
      <c r="A61" s="13"/>
      <c r="B61" s="15"/>
    </row>
    <row r="62" spans="1:2" ht="15" customHeight="1">
      <c r="A62" s="13"/>
      <c r="B62" s="15"/>
    </row>
    <row r="63" spans="1:2" ht="15" customHeight="1">
      <c r="A63" s="13"/>
      <c r="B63" s="15"/>
    </row>
    <row r="64" spans="1:2" ht="15" customHeight="1">
      <c r="A64" s="13"/>
      <c r="B64" s="15"/>
    </row>
    <row r="65" spans="1:2" ht="15" customHeight="1">
      <c r="A65" s="13"/>
      <c r="B65" s="15"/>
    </row>
    <row r="66" spans="1:2" ht="15" customHeight="1">
      <c r="A66" s="13"/>
      <c r="B66" s="15"/>
    </row>
    <row r="67" spans="1:2" ht="15" customHeight="1">
      <c r="A67" s="13"/>
      <c r="B67" s="14"/>
    </row>
    <row r="68" spans="1:2" ht="15" customHeight="1">
      <c r="A68" s="23"/>
      <c r="B68" s="15"/>
    </row>
    <row r="69" spans="1:2" ht="15" customHeight="1">
      <c r="A69" s="23"/>
      <c r="B69" s="15"/>
    </row>
    <row r="70" spans="1:2" ht="15" customHeight="1">
      <c r="A70" s="23"/>
      <c r="B70" s="15"/>
    </row>
    <row r="71" spans="1:2" ht="15" customHeight="1">
      <c r="A71" s="23"/>
      <c r="B71" s="15"/>
    </row>
    <row r="72" spans="1:2" ht="15" customHeight="1">
      <c r="A72" s="13"/>
      <c r="B72" s="14"/>
    </row>
    <row r="73" spans="1:2" ht="15" customHeight="1">
      <c r="A73" s="13"/>
      <c r="B73" s="14"/>
    </row>
    <row r="74" spans="1:2" ht="15" customHeight="1">
      <c r="A74" s="13"/>
      <c r="B74" s="14"/>
    </row>
    <row r="75" spans="1:2" ht="15" customHeight="1">
      <c r="A75" s="13"/>
      <c r="B75" s="14"/>
    </row>
    <row r="76" spans="1:2" ht="15" customHeight="1">
      <c r="A76" s="13"/>
      <c r="B76" s="14"/>
    </row>
    <row r="77" spans="1:2" ht="15" customHeight="1">
      <c r="A77" s="13"/>
      <c r="B77" s="14"/>
    </row>
    <row r="78" spans="1:2" ht="15" customHeight="1">
      <c r="A78" s="13"/>
      <c r="B78" s="14"/>
    </row>
    <row r="79" spans="1:2" ht="15" customHeight="1">
      <c r="A79" s="13"/>
      <c r="B79" s="14"/>
    </row>
    <row r="80" spans="1:2" ht="15" customHeight="1">
      <c r="A80" s="13"/>
      <c r="B80" s="14"/>
    </row>
    <row r="81" spans="1:28" ht="15" customHeight="1">
      <c r="A81" s="13"/>
      <c r="B81" s="14"/>
    </row>
    <row r="82" spans="1:28" ht="15" customHeight="1">
      <c r="A82" s="13"/>
      <c r="B82" s="1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28" ht="15" customHeight="1">
      <c r="A83" s="13"/>
      <c r="B83" s="1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28" ht="15" customHeight="1">
      <c r="A84" s="13"/>
      <c r="B84" s="1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28" ht="15" customHeight="1">
      <c r="A85" s="13"/>
      <c r="B85" s="1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28" ht="15" customHeight="1">
      <c r="A86" s="13"/>
      <c r="B86" s="1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28" ht="15" customHeight="1">
      <c r="A87" s="13"/>
      <c r="B87" s="14"/>
    </row>
    <row r="88" spans="1:28" ht="15" customHeight="1">
      <c r="A88" s="13"/>
      <c r="B88" s="14"/>
    </row>
    <row r="89" spans="1:28" ht="15" customHeight="1">
      <c r="A89" s="13"/>
      <c r="B89" s="14"/>
    </row>
    <row r="90" spans="1:28" ht="15" customHeight="1">
      <c r="A90" s="13"/>
      <c r="B90" s="14"/>
      <c r="C90" s="4"/>
      <c r="D90" s="4"/>
      <c r="E90" s="4"/>
      <c r="F90" s="4"/>
      <c r="G90" s="4"/>
      <c r="H90" s="4"/>
      <c r="I90" s="4"/>
      <c r="J90" s="4"/>
    </row>
    <row r="91" spans="1:28" ht="15" customHeight="1">
      <c r="A91" s="23"/>
      <c r="B91" s="15"/>
      <c r="C91" s="4"/>
      <c r="D91" s="4"/>
      <c r="E91" s="4"/>
      <c r="F91" s="4"/>
      <c r="G91" s="56"/>
      <c r="H91" s="4"/>
      <c r="I91" s="4"/>
      <c r="J91" s="4"/>
      <c r="K91" s="4"/>
    </row>
    <row r="92" spans="1:28" ht="15" customHeight="1">
      <c r="A92" s="23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8" ht="15" customHeight="1">
      <c r="A93" s="13"/>
      <c r="B93" s="1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" customHeight="1">
      <c r="A94" s="13"/>
      <c r="B94" s="1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" customHeight="1">
      <c r="A95" s="13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" customHeight="1">
      <c r="A96" s="13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7" ht="15" customHeight="1">
      <c r="A97" s="23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" customHeight="1">
      <c r="A98" s="23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7" ht="15" customHeight="1">
      <c r="A99" s="23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7" ht="15" customHeight="1">
      <c r="A100" s="23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7" ht="15" customHeight="1">
      <c r="A101" s="13"/>
      <c r="B101" s="1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7" ht="15" customHeight="1">
      <c r="A102" s="13"/>
      <c r="B102" s="14"/>
    </row>
    <row r="103" spans="1:27" ht="15" customHeight="1">
      <c r="A103" s="13"/>
      <c r="B103" s="14"/>
    </row>
    <row r="104" spans="1:27" ht="15" customHeight="1">
      <c r="A104" s="13"/>
      <c r="B104" s="14"/>
    </row>
    <row r="105" spans="1:27" ht="15" customHeight="1">
      <c r="A105" s="13"/>
      <c r="B105" s="14"/>
    </row>
    <row r="106" spans="1:27" ht="15" customHeight="1">
      <c r="A106" s="13"/>
      <c r="B106" s="14"/>
    </row>
    <row r="107" spans="1:27" ht="15" customHeight="1">
      <c r="A107" s="13"/>
      <c r="B107" s="14"/>
    </row>
    <row r="108" spans="1:27" ht="15" customHeight="1">
      <c r="A108" s="13"/>
      <c r="B108" s="14"/>
    </row>
    <row r="109" spans="1:27" ht="15" customHeight="1">
      <c r="A109" s="13"/>
      <c r="B109" s="15"/>
    </row>
    <row r="110" spans="1:27" ht="15" customHeight="1">
      <c r="A110" s="13"/>
      <c r="B110" s="15"/>
    </row>
    <row r="111" spans="1:27" ht="15" customHeight="1">
      <c r="A111" s="13"/>
      <c r="B111" s="15"/>
    </row>
    <row r="112" spans="1:27" ht="15" customHeight="1">
      <c r="A112" s="13"/>
      <c r="B112" s="15"/>
    </row>
    <row r="113" spans="1:2" ht="15" customHeight="1">
      <c r="A113" s="13"/>
      <c r="B113" s="15"/>
    </row>
    <row r="114" spans="1:2" ht="15" customHeight="1">
      <c r="A114" s="13"/>
      <c r="B114" s="15"/>
    </row>
    <row r="115" spans="1:2" ht="15" customHeight="1">
      <c r="A115" s="13"/>
      <c r="B115" s="15"/>
    </row>
    <row r="116" spans="1:2" ht="15" customHeight="1">
      <c r="A116" s="13"/>
      <c r="B116" s="14"/>
    </row>
    <row r="117" spans="1:2" ht="15" customHeight="1">
      <c r="A117" s="13"/>
      <c r="B117" s="14"/>
    </row>
    <row r="118" spans="1:2" ht="15" customHeight="1">
      <c r="A118" s="13"/>
      <c r="B118" s="14"/>
    </row>
    <row r="119" spans="1:2" ht="15" customHeight="1">
      <c r="A119" s="13"/>
      <c r="B119" s="14"/>
    </row>
    <row r="120" spans="1:2" ht="15" customHeight="1">
      <c r="A120" s="13"/>
      <c r="B120" s="14"/>
    </row>
    <row r="121" spans="1:2" ht="15" customHeight="1">
      <c r="A121" s="13"/>
      <c r="B121" s="14"/>
    </row>
    <row r="122" spans="1:2" ht="15" customHeight="1">
      <c r="A122" s="13"/>
      <c r="B122" s="14"/>
    </row>
    <row r="123" spans="1:2" ht="15" customHeight="1">
      <c r="A123" s="13"/>
      <c r="B123" s="14"/>
    </row>
    <row r="124" spans="1:2" ht="15" customHeight="1">
      <c r="A124" s="13"/>
      <c r="B124" s="14"/>
    </row>
    <row r="125" spans="1:2" ht="15" customHeight="1">
      <c r="A125" s="13"/>
      <c r="B125" s="14"/>
    </row>
    <row r="126" spans="1:2" ht="15" customHeight="1">
      <c r="A126" s="13"/>
      <c r="B126" s="14"/>
    </row>
    <row r="127" spans="1:2" ht="15" customHeight="1">
      <c r="A127" s="13"/>
      <c r="B127" s="14"/>
    </row>
    <row r="128" spans="1:2" ht="15" customHeight="1">
      <c r="A128" s="13"/>
      <c r="B128" s="14"/>
    </row>
    <row r="129" spans="1:27" ht="15" customHeight="1">
      <c r="A129" s="13"/>
      <c r="B129" s="14"/>
    </row>
    <row r="130" spans="1:27" ht="15" customHeight="1">
      <c r="A130" s="13"/>
      <c r="B130" s="14"/>
    </row>
    <row r="131" spans="1:27" ht="15" customHeight="1">
      <c r="A131" s="13"/>
      <c r="B131" s="14"/>
    </row>
    <row r="132" spans="1:27" ht="15" customHeight="1">
      <c r="A132" s="13"/>
      <c r="B132" s="14"/>
    </row>
    <row r="133" spans="1:27" ht="15" customHeight="1">
      <c r="A133" s="13"/>
      <c r="B133" s="14"/>
    </row>
    <row r="134" spans="1:27" ht="15" customHeight="1">
      <c r="A134" s="13"/>
      <c r="B134" s="1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7" ht="15" customHeight="1">
      <c r="A135" s="23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" customHeight="1">
      <c r="A136" s="23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" customHeight="1">
      <c r="A137" s="23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" customHeight="1">
      <c r="A138" s="23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" customHeight="1">
      <c r="A139" s="23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" customHeight="1">
      <c r="A140" s="23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" customHeight="1">
      <c r="A141" s="23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7" ht="15" customHeight="1">
      <c r="A142" s="23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7" ht="15" customHeight="1">
      <c r="A143" s="23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7" ht="15" customHeight="1">
      <c r="A144" s="23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" customHeight="1">
      <c r="A145" s="23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" customHeight="1">
      <c r="A146" s="23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" customHeight="1">
      <c r="A147" s="13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4" ht="15" customHeight="1">
      <c r="A148" s="13"/>
      <c r="B148" s="14"/>
    </row>
    <row r="149" spans="1:24" ht="15" customHeight="1">
      <c r="A149" s="13"/>
      <c r="B149" s="14"/>
    </row>
    <row r="150" spans="1:24" ht="15" customHeight="1">
      <c r="A150" s="13"/>
      <c r="B150" s="14"/>
    </row>
    <row r="151" spans="1:24" ht="15" customHeight="1">
      <c r="A151" s="13"/>
      <c r="B151" s="14"/>
    </row>
    <row r="152" spans="1:24" ht="15" customHeight="1">
      <c r="A152" s="13"/>
      <c r="B152" s="14"/>
    </row>
    <row r="153" spans="1:24" ht="15" customHeight="1">
      <c r="A153" s="13"/>
      <c r="B153" s="14"/>
    </row>
    <row r="154" spans="1:24" ht="15" customHeight="1">
      <c r="A154" s="13"/>
      <c r="B154" s="14"/>
    </row>
    <row r="155" spans="1:24" ht="15" customHeight="1">
      <c r="A155" s="13"/>
      <c r="B155" s="14"/>
    </row>
    <row r="156" spans="1:24" ht="15" customHeight="1">
      <c r="A156" s="13"/>
      <c r="B156" s="14"/>
    </row>
    <row r="157" spans="1:24" ht="15" customHeight="1">
      <c r="A157" s="13"/>
      <c r="B157" s="14"/>
    </row>
    <row r="158" spans="1:24" ht="15" customHeight="1">
      <c r="A158" s="13"/>
      <c r="B158" s="14"/>
    </row>
    <row r="159" spans="1:24" ht="15" customHeight="1">
      <c r="A159" s="13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24" ht="15" customHeight="1">
      <c r="A160" s="23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ht="15" customHeight="1">
      <c r="A161" s="23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ht="15" customHeight="1">
      <c r="A162" s="23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ht="1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ht="15" customHeight="1">
      <c r="A164" s="2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ht="15" customHeight="1">
      <c r="A165" s="2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ht="15" customHeight="1">
      <c r="A166" s="2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ht="15" customHeight="1">
      <c r="A167" s="2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ht="1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9" ht="15" customHeight="1">
      <c r="A169" s="23"/>
      <c r="B169" s="15"/>
    </row>
    <row r="170" spans="1:19" ht="15" customHeight="1">
      <c r="A170" s="23"/>
      <c r="B170" s="15"/>
    </row>
    <row r="171" spans="1:19" ht="15" customHeight="1">
      <c r="A171" s="23"/>
      <c r="B171" s="15"/>
    </row>
    <row r="172" spans="1:19" ht="15" customHeight="1">
      <c r="A172" s="23"/>
      <c r="B172" s="15"/>
    </row>
    <row r="173" spans="1:19" ht="15" customHeight="1">
      <c r="A173" s="23"/>
      <c r="B173" s="15"/>
    </row>
    <row r="174" spans="1:19" ht="15" customHeight="1">
      <c r="A174" s="23"/>
      <c r="B174" s="15"/>
    </row>
    <row r="175" spans="1:19" ht="15" customHeight="1">
      <c r="A175" s="23"/>
      <c r="B175" s="15"/>
    </row>
    <row r="176" spans="1:19" ht="15" customHeight="1">
      <c r="A176" s="23"/>
      <c r="B176" s="15"/>
    </row>
    <row r="177" spans="1:2" ht="15" customHeight="1">
      <c r="A177" s="23"/>
      <c r="B177" s="15"/>
    </row>
    <row r="178" spans="1:2" ht="15" customHeight="1">
      <c r="A178" s="23"/>
      <c r="B178" s="15"/>
    </row>
    <row r="179" spans="1:2" ht="15" customHeight="1">
      <c r="A179" s="23"/>
      <c r="B179" s="15"/>
    </row>
    <row r="180" spans="1:2" ht="15" customHeight="1">
      <c r="A180" s="23"/>
      <c r="B180" s="15"/>
    </row>
    <row r="181" spans="1:2" ht="15" customHeight="1">
      <c r="A181" s="23"/>
      <c r="B181" s="15"/>
    </row>
    <row r="182" spans="1:2" ht="15" customHeight="1">
      <c r="A182" s="23"/>
      <c r="B182" s="15"/>
    </row>
    <row r="183" spans="1:2" ht="15" customHeight="1">
      <c r="A183" s="23"/>
      <c r="B183" s="15"/>
    </row>
    <row r="184" spans="1:2" ht="15" customHeight="1">
      <c r="A184" s="23"/>
      <c r="B184" s="15"/>
    </row>
    <row r="185" spans="1:2" ht="15" customHeight="1">
      <c r="A185" s="23"/>
      <c r="B185" s="15"/>
    </row>
    <row r="186" spans="1:2" ht="15" customHeight="1">
      <c r="A186" s="23"/>
      <c r="B186" s="15"/>
    </row>
    <row r="187" spans="1:2" ht="15" customHeight="1">
      <c r="A187" s="23"/>
      <c r="B187" s="15"/>
    </row>
    <row r="188" spans="1:2" ht="15" customHeight="1">
      <c r="A188" s="23"/>
      <c r="B188" s="15"/>
    </row>
    <row r="189" spans="1:2" ht="15" customHeight="1">
      <c r="A189" s="23"/>
      <c r="B189" s="15"/>
    </row>
    <row r="190" spans="1:2" ht="15" customHeight="1">
      <c r="A190" s="23"/>
      <c r="B190" s="15"/>
    </row>
    <row r="191" spans="1:2" ht="15" customHeight="1">
      <c r="A191" s="23"/>
      <c r="B191" s="15"/>
    </row>
    <row r="192" spans="1:2" ht="15" customHeight="1">
      <c r="A192" s="23"/>
      <c r="B192" s="15"/>
    </row>
    <row r="193" spans="1:16" ht="15" customHeight="1">
      <c r="A193" s="21"/>
      <c r="B193" s="14"/>
    </row>
    <row r="194" spans="1:16" ht="15" customHeight="1">
      <c r="A194" s="21"/>
      <c r="B194" s="14"/>
    </row>
    <row r="195" spans="1:16" ht="15" customHeight="1">
      <c r="A195" s="21"/>
      <c r="B195" s="14"/>
    </row>
    <row r="196" spans="1:16" ht="15" customHeight="1">
      <c r="A196" s="21"/>
      <c r="B196" s="14"/>
    </row>
    <row r="197" spans="1:16" ht="15" customHeight="1">
      <c r="A197" s="13"/>
      <c r="B197" s="14"/>
    </row>
    <row r="198" spans="1:16" ht="15" customHeight="1">
      <c r="A198" s="13"/>
      <c r="B198" s="14"/>
    </row>
    <row r="199" spans="1:16" ht="15" customHeight="1">
      <c r="A199" s="13"/>
      <c r="B199" s="14"/>
    </row>
    <row r="200" spans="1:16" ht="15" customHeight="1">
      <c r="A200" s="13"/>
      <c r="B200" s="14"/>
    </row>
    <row r="201" spans="1:16" ht="15" customHeight="1">
      <c r="A201" s="13"/>
      <c r="B201" s="14"/>
    </row>
    <row r="202" spans="1:16" ht="15" customHeight="1">
      <c r="A202" s="13"/>
      <c r="B202" s="14"/>
    </row>
    <row r="203" spans="1:16" ht="15" customHeight="1">
      <c r="A203" s="13"/>
      <c r="B203" s="14"/>
    </row>
    <row r="204" spans="1:16" ht="15" customHeight="1">
      <c r="A204" s="13"/>
      <c r="B204" s="14"/>
    </row>
    <row r="205" spans="1:16" ht="15" customHeight="1">
      <c r="A205" s="13"/>
      <c r="B205" s="14"/>
    </row>
    <row r="206" spans="1:16" ht="15" customHeight="1">
      <c r="A206" s="13"/>
      <c r="B206" s="14"/>
    </row>
    <row r="207" spans="1:16" ht="15" customHeight="1">
      <c r="A207" s="13"/>
      <c r="B207" s="1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6" ht="15" customHeight="1">
      <c r="A208" s="13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5" customHeight="1">
      <c r="A209" s="13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5" customHeight="1">
      <c r="A210" s="13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5" customHeight="1">
      <c r="A211" s="13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5" customHeight="1">
      <c r="A212" s="13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6" ht="15" customHeight="1">
      <c r="A213" s="13"/>
      <c r="B213" s="15"/>
    </row>
    <row r="214" spans="1:16" ht="15" customHeight="1">
      <c r="A214" s="13"/>
      <c r="B214" s="15"/>
    </row>
    <row r="215" spans="1:16" ht="15" customHeight="1">
      <c r="A215" s="13"/>
      <c r="B215" s="15"/>
    </row>
    <row r="216" spans="1:16" ht="15" customHeight="1">
      <c r="A216" s="13"/>
      <c r="B216" s="15"/>
    </row>
    <row r="217" spans="1:16" ht="15" customHeight="1">
      <c r="A217" s="13"/>
      <c r="B217" s="15"/>
    </row>
    <row r="218" spans="1:16" ht="15" customHeight="1">
      <c r="A218" s="13"/>
      <c r="B218" s="15"/>
    </row>
    <row r="219" spans="1:16" ht="15" customHeight="1">
      <c r="A219" s="13"/>
      <c r="B219" s="15"/>
    </row>
    <row r="220" spans="1:16" ht="15" customHeight="1">
      <c r="A220" s="13"/>
      <c r="B220" s="15"/>
    </row>
    <row r="221" spans="1:16" ht="15" customHeight="1">
      <c r="A221" s="13"/>
      <c r="B221" s="15"/>
    </row>
    <row r="222" spans="1:16" ht="15" customHeight="1">
      <c r="A222" s="13"/>
      <c r="B222" s="15"/>
    </row>
    <row r="223" spans="1:16" ht="15" customHeight="1">
      <c r="A223" s="13"/>
      <c r="B223" s="15"/>
    </row>
    <row r="224" spans="1:16" ht="15" customHeight="1">
      <c r="A224" s="13"/>
      <c r="B224" s="15"/>
    </row>
    <row r="225" spans="1:18" ht="15" customHeight="1">
      <c r="A225" s="13"/>
      <c r="B225" s="15"/>
    </row>
    <row r="226" spans="1:18" ht="15" customHeight="1">
      <c r="A226" s="13"/>
      <c r="B226" s="15"/>
    </row>
    <row r="227" spans="1:18" ht="15" customHeight="1">
      <c r="A227" s="13"/>
      <c r="B227" s="15"/>
    </row>
    <row r="228" spans="1:18" ht="15" customHeight="1">
      <c r="A228" s="13"/>
      <c r="B228" s="15"/>
    </row>
    <row r="229" spans="1:18" ht="15" customHeight="1">
      <c r="A229" s="13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8" ht="15" customHeight="1">
      <c r="A230" s="23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5" customHeight="1">
      <c r="A231" s="23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5" customHeight="1">
      <c r="A232" s="23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8" ht="15" customHeight="1">
      <c r="A233" s="23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8" ht="15" customHeight="1">
      <c r="A234" s="13"/>
      <c r="B234" s="1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8" ht="15" customHeight="1">
      <c r="A235" s="13"/>
      <c r="B235" s="1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8" ht="15" customHeight="1">
      <c r="A236" s="13"/>
      <c r="B236" s="1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8" ht="1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8" ht="1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8" ht="1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8" ht="15" customHeight="1">
      <c r="A240" s="13"/>
      <c r="B240" s="14"/>
    </row>
    <row r="241" spans="1:14" ht="15" customHeight="1">
      <c r="A241" s="13"/>
      <c r="B241" s="14"/>
    </row>
    <row r="242" spans="1:14" ht="15" customHeight="1">
      <c r="A242" s="13"/>
      <c r="B242" s="14"/>
    </row>
    <row r="243" spans="1:14" ht="15" customHeight="1">
      <c r="A243" s="13"/>
      <c r="B243" s="14"/>
    </row>
    <row r="244" spans="1:14" ht="1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4" ht="15" customHeight="1">
      <c r="A245" s="13"/>
      <c r="B245" s="1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5" customHeight="1">
      <c r="A246" s="13"/>
      <c r="B246" s="1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5" customHeight="1">
      <c r="A247" s="13"/>
      <c r="B247" s="1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5" customHeight="1">
      <c r="A248" s="13"/>
      <c r="B248" s="1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5" customHeight="1">
      <c r="A249" s="13"/>
      <c r="B249" s="1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5" customHeight="1">
      <c r="A250" s="13"/>
      <c r="B250" s="1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5" customHeight="1">
      <c r="A251" s="13"/>
      <c r="B251" s="1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5" customHeight="1">
      <c r="A252" s="13"/>
      <c r="B252" s="1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5" customHeight="1">
      <c r="A253" s="13"/>
      <c r="B253" s="1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986"/>
  <sheetViews>
    <sheetView workbookViewId="0">
      <selection activeCell="C24" sqref="C24:C39"/>
    </sheetView>
  </sheetViews>
  <sheetFormatPr defaultColWidth="12.5546875" defaultRowHeight="15" customHeight="1"/>
  <cols>
    <col min="1" max="10" width="8.5546875" customWidth="1"/>
    <col min="11" max="11" width="11" customWidth="1"/>
    <col min="12" max="46" width="8.5546875" customWidth="1"/>
  </cols>
  <sheetData>
    <row r="1" spans="1:26" ht="14.4">
      <c r="A1" s="12" t="s">
        <v>9</v>
      </c>
      <c r="B1" s="11" t="s">
        <v>10</v>
      </c>
    </row>
    <row r="2" spans="1:26" ht="14.4">
      <c r="A2" s="93">
        <v>1</v>
      </c>
      <c r="B2" s="94">
        <v>1</v>
      </c>
    </row>
    <row r="3" spans="1:26" ht="14.4">
      <c r="A3" s="92">
        <v>1</v>
      </c>
      <c r="B3" s="15">
        <v>2</v>
      </c>
    </row>
    <row r="4" spans="1:26" ht="14.4">
      <c r="A4" s="92">
        <v>1</v>
      </c>
      <c r="B4" s="15">
        <v>3</v>
      </c>
    </row>
    <row r="5" spans="1:26" ht="14.4">
      <c r="A5" s="92">
        <v>1</v>
      </c>
      <c r="B5" s="97">
        <v>4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</row>
    <row r="6" spans="1:26" ht="14.4">
      <c r="A6" s="139">
        <v>2</v>
      </c>
      <c r="B6" s="140">
        <v>1</v>
      </c>
      <c r="C6">
        <f>IF(ISBLANK(Loss_modulus_G!C6),Tandelta!C6*converted_MPa_Storage_modulus_G!C6,Loss_modulus_G!C6/1000000)</f>
        <v>7.3987999999999997E-5</v>
      </c>
      <c r="D6" s="143">
        <f>Loss_modulus_G!D6/1000000</f>
        <v>1.00961E-4</v>
      </c>
      <c r="E6" s="143">
        <f>Loss_modulus_G!E6/1000000</f>
        <v>1.36131E-4</v>
      </c>
      <c r="F6" s="143">
        <f>Loss_modulus_G!F6/1000000</f>
        <v>1.8355199999999999E-4</v>
      </c>
      <c r="G6" s="143">
        <f>Loss_modulus_G!G6/1000000</f>
        <v>2.5652999999999999E-4</v>
      </c>
      <c r="H6" s="143">
        <f>Loss_modulus_G!H6/1000000</f>
        <v>3.5852300000000002E-4</v>
      </c>
      <c r="I6" s="143">
        <f>Loss_modulus_G!I6/1000000</f>
        <v>5.0709400000000003E-4</v>
      </c>
      <c r="J6" s="143">
        <f>Loss_modulus_G!J6/1000000</f>
        <v>7.0870799999999995E-4</v>
      </c>
      <c r="K6" s="143">
        <f>Loss_modulus_G!K6/1000000</f>
        <v>1.0266510000000002E-3</v>
      </c>
      <c r="L6" s="143">
        <f>Loss_modulus_G!L6/1000000</f>
        <v>1.541539E-3</v>
      </c>
      <c r="M6" s="143">
        <f>Loss_modulus_G!M6/1000000</f>
        <v>2.3991770000000002E-3</v>
      </c>
      <c r="N6" s="143">
        <f>Loss_modulus_G!N6/1000000</f>
        <v>3.4341999999999997E-3</v>
      </c>
      <c r="O6" s="143">
        <f>Loss_modulus_G!O6/1000000</f>
        <v>4.9157380000000002E-3</v>
      </c>
      <c r="P6" s="143">
        <f>Loss_modulus_G!P6/1000000</f>
        <v>7.4698630000000002E-3</v>
      </c>
      <c r="Q6" s="143">
        <f>Loss_modulus_G!Q6/1000000</f>
        <v>1.0821013000000001E-2</v>
      </c>
      <c r="R6" s="143">
        <f>Loss_modulus_G!R6/1000000</f>
        <v>1.4765996E-2</v>
      </c>
      <c r="S6" s="143">
        <f>Loss_modulus_G!S6/1000000</f>
        <v>1.9909725999999999E-2</v>
      </c>
      <c r="T6" s="154">
        <f>Loss_modulus_G!T6/1000000</f>
        <v>2.8160253E-2</v>
      </c>
      <c r="U6" s="90"/>
    </row>
    <row r="7" spans="1:26" ht="14.4">
      <c r="A7" s="93">
        <v>3</v>
      </c>
      <c r="B7" s="94" t="s">
        <v>154</v>
      </c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0"/>
      <c r="P7" s="90"/>
      <c r="Q7" s="90"/>
      <c r="R7" s="90"/>
      <c r="S7" s="90"/>
      <c r="T7" s="90"/>
    </row>
    <row r="8" spans="1:26" ht="14.4">
      <c r="A8" s="92">
        <v>3</v>
      </c>
      <c r="B8" s="97" t="s">
        <v>155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26" ht="14.4">
      <c r="A9" s="92">
        <v>3</v>
      </c>
      <c r="B9" s="97" t="s">
        <v>156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26" ht="14.4">
      <c r="A10" s="92">
        <v>3</v>
      </c>
      <c r="B10" s="97" t="s">
        <v>157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ht="14.4">
      <c r="A11" s="92">
        <v>3</v>
      </c>
      <c r="B11" s="97" t="s">
        <v>158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92">
        <v>3</v>
      </c>
      <c r="B12" s="97" t="s">
        <v>159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92">
        <v>3</v>
      </c>
      <c r="B13" s="97" t="s">
        <v>160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103">
        <v>3</v>
      </c>
      <c r="B14" s="97" t="s">
        <v>161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93">
        <v>4</v>
      </c>
      <c r="B15" s="94">
        <v>1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4"/>
      <c r="X15" s="4"/>
      <c r="Y15" s="4"/>
    </row>
    <row r="16" spans="1:26" s="3" customFormat="1" ht="14.4">
      <c r="A16" s="93">
        <v>5</v>
      </c>
      <c r="B16" s="94">
        <v>1</v>
      </c>
      <c r="C16">
        <f>IF(ISBLANK(Loss_modulus_G!C16),Tandelta!C16*converted_MPa_Storage_modulus_G!C16,Loss_modulus_G!C16/1000000)</f>
        <v>1.8985909999999998E-3</v>
      </c>
      <c r="D16" s="143">
        <f>Loss_modulus_G!D16/1000000</f>
        <v>2.7245450000000001E-3</v>
      </c>
      <c r="E16" s="143">
        <f>Loss_modulus_G!E16/1000000</f>
        <v>4.1274930000000003E-3</v>
      </c>
      <c r="F16" s="143">
        <f>Loss_modulus_G!F16/1000000</f>
        <v>6.0310379999999999E-3</v>
      </c>
      <c r="G16" s="143">
        <f>Loss_modulus_G!G16/1000000</f>
        <v>8.9730690000000002E-3</v>
      </c>
      <c r="H16" s="143">
        <f>Loss_modulus_G!H16/1000000</f>
        <v>1.2876681000000001E-2</v>
      </c>
      <c r="I16" s="143">
        <f>Loss_modulus_G!I16/1000000</f>
        <v>1.7036190999999999E-2</v>
      </c>
      <c r="J16" s="143">
        <f>Loss_modulus_G!J16/1000000</f>
        <v>1.8478682E-2</v>
      </c>
      <c r="K16" s="143">
        <f>Loss_modulus_G!K16/1000000</f>
        <v>2.6757837E-2</v>
      </c>
      <c r="L16" s="143">
        <f>Loss_modulus_G!L16/1000000</f>
        <v>3.3232923999999997E-2</v>
      </c>
      <c r="M16" s="143">
        <f>Loss_modulus_G!M16/1000000</f>
        <v>3.9098213999999999E-2</v>
      </c>
      <c r="N16" s="143">
        <f>Loss_modulus_G!N16/1000000</f>
        <v>4.7261751999999997E-2</v>
      </c>
      <c r="O16" s="143">
        <f>Loss_modulus_G!O16/1000000</f>
        <v>5.3148411E-2</v>
      </c>
      <c r="P16" s="143">
        <f>Loss_modulus_G!P16/1000000</f>
        <v>6.0310394999999996E-2</v>
      </c>
      <c r="Q16" s="143">
        <f>Loss_modulus_G!Q16/1000000</f>
        <v>6.9058256999999998E-2</v>
      </c>
      <c r="R16" s="143">
        <f>Loss_modulus_G!R16/1000000</f>
        <v>7.8364187000000002E-2</v>
      </c>
      <c r="S16" s="143">
        <f>Loss_modulus_G!S16/1000000</f>
        <v>8.3477322000000007E-2</v>
      </c>
      <c r="T16" s="143">
        <f>Loss_modulus_G!T16/1000000</f>
        <v>8.7332630999999994E-2</v>
      </c>
      <c r="U16" s="143">
        <f>Loss_modulus_G!U16/1000000</f>
        <v>9.6452562000000006E-2</v>
      </c>
      <c r="V16" s="154">
        <f>Loss_modulus_G!V16/1000000</f>
        <v>0.10090705599999999</v>
      </c>
      <c r="W16" s="89"/>
    </row>
    <row r="17" spans="1:46" ht="14.4">
      <c r="A17" s="93">
        <v>6</v>
      </c>
      <c r="B17" s="187">
        <v>1</v>
      </c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6" ht="14.4">
      <c r="A18" s="92">
        <v>6</v>
      </c>
      <c r="B18" s="188">
        <v>2</v>
      </c>
      <c r="C18" s="244">
        <f>IF(ISBLANK(Loss_modulus_G!C18),Tandelta!C18*converted_MPa_Storage_modulus_G!C18,Loss_modulus_G!C18/1000000)</f>
        <v>1.7802032200000002E-4</v>
      </c>
      <c r="D18" s="244">
        <f>IF(ISBLANK(Loss_modulus_G!D18),Tandelta!D18*converted_MPa_Storage_modulus_G!D18,Loss_modulus_G!D18/1000000)</f>
        <v>2.1558983799999998E-4</v>
      </c>
      <c r="E18" s="244">
        <f>IF(ISBLANK(Loss_modulus_G!E18),Tandelta!E18*converted_MPa_Storage_modulus_G!E18,Loss_modulus_G!E18/1000000)</f>
        <v>2.5566111999999997E-4</v>
      </c>
      <c r="F18" s="244">
        <f>IF(ISBLANK(Loss_modulus_G!F18),Tandelta!F18*converted_MPa_Storage_modulus_G!F18,Loss_modulus_G!F18/1000000)</f>
        <v>3.1410839599999994E-4</v>
      </c>
      <c r="G18" s="244">
        <f>IF(ISBLANK(Loss_modulus_G!G18),Tandelta!G18*converted_MPa_Storage_modulus_G!G18,Loss_modulus_G!G18/1000000)</f>
        <v>3.8993048300000005E-4</v>
      </c>
      <c r="H18" s="244">
        <f>IF(ISBLANK(Loss_modulus_G!H18),Tandelta!H18*converted_MPa_Storage_modulus_G!H18,Loss_modulus_G!H18/1000000)</f>
        <v>5.0210419999999992E-4</v>
      </c>
      <c r="I18" s="244">
        <f>IF(ISBLANK(Loss_modulus_G!I18),Tandelta!I18*converted_MPa_Storage_modulus_G!I18,Loss_modulus_G!I18/1000000)</f>
        <v>6.7529968400000006E-4</v>
      </c>
      <c r="J18" s="244">
        <f>IF(ISBLANK(Loss_modulus_G!J18),Tandelta!J18*converted_MPa_Storage_modulus_G!J18,Loss_modulus_G!J18/1000000)</f>
        <v>8.7893758799999992E-4</v>
      </c>
      <c r="K18" s="244">
        <f>IF(ISBLANK(Loss_modulus_G!K18),Tandelta!K18*converted_MPa_Storage_modulus_G!K18,Loss_modulus_G!K18/1000000)</f>
        <v>1.0990882559999999E-3</v>
      </c>
      <c r="L18" s="244">
        <f>IF(ISBLANK(Loss_modulus_G!L18),Tandelta!L18*converted_MPa_Storage_modulus_G!L18,Loss_modulus_G!L18/1000000)</f>
        <v>1.5753521279999998E-3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14.4">
      <c r="A19" s="92">
        <v>6</v>
      </c>
      <c r="B19" s="188">
        <v>3</v>
      </c>
      <c r="C19" s="244">
        <f>IF(ISBLANK(Loss_modulus_G!C19),Tandelta!C19*converted_MPa_Storage_modulus_G!C19,Loss_modulus_G!C19/1000000)</f>
        <v>6.5772239400000007E-4</v>
      </c>
      <c r="D19" s="244">
        <f>IF(ISBLANK(Loss_modulus_G!D19),Tandelta!D19*converted_MPa_Storage_modulus_G!D19,Loss_modulus_G!D19/1000000)</f>
        <v>6.6857364000000004E-4</v>
      </c>
      <c r="E19" s="244">
        <f>IF(ISBLANK(Loss_modulus_G!E19),Tandelta!E19*converted_MPa_Storage_modulus_G!E19,Loss_modulus_G!E19/1000000)</f>
        <v>7.3544686500000007E-4</v>
      </c>
      <c r="F19" s="244">
        <f>IF(ISBLANK(Loss_modulus_G!F19),Tandelta!F19*converted_MPa_Storage_modulus_G!F19,Loss_modulus_G!F19/1000000)</f>
        <v>8.0042734800000006E-4</v>
      </c>
      <c r="G19" s="244">
        <f>IF(ISBLANK(Loss_modulus_G!G19),Tandelta!G19*converted_MPa_Storage_modulus_G!G19,Loss_modulus_G!G19/1000000)</f>
        <v>9.1076741000000003E-4</v>
      </c>
      <c r="H19" s="244">
        <f>IF(ISBLANK(Loss_modulus_G!H19),Tandelta!H19*converted_MPa_Storage_modulus_G!H19,Loss_modulus_G!H19/1000000)</f>
        <v>1.0213001299999999E-3</v>
      </c>
      <c r="I19" s="244">
        <f>IF(ISBLANK(Loss_modulus_G!I19),Tandelta!I19*converted_MPa_Storage_modulus_G!I19,Loss_modulus_G!I19/1000000)</f>
        <v>1.1956297080000001E-3</v>
      </c>
      <c r="J19" s="244">
        <f>IF(ISBLANK(Loss_modulus_G!J19),Tandelta!J19*converted_MPa_Storage_modulus_G!J19,Loss_modulus_G!J19/1000000)</f>
        <v>1.4861786520000001E-3</v>
      </c>
      <c r="K19" s="244">
        <f>IF(ISBLANK(Loss_modulus_G!K19),Tandelta!K19*converted_MPa_Storage_modulus_G!K19,Loss_modulus_G!K19/1000000)</f>
        <v>1.781456619E-3</v>
      </c>
      <c r="L19" s="244">
        <f>IF(ISBLANK(Loss_modulus_G!L19),Tandelta!L19*converted_MPa_Storage_modulus_G!L19,Loss_modulus_G!L19/1000000)</f>
        <v>2.2523466379999997E-3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14.4">
      <c r="A20" s="92">
        <v>6</v>
      </c>
      <c r="B20" s="188">
        <v>4</v>
      </c>
      <c r="C20" s="244">
        <f>IF(ISBLANK(Loss_modulus_G!C20),Tandelta!C20*converted_MPa_Storage_modulus_G!C20,Loss_modulus_G!C20/1000000)</f>
        <v>1.143061023E-3</v>
      </c>
      <c r="D20" s="244">
        <f>IF(ISBLANK(Loss_modulus_G!D20),Tandelta!D20*converted_MPa_Storage_modulus_G!D20,Loss_modulus_G!D20/1000000)</f>
        <v>7.3273142500000007E-4</v>
      </c>
      <c r="E20" s="244">
        <f>IF(ISBLANK(Loss_modulus_G!E20),Tandelta!E20*converted_MPa_Storage_modulus_G!E20,Loss_modulus_G!E20/1000000)</f>
        <v>6.4646339100000007E-4</v>
      </c>
      <c r="F20" s="244">
        <f>IF(ISBLANK(Loss_modulus_G!F20),Tandelta!F20*converted_MPa_Storage_modulus_G!F20,Loss_modulus_G!F20/1000000)</f>
        <v>5.6606357999999996E-4</v>
      </c>
      <c r="G20" s="244">
        <f>IF(ISBLANK(Loss_modulus_G!G20),Tandelta!G20*converted_MPa_Storage_modulus_G!G20,Loss_modulus_G!G20/1000000)</f>
        <v>6.2583730000000007E-4</v>
      </c>
      <c r="H20" s="244">
        <f>IF(ISBLANK(Loss_modulus_G!H20),Tandelta!H20*converted_MPa_Storage_modulus_G!H20,Loss_modulus_G!H20/1000000)</f>
        <v>6.2583730000000007E-4</v>
      </c>
      <c r="I20" s="244">
        <f>IF(ISBLANK(Loss_modulus_G!I20),Tandelta!I20*converted_MPa_Storage_modulus_G!I20,Loss_modulus_G!I20/1000000)</f>
        <v>6.571291650000001E-4</v>
      </c>
      <c r="J20" s="244">
        <f>IF(ISBLANK(Loss_modulus_G!J20),Tandelta!J20*converted_MPa_Storage_modulus_G!J20,Loss_modulus_G!J20/1000000)</f>
        <v>7.08031333E-4</v>
      </c>
      <c r="K20" s="244">
        <f>IF(ISBLANK(Loss_modulus_G!K20),Tandelta!K20*converted_MPa_Storage_modulus_G!K20,Loss_modulus_G!K20/1000000)</f>
        <v>6.9653993499999998E-4</v>
      </c>
      <c r="L20" s="244">
        <f>IF(ISBLANK(Loss_modulus_G!L20),Tandelta!L20*converted_MPa_Storage_modulus_G!L20,Loss_modulus_G!L20/1000000)</f>
        <v>1.0023194659999999E-3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t="15.75" customHeight="1">
      <c r="A21" s="92">
        <v>6</v>
      </c>
      <c r="B21" s="97">
        <v>5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ht="15.75" customHeight="1">
      <c r="A22" s="92">
        <v>6</v>
      </c>
      <c r="B22" s="97">
        <v>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ht="15.75" customHeight="1">
      <c r="A23" s="103">
        <v>6</v>
      </c>
      <c r="B23" s="104">
        <v>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ht="15.75" customHeight="1">
      <c r="A24" s="93">
        <v>7</v>
      </c>
      <c r="B24" s="187">
        <v>1</v>
      </c>
      <c r="C24" s="120">
        <v>1220.086</v>
      </c>
      <c r="D24" s="120">
        <v>918.99599999999998</v>
      </c>
      <c r="E24" s="120">
        <v>669.93899999999996</v>
      </c>
      <c r="F24" s="120">
        <v>556.62400000000002</v>
      </c>
      <c r="G24" s="120">
        <v>452.50299999999999</v>
      </c>
      <c r="H24" s="120">
        <v>388.46300000000002</v>
      </c>
      <c r="I24" s="120">
        <v>322.75700000000001</v>
      </c>
      <c r="J24" s="120">
        <v>271.10399999999998</v>
      </c>
      <c r="K24" s="120">
        <v>222.80699999999999</v>
      </c>
      <c r="L24" s="120">
        <v>195.49</v>
      </c>
      <c r="M24" s="120">
        <v>171.52199999999999</v>
      </c>
      <c r="N24" s="120">
        <v>150.49299999999999</v>
      </c>
      <c r="O24" s="120">
        <v>126.408</v>
      </c>
      <c r="P24" s="120">
        <v>113.354</v>
      </c>
      <c r="Q24" s="120">
        <v>98.378</v>
      </c>
      <c r="R24" s="120">
        <v>86.316999999999993</v>
      </c>
      <c r="S24" s="120">
        <v>74.100999999999999</v>
      </c>
      <c r="T24" s="120">
        <v>62.923999999999999</v>
      </c>
      <c r="U24" s="120">
        <v>50.598999999999997</v>
      </c>
      <c r="V24" s="120">
        <v>42.500999999999998</v>
      </c>
      <c r="W24" s="121">
        <v>33.076999999999998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6" ht="15.75" customHeight="1">
      <c r="A25" s="92">
        <v>7</v>
      </c>
      <c r="B25" s="188">
        <v>2</v>
      </c>
      <c r="C25" s="122">
        <v>7039.366</v>
      </c>
      <c r="D25" s="122">
        <v>4244.2659999999996</v>
      </c>
      <c r="E25" s="122">
        <v>2722.5610000000001</v>
      </c>
      <c r="F25" s="122">
        <v>1465.2760000000001</v>
      </c>
      <c r="G25" s="122">
        <v>979.56100000000004</v>
      </c>
      <c r="H25" s="122">
        <v>634.87800000000004</v>
      </c>
      <c r="I25" s="122">
        <v>572.59500000000003</v>
      </c>
      <c r="J25" s="122">
        <v>538.197</v>
      </c>
      <c r="K25" s="122">
        <v>490.43700000000001</v>
      </c>
      <c r="L25" s="122">
        <v>411.48099999999999</v>
      </c>
      <c r="M25" s="122">
        <v>382.78899999999999</v>
      </c>
      <c r="N25" s="122">
        <v>334.70600000000002</v>
      </c>
      <c r="O25" s="122">
        <v>208.154</v>
      </c>
      <c r="P25" s="122">
        <v>64.813000000000002</v>
      </c>
      <c r="Q25" s="122">
        <v>7.5670000000000002</v>
      </c>
      <c r="R25" s="122">
        <v>6.3490000000000002</v>
      </c>
      <c r="S25" s="122">
        <v>5.5510000000000002</v>
      </c>
      <c r="T25" s="122">
        <v>4.7060000000000004</v>
      </c>
      <c r="U25" s="122">
        <v>4.1150000000000002</v>
      </c>
      <c r="V25" s="122">
        <v>3.3820000000000001</v>
      </c>
      <c r="W25" s="123">
        <v>2.867</v>
      </c>
    </row>
    <row r="26" spans="1:46" ht="15.75" customHeight="1">
      <c r="A26" s="103">
        <v>7</v>
      </c>
      <c r="B26" s="209">
        <v>3</v>
      </c>
      <c r="C26" s="155">
        <v>46257.123</v>
      </c>
      <c r="D26" s="155">
        <v>33119.923000000003</v>
      </c>
      <c r="E26" s="155">
        <v>24331.041000000001</v>
      </c>
      <c r="F26" s="155">
        <v>15719.137000000001</v>
      </c>
      <c r="G26" s="155">
        <v>7654.7070000000003</v>
      </c>
      <c r="H26" s="155">
        <v>4819.8739999999998</v>
      </c>
      <c r="I26" s="155">
        <v>3451.0120000000002</v>
      </c>
      <c r="J26" s="155">
        <v>2535.2339999999999</v>
      </c>
      <c r="K26" s="155">
        <v>1659.075</v>
      </c>
      <c r="L26" s="155">
        <v>1187.8920000000001</v>
      </c>
      <c r="M26" s="155">
        <v>942.60699999999997</v>
      </c>
      <c r="N26" s="155">
        <v>495.80700000000002</v>
      </c>
      <c r="O26" s="155">
        <v>308.20499999999998</v>
      </c>
      <c r="P26" s="155">
        <v>65.105000000000004</v>
      </c>
      <c r="Q26" s="155">
        <v>14.478</v>
      </c>
      <c r="R26" s="155">
        <v>12.731999999999999</v>
      </c>
      <c r="S26" s="155">
        <v>11.054</v>
      </c>
      <c r="T26" s="155">
        <v>8.3320000000000007</v>
      </c>
      <c r="U26" s="155">
        <v>6.8719999999999999</v>
      </c>
      <c r="V26" s="155">
        <v>5.3140000000000001</v>
      </c>
      <c r="W26" s="157">
        <v>4.1630000000000003</v>
      </c>
    </row>
    <row r="27" spans="1:46" ht="15.75" customHeight="1">
      <c r="A27" s="93">
        <v>8</v>
      </c>
      <c r="B27" s="187">
        <v>1</v>
      </c>
      <c r="C27" s="245">
        <f>IF(ISBLANK(Loss_modulus_G!C27),Tandelta!C27*converted_MPa_Storage_modulus_G!C27,Loss_modulus_G!C27/1000000)</f>
        <v>153.01965800000002</v>
      </c>
      <c r="D27" s="245">
        <f>IF(ISBLANK(Loss_modulus_G!D27),Tandelta!D27*converted_MPa_Storage_modulus_G!D27,Loss_modulus_G!D27/1000000)</f>
        <v>150.88698199999999</v>
      </c>
      <c r="E27" s="245">
        <f>IF(ISBLANK(Loss_modulus_G!E27),Tandelta!E27*converted_MPa_Storage_modulus_G!E27,Loss_modulus_G!E27/1000000)</f>
        <v>148.221137</v>
      </c>
      <c r="F27" s="245">
        <f>IF(ISBLANK(Loss_modulus_G!F27),Tandelta!F27*converted_MPa_Storage_modulus_G!F27,Loss_modulus_G!F27/1000000)</f>
        <v>147.22358400000002</v>
      </c>
      <c r="G27" s="245">
        <f>IF(ISBLANK(Loss_modulus_G!G27),Tandelta!G27*converted_MPa_Storage_modulus_G!G27,Loss_modulus_G!G27/1000000)</f>
        <v>152.33169600000002</v>
      </c>
      <c r="H27" s="245">
        <f>IF(ISBLANK(Loss_modulus_G!H27),Tandelta!H27*converted_MPa_Storage_modulus_G!H27,Loss_modulus_G!H27/1000000)</f>
        <v>155.71990799999998</v>
      </c>
      <c r="I27" s="245">
        <f>IF(ISBLANK(Loss_modulus_G!I27),Tandelta!I27*converted_MPa_Storage_modulus_G!I27,Loss_modulus_G!I27/1000000)</f>
        <v>159.14248000000001</v>
      </c>
      <c r="J27" s="245">
        <f>IF(ISBLANK(Loss_modulus_G!J27),Tandelta!J27*converted_MPa_Storage_modulus_G!J27,Loss_modulus_G!J27/1000000)</f>
        <v>161.32676000000001</v>
      </c>
      <c r="K27" s="245">
        <f>IF(ISBLANK(Loss_modulus_G!K27),Tandelta!K27*converted_MPa_Storage_modulus_G!K27,Loss_modulus_G!K27/1000000)</f>
        <v>166.030697</v>
      </c>
      <c r="L27" s="245">
        <f>IF(ISBLANK(Loss_modulus_G!L27),Tandelta!L27*converted_MPa_Storage_modulus_G!L27,Loss_modulus_G!L27/1000000)</f>
        <v>170.15847099999999</v>
      </c>
      <c r="M27" s="245">
        <f>IF(ISBLANK(Loss_modulus_G!M27),Tandelta!M27*converted_MPa_Storage_modulus_G!M27,Loss_modulus_G!M27/1000000)</f>
        <v>177.08106000000001</v>
      </c>
      <c r="N27" s="245">
        <f>IF(ISBLANK(Loss_modulus_G!N27),Tandelta!N27*converted_MPa_Storage_modulus_G!N27,Loss_modulus_G!N27/1000000)</f>
        <v>182.05156000000002</v>
      </c>
      <c r="O27" s="245">
        <f>IF(ISBLANK(Loss_modulus_G!O27),Tandelta!O27*converted_MPa_Storage_modulus_G!O27,Loss_modulus_G!O27/1000000)</f>
        <v>183.272704</v>
      </c>
      <c r="P27" s="245">
        <f>IF(ISBLANK(Loss_modulus_G!P27),Tandelta!P27*converted_MPa_Storage_modulus_G!P27,Loss_modulus_G!P27/1000000)</f>
        <v>181.57005000000001</v>
      </c>
      <c r="Q27" s="245">
        <f>IF(ISBLANK(Loss_modulus_G!Q27),Tandelta!Q27*converted_MPa_Storage_modulus_G!Q27,Loss_modulus_G!Q27/1000000)</f>
        <v>175.146199</v>
      </c>
      <c r="R27" s="245">
        <f>IF(ISBLANK(Loss_modulus_G!R27),Tandelta!R27*converted_MPa_Storage_modulus_G!R27,Loss_modulus_G!R27/1000000)</f>
        <v>164.87832900000001</v>
      </c>
      <c r="S27" s="245">
        <f>IF(ISBLANK(Loss_modulus_G!S27),Tandelta!S27*converted_MPa_Storage_modulus_G!S27,Loss_modulus_G!S27/1000000)</f>
        <v>152.85623099999998</v>
      </c>
      <c r="T27" s="245">
        <f>IF(ISBLANK(Loss_modulus_G!T27),Tandelta!T27*converted_MPa_Storage_modulus_G!T27,Loss_modulus_G!T27/1000000)</f>
        <v>137.23097900000002</v>
      </c>
      <c r="U27" s="245">
        <f>IF(ISBLANK(Loss_modulus_G!U27),Tandelta!U27*converted_MPa_Storage_modulus_G!U27,Loss_modulus_G!U27/1000000)</f>
        <v>123.64368999999999</v>
      </c>
      <c r="V27" s="245">
        <f>IF(ISBLANK(Loss_modulus_G!V27),Tandelta!V27*converted_MPa_Storage_modulus_G!V27,Loss_modulus_G!V27/1000000)</f>
        <v>111.90540900000001</v>
      </c>
      <c r="W27" s="245">
        <f>IF(ISBLANK(Loss_modulus_G!W27),Tandelta!W27*converted_MPa_Storage_modulus_G!W27,Loss_modulus_G!W27/1000000)</f>
        <v>101.90415</v>
      </c>
      <c r="X27" s="245">
        <f>IF(ISBLANK(Loss_modulus_G!X27),Tandelta!X27*converted_MPa_Storage_modulus_G!X27,Loss_modulus_G!X27/1000000)</f>
        <v>92.28127099999999</v>
      </c>
      <c r="Y27" s="245">
        <f>IF(ISBLANK(Loss_modulus_G!Y27),Tandelta!Y27*converted_MPa_Storage_modulus_G!Y27,Loss_modulus_G!Y27/1000000)</f>
        <v>84.636389999999992</v>
      </c>
      <c r="Z27" s="245">
        <f>IF(ISBLANK(Loss_modulus_G!Z27),Tandelta!Z27*converted_MPa_Storage_modulus_G!Z27,Loss_modulus_G!Z27/1000000)</f>
        <v>77.395574999999994</v>
      </c>
      <c r="AA27" s="245">
        <f>IF(ISBLANK(Loss_modulus_G!AA27),Tandelta!AA27*converted_MPa_Storage_modulus_G!AA27,Loss_modulus_G!AA27/1000000)</f>
        <v>70.429943999999992</v>
      </c>
      <c r="AB27" s="245">
        <f>IF(ISBLANK(Loss_modulus_G!AB27),Tandelta!AB27*converted_MPa_Storage_modulus_G!AB27,Loss_modulus_G!AB27/1000000)</f>
        <v>65.579828000000006</v>
      </c>
      <c r="AC27" s="245">
        <f>IF(ISBLANK(Loss_modulus_G!AC27),Tandelta!AC27*converted_MPa_Storage_modulus_G!AC27,Loss_modulus_G!AC27/1000000)</f>
        <v>61.348832999999992</v>
      </c>
      <c r="AD27" s="245">
        <f>IF(ISBLANK(Loss_modulus_G!AD27),Tandelta!AD27*converted_MPa_Storage_modulus_G!AD27,Loss_modulus_G!AD27/1000000)</f>
        <v>60.368489999999994</v>
      </c>
      <c r="AE27" s="245">
        <f>IF(ISBLANK(Loss_modulus_G!AE27),Tandelta!AE27*converted_MPa_Storage_modulus_G!AE27,Loss_modulus_G!AE27/1000000)</f>
        <v>56.171980000000005</v>
      </c>
      <c r="AF27" s="245">
        <f>IF(ISBLANK(Loss_modulus_G!AF27),Tandelta!AF27*converted_MPa_Storage_modulus_G!AF27,Loss_modulus_G!AF27/1000000)</f>
        <v>53.101959999999998</v>
      </c>
      <c r="AG27" s="245">
        <f>IF(ISBLANK(Loss_modulus_G!AG27),Tandelta!AG27*converted_MPa_Storage_modulus_G!AG27,Loss_modulus_G!AG27/1000000)</f>
        <v>53.316900000000004</v>
      </c>
      <c r="AH27" s="245">
        <f>IF(ISBLANK(Loss_modulus_G!AH27),Tandelta!AH27*converted_MPa_Storage_modulus_G!AH27,Loss_modulus_G!AH27/1000000)</f>
        <v>55.07985</v>
      </c>
      <c r="AI27" s="245">
        <f>IF(ISBLANK(Loss_modulus_G!AI27),Tandelta!AI27*converted_MPa_Storage_modulus_G!AI27,Loss_modulus_G!AI27/1000000)</f>
        <v>52.027030000000003</v>
      </c>
      <c r="AJ27" s="245">
        <f>IF(ISBLANK(Loss_modulus_G!AJ27),Tandelta!AJ27*converted_MPa_Storage_modulus_G!AJ27,Loss_modulus_G!AJ27/1000000)</f>
        <v>52.414010000000005</v>
      </c>
      <c r="AK27" s="245">
        <f>IF(ISBLANK(Loss_modulus_G!AK27),Tandelta!AK27*converted_MPa_Storage_modulus_G!AK27,Loss_modulus_G!AK27/1000000)</f>
        <v>50.565119999999993</v>
      </c>
      <c r="AL27" s="245">
        <f>IF(ISBLANK(Loss_modulus_G!AL27),Tandelta!AL27*converted_MPa_Storage_modulus_G!AL27,Loss_modulus_G!AL27/1000000)</f>
        <v>47.985272000000002</v>
      </c>
      <c r="AM27" s="4"/>
      <c r="AN27" s="4"/>
      <c r="AO27" s="4"/>
    </row>
    <row r="28" spans="1:46" ht="15.75" customHeight="1">
      <c r="A28" s="92">
        <v>8</v>
      </c>
      <c r="B28" s="188">
        <v>2</v>
      </c>
      <c r="C28" s="245">
        <f>IF(ISBLANK(Loss_modulus_G!C28),Tandelta!C28*converted_MPa_Storage_modulus_G!C28,Loss_modulus_G!C28/1000000)</f>
        <v>189.61914999999999</v>
      </c>
      <c r="D28" s="245">
        <f>IF(ISBLANK(Loss_modulus_G!D28),Tandelta!D28*converted_MPa_Storage_modulus_G!D28,Loss_modulus_G!D28/1000000)</f>
        <v>182.73956200000001</v>
      </c>
      <c r="E28" s="245">
        <f>IF(ISBLANK(Loss_modulus_G!E28),Tandelta!E28*converted_MPa_Storage_modulus_G!E28,Loss_modulus_G!E28/1000000)</f>
        <v>184.80343000000002</v>
      </c>
      <c r="F28" s="245">
        <f>IF(ISBLANK(Loss_modulus_G!F28),Tandelta!F28*converted_MPa_Storage_modulus_G!F28,Loss_modulus_G!F28/1000000)</f>
        <v>193.45454199999998</v>
      </c>
      <c r="G28" s="245">
        <f>IF(ISBLANK(Loss_modulus_G!G28),Tandelta!G28*converted_MPa_Storage_modulus_G!G28,Loss_modulus_G!G28/1000000)</f>
        <v>192.285</v>
      </c>
      <c r="H28" s="245">
        <f>IF(ISBLANK(Loss_modulus_G!H28),Tandelta!H28*converted_MPa_Storage_modulus_G!H28,Loss_modulus_G!H28/1000000)</f>
        <v>187.92505799999998</v>
      </c>
      <c r="I28" s="245">
        <f>IF(ISBLANK(Loss_modulus_G!I28),Tandelta!I28*converted_MPa_Storage_modulus_G!I28,Loss_modulus_G!I28/1000000)</f>
        <v>180.52086800000001</v>
      </c>
      <c r="J28" s="245">
        <f>IF(ISBLANK(Loss_modulus_G!J28),Tandelta!J28*converted_MPa_Storage_modulus_G!J28,Loss_modulus_G!J28/1000000)</f>
        <v>177.33903600000002</v>
      </c>
      <c r="K28" s="245">
        <f>IF(ISBLANK(Loss_modulus_G!K28),Tandelta!K28*converted_MPa_Storage_modulus_G!K28,Loss_modulus_G!K28/1000000)</f>
        <v>175.94592399999999</v>
      </c>
      <c r="L28" s="245">
        <f>IF(ISBLANK(Loss_modulus_G!L28),Tandelta!L28*converted_MPa_Storage_modulus_G!L28,Loss_modulus_G!L28/1000000)</f>
        <v>182.03438399999999</v>
      </c>
      <c r="M28" s="245">
        <f>IF(ISBLANK(Loss_modulus_G!M28),Tandelta!M28*converted_MPa_Storage_modulus_G!M28,Loss_modulus_G!M28/1000000)</f>
        <v>189.92874599999999</v>
      </c>
      <c r="N28" s="245">
        <f>IF(ISBLANK(Loss_modulus_G!N28),Tandelta!N28*converted_MPa_Storage_modulus_G!N28,Loss_modulus_G!N28/1000000)</f>
        <v>198.287454</v>
      </c>
      <c r="O28" s="245">
        <f>IF(ISBLANK(Loss_modulus_G!O28),Tandelta!O28*converted_MPa_Storage_modulus_G!O28,Loss_modulus_G!O28/1000000)</f>
        <v>193.54051200000001</v>
      </c>
      <c r="P28" s="245">
        <f>IF(ISBLANK(Loss_modulus_G!P28),Tandelta!P28*converted_MPa_Storage_modulus_G!P28,Loss_modulus_G!P28/1000000)</f>
        <v>191.46797699999999</v>
      </c>
      <c r="Q28" s="245">
        <f>IF(ISBLANK(Loss_modulus_G!Q28),Tandelta!Q28*converted_MPa_Storage_modulus_G!Q28,Loss_modulus_G!Q28/1000000)</f>
        <v>180.770205</v>
      </c>
      <c r="R28" s="245">
        <f>IF(ISBLANK(Loss_modulus_G!R28),Tandelta!R28*converted_MPa_Storage_modulus_G!R28,Loss_modulus_G!R28/1000000)</f>
        <v>172.74691799999999</v>
      </c>
      <c r="S28" s="245">
        <f>IF(ISBLANK(Loss_modulus_G!S28),Tandelta!S28*converted_MPa_Storage_modulus_G!S28,Loss_modulus_G!S28/1000000)</f>
        <v>155.135144</v>
      </c>
      <c r="T28" s="245">
        <f>IF(ISBLANK(Loss_modulus_G!T28),Tandelta!T28*converted_MPa_Storage_modulus_G!T28,Loss_modulus_G!T28/1000000)</f>
        <v>140.326764</v>
      </c>
      <c r="U28" s="245">
        <f>IF(ISBLANK(Loss_modulus_G!U28),Tandelta!U28*converted_MPa_Storage_modulus_G!U28,Loss_modulus_G!U28/1000000)</f>
        <v>124.684191</v>
      </c>
      <c r="V28" s="245">
        <f>IF(ISBLANK(Loss_modulus_G!V28),Tandelta!V28*converted_MPa_Storage_modulus_G!V28,Loss_modulus_G!V28/1000000)</f>
        <v>108.697759</v>
      </c>
      <c r="W28" s="245">
        <f>IF(ISBLANK(Loss_modulus_G!W28),Tandelta!W28*converted_MPa_Storage_modulus_G!W28,Loss_modulus_G!W28/1000000)</f>
        <v>99.272706000000014</v>
      </c>
      <c r="X28" s="245">
        <f>IF(ISBLANK(Loss_modulus_G!X28),Tandelta!X28*converted_MPa_Storage_modulus_G!X28,Loss_modulus_G!X28/1000000)</f>
        <v>89.881974</v>
      </c>
      <c r="Y28" s="245">
        <f>IF(ISBLANK(Loss_modulus_G!Y28),Tandelta!Y28*converted_MPa_Storage_modulus_G!Y28,Loss_modulus_G!Y28/1000000)</f>
        <v>84.283739999999995</v>
      </c>
      <c r="Z28" s="245">
        <f>IF(ISBLANK(Loss_modulus_G!Z28),Tandelta!Z28*converted_MPa_Storage_modulus_G!Z28,Loss_modulus_G!Z28/1000000)</f>
        <v>77.481580000000008</v>
      </c>
      <c r="AA28" s="245">
        <f>IF(ISBLANK(Loss_modulus_G!AA28),Tandelta!AA28*converted_MPa_Storage_modulus_G!AA28,Loss_modulus_G!AA28/1000000)</f>
        <v>69.621551999999994</v>
      </c>
      <c r="AB28" s="245">
        <f>IF(ISBLANK(Loss_modulus_G!AB28),Tandelta!AB28*converted_MPa_Storage_modulus_G!AB28,Loss_modulus_G!AB28/1000000)</f>
        <v>58.046669999999992</v>
      </c>
      <c r="AC28" s="245">
        <f>IF(ISBLANK(Loss_modulus_G!AC28),Tandelta!AC28*converted_MPa_Storage_modulus_G!AC28,Loss_modulus_G!AC28/1000000)</f>
        <v>49.842748</v>
      </c>
      <c r="AD28" s="245">
        <f>IF(ISBLANK(Loss_modulus_G!AD28),Tandelta!AD28*converted_MPa_Storage_modulus_G!AD28,Loss_modulus_G!AD28/1000000)</f>
        <v>44.932435000000005</v>
      </c>
      <c r="AE28" s="245">
        <f>IF(ISBLANK(Loss_modulus_G!AE28),Tandelta!AE28*converted_MPa_Storage_modulus_G!AE28,Loss_modulus_G!AE28/1000000)</f>
        <v>45.044181000000002</v>
      </c>
      <c r="AF28" s="245">
        <f>IF(ISBLANK(Loss_modulus_G!AF28),Tandelta!AF28*converted_MPa_Storage_modulus_G!AF28,Loss_modulus_G!AF28/1000000)</f>
        <v>42.137599999999999</v>
      </c>
      <c r="AG28" s="245">
        <f>IF(ISBLANK(Loss_modulus_G!AG28),Tandelta!AG28*converted_MPa_Storage_modulus_G!AG28,Loss_modulus_G!AG28/1000000)</f>
        <v>41.140007999999995</v>
      </c>
      <c r="AH28" s="245">
        <f>IF(ISBLANK(Loss_modulus_G!AH28),Tandelta!AH28*converted_MPa_Storage_modulus_G!AH28,Loss_modulus_G!AH28/1000000)</f>
        <v>40.864823999999999</v>
      </c>
      <c r="AI28" s="245">
        <f>IF(ISBLANK(Loss_modulus_G!AI28),Tandelta!AI28*converted_MPa_Storage_modulus_G!AI28,Loss_modulus_G!AI28/1000000)</f>
        <v>42.756714000000002</v>
      </c>
      <c r="AJ28" s="245">
        <f>IF(ISBLANK(Loss_modulus_G!AJ28),Tandelta!AJ28*converted_MPa_Storage_modulus_G!AJ28,Loss_modulus_G!AJ28/1000000)</f>
        <v>40.589640000000003</v>
      </c>
      <c r="AK28" s="245">
        <f>IF(ISBLANK(Loss_modulus_G!AK28),Tandelta!AK28*converted_MPa_Storage_modulus_G!AK28,Loss_modulus_G!AK28/1000000)</f>
        <v>38.818081999999997</v>
      </c>
      <c r="AL28" s="245">
        <f>IF(ISBLANK(Loss_modulus_G!AL28),Tandelta!AL28*converted_MPa_Storage_modulus_G!AL28,Loss_modulus_G!AL28/1000000)</f>
        <v>34.948368000000002</v>
      </c>
      <c r="AM28" s="4"/>
      <c r="AN28" s="4"/>
      <c r="AO28" s="4"/>
    </row>
    <row r="29" spans="1:46" ht="15.75" customHeight="1">
      <c r="A29" s="92">
        <v>8</v>
      </c>
      <c r="B29" s="188">
        <v>3</v>
      </c>
      <c r="C29" s="245">
        <f>IF(ISBLANK(Loss_modulus_G!C29),Tandelta!C29*converted_MPa_Storage_modulus_G!C29,Loss_modulus_G!C29/1000000)</f>
        <v>133.189188</v>
      </c>
      <c r="D29" s="245">
        <f>IF(ISBLANK(Loss_modulus_G!D29),Tandelta!D29*converted_MPa_Storage_modulus_G!D29,Loss_modulus_G!D29/1000000)</f>
        <v>124.60688100000002</v>
      </c>
      <c r="E29" s="245">
        <f>IF(ISBLANK(Loss_modulus_G!E29),Tandelta!E29*converted_MPa_Storage_modulus_G!E29,Loss_modulus_G!E29/1000000)</f>
        <v>126.94594000000001</v>
      </c>
      <c r="F29" s="245">
        <f>IF(ISBLANK(Loss_modulus_G!F29),Tandelta!F29*converted_MPa_Storage_modulus_G!F29,Loss_modulus_G!F29/1000000)</f>
        <v>134.35872000000001</v>
      </c>
      <c r="G29" s="245">
        <f>IF(ISBLANK(Loss_modulus_G!G29),Tandelta!G29*converted_MPa_Storage_modulus_G!G29,Loss_modulus_G!G29/1000000)</f>
        <v>140.18919199999999</v>
      </c>
      <c r="H29" s="245">
        <f>IF(ISBLANK(Loss_modulus_G!H29),Tandelta!H29*converted_MPa_Storage_modulus_G!H29,Loss_modulus_G!H29/1000000)</f>
        <v>153.24323999999999</v>
      </c>
      <c r="I29" s="245">
        <f>IF(ISBLANK(Loss_modulus_G!I29),Tandelta!I29*converted_MPa_Storage_modulus_G!I29,Loss_modulus_G!I29/1000000)</f>
        <v>149.287475</v>
      </c>
      <c r="J29" s="245">
        <f>IF(ISBLANK(Loss_modulus_G!J29),Tandelta!J29*converted_MPa_Storage_modulus_G!J29,Loss_modulus_G!J29/1000000)</f>
        <v>151.256754</v>
      </c>
      <c r="K29" s="245">
        <f>IF(ISBLANK(Loss_modulus_G!K29),Tandelta!K29*converted_MPa_Storage_modulus_G!K29,Loss_modulus_G!K29/1000000)</f>
        <v>156.029472</v>
      </c>
      <c r="L29" s="245">
        <f>IF(ISBLANK(Loss_modulus_G!L29),Tandelta!L29*converted_MPa_Storage_modulus_G!L29,Loss_modulus_G!L29/1000000)</f>
        <v>159.64127400000001</v>
      </c>
      <c r="M29" s="245">
        <f>IF(ISBLANK(Loss_modulus_G!M29),Tandelta!M29*converted_MPa_Storage_modulus_G!M29,Loss_modulus_G!M29/1000000)</f>
        <v>172.20514499999999</v>
      </c>
      <c r="N29" s="245">
        <f>IF(ISBLANK(Loss_modulus_G!N29),Tandelta!N29*converted_MPa_Storage_modulus_G!N29,Loss_modulus_G!N29/1000000)</f>
        <v>175.71375499999999</v>
      </c>
      <c r="O29" s="245">
        <f>IF(ISBLANK(Loss_modulus_G!O29),Tandelta!O29*converted_MPa_Storage_modulus_G!O29,Loss_modulus_G!O29/1000000)</f>
        <v>179.11917099999999</v>
      </c>
      <c r="P29" s="245">
        <f>IF(ISBLANK(Loss_modulus_G!P29),Tandelta!P29*converted_MPa_Storage_modulus_G!P29,Loss_modulus_G!P29/1000000)</f>
        <v>182.05156000000002</v>
      </c>
      <c r="Q29" s="245">
        <f>IF(ISBLANK(Loss_modulus_G!Q29),Tandelta!Q29*converted_MPa_Storage_modulus_G!Q29,Loss_modulus_G!Q29/1000000)</f>
        <v>184.74321599999999</v>
      </c>
      <c r="R29" s="245">
        <f>IF(ISBLANK(Loss_modulus_G!R29),Tandelta!R29*converted_MPa_Storage_modulus_G!R29,Loss_modulus_G!R29/1000000)</f>
        <v>178.78377</v>
      </c>
      <c r="S29" s="245">
        <f>IF(ISBLANK(Loss_modulus_G!S29),Tandelta!S29*converted_MPa_Storage_modulus_G!S29,Loss_modulus_G!S29/1000000)</f>
        <v>170.75180800000001</v>
      </c>
      <c r="T29" s="245">
        <f>IF(ISBLANK(Loss_modulus_G!T29),Tandelta!T29*converted_MPa_Storage_modulus_G!T29,Loss_modulus_G!T29/1000000)</f>
        <v>161.32676000000004</v>
      </c>
      <c r="U29" s="245">
        <f>IF(ISBLANK(Loss_modulus_G!U29),Tandelta!U29*converted_MPa_Storage_modulus_G!U29,Loss_modulus_G!U29/1000000)</f>
        <v>148.93484400000003</v>
      </c>
      <c r="V29" s="245">
        <f>IF(ISBLANK(Loss_modulus_G!V29),Tandelta!V29*converted_MPa_Storage_modulus_G!V29,Loss_modulus_G!V29/1000000)</f>
        <v>137.12776100000002</v>
      </c>
      <c r="W29" s="245">
        <f>IF(ISBLANK(Loss_modulus_G!W29),Tandelta!W29*converted_MPa_Storage_modulus_G!W29,Loss_modulus_G!W29/1000000)</f>
        <v>127.909097</v>
      </c>
      <c r="X29" s="245">
        <f>IF(ISBLANK(Loss_modulus_G!X29),Tandelta!X29*converted_MPa_Storage_modulus_G!X29,Loss_modulus_G!X29/1000000)</f>
        <v>125.20022400000002</v>
      </c>
      <c r="Y29" s="245">
        <f>IF(ISBLANK(Loss_modulus_G!Y29),Tandelta!Y29*converted_MPa_Storage_modulus_G!Y29,Loss_modulus_G!Y29/1000000)</f>
        <v>121.786192</v>
      </c>
      <c r="Z29" s="245">
        <f>IF(ISBLANK(Loss_modulus_G!Z29),Tandelta!Z29*converted_MPa_Storage_modulus_G!Z29,Loss_modulus_G!Z29/1000000)</f>
        <v>119.39561399999999</v>
      </c>
      <c r="AA29" s="245">
        <f>IF(ISBLANK(Loss_modulus_G!AA29),Tandelta!AA29*converted_MPa_Storage_modulus_G!AA29,Loss_modulus_G!AA29/1000000)</f>
        <v>124.10807199999999</v>
      </c>
      <c r="AB29" s="245">
        <f>IF(ISBLANK(Loss_modulus_G!AB29),Tandelta!AB29*converted_MPa_Storage_modulus_G!AB29,Loss_modulus_G!AB29/1000000)</f>
        <v>117.090884</v>
      </c>
      <c r="AC29" s="245">
        <f>IF(ISBLANK(Loss_modulus_G!AC29),Tandelta!AC29*converted_MPa_Storage_modulus_G!AC29,Loss_modulus_G!AC29/1000000)</f>
        <v>109.970544</v>
      </c>
      <c r="AD29" s="245">
        <f>IF(ISBLANK(Loss_modulus_G!AD29),Tandelta!AD29*converted_MPa_Storage_modulus_G!AD29,Loss_modulus_G!AD29/1000000)</f>
        <v>105.89429000000001</v>
      </c>
      <c r="AE29" s="245">
        <f>IF(ISBLANK(Loss_modulus_G!AE29),Tandelta!AE29*converted_MPa_Storage_modulus_G!AE29,Loss_modulus_G!AE29/1000000)</f>
        <v>105.93728899999999</v>
      </c>
      <c r="AF29" s="245">
        <f>IF(ISBLANK(Loss_modulus_G!AF29),Tandelta!AF29*converted_MPa_Storage_modulus_G!AF29,Loss_modulus_G!AF29/1000000)</f>
        <v>101.749284</v>
      </c>
      <c r="AG29" s="245">
        <f>IF(ISBLANK(Loss_modulus_G!AG29),Tandelta!AG29*converted_MPa_Storage_modulus_G!AG29,Loss_modulus_G!AG29/1000000)</f>
        <v>101.216115</v>
      </c>
      <c r="AH29" s="245">
        <f>IF(ISBLANK(Loss_modulus_G!AH29),Tandelta!AH29*converted_MPa_Storage_modulus_G!AH29,Loss_modulus_G!AH29/1000000)</f>
        <v>98.894365000000008</v>
      </c>
      <c r="AI29" s="245">
        <f>IF(ISBLANK(Loss_modulus_G!AI29),Tandelta!AI29*converted_MPa_Storage_modulus_G!AI29,Loss_modulus_G!AI29/1000000)</f>
        <v>99.066360000000003</v>
      </c>
      <c r="AJ29" s="245">
        <f>IF(ISBLANK(Loss_modulus_G!AJ29),Tandelta!AJ29*converted_MPa_Storage_modulus_G!AJ29,Loss_modulus_G!AJ29/1000000)</f>
        <v>92.100707999999997</v>
      </c>
      <c r="AK29" s="245">
        <f>IF(ISBLANK(Loss_modulus_G!AK29),Tandelta!AK29*converted_MPa_Storage_modulus_G!AK29,Loss_modulus_G!AK29/1000000)</f>
        <v>87.869691000000003</v>
      </c>
      <c r="AL29" s="245">
        <f>IF(ISBLANK(Loss_modulus_G!AL29),Tandelta!AL29*converted_MPa_Storage_modulus_G!AL29,Loss_modulus_G!AL29/1000000)</f>
        <v>87.714967999999999</v>
      </c>
      <c r="AM29" s="4"/>
      <c r="AN29" s="4"/>
      <c r="AO29" s="4"/>
    </row>
    <row r="30" spans="1:46" ht="15.75" customHeight="1">
      <c r="A30" s="92">
        <v>8</v>
      </c>
      <c r="B30" s="188">
        <v>4</v>
      </c>
      <c r="C30" s="245">
        <f>IF(ISBLANK(Loss_modulus_G!C30),Tandelta!C30*converted_MPa_Storage_modulus_G!C30,Loss_modulus_G!C30/1000000)</f>
        <v>160.85380700000002</v>
      </c>
      <c r="D30" s="245">
        <f>IF(ISBLANK(Loss_modulus_G!D30),Tandelta!D30*converted_MPa_Storage_modulus_G!D30,Loss_modulus_G!D30/1000000)</f>
        <v>148.831695</v>
      </c>
      <c r="E30" s="245">
        <f>IF(ISBLANK(Loss_modulus_G!E30),Tandelta!E30*converted_MPa_Storage_modulus_G!E30,Loss_modulus_G!E30/1000000)</f>
        <v>156.11546800000002</v>
      </c>
      <c r="F30" s="245">
        <f>IF(ISBLANK(Loss_modulus_G!F30),Tandelta!F30*converted_MPa_Storage_modulus_G!F30,Loss_modulus_G!F30/1000000)</f>
        <v>181.79360500000001</v>
      </c>
      <c r="G30" s="245">
        <f>IF(ISBLANK(Loss_modulus_G!G30),Tandelta!G30*converted_MPa_Storage_modulus_G!G30,Loss_modulus_G!G30/1000000)</f>
        <v>207.31695600000003</v>
      </c>
      <c r="H30" s="245">
        <f>IF(ISBLANK(Loss_modulus_G!H30),Tandelta!H30*converted_MPa_Storage_modulus_G!H30,Loss_modulus_G!H30/1000000)</f>
        <v>211.63390200000001</v>
      </c>
      <c r="I30" s="245">
        <f>IF(ISBLANK(Loss_modulus_G!I30),Tandelta!I30*converted_MPa_Storage_modulus_G!I30,Loss_modulus_G!I30/1000000)</f>
        <v>201.68428499999999</v>
      </c>
      <c r="J30" s="245">
        <f>IF(ISBLANK(Loss_modulus_G!J30),Tandelta!J30*converted_MPa_Storage_modulus_G!J30,Loss_modulus_G!J30/1000000)</f>
        <v>184.30467200000001</v>
      </c>
      <c r="K30" s="245">
        <f>IF(ISBLANK(Loss_modulus_G!K30),Tandelta!K30*converted_MPa_Storage_modulus_G!K30,Loss_modulus_G!K30/1000000)</f>
        <v>175.017168</v>
      </c>
      <c r="L30" s="245">
        <f>IF(ISBLANK(Loss_modulus_G!L30),Tandelta!L30*converted_MPa_Storage_modulus_G!L30,Loss_modulus_G!L30/1000000)</f>
        <v>172.42015000000001</v>
      </c>
      <c r="M30" s="245">
        <f>IF(ISBLANK(Loss_modulus_G!M30),Tandelta!M30*converted_MPa_Storage_modulus_G!M30,Loss_modulus_G!M30/1000000)</f>
        <v>165.45453599999999</v>
      </c>
      <c r="N30" s="245">
        <f>IF(ISBLANK(Loss_modulus_G!N30),Tandelta!N30*converted_MPa_Storage_modulus_G!N30,Loss_modulus_G!N30/1000000)</f>
        <v>170.089653</v>
      </c>
      <c r="O30" s="245">
        <f>IF(ISBLANK(Loss_modulus_G!O30),Tandelta!O30*converted_MPa_Storage_modulus_G!O30,Loss_modulus_G!O30/1000000)</f>
        <v>169.43603999999999</v>
      </c>
      <c r="P30" s="245">
        <f>IF(ISBLANK(Loss_modulus_G!P30),Tandelta!P30*converted_MPa_Storage_modulus_G!P30,Loss_modulus_G!P30/1000000)</f>
        <v>165.66092800000001</v>
      </c>
      <c r="Q30" s="245">
        <f>IF(ISBLANK(Loss_modulus_G!Q30),Tandelta!Q30*converted_MPa_Storage_modulus_G!Q30,Loss_modulus_G!Q30/1000000)</f>
        <v>159.022088</v>
      </c>
      <c r="R30" s="245">
        <f>IF(ISBLANK(Loss_modulus_G!R30),Tandelta!R30*converted_MPa_Storage_modulus_G!R30,Loss_modulus_G!R30/1000000)</f>
        <v>155.90911000000003</v>
      </c>
      <c r="S30" s="245">
        <f>IF(ISBLANK(Loss_modulus_G!S30),Tandelta!S30*converted_MPa_Storage_modulus_G!S30,Loss_modulus_G!S30/1000000)</f>
        <v>151.29118599999998</v>
      </c>
      <c r="T30" s="245">
        <f>IF(ISBLANK(Loss_modulus_G!T30),Tandelta!T30*converted_MPa_Storage_modulus_G!T30,Loss_modulus_G!T30/1000000)</f>
        <v>139.991443</v>
      </c>
      <c r="U30" s="245">
        <f>IF(ISBLANK(Loss_modulus_G!U30),Tandelta!U30*converted_MPa_Storage_modulus_G!U30,Loss_modulus_G!U30/1000000)</f>
        <v>132.36357799999999</v>
      </c>
      <c r="V30" s="245">
        <f>IF(ISBLANK(Loss_modulus_G!V30),Tandelta!V30*converted_MPa_Storage_modulus_G!V30,Loss_modulus_G!V30/1000000)</f>
        <v>123.45449600000001</v>
      </c>
      <c r="W30" s="245">
        <f>IF(ISBLANK(Loss_modulus_G!W30),Tandelta!W30*converted_MPa_Storage_modulus_G!W30,Loss_modulus_G!W30/1000000)</f>
        <v>115.44832499999998</v>
      </c>
      <c r="X30" s="245">
        <f>IF(ISBLANK(Loss_modulus_G!X30),Tandelta!X30*converted_MPa_Storage_modulus_G!X30,Loss_modulus_G!X30/1000000)</f>
        <v>111.415201</v>
      </c>
      <c r="Y30" s="245">
        <f>IF(ISBLANK(Loss_modulus_G!Y30),Tandelta!Y30*converted_MPa_Storage_modulus_G!Y30,Loss_modulus_G!Y30/1000000)</f>
        <v>107.184168</v>
      </c>
      <c r="Z30" s="245">
        <f>IF(ISBLANK(Loss_modulus_G!Z30),Tandelta!Z30*converted_MPa_Storage_modulus_G!Z30,Loss_modulus_G!Z30/1000000)</f>
        <v>107.99261199999999</v>
      </c>
      <c r="AA30" s="245">
        <f>IF(ISBLANK(Loss_modulus_G!AA30),Tandelta!AA30*converted_MPa_Storage_modulus_G!AA30,Loss_modulus_G!AA30/1000000)</f>
        <v>105.567561</v>
      </c>
      <c r="AB30" s="245">
        <f>IF(ISBLANK(Loss_modulus_G!AB30),Tandelta!AB30*converted_MPa_Storage_modulus_G!AB30,Loss_modulus_G!AB30/1000000)</f>
        <v>97.518434999999997</v>
      </c>
      <c r="AC30" s="245">
        <f>IF(ISBLANK(Loss_modulus_G!AC30),Tandelta!AC30*converted_MPa_Storage_modulus_G!AC30,Loss_modulus_G!AC30/1000000)</f>
        <v>93.734659000000008</v>
      </c>
      <c r="AD30" s="245">
        <f>IF(ISBLANK(Loss_modulus_G!AD30),Tandelta!AD30*converted_MPa_Storage_modulus_G!AD30,Loss_modulus_G!AD30/1000000)</f>
        <v>89.400402</v>
      </c>
      <c r="AE30" s="245">
        <f>IF(ISBLANK(Loss_modulus_G!AE30),Tandelta!AE30*converted_MPa_Storage_modulus_G!AE30,Loss_modulus_G!AE30/1000000)</f>
        <v>87.534369000000012</v>
      </c>
      <c r="AF30" s="245">
        <f>IF(ISBLANK(Loss_modulus_G!AF30),Tandelta!AF30*converted_MPa_Storage_modulus_G!AF30,Loss_modulus_G!AF30/1000000)</f>
        <v>82.882041999999998</v>
      </c>
      <c r="AG30" s="245">
        <f>IF(ISBLANK(Loss_modulus_G!AG30),Tandelta!AG30*converted_MPa_Storage_modulus_G!AG30,Loss_modulus_G!AG30/1000000)</f>
        <v>78.633955</v>
      </c>
      <c r="AH30" s="245">
        <f>IF(ISBLANK(Loss_modulus_G!AH30),Tandelta!AH30*converted_MPa_Storage_modulus_G!AH30,Loss_modulus_G!AH30/1000000)</f>
        <v>79.373450000000005</v>
      </c>
      <c r="AI30" s="245">
        <f>IF(ISBLANK(Loss_modulus_G!AI30),Tandelta!AI30*converted_MPa_Storage_modulus_G!AI30,Loss_modulus_G!AI30/1000000)</f>
        <v>77.206378000000015</v>
      </c>
      <c r="AJ30" s="245">
        <f>IF(ISBLANK(Loss_modulus_G!AJ30),Tandelta!AJ30*converted_MPa_Storage_modulus_G!AJ30,Loss_modulus_G!AJ30/1000000)</f>
        <v>75.847660000000005</v>
      </c>
      <c r="AK30" s="245">
        <f>IF(ISBLANK(Loss_modulus_G!AK30),Tandelta!AK30*converted_MPa_Storage_modulus_G!AK30,Loss_modulus_G!AK30/1000000)</f>
        <v>71.823024000000004</v>
      </c>
      <c r="AL30" s="245">
        <f>IF(ISBLANK(Loss_modulus_G!AL30),Tandelta!AL30*converted_MPa_Storage_modulus_G!AL30,Loss_modulus_G!AL30/1000000)</f>
        <v>68.366100000000003</v>
      </c>
      <c r="AM30" s="4"/>
      <c r="AN30" s="4"/>
      <c r="AO30" s="4"/>
    </row>
    <row r="31" spans="1:46" ht="15.75" customHeight="1">
      <c r="A31" s="93">
        <v>9</v>
      </c>
      <c r="B31" s="187">
        <v>1</v>
      </c>
      <c r="C31" s="95">
        <f>Loss_modulus_G!C31/1000000</f>
        <v>40831938.633269444</v>
      </c>
      <c r="D31" s="95">
        <f>Loss_modulus_G!D31/1000000</f>
        <v>39994474.97610987</v>
      </c>
      <c r="E31" s="95">
        <f>Loss_modulus_G!E31/1000000</f>
        <v>42756288.615158699</v>
      </c>
      <c r="F31" s="95">
        <f>Loss_modulus_G!F31/1000000</f>
        <v>52119471.11050833</v>
      </c>
      <c r="G31" s="95">
        <f>Loss_modulus_G!G31/1000000</f>
        <v>62373483.548242122</v>
      </c>
      <c r="H31" s="95">
        <f>Loss_modulus_G!H31/1000000</f>
        <v>79615935.041731834</v>
      </c>
      <c r="I31" s="95">
        <f>Loss_modulus_G!I31/1000000</f>
        <v>49888448.746001363</v>
      </c>
      <c r="J31" s="95">
        <f>Loss_modulus_G!J31/1000000</f>
        <v>45708818.96148771</v>
      </c>
      <c r="K31" s="95">
        <f>Loss_modulus_G!K31/1000000</f>
        <v>36559479.16131264</v>
      </c>
      <c r="L31" s="95">
        <f>Loss_modulus_G!L31/1000000</f>
        <v>37411058.827205479</v>
      </c>
      <c r="M31" s="95">
        <f>Loss_modulus_G!M31/1000000</f>
        <v>30619634.336906876</v>
      </c>
      <c r="N31" s="95">
        <f>Loss_modulus_G!N31/1000000</f>
        <v>21928049.353504512</v>
      </c>
      <c r="O31" s="95">
        <f>Loss_modulus_G!O31/1000000</f>
        <v>12882495.516931374</v>
      </c>
      <c r="P31" s="95">
        <f>Loss_modulus_G!P31/1000000</f>
        <v>5188000.3892896259</v>
      </c>
      <c r="Q31" s="95">
        <f>Loss_modulus_G!Q31/1000000</f>
        <v>1866379.6908346778</v>
      </c>
      <c r="R31" s="115"/>
      <c r="S31" s="90"/>
    </row>
    <row r="32" spans="1:46" ht="15.75" customHeight="1">
      <c r="A32" s="92">
        <v>9</v>
      </c>
      <c r="B32" s="188">
        <v>2</v>
      </c>
      <c r="C32" s="96">
        <f>Loss_modulus_G!C32/1000000</f>
        <v>2722701.3080779277</v>
      </c>
      <c r="D32" s="96">
        <f>Loss_modulus_G!D32/1000000</f>
        <v>3111716.337106029</v>
      </c>
      <c r="E32" s="96">
        <f>Loss_modulus_G!E32/1000000</f>
        <v>3801893.9632056281</v>
      </c>
      <c r="F32" s="96">
        <f>Loss_modulus_G!F32/1000000</f>
        <v>4954501.9080479173</v>
      </c>
      <c r="G32" s="96">
        <f>Loss_modulus_G!G32/1000000</f>
        <v>3881503.6599064958</v>
      </c>
      <c r="H32" s="96">
        <f>Loss_modulus_G!H32/1000000</f>
        <v>5188000.3892896259</v>
      </c>
      <c r="I32" s="96">
        <f>Loss_modulus_G!I32/1000000</f>
        <v>3556313.1856898591</v>
      </c>
      <c r="J32" s="96">
        <f>Loss_modulus_G!J32/1000000</f>
        <v>2228435.1492703147</v>
      </c>
      <c r="K32" s="96">
        <f>Loss_modulus_G!K32/1000000</f>
        <v>2382319.4693586999</v>
      </c>
      <c r="L32" s="96">
        <f>Loss_modulus_G!L32/1000000</f>
        <v>2786121.1686297758</v>
      </c>
      <c r="M32" s="96">
        <f>Loss_modulus_G!M32/1000000</f>
        <v>3475361.6144320765</v>
      </c>
      <c r="N32" s="96">
        <f>Loss_modulus_G!N32/1000000</f>
        <v>3111716.337106029</v>
      </c>
      <c r="O32" s="96">
        <f>Loss_modulus_G!O32/1000000</f>
        <v>1399587.3225726257</v>
      </c>
      <c r="P32" s="96">
        <f>Loss_modulus_G!P32/1000000</f>
        <v>470977.32639695489</v>
      </c>
      <c r="Q32" s="96">
        <f>Loss_modulus_G!Q32/1000000</f>
        <v>34276.778654645117</v>
      </c>
      <c r="R32" s="117"/>
      <c r="S32" s="90"/>
    </row>
    <row r="33" spans="1:24" ht="15.75" customHeight="1">
      <c r="A33" s="92">
        <v>9</v>
      </c>
      <c r="B33" s="188">
        <v>3</v>
      </c>
      <c r="C33" s="96">
        <f>Loss_modulus_G!C33/1000000</f>
        <v>132739.44577297429</v>
      </c>
      <c r="D33" s="96">
        <f>Loss_modulus_G!D33/1000000</f>
        <v>165958.69074375657</v>
      </c>
      <c r="E33" s="96">
        <f>Loss_modulus_G!E33/1000000</f>
        <v>264240.87573219533</v>
      </c>
      <c r="F33" s="96">
        <f>Loss_modulus_G!F33/1000000</f>
        <v>767361.48936182179</v>
      </c>
      <c r="G33" s="96">
        <f>Loss_modulus_G!G33/1000000</f>
        <v>385478.35766577325</v>
      </c>
      <c r="H33" s="96">
        <f>Loss_modulus_G!H33/1000000</f>
        <v>301995.17204020283</v>
      </c>
      <c r="I33" s="96">
        <f>Loss_modulus_G!I33/1000000</f>
        <v>252929.7996446153</v>
      </c>
      <c r="J33" s="96">
        <f>Loss_modulus_G!J33/1000000</f>
        <v>169824.36524617492</v>
      </c>
      <c r="K33" s="96">
        <f>Loss_modulus_G!K33/1000000</f>
        <v>162181.00973589349</v>
      </c>
      <c r="L33" s="96">
        <f>Loss_modulus_G!L33/1000000</f>
        <v>181134.00926196045</v>
      </c>
      <c r="M33" s="96">
        <f>Loss_modulus_G!M33/1000000</f>
        <v>211836.11352485075</v>
      </c>
      <c r="N33" s="96">
        <f>Loss_modulus_G!N33/1000000</f>
        <v>202768.27195212894</v>
      </c>
      <c r="O33" s="96">
        <f>Loss_modulus_G!O33/1000000</f>
        <v>145211.16175877492</v>
      </c>
      <c r="P33" s="96">
        <f>Loss_modulus_G!P33/1000000</f>
        <v>46773.514128719871</v>
      </c>
      <c r="Q33" s="96">
        <f>Loss_modulus_G!Q33/1000000</f>
        <v>7244.3596007499136</v>
      </c>
      <c r="R33" s="117"/>
      <c r="S33" s="90"/>
    </row>
    <row r="34" spans="1:24" ht="15.75" customHeight="1">
      <c r="A34" s="92">
        <v>9</v>
      </c>
      <c r="B34" s="188">
        <v>4</v>
      </c>
      <c r="C34" s="96">
        <f>Loss_modulus_G!C34/1000000</f>
        <v>25703.95782768873</v>
      </c>
      <c r="D34" s="96">
        <f>Loss_modulus_G!D34/1000000</f>
        <v>29376.496519615357</v>
      </c>
      <c r="E34" s="96">
        <f>Loss_modulus_G!E34/1000000</f>
        <v>38282.474331682417</v>
      </c>
      <c r="F34" s="96">
        <f>Loss_modulus_G!F34/1000000</f>
        <v>148593.56422870141</v>
      </c>
      <c r="G34" s="96">
        <f>Loss_modulus_G!G34/1000000</f>
        <v>34276.778654645117</v>
      </c>
      <c r="H34" s="96">
        <f>Loss_modulus_G!H34/1000000</f>
        <v>15066.070661867485</v>
      </c>
      <c r="I34" s="96">
        <f>Loss_modulus_G!I34/1000000</f>
        <v>15776.112696993552</v>
      </c>
      <c r="J34" s="96">
        <f>Loss_modulus_G!J34/1000000</f>
        <v>12618.275345906754</v>
      </c>
      <c r="K34" s="96">
        <f>Loss_modulus_G!K34/1000000</f>
        <v>13803.842646028885</v>
      </c>
      <c r="L34" s="96">
        <f>Loss_modulus_G!L34/1000000</f>
        <v>12618.275345906754</v>
      </c>
      <c r="M34" s="96">
        <f>Loss_modulus_G!M34/1000000</f>
        <v>12912.192736135388</v>
      </c>
      <c r="N34" s="96">
        <f>Loss_modulus_G!N34/1000000</f>
        <v>12912.192736135388</v>
      </c>
      <c r="O34" s="96">
        <f>Loss_modulus_G!O34/1000000</f>
        <v>9885.5309465693936</v>
      </c>
      <c r="P34" s="96">
        <f>Loss_modulus_G!P34/1000000</f>
        <v>3564.5113342624513</v>
      </c>
      <c r="Q34" s="96">
        <f>Loss_modulus_G!Q34/1000000</f>
        <v>803.5261221856174</v>
      </c>
      <c r="R34" s="117">
        <f>Loss_modulus_G!R34/1000000</f>
        <v>142.23287871228234</v>
      </c>
      <c r="S34" s="90"/>
    </row>
    <row r="35" spans="1:24" ht="15.75" customHeight="1">
      <c r="A35" s="92">
        <v>9</v>
      </c>
      <c r="B35" s="188">
        <v>5</v>
      </c>
      <c r="C35" s="96">
        <f>Loss_modulus_G!C35/1000000</f>
        <v>3118.8895840939399</v>
      </c>
      <c r="D35" s="96">
        <f>Loss_modulus_G!D35/1000000</f>
        <v>3118.8895840939399</v>
      </c>
      <c r="E35" s="96">
        <f>Loss_modulus_G!E35/1000000</f>
        <v>4064.4332916521416</v>
      </c>
      <c r="F35" s="96">
        <f>Loss_modulus_G!F35/1000000</f>
        <v>33573.761424295575</v>
      </c>
      <c r="G35" s="96">
        <f>Loss_modulus_G!G35/1000000</f>
        <v>961.61227838366619</v>
      </c>
      <c r="H35" s="96">
        <f>Loss_modulus_G!H35/1000000</f>
        <v>302.69134281013095</v>
      </c>
      <c r="I35" s="96">
        <f>Loss_modulus_G!I35/1000000</f>
        <v>155.59656316050766</v>
      </c>
      <c r="J35" s="96">
        <f>Loss_modulus_G!J35/1000000</f>
        <v>73.113908348341909</v>
      </c>
      <c r="K35" s="96">
        <f>Loss_modulus_G!K35/1000000</f>
        <v>6.3533093185174438</v>
      </c>
      <c r="L35" s="96"/>
      <c r="M35" s="96"/>
      <c r="N35" s="96"/>
      <c r="O35" s="96"/>
      <c r="P35" s="96"/>
      <c r="Q35" s="96"/>
      <c r="R35" s="117"/>
      <c r="S35" s="90"/>
    </row>
    <row r="36" spans="1:24" ht="15.75" customHeight="1">
      <c r="A36" s="92">
        <v>9</v>
      </c>
      <c r="B36" s="188">
        <v>6</v>
      </c>
      <c r="C36" s="96">
        <f>Loss_modulus_G!C36/1000000</f>
        <v>552.07743928075911</v>
      </c>
      <c r="D36" s="96">
        <f>Loss_modulus_G!D36/1000000</f>
        <v>472.06304126359134</v>
      </c>
      <c r="E36" s="96">
        <f>Loss_modulus_G!E36/1000000</f>
        <v>688.65229634427567</v>
      </c>
      <c r="F36" s="96">
        <f>Loss_modulus_G!F36/1000000</f>
        <v>3723.9170625456914</v>
      </c>
      <c r="G36" s="96">
        <f>Loss_modulus_G!G36/1000000</f>
        <v>247.74220576332877</v>
      </c>
      <c r="H36" s="96">
        <f>Loss_modulus_G!H36/1000000</f>
        <v>59.841159506032071</v>
      </c>
      <c r="I36" s="96">
        <f>Loss_modulus_G!I36/1000000</f>
        <v>25.763211570025778</v>
      </c>
      <c r="J36" s="96">
        <f>Loss_modulus_G!J36/1000000</f>
        <v>11.324003632355604</v>
      </c>
      <c r="K36" s="96">
        <f>Loss_modulus_G!K36/1000000</f>
        <v>4.0738027780411379</v>
      </c>
      <c r="L36" s="96"/>
      <c r="M36" s="96"/>
      <c r="N36" s="96"/>
      <c r="O36" s="96"/>
      <c r="P36" s="96"/>
      <c r="Q36" s="96"/>
      <c r="R36" s="117"/>
      <c r="S36" s="90"/>
    </row>
    <row r="37" spans="1:24" ht="14.4">
      <c r="A37" s="92">
        <v>9</v>
      </c>
      <c r="B37" s="188">
        <v>7</v>
      </c>
      <c r="C37" s="96">
        <f>Loss_modulus_G!C37/1000000</f>
        <v>57.279603098583074</v>
      </c>
      <c r="D37" s="96">
        <f>Loss_modulus_G!D37/1000000</f>
        <v>76.383578357769181</v>
      </c>
      <c r="E37" s="96">
        <f>Loss_modulus_G!E37/1000000</f>
        <v>97.498963771738815</v>
      </c>
      <c r="F37" s="96">
        <f>Loss_modulus_G!F37/1000000</f>
        <v>338.0648362059826</v>
      </c>
      <c r="G37" s="96">
        <f>Loss_modulus_G!G37/1000000</f>
        <v>17.258378919902093</v>
      </c>
      <c r="H37" s="96">
        <f>Loss_modulus_G!H37/1000000</f>
        <v>3.4914031547858677</v>
      </c>
      <c r="I37" s="96">
        <f>Loss_modulus_G!I37/1000000</f>
        <v>1.3427649611378669</v>
      </c>
      <c r="J37" s="96">
        <f>Loss_modulus_G!J37/1000000</f>
        <v>0.49431068698683628</v>
      </c>
      <c r="K37" s="96">
        <f>Loss_modulus_G!K37/1000000</f>
        <v>0.11694993910198709</v>
      </c>
      <c r="L37" s="96"/>
      <c r="M37" s="96"/>
      <c r="N37" s="96"/>
      <c r="O37" s="96"/>
      <c r="P37" s="96"/>
      <c r="Q37" s="96"/>
      <c r="R37" s="117"/>
      <c r="S37" s="90"/>
    </row>
    <row r="38" spans="1:24" ht="15.75" customHeight="1">
      <c r="A38" s="139">
        <v>10</v>
      </c>
      <c r="B38" s="140">
        <v>1</v>
      </c>
      <c r="C38" s="141">
        <f>Loss_modulus_G!C38/1000000</f>
        <v>100.82670848100001</v>
      </c>
      <c r="D38" s="141">
        <f>Loss_modulus_G!D38/1000000</f>
        <v>105.064053469</v>
      </c>
      <c r="E38" s="141">
        <f>Loss_modulus_G!E38/1000000</f>
        <v>105.064053469</v>
      </c>
      <c r="F38" s="141">
        <f>Loss_modulus_G!F38/1000000</f>
        <v>102.219851804</v>
      </c>
      <c r="G38" s="141">
        <f>Loss_modulus_G!G38/1000000</f>
        <v>100.82670848100001</v>
      </c>
      <c r="H38" s="141">
        <f>Loss_modulus_G!H38/1000000</f>
        <v>99.452645865999997</v>
      </c>
      <c r="I38" s="141">
        <f>Loss_modulus_G!I38/1000000</f>
        <v>148.061137694</v>
      </c>
      <c r="J38" s="141">
        <f>Loss_modulus_G!J38/1000000</f>
        <v>298.10838376099997</v>
      </c>
      <c r="K38" s="141">
        <f>Loss_modulus_G!K38/1000000</f>
        <v>267.11505377999998</v>
      </c>
      <c r="L38" s="141">
        <f>Loss_modulus_G!L38/1000000</f>
        <v>55.126301374000001</v>
      </c>
      <c r="M38" s="141">
        <f>Loss_modulus_G!M38/1000000</f>
        <v>13.413217973</v>
      </c>
      <c r="N38" s="141">
        <f>Loss_modulus_G!N38/1000000</f>
        <v>5.8077102199999997</v>
      </c>
      <c r="O38" s="141">
        <f>Loss_modulus_G!O38/1000000</f>
        <v>2.8845058350000001</v>
      </c>
      <c r="P38" s="141">
        <f>Loss_modulus_G!P38/1000000</f>
        <v>1.911117693</v>
      </c>
      <c r="Q38" s="141">
        <f>Loss_modulus_G!Q38/1000000</f>
        <v>1.1190970660000001</v>
      </c>
      <c r="R38" s="141">
        <f>Loss_modulus_G!R38/1000000</f>
        <v>0.72138059300000001</v>
      </c>
      <c r="S38" s="142">
        <f>Loss_modulus_G!S38/1000000</f>
        <v>0.105642291</v>
      </c>
      <c r="T38" s="90"/>
    </row>
    <row r="39" spans="1:24" ht="15.75" customHeight="1">
      <c r="A39" s="139">
        <v>11</v>
      </c>
      <c r="B39" s="140">
        <v>1</v>
      </c>
      <c r="C39" s="246">
        <f>IF(ISBLANK(Loss_modulus_G!C39),Tandelta!C39*converted_MPa_Storage_modulus_G!C39,Loss_modulus_G!C39/1000000)</f>
        <v>90.545272852539995</v>
      </c>
      <c r="D39" s="246">
        <f>IF(ISBLANK(Loss_modulus_G!D39),Tandelta!D39*converted_MPa_Storage_modulus_G!D39,Loss_modulus_G!D39/1000000)</f>
        <v>98.776661293679993</v>
      </c>
      <c r="E39" s="246">
        <f>IF(ISBLANK(Loss_modulus_G!E39),Tandelta!E39*converted_MPa_Storage_modulus_G!E39,Loss_modulus_G!E39/1000000)</f>
        <v>111.548907068795</v>
      </c>
      <c r="F39" s="246">
        <f>IF(ISBLANK(Loss_modulus_G!F39),Tandelta!F39*converted_MPa_Storage_modulus_G!F39,Loss_modulus_G!F39/1000000)</f>
        <v>125.36785728941801</v>
      </c>
      <c r="G39" s="246">
        <f>IF(ISBLANK(Loss_modulus_G!G39),Tandelta!G39*converted_MPa_Storage_modulus_G!G39,Loss_modulus_G!G39/1000000)</f>
        <v>143.700871814755</v>
      </c>
      <c r="H39" s="246">
        <f>IF(ISBLANK(Loss_modulus_G!H39),Tandelta!H39*converted_MPa_Storage_modulus_G!H39,Loss_modulus_G!H39/1000000)</f>
        <v>138.74621360044202</v>
      </c>
      <c r="I39" s="246">
        <f>IF(ISBLANK(Loss_modulus_G!I39),Tandelta!I39*converted_MPa_Storage_modulus_G!I39,Loss_modulus_G!I39/1000000)</f>
        <v>125.6029891152</v>
      </c>
      <c r="J39" s="246">
        <f>IF(ISBLANK(Loss_modulus_G!J39),Tandelta!J39*converted_MPa_Storage_modulus_G!J39,Loss_modulus_G!J39/1000000)</f>
        <v>109.28351562605999</v>
      </c>
      <c r="K39" s="246">
        <f>IF(ISBLANK(Loss_modulus_G!K39),Tandelta!K39*converted_MPa_Storage_modulus_G!K39,Loss_modulus_G!K39/1000000)</f>
        <v>95.649639601848008</v>
      </c>
      <c r="L39" s="246">
        <f>IF(ISBLANK(Loss_modulus_G!L39),Tandelta!L39*converted_MPa_Storage_modulus_G!L39,Loss_modulus_G!L39/1000000)</f>
        <v>87.768444842975995</v>
      </c>
      <c r="M39" s="246">
        <f>IF(ISBLANK(Loss_modulus_G!M39),Tandelta!M39*converted_MPa_Storage_modulus_G!M39,Loss_modulus_G!M39/1000000)</f>
        <v>83.427007001151992</v>
      </c>
      <c r="N39" s="246">
        <f>IF(ISBLANK(Loss_modulus_G!N39),Tandelta!N39*converted_MPa_Storage_modulus_G!N39,Loss_modulus_G!N39/1000000)</f>
        <v>84.256562336648017</v>
      </c>
      <c r="O39" s="246">
        <f>IF(ISBLANK(Loss_modulus_G!O39),Tandelta!O39*converted_MPa_Storage_modulus_G!O39,Loss_modulus_G!O39/1000000)</f>
        <v>88.757378534690005</v>
      </c>
      <c r="P39" s="246">
        <f>IF(ISBLANK(Loss_modulus_G!P39),Tandelta!P39*converted_MPa_Storage_modulus_G!P39,Loss_modulus_G!P39/1000000)</f>
        <v>95.888670129104</v>
      </c>
      <c r="Q39" s="246">
        <f>IF(ISBLANK(Loss_modulus_G!Q39),Tandelta!Q39*converted_MPa_Storage_modulus_G!Q39,Loss_modulus_G!Q39/1000000)</f>
        <v>121.61861375608001</v>
      </c>
      <c r="R39" s="246">
        <f>IF(ISBLANK(Loss_modulus_G!R39),Tandelta!R39*converted_MPa_Storage_modulus_G!R39,Loss_modulus_G!R39/1000000)</f>
        <v>149.84143110466798</v>
      </c>
      <c r="S39" s="246">
        <f>IF(ISBLANK(Loss_modulus_G!S39),Tandelta!S39*converted_MPa_Storage_modulus_G!S39,Loss_modulus_G!S39/1000000)</f>
        <v>142.46396635497399</v>
      </c>
      <c r="T39" s="246">
        <f>IF(ISBLANK(Loss_modulus_G!T39),Tandelta!T39*converted_MPa_Storage_modulus_G!T39,Loss_modulus_G!T39/1000000)</f>
        <v>71.799092995232002</v>
      </c>
      <c r="U39" s="246">
        <f>IF(ISBLANK(Loss_modulus_G!U39),Tandelta!U39*converted_MPa_Storage_modulus_G!U39,Loss_modulus_G!U39/1000000)</f>
        <v>13.681861080966002</v>
      </c>
      <c r="V39" s="246">
        <f>IF(ISBLANK(Loss_modulus_G!V39),Tandelta!V39*converted_MPa_Storage_modulus_G!V39,Loss_modulus_G!V39/1000000)</f>
        <v>2.6231140551779997</v>
      </c>
      <c r="W39" s="90"/>
      <c r="X39" s="90"/>
    </row>
    <row r="40" spans="1:24" ht="15.75" customHeight="1">
      <c r="A40" s="125"/>
      <c r="B40" s="97"/>
    </row>
    <row r="41" spans="1:24" ht="15.75" customHeight="1">
      <c r="A41" s="23"/>
      <c r="B41" s="15"/>
    </row>
    <row r="42" spans="1:24" ht="15.75" customHeight="1">
      <c r="A42" s="23"/>
      <c r="B42" s="15"/>
    </row>
    <row r="43" spans="1:24" ht="15.75" customHeight="1">
      <c r="A43" s="23"/>
      <c r="B43" s="15"/>
    </row>
    <row r="44" spans="1:24" ht="15.75" customHeight="1">
      <c r="A44" s="23"/>
      <c r="B44" s="15"/>
    </row>
    <row r="45" spans="1:24" ht="15.75" customHeight="1">
      <c r="A45" s="23"/>
      <c r="B45" s="15"/>
    </row>
    <row r="46" spans="1:24" ht="15.75" customHeight="1">
      <c r="A46" s="23"/>
      <c r="B46" s="15"/>
    </row>
    <row r="47" spans="1:24" ht="15.75" customHeight="1">
      <c r="A47" s="23"/>
      <c r="B47" s="15"/>
    </row>
    <row r="48" spans="1:24" ht="15.75" customHeight="1">
      <c r="A48" s="23"/>
      <c r="B48" s="15"/>
    </row>
    <row r="49" spans="1:15" ht="15.75" customHeight="1">
      <c r="A49" s="23"/>
      <c r="B49" s="15"/>
    </row>
    <row r="50" spans="1:15" ht="15.75" customHeight="1">
      <c r="A50" s="23"/>
      <c r="B50" s="15"/>
    </row>
    <row r="51" spans="1:15" ht="15.75" customHeight="1">
      <c r="A51" s="23"/>
      <c r="B51" s="15"/>
    </row>
    <row r="52" spans="1:15" ht="15.75" customHeight="1">
      <c r="A52" s="23"/>
      <c r="B52" s="15"/>
    </row>
    <row r="53" spans="1:15" ht="15.75" customHeight="1">
      <c r="A53" s="23"/>
      <c r="B53" s="15"/>
    </row>
    <row r="54" spans="1:15" ht="15.75" customHeight="1">
      <c r="A54" s="23"/>
      <c r="B54" s="15"/>
    </row>
    <row r="55" spans="1:15" ht="15.75" customHeight="1">
      <c r="A55" s="23"/>
      <c r="B55" s="15"/>
    </row>
    <row r="56" spans="1:15" ht="15.75" customHeight="1">
      <c r="A56" s="23"/>
      <c r="B56" s="15"/>
    </row>
    <row r="57" spans="1:15" ht="15.75" customHeight="1">
      <c r="A57" s="23"/>
      <c r="B57" s="15"/>
    </row>
    <row r="58" spans="1:15" ht="15.75" customHeight="1">
      <c r="A58" s="23"/>
      <c r="B58" s="15"/>
    </row>
    <row r="59" spans="1:15" ht="15.75" customHeight="1">
      <c r="A59" s="23"/>
      <c r="B59" s="15"/>
    </row>
    <row r="60" spans="1:15" ht="15.75" customHeight="1">
      <c r="A60" s="23"/>
      <c r="B60" s="15"/>
    </row>
    <row r="61" spans="1:15" ht="15.75" customHeight="1">
      <c r="A61" s="23"/>
      <c r="B61" s="15"/>
    </row>
    <row r="62" spans="1:15" ht="15.75" customHeight="1">
      <c r="A62" s="23"/>
      <c r="B62" s="15"/>
    </row>
    <row r="63" spans="1:15" ht="15.75" customHeight="1">
      <c r="A63" s="23"/>
      <c r="B63" s="15"/>
    </row>
    <row r="64" spans="1:15" ht="15.75" customHeight="1">
      <c r="A64" s="23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6" ht="15.75" customHeight="1">
      <c r="A65" s="23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5.75" customHeight="1">
      <c r="A66" s="23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5.75" customHeight="1">
      <c r="A67" s="23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5.75" customHeight="1">
      <c r="A68" s="23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5.75" customHeight="1">
      <c r="A69" s="23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5.75" customHeight="1">
      <c r="A70" s="23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5.75" customHeight="1">
      <c r="A71" s="23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5.75" customHeight="1">
      <c r="A72" s="23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5.75" customHeight="1">
      <c r="A73" s="23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5.75" customHeight="1">
      <c r="A74" s="23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5.75" customHeight="1">
      <c r="A75" s="23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6" ht="15.75" customHeight="1">
      <c r="A76" s="23"/>
      <c r="B76" s="15"/>
    </row>
    <row r="77" spans="1:16" ht="15.75" customHeight="1">
      <c r="A77" s="23"/>
      <c r="B77" s="15"/>
    </row>
    <row r="78" spans="1:16" ht="15.75" customHeight="1">
      <c r="A78" s="23"/>
      <c r="B78" s="15"/>
    </row>
    <row r="79" spans="1:16" ht="15.75" customHeight="1">
      <c r="A79" s="23"/>
      <c r="B79" s="15"/>
    </row>
    <row r="80" spans="1:16" ht="15.75" customHeight="1">
      <c r="A80" s="23"/>
      <c r="B80" s="15"/>
    </row>
    <row r="81" spans="1:2" ht="15.75" customHeight="1">
      <c r="A81" s="23"/>
      <c r="B81" s="15"/>
    </row>
    <row r="82" spans="1:2" ht="15.75" customHeight="1">
      <c r="A82" s="23"/>
      <c r="B82" s="15"/>
    </row>
    <row r="83" spans="1:2" ht="15.75" customHeight="1">
      <c r="A83" s="23"/>
      <c r="B83" s="15"/>
    </row>
    <row r="84" spans="1:2" ht="15.75" customHeight="1">
      <c r="A84" s="13"/>
      <c r="B84" s="14"/>
    </row>
    <row r="85" spans="1:2" ht="15.75" customHeight="1">
      <c r="A85" s="13"/>
      <c r="B85" s="14"/>
    </row>
    <row r="86" spans="1:2" ht="15.75" customHeight="1">
      <c r="A86" s="13"/>
      <c r="B86" s="14"/>
    </row>
    <row r="87" spans="1:2" ht="15.75" customHeight="1">
      <c r="A87" s="13"/>
      <c r="B87" s="14"/>
    </row>
    <row r="88" spans="1:2" ht="15.75" customHeight="1">
      <c r="A88" s="13"/>
      <c r="B88" s="14"/>
    </row>
    <row r="89" spans="1:2" ht="15.75" customHeight="1">
      <c r="A89" s="13"/>
      <c r="B89" s="14"/>
    </row>
    <row r="90" spans="1:2" ht="15.75" customHeight="1">
      <c r="A90" s="13"/>
      <c r="B90" s="14"/>
    </row>
    <row r="91" spans="1:2" ht="15.75" customHeight="1">
      <c r="A91" s="13"/>
      <c r="B91" s="14"/>
    </row>
    <row r="92" spans="1:2" ht="15.75" customHeight="1">
      <c r="A92" s="13"/>
      <c r="B92" s="14"/>
    </row>
    <row r="93" spans="1:2" ht="15.75" customHeight="1">
      <c r="A93" s="13"/>
      <c r="B93" s="14"/>
    </row>
    <row r="94" spans="1:2" ht="15.75" customHeight="1">
      <c r="A94" s="13"/>
      <c r="B94" s="14"/>
    </row>
    <row r="95" spans="1:2" ht="15.75" customHeight="1">
      <c r="A95" s="13"/>
      <c r="B95" s="14"/>
    </row>
    <row r="96" spans="1:2" ht="15.75" customHeight="1">
      <c r="A96" s="13"/>
      <c r="B96" s="14"/>
    </row>
    <row r="97" spans="1:11" ht="15.75" customHeight="1">
      <c r="A97" s="13"/>
      <c r="B97" s="14"/>
    </row>
    <row r="98" spans="1:11" ht="15.75" customHeight="1">
      <c r="A98" s="13"/>
      <c r="B98" s="14"/>
    </row>
    <row r="99" spans="1:11" ht="15.75" customHeight="1">
      <c r="A99" s="13"/>
      <c r="B99" s="14"/>
    </row>
    <row r="100" spans="1:11" ht="15.75" customHeight="1">
      <c r="A100" s="13"/>
      <c r="B100" s="14"/>
      <c r="C100" s="4"/>
      <c r="D100" s="4"/>
      <c r="E100" s="4"/>
      <c r="F100" s="4"/>
      <c r="G100" s="4"/>
      <c r="H100" s="4"/>
      <c r="I100" s="4"/>
      <c r="J100" s="4"/>
    </row>
    <row r="101" spans="1:11" ht="15.75" customHeight="1">
      <c r="A101" s="13"/>
      <c r="B101" s="1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5.75" customHeight="1">
      <c r="A102" s="13"/>
      <c r="B102" s="14"/>
      <c r="K102" s="4"/>
    </row>
    <row r="103" spans="1:11" ht="15.75" customHeight="1">
      <c r="A103" s="13"/>
      <c r="B103" s="14"/>
      <c r="K103" s="4"/>
    </row>
    <row r="104" spans="1:11" ht="15.75" customHeight="1">
      <c r="A104" s="13"/>
      <c r="B104" s="14"/>
      <c r="K104" s="4"/>
    </row>
    <row r="105" spans="1:11" ht="15.75" customHeight="1">
      <c r="A105" s="13"/>
      <c r="B105" s="14"/>
      <c r="K105" s="4"/>
    </row>
    <row r="106" spans="1:11" ht="15.75" customHeight="1">
      <c r="A106" s="13"/>
      <c r="B106" s="14"/>
      <c r="K106" s="4"/>
    </row>
    <row r="107" spans="1:11" ht="15.75" customHeight="1">
      <c r="A107" s="13"/>
      <c r="B107" s="14"/>
      <c r="K107" s="4"/>
    </row>
    <row r="108" spans="1:11" ht="15.75" customHeight="1">
      <c r="A108" s="13"/>
      <c r="B108" s="14"/>
      <c r="K108" s="4"/>
    </row>
    <row r="109" spans="1:11" ht="15.75" customHeight="1">
      <c r="A109" s="13"/>
      <c r="B109" s="14"/>
      <c r="C109" s="4"/>
      <c r="D109" s="4"/>
      <c r="E109" s="4"/>
      <c r="F109" s="4"/>
      <c r="G109" s="4"/>
      <c r="H109" s="4"/>
      <c r="I109" s="4"/>
      <c r="J109" s="4"/>
    </row>
    <row r="110" spans="1:11" ht="15.75" customHeight="1">
      <c r="A110" s="13"/>
      <c r="B110" s="14"/>
    </row>
    <row r="111" spans="1:11" ht="15.75" customHeight="1">
      <c r="A111" s="13"/>
      <c r="B111" s="14"/>
    </row>
    <row r="112" spans="1:11" ht="15.75" customHeight="1">
      <c r="A112" s="13"/>
      <c r="B112" s="14"/>
    </row>
    <row r="113" spans="1:10" ht="15.75" customHeight="1">
      <c r="A113" s="13"/>
      <c r="B113" s="14"/>
    </row>
    <row r="114" spans="1:10" ht="15.75" customHeight="1">
      <c r="A114" s="13"/>
      <c r="B114" s="14"/>
    </row>
    <row r="115" spans="1:10" ht="15.75" customHeight="1">
      <c r="A115" s="13"/>
      <c r="B115" s="14"/>
    </row>
    <row r="116" spans="1:10" ht="15.75" customHeight="1">
      <c r="A116" s="13"/>
      <c r="B116" s="14"/>
    </row>
    <row r="117" spans="1:10" ht="15.75" customHeight="1">
      <c r="A117" s="13"/>
      <c r="B117" s="14"/>
    </row>
    <row r="118" spans="1:10" ht="15.75" customHeight="1">
      <c r="A118" s="13"/>
      <c r="B118" s="14"/>
    </row>
    <row r="119" spans="1:10" ht="15.75" customHeight="1">
      <c r="A119" s="13"/>
      <c r="B119" s="14"/>
    </row>
    <row r="120" spans="1:10" ht="15.75" customHeight="1">
      <c r="A120" s="13"/>
      <c r="B120" s="14"/>
    </row>
    <row r="121" spans="1:10" ht="15.75" customHeight="1">
      <c r="A121" s="13"/>
      <c r="B121" s="14"/>
    </row>
    <row r="122" spans="1:10" ht="15.75" customHeight="1">
      <c r="A122" s="13"/>
      <c r="B122" s="14"/>
    </row>
    <row r="123" spans="1:10" ht="15.75" customHeight="1">
      <c r="A123" s="13"/>
      <c r="B123" s="14"/>
    </row>
    <row r="124" spans="1:10" ht="15.75" customHeight="1">
      <c r="A124" s="13"/>
      <c r="B124" s="14"/>
      <c r="C124" s="4"/>
      <c r="D124" s="4"/>
      <c r="E124" s="4"/>
      <c r="F124" s="4"/>
      <c r="G124" s="4"/>
      <c r="H124" s="4"/>
      <c r="I124" s="4"/>
    </row>
    <row r="125" spans="1:10" ht="15.75" customHeight="1">
      <c r="A125" s="13"/>
      <c r="B125" s="14"/>
      <c r="C125" s="4"/>
      <c r="D125" s="4"/>
      <c r="E125" s="4"/>
      <c r="F125" s="4"/>
      <c r="G125" s="4"/>
      <c r="H125" s="4"/>
      <c r="I125" s="4"/>
      <c r="J125" s="4"/>
    </row>
    <row r="126" spans="1:10" ht="15.75" customHeight="1">
      <c r="A126" s="13"/>
      <c r="B126" s="14"/>
      <c r="C126" s="4"/>
      <c r="D126" s="4"/>
      <c r="E126" s="4"/>
      <c r="F126" s="4"/>
      <c r="G126" s="4"/>
      <c r="H126" s="4"/>
      <c r="I126" s="4"/>
      <c r="J126" s="4"/>
    </row>
    <row r="127" spans="1:10" ht="15.75" customHeight="1">
      <c r="A127" s="13"/>
      <c r="B127" s="14"/>
      <c r="C127" s="4"/>
      <c r="D127" s="4"/>
      <c r="E127" s="4"/>
      <c r="F127" s="4"/>
      <c r="G127" s="4"/>
      <c r="H127" s="4"/>
      <c r="I127" s="4"/>
      <c r="J127" s="4"/>
    </row>
    <row r="128" spans="1:10" ht="15.75" customHeight="1">
      <c r="A128" s="13"/>
      <c r="B128" s="14"/>
      <c r="C128" s="4"/>
      <c r="D128" s="4"/>
      <c r="E128" s="4"/>
      <c r="F128" s="4"/>
      <c r="G128" s="4"/>
      <c r="H128" s="4"/>
      <c r="I128" s="4"/>
      <c r="J128" s="4"/>
    </row>
    <row r="129" spans="1:10" ht="15.75" customHeight="1">
      <c r="A129" s="13"/>
      <c r="B129" s="14"/>
      <c r="C129" s="4"/>
      <c r="D129" s="4"/>
      <c r="E129" s="4"/>
      <c r="F129" s="4"/>
      <c r="G129" s="4"/>
      <c r="H129" s="4"/>
      <c r="I129" s="4"/>
      <c r="J129" s="4"/>
    </row>
    <row r="130" spans="1:10" ht="15.75" customHeight="1">
      <c r="A130" s="21"/>
      <c r="B130" s="22"/>
      <c r="C130" s="4"/>
      <c r="D130" s="4"/>
      <c r="E130" s="4"/>
      <c r="F130" s="4"/>
      <c r="G130" s="4"/>
      <c r="H130" s="4"/>
      <c r="I130" s="4"/>
    </row>
    <row r="131" spans="1:10" ht="15.75" customHeight="1">
      <c r="A131" s="21"/>
      <c r="B131" s="22"/>
    </row>
    <row r="132" spans="1:10" ht="15.75" customHeight="1">
      <c r="A132" s="21"/>
      <c r="B132" s="22"/>
    </row>
    <row r="133" spans="1:10" ht="15.75" customHeight="1">
      <c r="A133" s="21"/>
      <c r="B133" s="22"/>
    </row>
    <row r="134" spans="1:10" ht="15.75" customHeight="1">
      <c r="A134" s="21"/>
      <c r="B134" s="22"/>
    </row>
    <row r="135" spans="1:10" ht="15.75" customHeight="1">
      <c r="A135" s="21"/>
      <c r="B135" s="22"/>
    </row>
    <row r="136" spans="1:10" ht="15.75" customHeight="1">
      <c r="A136" s="21"/>
      <c r="B136" s="22"/>
    </row>
    <row r="137" spans="1:10" ht="15.75" customHeight="1">
      <c r="A137" s="13"/>
      <c r="B137" s="14"/>
    </row>
    <row r="138" spans="1:10" ht="15.75" customHeight="1">
      <c r="A138" s="13"/>
      <c r="B138" s="14"/>
    </row>
    <row r="139" spans="1:10" ht="15.75" customHeight="1">
      <c r="A139" s="13"/>
      <c r="B139" s="14"/>
    </row>
    <row r="140" spans="1:10" ht="15.75" customHeight="1">
      <c r="A140" s="13"/>
      <c r="B140" s="14"/>
    </row>
    <row r="141" spans="1:10" ht="15.75" customHeight="1">
      <c r="A141" s="13"/>
      <c r="B141" s="15"/>
    </row>
    <row r="142" spans="1:10" ht="15.75" customHeight="1">
      <c r="A142" s="13"/>
      <c r="B142" s="15"/>
    </row>
    <row r="143" spans="1:10" ht="15.75" customHeight="1">
      <c r="A143" s="13"/>
      <c r="B143" s="15"/>
    </row>
    <row r="144" spans="1:10" ht="15.75" customHeight="1">
      <c r="A144" s="13"/>
      <c r="B144" s="15"/>
    </row>
    <row r="145" spans="1:2" ht="15.75" customHeight="1">
      <c r="A145" s="13"/>
      <c r="B145" s="15"/>
    </row>
    <row r="146" spans="1:2" ht="15.75" customHeight="1">
      <c r="A146" s="13"/>
      <c r="B146" s="15"/>
    </row>
    <row r="147" spans="1:2" ht="15.75" customHeight="1">
      <c r="A147" s="13"/>
      <c r="B147" s="15"/>
    </row>
    <row r="148" spans="1:2" ht="15.75" customHeight="1">
      <c r="A148" s="13"/>
      <c r="B148" s="15"/>
    </row>
    <row r="149" spans="1:2" ht="15.75" customHeight="1">
      <c r="A149" s="13"/>
      <c r="B149" s="15"/>
    </row>
    <row r="150" spans="1:2" ht="15.75" customHeight="1">
      <c r="A150" s="13"/>
      <c r="B150" s="14"/>
    </row>
    <row r="151" spans="1:2" ht="15.75" customHeight="1">
      <c r="A151" s="23"/>
      <c r="B151" s="15"/>
    </row>
    <row r="152" spans="1:2" ht="15.75" customHeight="1">
      <c r="A152" s="23"/>
      <c r="B152" s="15"/>
    </row>
    <row r="153" spans="1:2" ht="15.75" customHeight="1">
      <c r="A153" s="23"/>
      <c r="B153" s="15"/>
    </row>
    <row r="154" spans="1:2" ht="15.75" customHeight="1">
      <c r="A154" s="23"/>
      <c r="B154" s="15"/>
    </row>
    <row r="155" spans="1:2" ht="15.75" customHeight="1">
      <c r="A155" s="13"/>
      <c r="B155" s="14"/>
    </row>
    <row r="156" spans="1:2" ht="15.75" customHeight="1">
      <c r="A156" s="13"/>
      <c r="B156" s="14"/>
    </row>
    <row r="157" spans="1:2" ht="15.75" customHeight="1">
      <c r="A157" s="13"/>
      <c r="B157" s="14"/>
    </row>
    <row r="158" spans="1:2" ht="15.75" customHeight="1">
      <c r="A158" s="13"/>
      <c r="B158" s="14"/>
    </row>
    <row r="159" spans="1:2" ht="15.75" customHeight="1">
      <c r="A159" s="13"/>
      <c r="B159" s="14"/>
    </row>
    <row r="160" spans="1:2" ht="15.75" customHeight="1">
      <c r="A160" s="13"/>
      <c r="B160" s="14"/>
    </row>
    <row r="161" spans="1:28" ht="15.75" customHeight="1">
      <c r="A161" s="13"/>
      <c r="B161" s="14"/>
    </row>
    <row r="162" spans="1:28" ht="15.75" customHeight="1">
      <c r="A162" s="13"/>
      <c r="B162" s="14"/>
    </row>
    <row r="163" spans="1:28" ht="15.75" customHeight="1">
      <c r="A163" s="13"/>
      <c r="B163" s="14"/>
    </row>
    <row r="164" spans="1:28" ht="15.75" customHeight="1">
      <c r="A164" s="13"/>
      <c r="B164" s="14"/>
    </row>
    <row r="165" spans="1:28" ht="15.75" customHeight="1">
      <c r="A165" s="13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28" ht="15.75" customHeight="1">
      <c r="A166" s="13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28" ht="15.75" customHeight="1">
      <c r="A167" s="13"/>
      <c r="B167" s="1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28" ht="15.75" customHeight="1">
      <c r="A168" s="13"/>
      <c r="B168" s="1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28" ht="15.75" customHeight="1">
      <c r="A169" s="13"/>
      <c r="B169" s="1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28" ht="15.75" customHeight="1">
      <c r="A170" s="13"/>
      <c r="B170" s="14"/>
    </row>
    <row r="171" spans="1:28" ht="15.75" customHeight="1">
      <c r="A171" s="13"/>
      <c r="B171" s="14"/>
    </row>
    <row r="172" spans="1:28" ht="15.75" customHeight="1">
      <c r="A172" s="13"/>
      <c r="B172" s="14"/>
    </row>
    <row r="173" spans="1:28" ht="15.75" customHeight="1">
      <c r="A173" s="13"/>
      <c r="B173" s="14"/>
      <c r="C173" s="4"/>
      <c r="D173" s="4"/>
      <c r="E173" s="4"/>
      <c r="F173" s="4"/>
      <c r="G173" s="4"/>
      <c r="H173" s="4"/>
      <c r="I173" s="4"/>
      <c r="J173" s="4"/>
    </row>
    <row r="174" spans="1:28" ht="15.75" customHeight="1">
      <c r="A174" s="23"/>
      <c r="B174" s="15"/>
      <c r="C174" s="4"/>
      <c r="D174" s="4"/>
      <c r="E174" s="4"/>
      <c r="F174" s="4"/>
      <c r="G174" s="56"/>
      <c r="H174" s="4"/>
      <c r="I174" s="4"/>
      <c r="J174" s="4"/>
      <c r="K174" s="4"/>
    </row>
    <row r="175" spans="1:28" ht="15.75" customHeight="1">
      <c r="A175" s="23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8" ht="15.75" customHeight="1">
      <c r="A176" s="13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>
      <c r="A177" s="13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>
      <c r="A178" s="13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>
      <c r="A179" s="13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>
      <c r="A180" s="23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8" ht="15.75" customHeight="1">
      <c r="A181" s="23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8" ht="15.75" customHeight="1">
      <c r="A182" s="23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8" ht="15.75" customHeight="1">
      <c r="A183" s="23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8" ht="15.75" customHeight="1">
      <c r="A184" s="13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8" ht="15.75" customHeight="1">
      <c r="A185" s="13"/>
      <c r="B185" s="14"/>
    </row>
    <row r="186" spans="1:28" ht="15.75" customHeight="1">
      <c r="A186" s="13"/>
      <c r="B186" s="14"/>
    </row>
    <row r="187" spans="1:28" ht="15.75" customHeight="1">
      <c r="A187" s="13"/>
      <c r="B187" s="14"/>
    </row>
    <row r="188" spans="1:28" ht="15.75" customHeight="1">
      <c r="A188" s="13"/>
      <c r="B188" s="14"/>
    </row>
    <row r="189" spans="1:28" ht="15.75" customHeight="1">
      <c r="A189" s="13"/>
      <c r="B189" s="14"/>
    </row>
    <row r="190" spans="1:28" ht="15.75" customHeight="1">
      <c r="A190" s="13"/>
      <c r="B190" s="14"/>
    </row>
    <row r="191" spans="1:28" ht="15.75" customHeight="1">
      <c r="A191" s="13"/>
      <c r="B191" s="14"/>
    </row>
    <row r="192" spans="1:28" ht="15.75" customHeight="1">
      <c r="A192" s="13"/>
      <c r="B192" s="15"/>
    </row>
    <row r="193" spans="1:2" ht="15.75" customHeight="1">
      <c r="A193" s="13"/>
      <c r="B193" s="15"/>
    </row>
    <row r="194" spans="1:2" ht="15.75" customHeight="1">
      <c r="A194" s="13"/>
      <c r="B194" s="15"/>
    </row>
    <row r="195" spans="1:2" ht="15.75" customHeight="1">
      <c r="A195" s="13"/>
      <c r="B195" s="15"/>
    </row>
    <row r="196" spans="1:2" ht="15.75" customHeight="1">
      <c r="A196" s="13"/>
      <c r="B196" s="15"/>
    </row>
    <row r="197" spans="1:2" ht="15.75" customHeight="1">
      <c r="A197" s="13"/>
      <c r="B197" s="15"/>
    </row>
    <row r="198" spans="1:2" ht="15.75" customHeight="1">
      <c r="A198" s="13"/>
      <c r="B198" s="15"/>
    </row>
    <row r="199" spans="1:2" ht="15.75" customHeight="1">
      <c r="A199" s="13"/>
      <c r="B199" s="14"/>
    </row>
    <row r="200" spans="1:2" ht="15.75" customHeight="1">
      <c r="A200" s="13"/>
      <c r="B200" s="14"/>
    </row>
    <row r="201" spans="1:2" ht="15.75" customHeight="1">
      <c r="A201" s="13"/>
      <c r="B201" s="14"/>
    </row>
    <row r="202" spans="1:2" ht="15.75" customHeight="1">
      <c r="A202" s="13"/>
      <c r="B202" s="14"/>
    </row>
    <row r="203" spans="1:2" ht="15.75" customHeight="1">
      <c r="A203" s="13"/>
      <c r="B203" s="14"/>
    </row>
    <row r="204" spans="1:2" ht="15.75" customHeight="1">
      <c r="A204" s="13"/>
      <c r="B204" s="14"/>
    </row>
    <row r="205" spans="1:2" ht="15.75" customHeight="1">
      <c r="A205" s="13"/>
      <c r="B205" s="14"/>
    </row>
    <row r="206" spans="1:2" ht="15.75" customHeight="1">
      <c r="A206" s="13"/>
      <c r="B206" s="14"/>
    </row>
    <row r="207" spans="1:2" ht="15.75" customHeight="1">
      <c r="A207" s="13"/>
      <c r="B207" s="14"/>
    </row>
    <row r="208" spans="1:2" ht="15.75" customHeight="1">
      <c r="A208" s="13"/>
      <c r="B208" s="14"/>
    </row>
    <row r="209" spans="1:27" ht="15.75" customHeight="1">
      <c r="A209" s="13"/>
      <c r="B209" s="14"/>
    </row>
    <row r="210" spans="1:27" ht="15.75" customHeight="1">
      <c r="A210" s="13"/>
      <c r="B210" s="14"/>
    </row>
    <row r="211" spans="1:27" ht="15.75" customHeight="1">
      <c r="A211" s="13"/>
      <c r="B211" s="14"/>
    </row>
    <row r="212" spans="1:27" ht="15.75" customHeight="1">
      <c r="A212" s="13"/>
      <c r="B212" s="14"/>
    </row>
    <row r="213" spans="1:27" ht="15.75" customHeight="1">
      <c r="A213" s="13"/>
      <c r="B213" s="14"/>
    </row>
    <row r="214" spans="1:27" ht="15.75" customHeight="1">
      <c r="A214" s="13"/>
      <c r="B214" s="14"/>
    </row>
    <row r="215" spans="1:27" ht="15.75" customHeight="1">
      <c r="A215" s="13"/>
      <c r="B215" s="14"/>
    </row>
    <row r="216" spans="1:27" ht="15.75" customHeight="1">
      <c r="A216" s="13"/>
      <c r="B216" s="14"/>
    </row>
    <row r="217" spans="1:27" ht="15.75" customHeight="1">
      <c r="A217" s="13"/>
      <c r="B217" s="14"/>
    </row>
    <row r="218" spans="1:27" ht="15.75" customHeight="1">
      <c r="A218" s="23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23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23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23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23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23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23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4" ht="15.75" customHeight="1">
      <c r="A225" s="23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23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23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23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23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13"/>
      <c r="B230" s="14"/>
    </row>
    <row r="231" spans="1:24" ht="15.75" customHeight="1">
      <c r="A231" s="13"/>
      <c r="B231" s="14"/>
    </row>
    <row r="232" spans="1:24" ht="15.75" customHeight="1">
      <c r="A232" s="13"/>
      <c r="B232" s="14"/>
    </row>
    <row r="233" spans="1:24" ht="15.75" customHeight="1">
      <c r="A233" s="13"/>
      <c r="B233" s="14"/>
    </row>
    <row r="234" spans="1:24" ht="15.75" customHeight="1">
      <c r="A234" s="13"/>
      <c r="B234" s="14"/>
    </row>
    <row r="235" spans="1:24" ht="15.75" customHeight="1">
      <c r="A235" s="13"/>
      <c r="B235" s="14"/>
    </row>
    <row r="236" spans="1:24" ht="15.75" customHeight="1">
      <c r="A236" s="13"/>
      <c r="B236" s="14"/>
    </row>
    <row r="237" spans="1:24" ht="15.75" customHeight="1">
      <c r="A237" s="13"/>
      <c r="B237" s="14"/>
    </row>
    <row r="238" spans="1:24" ht="15.75" customHeight="1">
      <c r="A238" s="13"/>
      <c r="B238" s="14"/>
    </row>
    <row r="239" spans="1:24" ht="15.75" customHeight="1">
      <c r="A239" s="13"/>
      <c r="B239" s="14"/>
    </row>
    <row r="240" spans="1:24" ht="15.75" customHeight="1">
      <c r="A240" s="13"/>
      <c r="B240" s="14"/>
    </row>
    <row r="241" spans="1:19" ht="15.75" customHeight="1">
      <c r="A241" s="13"/>
      <c r="B241" s="14"/>
    </row>
    <row r="242" spans="1:19" ht="15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9" ht="15.75" customHeight="1">
      <c r="A243" s="23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 ht="15.75" customHeight="1">
      <c r="A244" s="23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 ht="15.75" customHeight="1">
      <c r="A245" s="23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 ht="15.75" customHeight="1">
      <c r="A246" s="23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 ht="15.75" customHeight="1">
      <c r="A247" s="23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 ht="15.75" customHeight="1">
      <c r="A248" s="23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 ht="15.75" customHeight="1">
      <c r="A249" s="23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 ht="15.75" customHeight="1">
      <c r="A250" s="23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 ht="15.75" customHeight="1">
      <c r="A251" s="23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9" ht="15.75" customHeight="1">
      <c r="A252" s="23"/>
      <c r="B252" s="15"/>
    </row>
    <row r="253" spans="1:19" ht="15.75" customHeight="1">
      <c r="A253" s="23"/>
      <c r="B253" s="15"/>
    </row>
    <row r="254" spans="1:19" ht="15.75" customHeight="1">
      <c r="A254" s="23"/>
      <c r="B254" s="15"/>
    </row>
    <row r="255" spans="1:19" ht="15.75" customHeight="1">
      <c r="A255" s="23"/>
      <c r="B255" s="15"/>
    </row>
    <row r="256" spans="1:19" ht="15.75" customHeight="1">
      <c r="A256" s="23"/>
      <c r="B256" s="15"/>
    </row>
    <row r="257" spans="1:2" ht="15.75" customHeight="1">
      <c r="A257" s="23"/>
      <c r="B257" s="15"/>
    </row>
    <row r="258" spans="1:2" ht="15.75" customHeight="1">
      <c r="A258" s="23"/>
      <c r="B258" s="15"/>
    </row>
    <row r="259" spans="1:2" ht="15.75" customHeight="1">
      <c r="A259" s="23"/>
      <c r="B259" s="15"/>
    </row>
    <row r="260" spans="1:2" ht="15.75" customHeight="1">
      <c r="A260" s="23"/>
      <c r="B260" s="15"/>
    </row>
    <row r="261" spans="1:2" ht="15.75" customHeight="1">
      <c r="A261" s="23"/>
      <c r="B261" s="15"/>
    </row>
    <row r="262" spans="1:2" ht="15.75" customHeight="1">
      <c r="A262" s="23"/>
      <c r="B262" s="15"/>
    </row>
    <row r="263" spans="1:2" ht="15.75" customHeight="1">
      <c r="A263" s="23"/>
      <c r="B263" s="15"/>
    </row>
    <row r="264" spans="1:2" ht="15.75" customHeight="1">
      <c r="A264" s="23"/>
      <c r="B264" s="15"/>
    </row>
    <row r="265" spans="1:2" ht="15.75" customHeight="1">
      <c r="A265" s="23"/>
      <c r="B265" s="15"/>
    </row>
    <row r="266" spans="1:2" ht="15.75" customHeight="1">
      <c r="A266" s="23"/>
      <c r="B266" s="15"/>
    </row>
    <row r="267" spans="1:2" ht="15.75" customHeight="1">
      <c r="A267" s="23"/>
      <c r="B267" s="15"/>
    </row>
    <row r="268" spans="1:2" ht="15.75" customHeight="1">
      <c r="A268" s="23"/>
      <c r="B268" s="15"/>
    </row>
    <row r="269" spans="1:2" ht="15.75" customHeight="1">
      <c r="A269" s="23"/>
      <c r="B269" s="15"/>
    </row>
    <row r="270" spans="1:2" ht="15.75" customHeight="1">
      <c r="A270" s="23"/>
      <c r="B270" s="15"/>
    </row>
    <row r="271" spans="1:2" ht="15.75" customHeight="1">
      <c r="A271" s="23"/>
      <c r="B271" s="15"/>
    </row>
    <row r="272" spans="1:2" ht="15.75" customHeight="1">
      <c r="A272" s="23"/>
      <c r="B272" s="15"/>
    </row>
    <row r="273" spans="1:2" ht="15.75" customHeight="1">
      <c r="A273" s="23"/>
      <c r="B273" s="15"/>
    </row>
    <row r="274" spans="1:2" ht="15.75" customHeight="1">
      <c r="A274" s="23"/>
      <c r="B274" s="15"/>
    </row>
    <row r="275" spans="1:2" ht="15.75" customHeight="1">
      <c r="A275" s="23"/>
      <c r="B275" s="15"/>
    </row>
    <row r="276" spans="1:2" ht="15.75" customHeight="1">
      <c r="A276" s="21"/>
      <c r="B276" s="14"/>
    </row>
    <row r="277" spans="1:2" ht="15.75" customHeight="1">
      <c r="A277" s="21"/>
      <c r="B277" s="14"/>
    </row>
    <row r="278" spans="1:2" ht="15.75" customHeight="1">
      <c r="A278" s="21"/>
      <c r="B278" s="14"/>
    </row>
    <row r="279" spans="1:2" ht="15.75" customHeight="1">
      <c r="A279" s="21"/>
      <c r="B279" s="14"/>
    </row>
    <row r="280" spans="1:2" ht="15.75" customHeight="1">
      <c r="A280" s="13"/>
      <c r="B280" s="14"/>
    </row>
    <row r="281" spans="1:2" ht="15.75" customHeight="1">
      <c r="A281" s="13"/>
      <c r="B281" s="14"/>
    </row>
    <row r="282" spans="1:2" ht="15.75" customHeight="1">
      <c r="A282" s="13"/>
      <c r="B282" s="14"/>
    </row>
    <row r="283" spans="1:2" ht="15.75" customHeight="1">
      <c r="A283" s="13"/>
      <c r="B283" s="14"/>
    </row>
    <row r="284" spans="1:2" ht="15.75" customHeight="1">
      <c r="A284" s="13"/>
      <c r="B284" s="14"/>
    </row>
    <row r="285" spans="1:2" ht="15.75" customHeight="1">
      <c r="A285" s="13"/>
      <c r="B285" s="14"/>
    </row>
    <row r="286" spans="1:2" ht="15.75" customHeight="1">
      <c r="A286" s="13"/>
      <c r="B286" s="14"/>
    </row>
    <row r="287" spans="1:2" ht="15.75" customHeight="1">
      <c r="A287" s="13"/>
      <c r="B287" s="14"/>
    </row>
    <row r="288" spans="1:2" ht="15.75" customHeight="1">
      <c r="A288" s="13"/>
      <c r="B288" s="14"/>
    </row>
    <row r="289" spans="1:16" ht="15.75" customHeight="1">
      <c r="A289" s="13"/>
      <c r="B289" s="14"/>
    </row>
    <row r="290" spans="1:16" ht="15.75" customHeight="1">
      <c r="A290" s="13"/>
      <c r="B290" s="14"/>
    </row>
    <row r="291" spans="1:16" ht="15.75" customHeight="1">
      <c r="A291" s="13"/>
      <c r="B291" s="1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5.75" customHeight="1">
      <c r="A292" s="13"/>
      <c r="B292" s="1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5.75" customHeight="1">
      <c r="A293" s="13"/>
      <c r="B293" s="1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5.75" customHeight="1">
      <c r="A294" s="13"/>
      <c r="B294" s="1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5.75" customHeight="1">
      <c r="A295" s="23"/>
      <c r="B295" s="15"/>
    </row>
    <row r="296" spans="1:16" ht="15.75" customHeight="1">
      <c r="A296" s="23"/>
      <c r="B296" s="15"/>
    </row>
    <row r="297" spans="1:16" ht="15.75" customHeight="1">
      <c r="A297" s="23"/>
      <c r="B297" s="15"/>
    </row>
    <row r="298" spans="1:16" ht="15.75" customHeight="1">
      <c r="A298" s="23"/>
      <c r="B298" s="15"/>
    </row>
    <row r="299" spans="1:16" ht="15.75" customHeight="1">
      <c r="A299" s="23"/>
      <c r="B299" s="15"/>
    </row>
    <row r="300" spans="1:16" ht="15.75" customHeight="1">
      <c r="A300" s="13"/>
      <c r="B300" s="15"/>
    </row>
    <row r="301" spans="1:16" ht="15.75" customHeight="1">
      <c r="A301" s="13"/>
      <c r="B301" s="15"/>
    </row>
    <row r="302" spans="1:16" ht="15.75" customHeight="1">
      <c r="A302" s="13"/>
      <c r="B302" s="15"/>
    </row>
    <row r="303" spans="1:16" ht="15.75" customHeight="1">
      <c r="A303" s="13"/>
      <c r="B303" s="15"/>
    </row>
    <row r="304" spans="1:16" ht="15.75" customHeight="1">
      <c r="A304" s="13"/>
      <c r="B304" s="15"/>
    </row>
    <row r="305" spans="1:17" ht="15.75" customHeight="1">
      <c r="A305" s="13"/>
      <c r="B305" s="15"/>
    </row>
    <row r="306" spans="1:17" ht="15.75" customHeight="1">
      <c r="A306" s="13"/>
      <c r="B306" s="15"/>
    </row>
    <row r="307" spans="1:17" ht="15.75" customHeight="1">
      <c r="A307" s="13"/>
      <c r="B307" s="15"/>
    </row>
    <row r="308" spans="1:17" ht="15.75" customHeight="1">
      <c r="A308" s="13"/>
      <c r="B308" s="15"/>
    </row>
    <row r="309" spans="1:17" ht="15.75" customHeight="1">
      <c r="A309" s="13"/>
      <c r="B309" s="15"/>
    </row>
    <row r="310" spans="1:17" ht="15.75" customHeight="1">
      <c r="A310" s="13"/>
      <c r="B310" s="15"/>
    </row>
    <row r="311" spans="1:17" ht="15.75" customHeight="1">
      <c r="A311" s="13"/>
      <c r="B311" s="15"/>
    </row>
    <row r="312" spans="1:17" ht="15.75" customHeight="1">
      <c r="A312" s="13"/>
      <c r="B312" s="15"/>
    </row>
    <row r="313" spans="1:17" ht="15.75" customHeight="1">
      <c r="A313" s="23"/>
      <c r="B313" s="1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ht="15.75" customHeight="1">
      <c r="A314" s="23"/>
      <c r="B314" s="1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ht="15.75" customHeight="1">
      <c r="A315" s="23"/>
      <c r="B315" s="15"/>
    </row>
    <row r="316" spans="1:17" ht="15.75" customHeight="1">
      <c r="A316" s="23"/>
      <c r="B316" s="1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7" ht="15.75" customHeight="1">
      <c r="A317" s="23"/>
      <c r="B317" s="1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7" ht="15.75" customHeight="1">
      <c r="A318" s="23"/>
      <c r="B318" s="1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7" ht="15.75" customHeight="1">
      <c r="A319" s="23"/>
      <c r="B319" s="1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7" ht="15.75" customHeight="1">
      <c r="A320" s="23"/>
      <c r="B320" s="1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5.75" customHeight="1">
      <c r="A321" s="23"/>
      <c r="B321" s="1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5.75" customHeight="1">
      <c r="A322" s="13"/>
      <c r="B322" s="1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4" ht="15.75" customHeight="1">
      <c r="A323" s="13"/>
      <c r="B323" s="14"/>
    </row>
    <row r="324" spans="1:14" ht="15.75" customHeight="1">
      <c r="A324" s="13"/>
      <c r="B324" s="14"/>
    </row>
    <row r="325" spans="1:14" ht="15.75" customHeight="1">
      <c r="A325" s="13"/>
      <c r="B325" s="14"/>
    </row>
    <row r="326" spans="1:14" ht="15.75" customHeight="1">
      <c r="A326" s="13"/>
      <c r="B326" s="14"/>
    </row>
    <row r="327" spans="1:14" ht="15.75" customHeight="1">
      <c r="A327" s="13"/>
      <c r="B327" s="1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4" ht="15.75" customHeight="1">
      <c r="A328" s="13"/>
      <c r="B328" s="1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5.75" customHeight="1">
      <c r="A329" s="13"/>
      <c r="B329" s="1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5.75" customHeight="1">
      <c r="A330" s="13"/>
      <c r="B330" s="1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5.75" customHeight="1">
      <c r="A331" s="13"/>
      <c r="B331" s="1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5.75" customHeight="1">
      <c r="A332" s="13"/>
      <c r="B332" s="1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5.75" customHeight="1">
      <c r="A333" s="13"/>
      <c r="B333" s="1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5.75" customHeight="1">
      <c r="A334" s="13"/>
      <c r="B334" s="1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5.75" customHeight="1">
      <c r="A335" s="13"/>
      <c r="B335" s="1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5.75" customHeight="1">
      <c r="A336" s="13"/>
      <c r="B336" s="1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autoFilter ref="A1:AT986" xr:uid="{00000000-0001-0000-0900-000000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513"/>
  <sheetViews>
    <sheetView topLeftCell="A4" workbookViewId="0">
      <selection activeCell="F33" sqref="F33"/>
    </sheetView>
  </sheetViews>
  <sheetFormatPr defaultColWidth="12.5546875" defaultRowHeight="15" customHeight="1"/>
  <cols>
    <col min="1" max="6" width="8.5546875" customWidth="1"/>
    <col min="7" max="7" width="8.5546875" style="107" customWidth="1"/>
    <col min="8" max="8" width="8.5546875" customWidth="1"/>
    <col min="9" max="9" width="13.5546875" customWidth="1"/>
    <col min="10" max="50" width="8.5546875" customWidth="1"/>
  </cols>
  <sheetData>
    <row r="1" spans="1:50" ht="14.4">
      <c r="A1" s="105" t="s">
        <v>9</v>
      </c>
      <c r="B1" s="106" t="s">
        <v>10</v>
      </c>
      <c r="C1" s="90"/>
      <c r="D1" s="90"/>
      <c r="E1" s="90"/>
      <c r="F1" s="90"/>
      <c r="G1" s="114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50" ht="14.4">
      <c r="A2" s="93">
        <v>1</v>
      </c>
      <c r="B2" s="94">
        <v>1</v>
      </c>
      <c r="C2" s="108">
        <v>0.01</v>
      </c>
      <c r="D2" s="108">
        <v>1.6E-2</v>
      </c>
      <c r="E2" s="108">
        <v>2.7E-2</v>
      </c>
      <c r="F2" s="108">
        <v>4.2999999999999997E-2</v>
      </c>
      <c r="G2" s="108">
        <v>6.9000000000000006E-2</v>
      </c>
      <c r="H2" s="108">
        <v>0.113</v>
      </c>
      <c r="I2" s="108">
        <v>0.183</v>
      </c>
      <c r="J2" s="108">
        <v>0.29499999999999998</v>
      </c>
      <c r="K2" s="108">
        <v>0.48099999999999998</v>
      </c>
      <c r="L2" s="108">
        <v>0.78200000000000003</v>
      </c>
      <c r="M2" s="108">
        <v>1.2609999999999999</v>
      </c>
      <c r="N2" s="108">
        <v>2.052</v>
      </c>
      <c r="O2" s="108">
        <v>3.3719999999999999</v>
      </c>
      <c r="P2" s="108">
        <v>5.3819999999999997</v>
      </c>
      <c r="Q2" s="108">
        <v>8.7590000000000003</v>
      </c>
      <c r="R2" s="108">
        <v>14.536</v>
      </c>
      <c r="S2" s="108">
        <v>23.655999999999999</v>
      </c>
      <c r="T2" s="108">
        <v>38.875999999999998</v>
      </c>
      <c r="U2" s="108">
        <v>63.887</v>
      </c>
      <c r="V2" s="109">
        <v>100</v>
      </c>
      <c r="W2" s="113"/>
      <c r="X2" s="16"/>
      <c r="Y2" s="16"/>
      <c r="Z2" s="16"/>
      <c r="AA2" s="16"/>
      <c r="AB2" s="16"/>
      <c r="AC2" s="16"/>
      <c r="AD2" s="16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</row>
    <row r="3" spans="1:50" ht="14.4">
      <c r="A3" s="92">
        <v>1</v>
      </c>
      <c r="B3" s="97">
        <v>2</v>
      </c>
      <c r="C3" s="110">
        <v>5.0000000000000001E-3</v>
      </c>
      <c r="D3" s="110">
        <v>8.0000000000000002E-3</v>
      </c>
      <c r="E3" s="110">
        <v>1.4E-2</v>
      </c>
      <c r="F3" s="110">
        <v>2.3E-2</v>
      </c>
      <c r="G3" s="110">
        <v>0.04</v>
      </c>
      <c r="H3" s="110">
        <v>6.8000000000000005E-2</v>
      </c>
      <c r="I3" s="110">
        <v>0.115</v>
      </c>
      <c r="J3" s="110">
        <v>0.19400000000000001</v>
      </c>
      <c r="K3" s="110">
        <v>0.31900000000000001</v>
      </c>
      <c r="L3" s="110">
        <v>0.55100000000000005</v>
      </c>
      <c r="M3" s="110">
        <v>0.93200000000000005</v>
      </c>
      <c r="N3" s="110">
        <v>1.5620000000000001</v>
      </c>
      <c r="O3" s="110">
        <v>2.5920000000000001</v>
      </c>
      <c r="P3" s="110">
        <v>4.26</v>
      </c>
      <c r="Q3" s="110">
        <v>7.351</v>
      </c>
      <c r="R3" s="110">
        <v>12.56</v>
      </c>
      <c r="S3" s="110">
        <v>21.047000000000001</v>
      </c>
      <c r="T3" s="110">
        <v>34.926000000000002</v>
      </c>
      <c r="U3" s="110">
        <v>59.676000000000002</v>
      </c>
      <c r="V3" s="111">
        <v>100</v>
      </c>
      <c r="W3" s="113"/>
      <c r="X3" s="16"/>
      <c r="Y3" s="16"/>
      <c r="Z3" s="16"/>
      <c r="AA3" s="16"/>
      <c r="AB3" s="16"/>
      <c r="AC3" s="16"/>
      <c r="AD3" s="16"/>
    </row>
    <row r="4" spans="1:50" ht="14.4">
      <c r="A4" s="92">
        <v>1</v>
      </c>
      <c r="B4" s="97">
        <v>3</v>
      </c>
      <c r="C4" s="110">
        <v>5.0000000000000001E-3</v>
      </c>
      <c r="D4" s="110">
        <v>8.0000000000000002E-3</v>
      </c>
      <c r="E4" s="110">
        <v>1.4E-2</v>
      </c>
      <c r="F4" s="110">
        <v>2.3E-2</v>
      </c>
      <c r="G4" s="110">
        <v>0.04</v>
      </c>
      <c r="H4" s="110">
        <v>6.8000000000000005E-2</v>
      </c>
      <c r="I4" s="110">
        <v>0.115</v>
      </c>
      <c r="J4" s="110">
        <v>0.19400000000000001</v>
      </c>
      <c r="K4" s="110">
        <v>0.31900000000000001</v>
      </c>
      <c r="L4" s="110">
        <v>0.55100000000000005</v>
      </c>
      <c r="M4" s="110">
        <v>0.93200000000000005</v>
      </c>
      <c r="N4" s="110">
        <v>1.5620000000000001</v>
      </c>
      <c r="O4" s="110">
        <v>2.5920000000000001</v>
      </c>
      <c r="P4" s="110">
        <v>4.26</v>
      </c>
      <c r="Q4" s="110">
        <v>7.351</v>
      </c>
      <c r="R4" s="110">
        <v>12.56</v>
      </c>
      <c r="S4" s="110">
        <v>21.047000000000001</v>
      </c>
      <c r="T4" s="110">
        <v>34.926000000000002</v>
      </c>
      <c r="U4" s="110">
        <v>59.676000000000002</v>
      </c>
      <c r="V4" s="111">
        <v>100</v>
      </c>
      <c r="W4" s="113"/>
      <c r="X4" s="16"/>
      <c r="Y4" s="16"/>
      <c r="Z4" s="16"/>
      <c r="AA4" s="16"/>
      <c r="AB4" s="16"/>
      <c r="AC4" s="16"/>
      <c r="AD4" s="16"/>
    </row>
    <row r="5" spans="1:50" ht="15.75" customHeight="1">
      <c r="A5" s="92">
        <v>1</v>
      </c>
      <c r="B5" s="97">
        <v>4</v>
      </c>
      <c r="C5" s="110">
        <v>0.01</v>
      </c>
      <c r="D5" s="110">
        <v>1.6E-2</v>
      </c>
      <c r="E5" s="110">
        <v>2.7E-2</v>
      </c>
      <c r="F5" s="110">
        <v>4.2999999999999997E-2</v>
      </c>
      <c r="G5" s="110">
        <v>6.9000000000000006E-2</v>
      </c>
      <c r="H5" s="110">
        <v>0.113</v>
      </c>
      <c r="I5" s="110">
        <v>0.183</v>
      </c>
      <c r="J5" s="110">
        <v>0.29499999999999998</v>
      </c>
      <c r="K5" s="110">
        <v>0.48099999999999998</v>
      </c>
      <c r="L5" s="110">
        <v>0.78200000000000003</v>
      </c>
      <c r="M5" s="110">
        <v>1.2609999999999999</v>
      </c>
      <c r="N5" s="110">
        <v>2.052</v>
      </c>
      <c r="O5" s="110">
        <v>3.3719999999999999</v>
      </c>
      <c r="P5" s="110">
        <v>5.3819999999999997</v>
      </c>
      <c r="Q5" s="110">
        <v>8.7590000000000003</v>
      </c>
      <c r="R5" s="110">
        <v>14.536</v>
      </c>
      <c r="S5" s="110">
        <v>23.655999999999999</v>
      </c>
      <c r="T5" s="110">
        <v>38.875999999999998</v>
      </c>
      <c r="U5" s="110">
        <v>63.887</v>
      </c>
      <c r="V5" s="112">
        <v>100</v>
      </c>
      <c r="W5" s="100"/>
      <c r="X5" s="18"/>
      <c r="Y5" s="19"/>
      <c r="Z5" s="18"/>
      <c r="AA5" s="18"/>
      <c r="AB5" s="4"/>
    </row>
    <row r="6" spans="1:50" ht="15.75" customHeight="1">
      <c r="A6" s="139">
        <v>2</v>
      </c>
      <c r="B6" s="140">
        <v>1</v>
      </c>
      <c r="C6" s="147">
        <v>9.9000000000000005E-2</v>
      </c>
      <c r="D6" s="147">
        <v>0.14099999999999999</v>
      </c>
      <c r="E6" s="147">
        <v>0.193</v>
      </c>
      <c r="F6" s="147">
        <v>0.28299999999999997</v>
      </c>
      <c r="G6" s="147">
        <v>0.39700000000000002</v>
      </c>
      <c r="H6" s="147">
        <v>0.56599999999999995</v>
      </c>
      <c r="I6" s="147">
        <v>0.77200000000000002</v>
      </c>
      <c r="J6" s="147">
        <v>1.0820000000000001</v>
      </c>
      <c r="K6" s="147">
        <v>1.5589999999999999</v>
      </c>
      <c r="L6" s="147">
        <v>2.2250000000000001</v>
      </c>
      <c r="M6" s="148">
        <v>3.1480000000000001</v>
      </c>
      <c r="N6" s="148">
        <v>4.4530000000000003</v>
      </c>
      <c r="O6" s="148">
        <v>6.1840000000000002</v>
      </c>
      <c r="P6" s="148">
        <v>8.7469999999999999</v>
      </c>
      <c r="Q6" s="148">
        <v>12.486000000000001</v>
      </c>
      <c r="R6" s="148">
        <v>17.501000000000001</v>
      </c>
      <c r="S6" s="148">
        <v>24.981999999999999</v>
      </c>
      <c r="T6" s="149">
        <v>35.015000000000001</v>
      </c>
      <c r="U6" s="95"/>
      <c r="V6" s="110"/>
      <c r="W6" s="18"/>
      <c r="X6" s="18"/>
      <c r="Y6" s="19"/>
      <c r="Z6" s="18"/>
      <c r="AA6" s="18"/>
      <c r="AB6" s="4"/>
    </row>
    <row r="7" spans="1:50" ht="15.75" customHeight="1">
      <c r="A7" s="93">
        <v>3</v>
      </c>
      <c r="B7" s="94">
        <v>1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7"/>
      <c r="W7" s="17"/>
      <c r="X7" s="17"/>
      <c r="Y7" s="17"/>
      <c r="Z7" s="17"/>
      <c r="AA7" s="17"/>
      <c r="AB7" s="4"/>
    </row>
    <row r="8" spans="1:50" ht="15.75" customHeight="1">
      <c r="A8" s="92">
        <v>3</v>
      </c>
      <c r="B8" s="97">
        <v>2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18"/>
      <c r="T8" s="18"/>
      <c r="U8" s="18"/>
      <c r="V8" s="18"/>
      <c r="W8" s="18"/>
      <c r="X8" s="18"/>
      <c r="Y8" s="18"/>
      <c r="Z8" s="18"/>
      <c r="AA8" s="18"/>
      <c r="AB8" s="4"/>
    </row>
    <row r="9" spans="1:50" ht="15.75" customHeight="1">
      <c r="A9" s="92">
        <v>3</v>
      </c>
      <c r="B9" s="97">
        <v>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  <c r="AB9" s="4"/>
    </row>
    <row r="10" spans="1:50" ht="15.75" customHeight="1">
      <c r="A10" s="92">
        <v>3</v>
      </c>
      <c r="B10" s="97">
        <v>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4"/>
    </row>
    <row r="11" spans="1:50" ht="15.75" customHeight="1">
      <c r="A11" s="92">
        <v>3</v>
      </c>
      <c r="B11" s="97">
        <v>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8"/>
      <c r="X11" s="18"/>
      <c r="Y11" s="18"/>
      <c r="Z11" s="18"/>
      <c r="AA11" s="18"/>
      <c r="AB11" s="4"/>
    </row>
    <row r="12" spans="1:50" ht="15.75" customHeight="1">
      <c r="A12" s="92">
        <v>3</v>
      </c>
      <c r="B12" s="97">
        <v>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4"/>
    </row>
    <row r="13" spans="1:50" ht="15.75" customHeight="1">
      <c r="A13" s="92">
        <v>3</v>
      </c>
      <c r="B13" s="97">
        <v>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4"/>
    </row>
    <row r="14" spans="1:50" ht="15.75" customHeight="1">
      <c r="A14" s="103">
        <v>3</v>
      </c>
      <c r="B14" s="104">
        <v>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4"/>
    </row>
    <row r="15" spans="1:50" ht="15.75" customHeight="1">
      <c r="A15" s="93">
        <v>4</v>
      </c>
      <c r="B15" s="94">
        <v>1</v>
      </c>
      <c r="C15" s="150"/>
      <c r="D15" s="150"/>
      <c r="E15" s="150"/>
      <c r="F15" s="150"/>
      <c r="G15" s="136"/>
      <c r="H15" s="150"/>
      <c r="I15" s="150"/>
      <c r="J15" s="150"/>
      <c r="K15" s="150"/>
      <c r="L15" s="150"/>
      <c r="M15" s="150"/>
      <c r="N15" s="150"/>
      <c r="O15" s="91"/>
      <c r="P15" s="91"/>
      <c r="Q15" s="91"/>
      <c r="R15" s="91"/>
      <c r="S15" s="91"/>
      <c r="T15" s="91"/>
      <c r="U15" s="91"/>
      <c r="V15" s="91"/>
      <c r="W15" s="4"/>
      <c r="X15" s="4"/>
      <c r="Y15" s="4"/>
      <c r="Z15" s="4"/>
      <c r="AA15" s="4"/>
      <c r="AB15" s="4"/>
    </row>
    <row r="16" spans="1:50" ht="15.75" customHeight="1">
      <c r="A16" s="93">
        <v>5</v>
      </c>
      <c r="B16" s="94">
        <v>1</v>
      </c>
      <c r="C16" s="198">
        <v>1.754</v>
      </c>
      <c r="D16" s="198">
        <v>2.5110000000000001</v>
      </c>
      <c r="E16" s="198">
        <v>4.0199999999999996</v>
      </c>
      <c r="F16" s="198">
        <v>6.0010000000000003</v>
      </c>
      <c r="G16" s="198">
        <v>9.0839999999999996</v>
      </c>
      <c r="H16" s="198">
        <v>14.144</v>
      </c>
      <c r="I16" s="198">
        <v>20.097999999999999</v>
      </c>
      <c r="J16" s="198">
        <v>24.99</v>
      </c>
      <c r="K16" s="198">
        <v>40.015999999999998</v>
      </c>
      <c r="L16" s="198">
        <v>60.576000000000001</v>
      </c>
      <c r="M16" s="143">
        <v>79.674999999999997</v>
      </c>
      <c r="N16" s="143">
        <v>110.08</v>
      </c>
      <c r="O16" s="143">
        <v>149.96600000000001</v>
      </c>
      <c r="P16" s="143">
        <v>270.61399999999998</v>
      </c>
      <c r="Q16" s="143">
        <v>379.17599999999999</v>
      </c>
      <c r="R16" s="143">
        <v>590.34900000000005</v>
      </c>
      <c r="S16" s="143">
        <v>875.01300000000003</v>
      </c>
      <c r="T16" s="143">
        <v>1200.4639999999999</v>
      </c>
      <c r="U16" s="143">
        <v>2005.1010000000001</v>
      </c>
      <c r="V16" s="154">
        <v>3800.6480000000001</v>
      </c>
      <c r="W16" s="91"/>
      <c r="X16" s="4"/>
      <c r="Y16" s="4"/>
      <c r="Z16" s="4"/>
      <c r="AA16" s="4"/>
      <c r="AB16" s="4"/>
    </row>
    <row r="17" spans="1:28" ht="15.75" customHeight="1">
      <c r="A17" s="93">
        <v>6</v>
      </c>
      <c r="B17" s="187">
        <v>1</v>
      </c>
      <c r="C17" s="95">
        <v>1.6</v>
      </c>
      <c r="D17" s="95">
        <v>2.5</v>
      </c>
      <c r="E17" s="95">
        <v>4</v>
      </c>
      <c r="F17" s="95">
        <v>6.2750000000000004</v>
      </c>
      <c r="G17" s="95">
        <v>10</v>
      </c>
      <c r="H17" s="95">
        <v>15.5</v>
      </c>
      <c r="I17" s="95">
        <v>25</v>
      </c>
      <c r="J17" s="95">
        <v>40</v>
      </c>
      <c r="K17" s="95">
        <v>62</v>
      </c>
      <c r="L17" s="115">
        <v>100</v>
      </c>
      <c r="M17" s="150"/>
      <c r="N17" s="150"/>
      <c r="O17" s="91"/>
      <c r="P17" s="91"/>
      <c r="Q17" s="91"/>
      <c r="R17" s="91"/>
      <c r="S17" s="91"/>
      <c r="T17" s="91"/>
      <c r="U17" s="91"/>
      <c r="V17" s="91"/>
      <c r="W17" s="4"/>
      <c r="X17" s="4"/>
      <c r="Y17" s="4"/>
      <c r="Z17" s="4"/>
      <c r="AA17" s="4"/>
      <c r="AB17" s="4"/>
    </row>
    <row r="18" spans="1:28" ht="15.75" customHeight="1">
      <c r="A18" s="92">
        <v>6</v>
      </c>
      <c r="B18" s="188">
        <v>2</v>
      </c>
      <c r="C18" s="96">
        <v>1.6</v>
      </c>
      <c r="D18" s="96">
        <v>2.5</v>
      </c>
      <c r="E18" s="96">
        <v>4</v>
      </c>
      <c r="F18" s="96">
        <v>6.2750000000000004</v>
      </c>
      <c r="G18" s="96">
        <v>10</v>
      </c>
      <c r="H18" s="96">
        <v>15.5</v>
      </c>
      <c r="I18" s="96">
        <v>25</v>
      </c>
      <c r="J18" s="96">
        <v>40</v>
      </c>
      <c r="K18" s="96">
        <v>62</v>
      </c>
      <c r="L18" s="117">
        <v>100</v>
      </c>
      <c r="M18" s="150"/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92">
        <v>6</v>
      </c>
      <c r="B19" s="188">
        <v>3</v>
      </c>
      <c r="C19" s="96">
        <v>1.6</v>
      </c>
      <c r="D19" s="96">
        <v>2.5</v>
      </c>
      <c r="E19" s="96">
        <v>4</v>
      </c>
      <c r="F19" s="96">
        <v>6.2750000000000004</v>
      </c>
      <c r="G19" s="96">
        <v>10</v>
      </c>
      <c r="H19" s="96">
        <v>15.5</v>
      </c>
      <c r="I19" s="96">
        <v>25</v>
      </c>
      <c r="J19" s="96">
        <v>40</v>
      </c>
      <c r="K19" s="96">
        <v>62</v>
      </c>
      <c r="L19" s="117">
        <v>100</v>
      </c>
      <c r="M19" s="150"/>
      <c r="N19" s="3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92">
        <v>6</v>
      </c>
      <c r="B20" s="188">
        <v>4</v>
      </c>
      <c r="C20" s="96">
        <v>1.6</v>
      </c>
      <c r="D20" s="96">
        <v>2.5</v>
      </c>
      <c r="E20" s="96">
        <v>4</v>
      </c>
      <c r="F20" s="96">
        <v>6.2750000000000004</v>
      </c>
      <c r="G20" s="96">
        <v>10</v>
      </c>
      <c r="H20" s="96">
        <v>15.5</v>
      </c>
      <c r="I20" s="96">
        <v>25</v>
      </c>
      <c r="J20" s="96">
        <v>40</v>
      </c>
      <c r="K20" s="96">
        <v>62</v>
      </c>
      <c r="L20" s="117">
        <v>100</v>
      </c>
      <c r="M20" s="150"/>
      <c r="N20" s="3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92">
        <v>6</v>
      </c>
      <c r="B21" s="97">
        <v>5</v>
      </c>
      <c r="C21" s="150"/>
      <c r="D21" s="150"/>
      <c r="E21" s="150"/>
      <c r="F21" s="150"/>
      <c r="G21" s="136"/>
      <c r="H21" s="150"/>
      <c r="I21" s="150"/>
      <c r="J21" s="150"/>
      <c r="K21" s="150"/>
      <c r="L21" s="178"/>
      <c r="M21" s="150"/>
      <c r="N21" s="3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92">
        <v>6</v>
      </c>
      <c r="B22" s="97">
        <v>6</v>
      </c>
      <c r="C22" s="150"/>
      <c r="D22" s="150"/>
      <c r="E22" s="150"/>
      <c r="F22" s="150"/>
      <c r="G22" s="136"/>
      <c r="H22" s="150"/>
      <c r="I22" s="150"/>
      <c r="J22" s="150"/>
      <c r="K22" s="150"/>
      <c r="L22" s="178"/>
      <c r="M22" s="150"/>
      <c r="N22" s="3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103">
        <v>6</v>
      </c>
      <c r="B23" s="104">
        <v>7</v>
      </c>
      <c r="C23" s="211"/>
      <c r="D23" s="211"/>
      <c r="E23" s="217"/>
      <c r="F23" s="217"/>
      <c r="G23" s="210"/>
      <c r="H23" s="211"/>
      <c r="I23" s="211"/>
      <c r="J23" s="211"/>
      <c r="K23" s="211"/>
      <c r="L23" s="218"/>
      <c r="M23" s="9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8" ht="15.75" customHeight="1">
      <c r="A24" s="92">
        <v>7</v>
      </c>
      <c r="B24" s="188">
        <v>1</v>
      </c>
      <c r="C24" s="90"/>
      <c r="D24" s="90"/>
      <c r="E24" s="204"/>
      <c r="F24" s="204"/>
      <c r="G24" s="114"/>
      <c r="H24" s="90"/>
      <c r="I24" s="90"/>
      <c r="J24" s="90"/>
      <c r="K24" s="90"/>
      <c r="L24" s="90"/>
    </row>
    <row r="25" spans="1:28" ht="15.75" customHeight="1">
      <c r="A25" s="92">
        <v>7</v>
      </c>
      <c r="B25" s="188">
        <v>2</v>
      </c>
      <c r="E25" s="37"/>
      <c r="F25" s="37"/>
    </row>
    <row r="26" spans="1:28" ht="15.75" customHeight="1">
      <c r="A26" s="103">
        <v>7</v>
      </c>
      <c r="B26" s="209">
        <v>3</v>
      </c>
      <c r="E26" s="37"/>
      <c r="F26" s="37"/>
    </row>
    <row r="27" spans="1:28" ht="15.75" customHeight="1">
      <c r="A27" s="93">
        <v>8</v>
      </c>
      <c r="B27" s="187">
        <v>1</v>
      </c>
      <c r="E27" s="37"/>
      <c r="F27" s="37"/>
    </row>
    <row r="28" spans="1:28" ht="15.75" customHeight="1">
      <c r="A28" s="92">
        <v>8</v>
      </c>
      <c r="B28" s="188">
        <v>2</v>
      </c>
      <c r="E28" s="37"/>
      <c r="F28" s="37"/>
      <c r="I28" s="4"/>
    </row>
    <row r="29" spans="1:28" ht="15.75" customHeight="1">
      <c r="A29" s="92">
        <v>8</v>
      </c>
      <c r="B29" s="188">
        <v>3</v>
      </c>
      <c r="C29" s="4"/>
      <c r="E29" s="37"/>
      <c r="F29" s="37"/>
      <c r="I29" s="4"/>
    </row>
    <row r="30" spans="1:28" ht="15.75" customHeight="1">
      <c r="A30" s="103">
        <v>8</v>
      </c>
      <c r="B30" s="209">
        <v>4</v>
      </c>
      <c r="C30" s="4"/>
      <c r="D30" s="4"/>
      <c r="E30" s="37"/>
      <c r="F30" s="37"/>
      <c r="I30" s="4"/>
    </row>
    <row r="31" spans="1:28" ht="15.75" customHeight="1">
      <c r="A31" s="125">
        <v>9</v>
      </c>
      <c r="B31" s="229">
        <v>1</v>
      </c>
      <c r="C31" s="4"/>
      <c r="I31" s="4"/>
    </row>
    <row r="32" spans="1:28" ht="15.75" customHeight="1">
      <c r="A32" s="125">
        <v>9</v>
      </c>
      <c r="B32" s="229">
        <v>2</v>
      </c>
      <c r="I32" s="4"/>
    </row>
    <row r="33" spans="1:23" ht="15.75" customHeight="1">
      <c r="A33" s="125">
        <v>9</v>
      </c>
      <c r="B33" s="229">
        <v>3</v>
      </c>
      <c r="I33" s="4"/>
    </row>
    <row r="34" spans="1:23" ht="15.75" customHeight="1">
      <c r="A34" s="125">
        <v>9</v>
      </c>
      <c r="B34" s="229">
        <v>4</v>
      </c>
      <c r="I34" s="4"/>
    </row>
    <row r="35" spans="1:23" ht="15.75" customHeight="1">
      <c r="A35" s="125">
        <v>9</v>
      </c>
      <c r="B35" s="229">
        <v>5</v>
      </c>
      <c r="I35" s="4"/>
    </row>
    <row r="36" spans="1:23" ht="15.75" customHeight="1">
      <c r="A36" s="125">
        <v>9</v>
      </c>
      <c r="B36" s="229">
        <v>6</v>
      </c>
      <c r="I36" s="4"/>
    </row>
    <row r="37" spans="1:23" ht="15.75" customHeight="1">
      <c r="A37" s="220">
        <v>9</v>
      </c>
      <c r="B37" s="209">
        <v>7</v>
      </c>
      <c r="I37" s="4"/>
    </row>
    <row r="38" spans="1:23" ht="15.75" customHeight="1">
      <c r="A38" s="93">
        <v>10</v>
      </c>
      <c r="B38" s="94">
        <v>1</v>
      </c>
      <c r="C38" s="4"/>
      <c r="D38" s="4"/>
      <c r="E38" s="4"/>
      <c r="F38" s="4"/>
      <c r="G38" s="1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3" ht="15.75" customHeight="1">
      <c r="A39" s="139">
        <v>11</v>
      </c>
      <c r="B39" s="140">
        <v>1</v>
      </c>
      <c r="C39" s="4"/>
      <c r="D39" s="4"/>
      <c r="E39" s="4"/>
      <c r="F39" s="4"/>
      <c r="G39" s="1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13"/>
      <c r="B40" s="14"/>
      <c r="C40" s="4"/>
      <c r="D40" s="4"/>
      <c r="E40" s="4"/>
      <c r="F40" s="4"/>
      <c r="G40" s="1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13"/>
      <c r="B41" s="14"/>
      <c r="C41" s="4"/>
      <c r="D41" s="4"/>
      <c r="E41" s="4"/>
      <c r="F41" s="4"/>
      <c r="G41" s="1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13"/>
      <c r="B42" s="14"/>
      <c r="C42" s="4"/>
      <c r="D42" s="4"/>
      <c r="E42" s="4"/>
      <c r="F42" s="4"/>
      <c r="G42" s="1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>
      <c r="A43" s="13"/>
      <c r="B43" s="14"/>
      <c r="C43" s="4"/>
      <c r="D43" s="4"/>
      <c r="E43" s="4"/>
      <c r="F43" s="4"/>
      <c r="G43" s="1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>
      <c r="A44" s="13"/>
      <c r="B44" s="14"/>
      <c r="C44" s="4"/>
      <c r="D44" s="4"/>
      <c r="E44" s="4"/>
      <c r="F44" s="4"/>
      <c r="G44" s="1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>
      <c r="A45" s="13"/>
      <c r="B45" s="14"/>
      <c r="C45" s="4"/>
      <c r="D45" s="4"/>
      <c r="E45" s="4"/>
      <c r="F45" s="4"/>
      <c r="G45" s="1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>
      <c r="A46" s="13"/>
      <c r="B46" s="14"/>
      <c r="C46" s="4"/>
      <c r="D46" s="4"/>
      <c r="E46" s="4"/>
      <c r="F46" s="4"/>
      <c r="G46" s="1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>
      <c r="A47" s="13"/>
      <c r="B47" s="14"/>
      <c r="C47" s="4"/>
      <c r="D47" s="4"/>
      <c r="E47" s="4"/>
      <c r="F47" s="4"/>
      <c r="G47" s="1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3" ht="15.75" customHeight="1">
      <c r="A48" s="13"/>
      <c r="B48" s="14"/>
    </row>
    <row r="49" spans="1:37" ht="15.75" customHeight="1">
      <c r="A49" s="13"/>
      <c r="B49" s="14"/>
    </row>
    <row r="50" spans="1:37" ht="15.75" customHeight="1">
      <c r="A50" s="13"/>
      <c r="B50" s="14"/>
    </row>
    <row r="51" spans="1:37" ht="15.75" customHeight="1">
      <c r="A51" s="13"/>
      <c r="B51" s="14"/>
      <c r="C51" s="4"/>
      <c r="D51" s="4"/>
      <c r="E51" s="4"/>
      <c r="F51" s="4"/>
      <c r="G51" s="1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7" ht="15.75" customHeight="1">
      <c r="A52" s="21"/>
      <c r="B52" s="22"/>
      <c r="C52" s="4"/>
      <c r="D52" s="4"/>
      <c r="E52" s="4"/>
      <c r="F52" s="4"/>
      <c r="G52" s="1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15.75" customHeight="1">
      <c r="A53" s="21"/>
      <c r="B53" s="22"/>
      <c r="C53" s="4"/>
      <c r="D53" s="4"/>
      <c r="E53" s="4"/>
      <c r="F53" s="4"/>
      <c r="G53" s="1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5.75" customHeight="1">
      <c r="A54" s="21"/>
      <c r="B54" s="22"/>
      <c r="C54" s="4"/>
      <c r="D54" s="4"/>
      <c r="E54" s="4"/>
      <c r="F54" s="4"/>
      <c r="G54" s="1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5.75" customHeight="1">
      <c r="A55" s="21"/>
      <c r="B55" s="22"/>
      <c r="C55" s="4"/>
      <c r="D55" s="4"/>
      <c r="E55" s="4"/>
      <c r="F55" s="4"/>
      <c r="G55" s="1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15.75" customHeight="1">
      <c r="A56" s="21"/>
      <c r="B56" s="22"/>
      <c r="C56" s="4"/>
      <c r="D56" s="4"/>
      <c r="E56" s="4"/>
      <c r="F56" s="4"/>
      <c r="G56" s="1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15.75" customHeight="1">
      <c r="A57" s="21"/>
      <c r="B57" s="22"/>
      <c r="C57" s="4"/>
      <c r="D57" s="4"/>
      <c r="E57" s="4"/>
      <c r="F57" s="4"/>
      <c r="G57" s="1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ht="15.75" customHeight="1">
      <c r="A58" s="21"/>
      <c r="B58" s="22"/>
      <c r="C58" s="4"/>
      <c r="D58" s="4"/>
      <c r="E58" s="4"/>
      <c r="F58" s="4"/>
      <c r="G58" s="1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ht="15.75" customHeight="1">
      <c r="A59" s="13"/>
      <c r="B59" s="14"/>
      <c r="C59" s="4"/>
      <c r="D59" s="4"/>
      <c r="E59" s="4"/>
      <c r="F59" s="4"/>
      <c r="G59" s="1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7" ht="15.75" customHeight="1">
      <c r="A60" s="13"/>
      <c r="B60" s="14"/>
    </row>
    <row r="61" spans="1:37" ht="15.75" customHeight="1">
      <c r="A61" s="13"/>
      <c r="B61" s="14"/>
    </row>
    <row r="62" spans="1:37" ht="15.75" customHeight="1">
      <c r="A62" s="13"/>
      <c r="B62" s="14"/>
      <c r="C62" s="4"/>
      <c r="D62" s="4"/>
      <c r="E62" s="4"/>
      <c r="F62" s="4"/>
      <c r="G62" s="1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37" ht="15.75" customHeight="1">
      <c r="A63" s="13"/>
      <c r="B63" s="15"/>
      <c r="C63" s="4"/>
      <c r="D63" s="4"/>
      <c r="E63" s="4"/>
      <c r="F63" s="4"/>
      <c r="G63" s="1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37" ht="15.75" customHeight="1">
      <c r="A64" s="13"/>
      <c r="B64" s="15"/>
      <c r="C64" s="4"/>
      <c r="D64" s="4"/>
      <c r="E64" s="4"/>
      <c r="F64" s="4"/>
      <c r="G64" s="1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customHeight="1">
      <c r="A65" s="13"/>
      <c r="B65" s="15"/>
      <c r="C65" s="4"/>
      <c r="D65" s="4"/>
      <c r="E65" s="4"/>
      <c r="F65" s="4"/>
      <c r="G65" s="1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>
      <c r="A66" s="13"/>
      <c r="B66" s="15"/>
      <c r="C66" s="4"/>
      <c r="D66" s="4"/>
      <c r="E66" s="4"/>
      <c r="F66" s="4"/>
      <c r="G66" s="1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>
      <c r="A67" s="13"/>
      <c r="B67" s="15"/>
      <c r="C67" s="4"/>
      <c r="D67" s="4"/>
      <c r="E67" s="4"/>
      <c r="F67" s="4"/>
      <c r="G67" s="1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>
      <c r="A68" s="13"/>
      <c r="B68" s="15"/>
      <c r="C68" s="4"/>
      <c r="D68" s="4"/>
      <c r="E68" s="4"/>
      <c r="F68" s="4"/>
      <c r="G68" s="1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>
      <c r="A69" s="13"/>
      <c r="B69" s="15"/>
      <c r="C69" s="4"/>
      <c r="D69" s="4"/>
      <c r="E69" s="4"/>
      <c r="F69" s="4"/>
      <c r="G69" s="1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>
      <c r="A70" s="13"/>
      <c r="B70" s="15"/>
      <c r="C70" s="4"/>
      <c r="D70" s="4"/>
      <c r="E70" s="4"/>
      <c r="F70" s="4"/>
      <c r="G70" s="1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>
      <c r="A71" s="13"/>
      <c r="B71" s="15"/>
      <c r="C71" s="4"/>
      <c r="D71" s="4"/>
      <c r="E71" s="4"/>
      <c r="F71" s="4"/>
      <c r="G71" s="1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.75" customHeight="1">
      <c r="A72" s="13"/>
      <c r="B72" s="14"/>
      <c r="C72" s="4"/>
      <c r="D72" s="4"/>
      <c r="E72" s="4"/>
      <c r="F72" s="4"/>
      <c r="G72" s="1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.75" customHeight="1">
      <c r="A73" s="23"/>
      <c r="B73" s="15"/>
      <c r="C73" s="4"/>
      <c r="D73" s="4"/>
      <c r="E73" s="4"/>
      <c r="F73" s="4"/>
      <c r="G73" s="1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2" ht="15.75" customHeight="1">
      <c r="A74" s="23"/>
      <c r="B74" s="15"/>
    </row>
    <row r="75" spans="1:22" ht="15.75" customHeight="1">
      <c r="A75" s="23"/>
      <c r="B75" s="15"/>
    </row>
    <row r="76" spans="1:22" ht="15.75" customHeight="1">
      <c r="A76" s="23"/>
      <c r="B76" s="15"/>
      <c r="C76" s="4"/>
      <c r="D76" s="4"/>
      <c r="E76" s="4"/>
      <c r="F76" s="4"/>
      <c r="G76" s="1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2" ht="15.75" customHeight="1">
      <c r="A77" s="13"/>
      <c r="B77" s="14"/>
      <c r="C77" s="4"/>
      <c r="D77" s="4"/>
      <c r="E77" s="4"/>
      <c r="F77" s="4"/>
      <c r="G77" s="1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.75" customHeight="1">
      <c r="A78" s="13"/>
      <c r="B78" s="14"/>
      <c r="C78" s="4"/>
      <c r="D78" s="4"/>
      <c r="E78" s="4"/>
      <c r="F78" s="4"/>
      <c r="G78" s="18"/>
      <c r="H78" s="4"/>
      <c r="I78" s="4"/>
      <c r="J78" s="4"/>
      <c r="K78" s="4"/>
      <c r="L78" s="4"/>
      <c r="M78" s="4"/>
      <c r="N78" s="4"/>
      <c r="O78" s="20"/>
      <c r="P78" s="4"/>
      <c r="Q78" s="4"/>
      <c r="R78" s="4"/>
      <c r="S78" s="4"/>
      <c r="T78" s="4"/>
      <c r="U78" s="4"/>
      <c r="V78" s="4"/>
    </row>
    <row r="79" spans="1:22" ht="15.75" customHeight="1">
      <c r="A79" s="13"/>
      <c r="B79" s="14"/>
      <c r="C79" s="4"/>
      <c r="D79" s="4"/>
      <c r="E79" s="4"/>
      <c r="F79" s="4"/>
      <c r="G79" s="1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.75" customHeight="1">
      <c r="A80" s="13"/>
      <c r="B80" s="14"/>
      <c r="C80" s="4"/>
      <c r="D80" s="4"/>
      <c r="E80" s="4"/>
      <c r="F80" s="4"/>
      <c r="G80" s="1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.75" customHeight="1">
      <c r="A81" s="13"/>
      <c r="B81" s="14"/>
      <c r="C81" s="4"/>
      <c r="D81" s="4"/>
      <c r="E81" s="4"/>
      <c r="F81" s="4"/>
      <c r="G81" s="1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.75" customHeight="1">
      <c r="A82" s="13"/>
      <c r="B82" s="14"/>
      <c r="C82" s="4"/>
      <c r="D82" s="4"/>
      <c r="E82" s="4"/>
      <c r="F82" s="4"/>
      <c r="G82" s="1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.75" customHeight="1">
      <c r="A83" s="13"/>
      <c r="B83" s="14"/>
      <c r="C83" s="4"/>
      <c r="D83" s="4"/>
      <c r="E83" s="4"/>
      <c r="F83" s="4"/>
      <c r="G83" s="1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2" ht="15.75" customHeight="1">
      <c r="A84" s="13"/>
      <c r="B84" s="14"/>
      <c r="C84" s="4"/>
      <c r="D84" s="4"/>
      <c r="E84" s="4"/>
      <c r="F84" s="4"/>
      <c r="G84" s="1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2" ht="15.75" customHeight="1">
      <c r="A85" s="13"/>
      <c r="B85" s="14"/>
      <c r="C85" s="4"/>
      <c r="D85" s="4"/>
      <c r="E85" s="4"/>
      <c r="F85" s="4"/>
      <c r="G85" s="1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2" ht="15.75" customHeight="1">
      <c r="A86" s="13"/>
      <c r="B86" s="14"/>
      <c r="C86" s="4"/>
      <c r="D86" s="4"/>
      <c r="E86" s="4"/>
      <c r="F86" s="4"/>
      <c r="G86" s="1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2" ht="15.75" customHeight="1">
      <c r="A87" s="13"/>
      <c r="B87" s="14"/>
      <c r="C87" s="4"/>
      <c r="D87" s="4"/>
      <c r="E87" s="4"/>
      <c r="F87" s="4"/>
      <c r="G87" s="1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2" ht="15.75" customHeight="1">
      <c r="A88" s="13"/>
      <c r="B88" s="14"/>
      <c r="C88" s="4"/>
      <c r="D88" s="4"/>
      <c r="E88" s="4"/>
      <c r="F88" s="4"/>
      <c r="G88" s="1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2" ht="15.75" customHeight="1">
      <c r="A89" s="13"/>
      <c r="B89" s="14"/>
    </row>
    <row r="90" spans="1:22" ht="15.75" customHeight="1">
      <c r="A90" s="13"/>
      <c r="B90" s="14"/>
    </row>
    <row r="91" spans="1:22" ht="15.75" customHeight="1">
      <c r="A91" s="13"/>
      <c r="B91" s="14"/>
    </row>
    <row r="92" spans="1:22" ht="15.75" customHeight="1">
      <c r="A92" s="13"/>
      <c r="B92" s="14"/>
    </row>
    <row r="93" spans="1:22" ht="15.75" customHeight="1">
      <c r="A93" s="13"/>
      <c r="B93" s="14"/>
    </row>
    <row r="94" spans="1:22" ht="15.75" customHeight="1">
      <c r="A94" s="13"/>
      <c r="B94" s="14"/>
    </row>
    <row r="95" spans="1:22" ht="15.75" customHeight="1">
      <c r="A95" s="13"/>
      <c r="B95" s="14"/>
    </row>
    <row r="96" spans="1:22" ht="15.75" customHeight="1">
      <c r="A96" s="23"/>
      <c r="B96" s="15"/>
    </row>
    <row r="97" spans="1:36" ht="15.75" customHeight="1">
      <c r="A97" s="23"/>
      <c r="B97" s="15"/>
      <c r="C97" s="4"/>
      <c r="D97" s="4"/>
      <c r="E97" s="4"/>
      <c r="F97" s="4"/>
      <c r="G97" s="1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36" ht="15.75" customHeight="1">
      <c r="A98" s="13"/>
      <c r="B98" s="15"/>
      <c r="C98" s="4"/>
      <c r="D98" s="4"/>
      <c r="E98" s="4"/>
      <c r="F98" s="4"/>
      <c r="G98" s="1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36" ht="15.75" customHeight="1">
      <c r="A99" s="13"/>
      <c r="B99" s="15"/>
      <c r="C99" s="4"/>
      <c r="D99" s="4"/>
      <c r="E99" s="4"/>
      <c r="F99" s="4"/>
      <c r="G99" s="1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36" ht="15.75" customHeight="1">
      <c r="A100" s="13"/>
      <c r="B100" s="15"/>
      <c r="C100" s="4"/>
      <c r="D100" s="4"/>
      <c r="E100" s="4"/>
      <c r="F100" s="4"/>
      <c r="G100" s="1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36" ht="15.75" customHeight="1">
      <c r="A101" s="13"/>
      <c r="B101" s="15"/>
      <c r="C101" s="4"/>
      <c r="D101" s="4"/>
      <c r="E101" s="4"/>
      <c r="F101" s="4"/>
      <c r="G101" s="1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36" ht="15.75" customHeight="1">
      <c r="A102" s="23"/>
      <c r="B102" s="15"/>
      <c r="W102" s="4"/>
      <c r="X102" s="4"/>
      <c r="Y102" s="4"/>
      <c r="Z102" s="4"/>
      <c r="AA102" s="4"/>
    </row>
    <row r="103" spans="1:36" ht="15.75" customHeight="1">
      <c r="A103" s="23"/>
      <c r="B103" s="15"/>
    </row>
    <row r="104" spans="1:36" ht="15.75" customHeight="1">
      <c r="A104" s="23"/>
      <c r="B104" s="15"/>
    </row>
    <row r="105" spans="1:36" ht="15.75" customHeight="1">
      <c r="A105" s="23"/>
      <c r="B105" s="15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6" ht="15.75" customHeight="1">
      <c r="A106" s="13"/>
      <c r="B106" s="14"/>
      <c r="C106" s="4"/>
      <c r="D106" s="4"/>
      <c r="E106" s="4"/>
      <c r="F106" s="4"/>
      <c r="G106" s="1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6"/>
      <c r="T106" s="4"/>
      <c r="U106" s="46"/>
      <c r="V106" s="46"/>
      <c r="W106" s="46"/>
      <c r="X106" s="46"/>
      <c r="Y106" s="46"/>
      <c r="Z106" s="46"/>
      <c r="AA106" s="46"/>
      <c r="AB106" s="46"/>
      <c r="AC106" s="4"/>
      <c r="AD106" s="46"/>
      <c r="AE106" s="46"/>
      <c r="AF106" s="4"/>
      <c r="AG106" s="46"/>
      <c r="AH106" s="46"/>
      <c r="AI106" s="46"/>
      <c r="AJ106" s="4"/>
    </row>
    <row r="107" spans="1:36" ht="15.75" customHeight="1">
      <c r="A107" s="13"/>
      <c r="B107" s="14"/>
      <c r="C107" s="4"/>
      <c r="D107" s="4"/>
      <c r="E107" s="4"/>
      <c r="F107" s="4"/>
      <c r="G107" s="1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6"/>
      <c r="T107" s="4"/>
      <c r="U107" s="46"/>
      <c r="V107" s="46"/>
      <c r="W107" s="46"/>
      <c r="X107" s="46"/>
      <c r="Y107" s="46"/>
      <c r="Z107" s="46"/>
      <c r="AA107" s="46"/>
      <c r="AB107" s="46"/>
      <c r="AC107" s="4"/>
      <c r="AD107" s="46"/>
      <c r="AE107" s="46"/>
      <c r="AF107" s="4"/>
      <c r="AG107" s="46"/>
      <c r="AH107" s="46"/>
      <c r="AI107" s="46"/>
      <c r="AJ107" s="4"/>
    </row>
    <row r="108" spans="1:36" ht="15.75" customHeight="1">
      <c r="A108" s="13"/>
      <c r="B108" s="14"/>
      <c r="C108" s="4"/>
      <c r="D108" s="4"/>
      <c r="E108" s="4"/>
      <c r="F108" s="4"/>
      <c r="G108" s="1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6"/>
      <c r="T108" s="4"/>
      <c r="U108" s="46"/>
      <c r="V108" s="46"/>
      <c r="W108" s="46"/>
      <c r="X108" s="46"/>
      <c r="Y108" s="46"/>
      <c r="Z108" s="46"/>
      <c r="AA108" s="46"/>
      <c r="AB108" s="46"/>
      <c r="AC108" s="4"/>
      <c r="AD108" s="46"/>
      <c r="AE108" s="46"/>
      <c r="AF108" s="4"/>
      <c r="AG108" s="46"/>
      <c r="AH108" s="46"/>
      <c r="AI108" s="46"/>
      <c r="AJ108" s="4"/>
    </row>
    <row r="109" spans="1:36" ht="15.75" customHeight="1">
      <c r="A109" s="13"/>
      <c r="B109" s="14"/>
      <c r="C109" s="4"/>
      <c r="D109" s="4"/>
      <c r="E109" s="4"/>
      <c r="F109" s="4"/>
      <c r="G109" s="1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6"/>
      <c r="T109" s="4"/>
      <c r="U109" s="46"/>
      <c r="V109" s="46"/>
      <c r="W109" s="46"/>
      <c r="X109" s="46"/>
      <c r="Y109" s="46"/>
      <c r="Z109" s="46"/>
      <c r="AA109" s="46"/>
      <c r="AB109" s="46"/>
      <c r="AC109" s="4"/>
      <c r="AD109" s="46"/>
      <c r="AE109" s="46"/>
      <c r="AF109" s="4"/>
      <c r="AG109" s="46"/>
      <c r="AH109" s="46"/>
      <c r="AI109" s="46"/>
      <c r="AJ109" s="4"/>
    </row>
    <row r="110" spans="1:36" ht="15.75" customHeight="1">
      <c r="A110" s="13"/>
      <c r="B110" s="14"/>
      <c r="C110" s="4"/>
      <c r="D110" s="4"/>
      <c r="E110" s="4"/>
      <c r="F110" s="4"/>
      <c r="G110" s="1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6" ht="15.75" customHeight="1">
      <c r="A111" s="13"/>
      <c r="B111" s="14"/>
    </row>
    <row r="112" spans="1:36" ht="15.75" customHeight="1">
      <c r="A112" s="13"/>
      <c r="B112" s="14"/>
    </row>
    <row r="113" spans="1:24" ht="15.75" customHeight="1">
      <c r="A113" s="13"/>
      <c r="B113" s="14"/>
    </row>
    <row r="114" spans="1:24" ht="15.75" customHeight="1">
      <c r="A114" s="13"/>
      <c r="B114" s="15"/>
    </row>
    <row r="115" spans="1:24" ht="15.75" customHeight="1">
      <c r="A115" s="13"/>
      <c r="B115" s="15"/>
    </row>
    <row r="116" spans="1:24" ht="15.75" customHeight="1">
      <c r="A116" s="13"/>
      <c r="B116" s="15"/>
    </row>
    <row r="117" spans="1:24" ht="15.75" customHeight="1">
      <c r="A117" s="13"/>
      <c r="B117" s="15"/>
    </row>
    <row r="118" spans="1:24" ht="15.75" customHeight="1">
      <c r="A118" s="13"/>
      <c r="B118" s="15"/>
    </row>
    <row r="119" spans="1:24" ht="15.75" customHeight="1">
      <c r="A119" s="13"/>
      <c r="B119" s="15"/>
    </row>
    <row r="120" spans="1:24" ht="15.75" customHeight="1">
      <c r="A120" s="13"/>
      <c r="B120" s="15"/>
      <c r="C120" s="4"/>
      <c r="D120" s="4"/>
      <c r="E120" s="4"/>
      <c r="F120" s="4"/>
      <c r="G120" s="1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4" ht="15.75" customHeight="1">
      <c r="A121" s="13"/>
      <c r="B121" s="14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"/>
    </row>
    <row r="122" spans="1:24" ht="15.75" customHeight="1">
      <c r="A122" s="13"/>
      <c r="B122" s="14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"/>
    </row>
    <row r="123" spans="1:24" ht="15.75" customHeight="1">
      <c r="A123" s="13"/>
      <c r="B123" s="14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"/>
    </row>
    <row r="124" spans="1:24" ht="15.75" customHeight="1">
      <c r="A124" s="13"/>
      <c r="B124" s="14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"/>
    </row>
    <row r="125" spans="1:24" ht="15.75" customHeight="1">
      <c r="A125" s="13"/>
      <c r="B125" s="14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"/>
    </row>
    <row r="126" spans="1:24" ht="15.75" customHeight="1">
      <c r="A126" s="13"/>
      <c r="B126" s="14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"/>
    </row>
    <row r="127" spans="1:24" ht="15.75" customHeight="1">
      <c r="A127" s="13"/>
      <c r="B127" s="14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4"/>
      <c r="P127" s="4"/>
      <c r="Q127" s="4"/>
      <c r="R127" s="4"/>
      <c r="S127" s="4"/>
      <c r="T127" s="4"/>
      <c r="U127" s="4"/>
      <c r="V127" s="4"/>
      <c r="W127" s="4"/>
    </row>
    <row r="128" spans="1:24" ht="15.75" customHeight="1">
      <c r="A128" s="13"/>
      <c r="B128" s="14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4"/>
    </row>
    <row r="129" spans="1:27" ht="15.75" customHeight="1">
      <c r="A129" s="13"/>
      <c r="B129" s="14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4"/>
    </row>
    <row r="130" spans="1:27" ht="15.75" customHeight="1">
      <c r="A130" s="13"/>
      <c r="B130" s="14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4"/>
    </row>
    <row r="131" spans="1:27" ht="15.75" customHeight="1">
      <c r="A131" s="13"/>
      <c r="B131" s="14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4"/>
    </row>
    <row r="132" spans="1:27" ht="15.75" customHeight="1">
      <c r="A132" s="13"/>
      <c r="B132" s="14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4"/>
    </row>
    <row r="133" spans="1:27" ht="15.75" customHeight="1">
      <c r="A133" s="13"/>
      <c r="B133" s="14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4"/>
    </row>
    <row r="134" spans="1:27" ht="15.75" customHeight="1">
      <c r="A134" s="13"/>
      <c r="B134" s="14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4"/>
    </row>
    <row r="135" spans="1:27" ht="15.75" customHeight="1">
      <c r="A135" s="13"/>
      <c r="B135" s="14"/>
      <c r="C135" s="4"/>
      <c r="D135" s="46"/>
      <c r="E135" s="4"/>
      <c r="F135" s="4"/>
      <c r="G135" s="18"/>
      <c r="H135" s="4"/>
      <c r="I135" s="4"/>
      <c r="J135" s="4"/>
      <c r="K135" s="4"/>
      <c r="L135" s="4"/>
      <c r="M135" s="4"/>
      <c r="N135" s="4"/>
    </row>
    <row r="136" spans="1:27" ht="15.75" customHeight="1">
      <c r="A136" s="13"/>
      <c r="B136" s="14"/>
    </row>
    <row r="137" spans="1:27" ht="15.75" customHeight="1">
      <c r="A137" s="13"/>
      <c r="B137" s="14"/>
    </row>
    <row r="138" spans="1:27" ht="15.75" customHeight="1">
      <c r="A138" s="13"/>
      <c r="B138" s="14"/>
    </row>
    <row r="139" spans="1:27" ht="15.75" customHeight="1">
      <c r="A139" s="13"/>
      <c r="B139" s="14"/>
      <c r="C139" s="4"/>
      <c r="D139" s="4"/>
      <c r="E139" s="4"/>
      <c r="F139" s="4"/>
      <c r="G139" s="1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7" ht="15.75" customHeight="1">
      <c r="A140" s="23"/>
      <c r="B140" s="15"/>
      <c r="C140" s="4"/>
      <c r="D140" s="4"/>
      <c r="E140" s="4"/>
      <c r="F140" s="4"/>
      <c r="G140" s="1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23"/>
      <c r="B141" s="15"/>
      <c r="C141" s="4"/>
      <c r="D141" s="4"/>
      <c r="E141" s="4"/>
      <c r="F141" s="4"/>
      <c r="G141" s="1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23"/>
      <c r="B142" s="15"/>
      <c r="C142" s="4"/>
      <c r="D142" s="4"/>
      <c r="E142" s="4"/>
      <c r="F142" s="4"/>
      <c r="G142" s="1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23"/>
      <c r="B143" s="15"/>
      <c r="C143" s="4"/>
      <c r="D143" s="4"/>
      <c r="E143" s="4"/>
      <c r="F143" s="4"/>
      <c r="G143" s="1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23"/>
      <c r="B144" s="15"/>
      <c r="C144" s="4"/>
      <c r="D144" s="4"/>
      <c r="E144" s="4"/>
      <c r="F144" s="4"/>
      <c r="G144" s="1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23"/>
      <c r="B145" s="15"/>
      <c r="C145" s="4"/>
      <c r="D145" s="4"/>
      <c r="E145" s="4"/>
      <c r="F145" s="4"/>
      <c r="G145" s="1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23"/>
      <c r="B146" s="15"/>
      <c r="C146" s="4"/>
      <c r="D146" s="4"/>
      <c r="E146" s="4"/>
      <c r="F146" s="4"/>
      <c r="G146" s="1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7" ht="15.75" customHeight="1">
      <c r="A147" s="23"/>
      <c r="B147" s="15"/>
      <c r="C147" s="4"/>
      <c r="D147" s="4"/>
      <c r="E147" s="4"/>
      <c r="F147" s="4"/>
      <c r="G147" s="1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7" ht="15.75" customHeight="1">
      <c r="A148" s="23"/>
      <c r="B148" s="15"/>
      <c r="C148" s="4"/>
      <c r="D148" s="4"/>
      <c r="E148" s="4"/>
      <c r="F148" s="4"/>
      <c r="G148" s="1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7" ht="15.75" customHeight="1">
      <c r="A149" s="23"/>
      <c r="B149" s="15"/>
      <c r="C149" s="4"/>
      <c r="D149" s="4"/>
      <c r="E149" s="4"/>
      <c r="F149" s="4"/>
      <c r="G149" s="1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7" ht="15.75" customHeight="1">
      <c r="A150" s="23"/>
      <c r="B150" s="15"/>
      <c r="C150" s="4"/>
      <c r="D150" s="4"/>
      <c r="E150" s="4"/>
      <c r="F150" s="4"/>
      <c r="G150" s="1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7" ht="15.75" customHeight="1">
      <c r="A151" s="23"/>
      <c r="B151" s="15"/>
      <c r="C151" s="4"/>
      <c r="D151" s="4"/>
      <c r="E151" s="4"/>
      <c r="F151" s="4"/>
      <c r="G151" s="1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7" ht="15.75" customHeight="1">
      <c r="A152" s="13"/>
      <c r="B152" s="14"/>
      <c r="C152" s="4"/>
      <c r="D152" s="4"/>
      <c r="E152" s="4"/>
      <c r="F152" s="4"/>
      <c r="G152" s="1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7" ht="15.75" customHeight="1">
      <c r="A153" s="13"/>
      <c r="B153" s="14"/>
      <c r="C153" s="4"/>
      <c r="D153" s="4"/>
      <c r="E153" s="4"/>
      <c r="F153" s="4"/>
      <c r="G153" s="1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27" ht="15.75" customHeight="1">
      <c r="A154" s="13"/>
      <c r="B154" s="14"/>
      <c r="C154" s="4"/>
      <c r="D154" s="4"/>
      <c r="E154" s="4"/>
      <c r="F154" s="4"/>
      <c r="G154" s="1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27" ht="15.75" customHeight="1">
      <c r="A155" s="13"/>
      <c r="B155" s="14"/>
      <c r="C155" s="4"/>
      <c r="D155" s="4"/>
      <c r="E155" s="4"/>
      <c r="F155" s="4"/>
      <c r="G155" s="1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27" ht="15.75" customHeight="1">
      <c r="A156" s="13"/>
      <c r="B156" s="14"/>
      <c r="C156" s="4"/>
      <c r="D156" s="4"/>
      <c r="E156" s="4"/>
      <c r="F156" s="4"/>
      <c r="G156" s="18"/>
      <c r="H156" s="4"/>
      <c r="I156" s="4"/>
      <c r="J156" s="4"/>
      <c r="K156" s="4"/>
      <c r="L156" s="4"/>
      <c r="M156" s="4"/>
      <c r="N156" s="4"/>
    </row>
    <row r="157" spans="1:27" ht="15.75" customHeight="1">
      <c r="A157" s="13"/>
      <c r="B157" s="14"/>
      <c r="C157" s="4"/>
      <c r="D157" s="4"/>
      <c r="E157" s="4"/>
      <c r="F157" s="4"/>
      <c r="G157" s="18"/>
      <c r="H157" s="4"/>
      <c r="I157" s="4"/>
      <c r="J157" s="4"/>
      <c r="K157" s="4"/>
      <c r="L157" s="4"/>
      <c r="M157" s="4"/>
      <c r="N157" s="4"/>
    </row>
    <row r="158" spans="1:27" ht="15.75" customHeight="1">
      <c r="A158" s="13"/>
      <c r="B158" s="14"/>
      <c r="C158" s="4"/>
      <c r="D158" s="4"/>
      <c r="E158" s="4"/>
      <c r="F158" s="4"/>
      <c r="G158" s="18"/>
      <c r="H158" s="4"/>
      <c r="I158" s="4"/>
      <c r="J158" s="4"/>
      <c r="K158" s="4"/>
      <c r="L158" s="4"/>
      <c r="M158" s="4"/>
      <c r="N158" s="4"/>
    </row>
    <row r="159" spans="1:27" ht="15.75" customHeight="1">
      <c r="A159" s="13"/>
      <c r="B159" s="14"/>
      <c r="C159" s="4"/>
      <c r="D159" s="4"/>
      <c r="E159" s="4"/>
      <c r="F159" s="4"/>
      <c r="G159" s="18"/>
      <c r="H159" s="4"/>
      <c r="I159" s="4"/>
      <c r="J159" s="4"/>
      <c r="K159" s="4"/>
      <c r="L159" s="4"/>
      <c r="M159" s="4"/>
      <c r="N159" s="4"/>
    </row>
    <row r="160" spans="1:27" ht="15.75" customHeight="1">
      <c r="A160" s="13"/>
      <c r="B160" s="14"/>
      <c r="C160" s="4"/>
      <c r="D160" s="4"/>
      <c r="E160" s="4"/>
      <c r="F160" s="4"/>
      <c r="G160" s="18"/>
      <c r="H160" s="4"/>
      <c r="I160" s="4"/>
      <c r="J160" s="4"/>
      <c r="K160" s="4"/>
      <c r="L160" s="4"/>
      <c r="M160" s="4"/>
      <c r="N160" s="4"/>
    </row>
    <row r="161" spans="1:22" ht="15.75" customHeight="1">
      <c r="A161" s="13"/>
      <c r="B161" s="14"/>
      <c r="C161" s="4"/>
      <c r="D161" s="4"/>
      <c r="E161" s="4"/>
      <c r="F161" s="4"/>
      <c r="G161" s="18"/>
      <c r="H161" s="4"/>
      <c r="I161" s="4"/>
      <c r="J161" s="4"/>
      <c r="K161" s="4"/>
      <c r="L161" s="4"/>
      <c r="M161" s="4"/>
      <c r="N161" s="4"/>
    </row>
    <row r="162" spans="1:22" ht="15.75" customHeight="1">
      <c r="A162" s="13"/>
      <c r="B162" s="14"/>
      <c r="C162" s="4"/>
      <c r="D162" s="4"/>
      <c r="E162" s="4"/>
      <c r="F162" s="4"/>
      <c r="G162" s="18"/>
      <c r="H162" s="4"/>
      <c r="I162" s="4"/>
      <c r="J162" s="4"/>
      <c r="K162" s="4"/>
      <c r="L162" s="4"/>
      <c r="M162" s="4"/>
      <c r="N162" s="4"/>
    </row>
    <row r="163" spans="1:22" ht="15.75" customHeight="1">
      <c r="A163" s="13"/>
      <c r="B163" s="14"/>
      <c r="C163" s="4"/>
      <c r="D163" s="4"/>
      <c r="E163" s="4"/>
      <c r="F163" s="4"/>
      <c r="G163" s="18"/>
      <c r="H163" s="4"/>
      <c r="I163" s="4"/>
      <c r="J163" s="4"/>
      <c r="K163" s="4"/>
      <c r="L163" s="4"/>
      <c r="M163" s="4"/>
      <c r="N163" s="4"/>
    </row>
    <row r="164" spans="1:22" ht="15.75" customHeight="1">
      <c r="A164" s="13"/>
      <c r="B164" s="14"/>
      <c r="C164" s="4"/>
      <c r="D164" s="4"/>
      <c r="E164" s="4"/>
      <c r="F164" s="4"/>
      <c r="G164" s="18"/>
      <c r="H164" s="4"/>
      <c r="I164" s="4"/>
      <c r="J164" s="4"/>
      <c r="K164" s="4"/>
      <c r="L164" s="4"/>
      <c r="M164" s="4"/>
      <c r="N164" s="4"/>
    </row>
    <row r="165" spans="1:22" ht="15.75" customHeight="1">
      <c r="A165" s="23"/>
      <c r="B165" s="15"/>
      <c r="C165" s="4"/>
      <c r="D165" s="4"/>
      <c r="E165" s="4"/>
      <c r="F165" s="4"/>
      <c r="G165" s="18"/>
      <c r="H165" s="4"/>
      <c r="I165" s="4"/>
      <c r="J165" s="4"/>
      <c r="K165" s="4"/>
      <c r="L165" s="4"/>
      <c r="M165" s="4"/>
    </row>
    <row r="166" spans="1:22" ht="15.75" customHeight="1">
      <c r="A166" s="23"/>
      <c r="B166" s="15"/>
      <c r="C166" s="4"/>
      <c r="D166" s="4"/>
      <c r="E166" s="4"/>
      <c r="F166" s="4"/>
      <c r="G166" s="18"/>
      <c r="H166" s="4"/>
      <c r="I166" s="4"/>
      <c r="J166" s="4"/>
      <c r="K166" s="4"/>
      <c r="L166" s="4"/>
      <c r="M166" s="4"/>
    </row>
    <row r="167" spans="1:22" ht="15.75" customHeight="1">
      <c r="A167" s="23"/>
      <c r="B167" s="15"/>
      <c r="C167" s="4"/>
      <c r="D167" s="4"/>
      <c r="E167" s="4"/>
      <c r="F167" s="4"/>
      <c r="G167" s="18"/>
      <c r="H167" s="4"/>
      <c r="I167" s="4"/>
      <c r="J167" s="4"/>
      <c r="K167" s="4"/>
      <c r="L167" s="4"/>
      <c r="M167" s="4"/>
    </row>
    <row r="168" spans="1:22" ht="15.75" customHeight="1">
      <c r="A168" s="23"/>
      <c r="B168" s="15"/>
      <c r="C168" s="4"/>
      <c r="D168" s="4"/>
      <c r="E168" s="4"/>
      <c r="F168" s="4"/>
      <c r="G168" s="18"/>
      <c r="H168" s="4"/>
      <c r="I168" s="4"/>
      <c r="J168" s="4"/>
      <c r="K168" s="4"/>
      <c r="L168" s="4"/>
      <c r="M168" s="4"/>
    </row>
    <row r="169" spans="1:22" ht="15.75" customHeight="1">
      <c r="A169" s="23"/>
      <c r="B169" s="15"/>
      <c r="C169" s="4"/>
      <c r="D169" s="4"/>
      <c r="E169" s="4"/>
      <c r="F169" s="4"/>
      <c r="G169" s="18"/>
      <c r="H169" s="4"/>
      <c r="I169" s="4"/>
      <c r="J169" s="4"/>
      <c r="K169" s="4"/>
      <c r="L169" s="4"/>
      <c r="M169" s="4"/>
    </row>
    <row r="170" spans="1:22" ht="15.75" customHeight="1">
      <c r="A170" s="23"/>
      <c r="B170" s="15"/>
      <c r="C170" s="4"/>
      <c r="D170" s="4"/>
      <c r="E170" s="4"/>
      <c r="F170" s="4"/>
      <c r="G170" s="18"/>
      <c r="H170" s="4"/>
      <c r="I170" s="4"/>
      <c r="J170" s="4"/>
      <c r="K170" s="4"/>
      <c r="L170" s="4"/>
      <c r="M170" s="4"/>
    </row>
    <row r="171" spans="1:22" ht="15.75" customHeight="1">
      <c r="A171" s="23"/>
      <c r="B171" s="15"/>
      <c r="C171" s="4"/>
      <c r="D171" s="4"/>
      <c r="E171" s="4"/>
      <c r="F171" s="4"/>
      <c r="G171" s="18"/>
      <c r="H171" s="4"/>
      <c r="I171" s="4"/>
      <c r="J171" s="4"/>
      <c r="K171" s="4"/>
      <c r="L171" s="4"/>
      <c r="M171" s="4"/>
    </row>
    <row r="172" spans="1:22" ht="15.75" customHeight="1">
      <c r="A172" s="23"/>
      <c r="B172" s="15"/>
      <c r="C172" s="4"/>
      <c r="D172" s="4"/>
      <c r="E172" s="4"/>
      <c r="F172" s="4"/>
      <c r="G172" s="1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2" ht="15.75" customHeight="1">
      <c r="A173" s="23"/>
      <c r="B173" s="15"/>
      <c r="C173" s="4"/>
      <c r="D173" s="4"/>
      <c r="E173" s="4"/>
      <c r="F173" s="4"/>
      <c r="G173" s="1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.75" customHeight="1">
      <c r="A174" s="23"/>
      <c r="B174" s="15"/>
      <c r="C174" s="4"/>
      <c r="D174" s="4"/>
      <c r="E174" s="4"/>
      <c r="F174" s="4"/>
      <c r="G174" s="1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.75" customHeight="1">
      <c r="A175" s="23"/>
      <c r="B175" s="15"/>
      <c r="C175" s="4"/>
      <c r="D175" s="4"/>
      <c r="E175" s="4"/>
      <c r="F175" s="4"/>
      <c r="G175" s="1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.75" customHeight="1">
      <c r="A176" s="23"/>
      <c r="B176" s="15"/>
      <c r="C176" s="4"/>
      <c r="D176" s="4"/>
      <c r="E176" s="4"/>
      <c r="F176" s="4"/>
      <c r="G176" s="1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8" ht="15.75" customHeight="1">
      <c r="A177" s="23"/>
      <c r="B177" s="15"/>
      <c r="C177" s="4"/>
      <c r="D177" s="4"/>
      <c r="E177" s="4"/>
      <c r="F177" s="4"/>
      <c r="G177" s="1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8" ht="15.75" customHeight="1">
      <c r="A178" s="23"/>
      <c r="B178" s="15"/>
      <c r="C178" s="4"/>
      <c r="D178" s="4"/>
      <c r="E178" s="4"/>
      <c r="F178" s="4"/>
      <c r="G178" s="1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8" ht="15.75" customHeight="1">
      <c r="A179" s="23"/>
      <c r="B179" s="15"/>
      <c r="C179" s="4"/>
      <c r="D179" s="4"/>
      <c r="E179" s="4"/>
      <c r="F179" s="4"/>
      <c r="G179" s="1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>
      <c r="A180" s="23"/>
      <c r="B180" s="15"/>
      <c r="C180" s="4"/>
      <c r="D180" s="4"/>
      <c r="E180" s="4"/>
      <c r="F180" s="4"/>
      <c r="G180" s="1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>
      <c r="A181" s="23"/>
      <c r="B181" s="15"/>
      <c r="C181" s="4"/>
      <c r="D181" s="4"/>
      <c r="E181" s="4"/>
      <c r="F181" s="4"/>
      <c r="G181" s="1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>
      <c r="A182" s="23"/>
      <c r="B182" s="15"/>
      <c r="C182" s="4"/>
      <c r="D182" s="4"/>
      <c r="E182" s="4"/>
      <c r="F182" s="4"/>
      <c r="G182" s="1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>
      <c r="A183" s="23"/>
      <c r="B183" s="15"/>
      <c r="C183" s="4"/>
      <c r="D183" s="4"/>
      <c r="E183" s="4"/>
      <c r="F183" s="4"/>
      <c r="G183" s="1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>
      <c r="A184" s="23"/>
      <c r="B184" s="15"/>
      <c r="C184" s="4"/>
      <c r="D184" s="4"/>
      <c r="E184" s="4"/>
      <c r="F184" s="4"/>
      <c r="G184" s="1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>
      <c r="A185" s="23"/>
      <c r="B185" s="15"/>
      <c r="C185" s="4"/>
      <c r="D185" s="4"/>
      <c r="E185" s="4"/>
      <c r="F185" s="4"/>
      <c r="G185" s="1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>
      <c r="A186" s="23"/>
      <c r="B186" s="15"/>
      <c r="C186" s="4"/>
      <c r="D186" s="4"/>
      <c r="E186" s="4"/>
      <c r="F186" s="4"/>
      <c r="G186" s="1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8" ht="15.75" customHeight="1">
      <c r="A187" s="23"/>
      <c r="B187" s="15"/>
      <c r="C187" s="4"/>
      <c r="D187" s="4"/>
      <c r="E187" s="4"/>
      <c r="F187" s="4"/>
      <c r="G187" s="18"/>
      <c r="H187" s="4"/>
      <c r="I187" s="4"/>
      <c r="J187" s="4"/>
      <c r="K187" s="4"/>
    </row>
    <row r="188" spans="1:28" ht="15.75" customHeight="1">
      <c r="A188" s="23"/>
      <c r="B188" s="15"/>
      <c r="C188" s="4"/>
      <c r="D188" s="4"/>
      <c r="E188" s="4"/>
      <c r="F188" s="4"/>
      <c r="G188" s="18"/>
      <c r="H188" s="4"/>
      <c r="I188" s="4"/>
      <c r="J188" s="4"/>
      <c r="K188" s="4"/>
    </row>
    <row r="189" spans="1:28" ht="15.75" customHeight="1">
      <c r="A189" s="23"/>
      <c r="B189" s="15"/>
      <c r="C189" s="4"/>
      <c r="D189" s="4"/>
      <c r="E189" s="4"/>
      <c r="F189" s="4"/>
      <c r="G189" s="18"/>
      <c r="H189" s="4"/>
      <c r="I189" s="4"/>
      <c r="J189" s="4"/>
      <c r="K189" s="4"/>
    </row>
    <row r="190" spans="1:28" ht="15.75" customHeight="1">
      <c r="A190" s="23"/>
      <c r="B190" s="15"/>
      <c r="C190" s="4"/>
      <c r="D190" s="4"/>
      <c r="E190" s="4"/>
      <c r="F190" s="4"/>
      <c r="G190" s="18"/>
      <c r="H190" s="4"/>
      <c r="I190" s="4"/>
      <c r="J190" s="4"/>
      <c r="K190" s="4"/>
    </row>
    <row r="191" spans="1:28" ht="15.75" customHeight="1">
      <c r="A191" s="23"/>
      <c r="B191" s="15"/>
      <c r="C191" s="4"/>
      <c r="D191" s="4"/>
      <c r="E191" s="4"/>
      <c r="F191" s="4"/>
      <c r="G191" s="18"/>
      <c r="H191" s="4"/>
      <c r="I191" s="4"/>
      <c r="J191" s="4"/>
      <c r="K191" s="4"/>
    </row>
    <row r="192" spans="1:28" ht="15.75" customHeight="1">
      <c r="A192" s="23"/>
      <c r="B192" s="15"/>
      <c r="C192" s="4"/>
      <c r="D192" s="4"/>
      <c r="E192" s="4"/>
      <c r="F192" s="4"/>
      <c r="G192" s="18"/>
      <c r="H192" s="4"/>
      <c r="I192" s="4"/>
      <c r="J192" s="4"/>
      <c r="K192" s="4"/>
    </row>
    <row r="193" spans="1:19" ht="15.75" customHeight="1">
      <c r="A193" s="23"/>
      <c r="B193" s="15"/>
      <c r="C193" s="4"/>
      <c r="D193" s="4"/>
      <c r="E193" s="4"/>
      <c r="F193" s="4"/>
      <c r="G193" s="18"/>
      <c r="H193" s="4"/>
      <c r="I193" s="4"/>
      <c r="J193" s="4"/>
      <c r="K193" s="4"/>
    </row>
    <row r="194" spans="1:19" ht="15.75" customHeight="1">
      <c r="A194" s="23"/>
      <c r="B194" s="15"/>
      <c r="C194" s="4"/>
      <c r="D194" s="4"/>
      <c r="E194" s="4"/>
      <c r="F194" s="4"/>
      <c r="G194" s="18"/>
      <c r="H194" s="4"/>
      <c r="I194" s="4"/>
      <c r="J194" s="4"/>
      <c r="K194" s="4"/>
    </row>
    <row r="195" spans="1:19" ht="15.75" customHeight="1">
      <c r="A195" s="23"/>
      <c r="B195" s="15"/>
      <c r="C195" s="4"/>
      <c r="D195" s="4"/>
      <c r="E195" s="4"/>
      <c r="F195" s="4"/>
      <c r="G195" s="18"/>
      <c r="H195" s="4"/>
      <c r="I195" s="4"/>
      <c r="J195" s="4"/>
      <c r="K195" s="4"/>
    </row>
    <row r="196" spans="1:19" ht="15.75" customHeight="1">
      <c r="A196" s="23"/>
      <c r="B196" s="15"/>
      <c r="C196" s="4"/>
      <c r="D196" s="4"/>
      <c r="E196" s="4"/>
      <c r="F196" s="4"/>
      <c r="G196" s="18"/>
      <c r="H196" s="4"/>
      <c r="I196" s="4"/>
      <c r="J196" s="4"/>
      <c r="K196" s="4"/>
    </row>
    <row r="197" spans="1:19" ht="15.75" customHeight="1">
      <c r="A197" s="23"/>
      <c r="B197" s="15"/>
      <c r="C197" s="4"/>
      <c r="D197" s="4"/>
      <c r="E197" s="4"/>
      <c r="F197" s="4"/>
      <c r="G197" s="1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9" ht="15.75" customHeight="1">
      <c r="A198" s="21"/>
      <c r="B198" s="14"/>
      <c r="C198" s="4"/>
      <c r="D198" s="4"/>
      <c r="E198" s="4"/>
      <c r="F198" s="4"/>
      <c r="G198" s="1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 ht="15.75" customHeight="1">
      <c r="A199" s="21"/>
      <c r="B199" s="14"/>
      <c r="C199" s="4"/>
      <c r="D199" s="4"/>
      <c r="E199" s="4"/>
      <c r="F199" s="4"/>
      <c r="G199" s="1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 ht="15.75" customHeight="1">
      <c r="A200" s="21"/>
      <c r="B200" s="14"/>
      <c r="C200" s="4"/>
      <c r="D200" s="4"/>
      <c r="E200" s="4"/>
      <c r="F200" s="4"/>
      <c r="G200" s="1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 ht="15.75" customHeight="1">
      <c r="A201" s="21"/>
      <c r="B201" s="14"/>
      <c r="C201" s="4"/>
      <c r="D201" s="4"/>
      <c r="E201" s="4"/>
      <c r="F201" s="4"/>
      <c r="G201" s="1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 ht="15.75" customHeight="1">
      <c r="A202" s="13"/>
      <c r="B202" s="14"/>
      <c r="C202" s="4"/>
      <c r="D202" s="4"/>
      <c r="E202" s="4"/>
      <c r="F202" s="4"/>
      <c r="G202" s="1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9" ht="15.75" customHeight="1">
      <c r="A203" s="13"/>
      <c r="B203" s="14"/>
    </row>
    <row r="204" spans="1:19" ht="15.75" customHeight="1">
      <c r="A204" s="13"/>
      <c r="B204" s="14"/>
    </row>
    <row r="205" spans="1:19" ht="15.75" customHeight="1">
      <c r="A205" s="13"/>
      <c r="B205" s="14"/>
    </row>
    <row r="206" spans="1:19" ht="15.75" customHeight="1">
      <c r="A206" s="13"/>
      <c r="B206" s="14"/>
    </row>
    <row r="207" spans="1:19" ht="15.75" customHeight="1">
      <c r="A207" s="13"/>
      <c r="B207" s="14"/>
    </row>
    <row r="208" spans="1:19" ht="15.75" customHeight="1">
      <c r="A208" s="13"/>
      <c r="B208" s="14"/>
    </row>
    <row r="209" spans="1:2" ht="15.75" customHeight="1">
      <c r="A209" s="13"/>
      <c r="B209" s="14"/>
    </row>
    <row r="210" spans="1:2" ht="15.75" customHeight="1">
      <c r="A210" s="13"/>
      <c r="B210" s="14"/>
    </row>
    <row r="211" spans="1:2" ht="15.75" customHeight="1">
      <c r="A211" s="13"/>
      <c r="B211" s="14"/>
    </row>
    <row r="212" spans="1:2" ht="15.75" customHeight="1">
      <c r="A212" s="13"/>
      <c r="B212" s="14"/>
    </row>
    <row r="213" spans="1:2" ht="15.75" customHeight="1">
      <c r="A213" s="13"/>
      <c r="B213" s="15"/>
    </row>
    <row r="214" spans="1:2" ht="15.75" customHeight="1">
      <c r="A214" s="13"/>
      <c r="B214" s="15"/>
    </row>
    <row r="215" spans="1:2" ht="15.75" customHeight="1">
      <c r="A215" s="13"/>
      <c r="B215" s="15"/>
    </row>
    <row r="216" spans="1:2" ht="15.75" customHeight="1">
      <c r="A216" s="13"/>
      <c r="B216" s="15"/>
    </row>
    <row r="217" spans="1:2" ht="15.75" customHeight="1">
      <c r="A217" s="13"/>
      <c r="B217" s="15"/>
    </row>
    <row r="218" spans="1:2" ht="15.75" customHeight="1">
      <c r="A218" s="13"/>
      <c r="B218" s="15"/>
    </row>
    <row r="219" spans="1:2" ht="15.75" customHeight="1">
      <c r="A219" s="13"/>
      <c r="B219" s="15"/>
    </row>
    <row r="220" spans="1:2" ht="15.75" customHeight="1">
      <c r="A220" s="13"/>
      <c r="B220" s="15"/>
    </row>
    <row r="221" spans="1:2" ht="15.75" customHeight="1">
      <c r="A221" s="13"/>
      <c r="B221" s="15"/>
    </row>
    <row r="222" spans="1:2" ht="15.75" customHeight="1">
      <c r="A222" s="13"/>
      <c r="B222" s="15"/>
    </row>
    <row r="223" spans="1:2" ht="15.75" customHeight="1">
      <c r="A223" s="13"/>
      <c r="B223" s="15"/>
    </row>
    <row r="224" spans="1:2" ht="15.75" customHeight="1">
      <c r="A224" s="13"/>
      <c r="B224" s="15"/>
    </row>
    <row r="225" spans="1:19" ht="15.75" customHeight="1">
      <c r="A225" s="13"/>
      <c r="B225" s="15"/>
      <c r="C225" s="4"/>
      <c r="D225" s="4"/>
      <c r="E225" s="4"/>
      <c r="F225" s="4"/>
      <c r="G225" s="1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9" ht="15.75" customHeight="1">
      <c r="A226" s="23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4"/>
    </row>
    <row r="227" spans="1:19" ht="15.75" customHeight="1">
      <c r="A227" s="23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4"/>
    </row>
    <row r="228" spans="1:19" ht="15.75" customHeight="1">
      <c r="A228" s="23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4"/>
    </row>
    <row r="229" spans="1:19" ht="15.75" customHeight="1">
      <c r="A229" s="23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4"/>
    </row>
    <row r="230" spans="1:19" ht="15.75" customHeight="1">
      <c r="A230" s="23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4"/>
    </row>
    <row r="231" spans="1:19" ht="15.75" customHeight="1">
      <c r="A231" s="23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4"/>
    </row>
    <row r="232" spans="1:19" ht="15.75" customHeight="1">
      <c r="A232" s="23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4"/>
    </row>
    <row r="233" spans="1:19" ht="15.75" customHeight="1">
      <c r="A233" s="23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4"/>
    </row>
    <row r="234" spans="1:19" ht="15.75" customHeight="1">
      <c r="A234" s="23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4"/>
    </row>
    <row r="235" spans="1:19" ht="15.75" customHeight="1">
      <c r="A235" s="23"/>
      <c r="B235" s="15"/>
      <c r="C235" s="4"/>
      <c r="D235" s="4"/>
      <c r="E235" s="4"/>
      <c r="F235" s="4"/>
      <c r="G235" s="1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ht="15.75" customHeight="1">
      <c r="A236" s="23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4"/>
    </row>
    <row r="237" spans="1:19" ht="15.75" customHeight="1">
      <c r="A237" s="23"/>
      <c r="B237" s="15"/>
      <c r="C237" s="4"/>
      <c r="D237" s="4"/>
      <c r="E237" s="4"/>
      <c r="F237" s="4"/>
      <c r="G237" s="1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9" ht="15.75" customHeight="1">
      <c r="A238" s="23"/>
      <c r="B238" s="15"/>
      <c r="C238" s="4"/>
      <c r="D238" s="4"/>
      <c r="E238" s="4"/>
      <c r="F238" s="4"/>
      <c r="G238" s="18"/>
      <c r="H238" s="4"/>
      <c r="I238" s="4"/>
      <c r="J238" s="4"/>
      <c r="K238" s="4"/>
      <c r="L238" s="4"/>
      <c r="M238" s="4"/>
    </row>
    <row r="239" spans="1:19" ht="15.75" customHeight="1">
      <c r="A239" s="13"/>
      <c r="B239" s="14"/>
      <c r="C239" s="4"/>
      <c r="D239" s="4"/>
      <c r="E239" s="4"/>
      <c r="F239" s="4"/>
      <c r="G239" s="18"/>
      <c r="H239" s="4"/>
      <c r="I239" s="4"/>
      <c r="J239" s="4"/>
      <c r="K239" s="4"/>
      <c r="L239" s="4"/>
      <c r="M239" s="4"/>
      <c r="N239" s="4"/>
    </row>
    <row r="240" spans="1:19" ht="15.75" customHeight="1">
      <c r="A240" s="13"/>
      <c r="B240" s="14"/>
      <c r="C240" s="4"/>
      <c r="D240" s="4"/>
      <c r="E240" s="4"/>
      <c r="F240" s="4"/>
      <c r="G240" s="18"/>
      <c r="H240" s="4"/>
      <c r="I240" s="4"/>
      <c r="J240" s="4"/>
      <c r="K240" s="4"/>
      <c r="L240" s="4"/>
      <c r="M240" s="4"/>
      <c r="N240" s="4"/>
    </row>
    <row r="241" spans="1:14" ht="15.75" customHeight="1">
      <c r="A241" s="13"/>
      <c r="B241" s="14"/>
      <c r="C241" s="4"/>
      <c r="D241" s="4"/>
      <c r="E241" s="4"/>
      <c r="F241" s="4"/>
      <c r="G241" s="18"/>
      <c r="H241" s="4"/>
      <c r="I241" s="4"/>
      <c r="J241" s="4"/>
      <c r="K241" s="4"/>
      <c r="L241" s="4"/>
      <c r="M241" s="4"/>
      <c r="N241" s="4"/>
    </row>
    <row r="242" spans="1:14" ht="15.75" customHeight="1">
      <c r="A242" s="13"/>
      <c r="B242" s="14"/>
      <c r="C242" s="4"/>
      <c r="D242" s="4"/>
      <c r="E242" s="4"/>
      <c r="F242" s="4"/>
      <c r="G242" s="18"/>
      <c r="H242" s="4"/>
      <c r="I242" s="4"/>
      <c r="J242" s="4"/>
      <c r="K242" s="4"/>
      <c r="L242" s="4"/>
      <c r="M242" s="4"/>
      <c r="N242" s="4"/>
    </row>
    <row r="243" spans="1:14" ht="15.75" customHeight="1">
      <c r="A243" s="13"/>
      <c r="B243" s="14"/>
      <c r="C243" s="4"/>
      <c r="D243" s="4"/>
      <c r="E243" s="4"/>
      <c r="F243" s="4"/>
      <c r="G243" s="18"/>
      <c r="H243" s="4"/>
      <c r="I243" s="4"/>
      <c r="J243" s="4"/>
      <c r="K243" s="4"/>
      <c r="L243" s="4"/>
      <c r="M243" s="4"/>
      <c r="N243" s="4"/>
    </row>
    <row r="244" spans="1:14" ht="15.75" customHeight="1">
      <c r="A244" s="13"/>
      <c r="B244" s="14"/>
      <c r="C244" s="4"/>
      <c r="D244" s="4"/>
      <c r="E244" s="4"/>
      <c r="F244" s="4"/>
      <c r="G244" s="18"/>
      <c r="H244" s="4"/>
      <c r="I244" s="4"/>
      <c r="J244" s="4"/>
      <c r="K244" s="4"/>
      <c r="L244" s="4"/>
      <c r="M244" s="4"/>
    </row>
    <row r="245" spans="1:14" ht="15.75" customHeight="1">
      <c r="A245" s="13"/>
      <c r="B245" s="14"/>
    </row>
    <row r="246" spans="1:14" ht="15.75" customHeight="1">
      <c r="A246" s="13"/>
      <c r="B246" s="14"/>
    </row>
    <row r="247" spans="1:14" ht="15.75" customHeight="1">
      <c r="A247" s="13"/>
      <c r="B247" s="14"/>
    </row>
    <row r="248" spans="1:14" ht="15.75" customHeight="1">
      <c r="A248" s="13"/>
      <c r="B248" s="14"/>
    </row>
    <row r="249" spans="1:14" ht="15.75" customHeight="1">
      <c r="A249" s="13"/>
      <c r="B249" s="14"/>
    </row>
    <row r="250" spans="1:14" ht="15.75" customHeight="1">
      <c r="A250" s="13"/>
      <c r="B250" s="14"/>
    </row>
    <row r="251" spans="1:14" ht="15.75" customHeight="1">
      <c r="A251" s="13"/>
      <c r="B251" s="14"/>
    </row>
    <row r="252" spans="1:14" ht="15.75" customHeight="1">
      <c r="A252" s="13"/>
      <c r="B252" s="14"/>
    </row>
    <row r="253" spans="1:14" ht="15.75" customHeight="1">
      <c r="A253" s="13"/>
      <c r="B253" s="14"/>
    </row>
    <row r="254" spans="1:14" ht="15.75" customHeight="1">
      <c r="A254" s="13"/>
      <c r="B254" s="14"/>
    </row>
    <row r="255" spans="1:14" ht="15.75" customHeight="1">
      <c r="A255" s="13"/>
      <c r="B255" s="14"/>
    </row>
    <row r="256" spans="1:14" ht="15.75" customHeight="1">
      <c r="A256" s="13"/>
      <c r="B256" s="14"/>
    </row>
    <row r="257" spans="1:2" ht="15.75" customHeight="1">
      <c r="A257" s="13"/>
      <c r="B257" s="14"/>
    </row>
    <row r="258" spans="1:2" ht="15.75" customHeight="1">
      <c r="A258" s="13"/>
      <c r="B258" s="14"/>
    </row>
    <row r="259" spans="1:2" ht="15.75" customHeight="1"/>
    <row r="260" spans="1:2" ht="15.75" customHeight="1"/>
    <row r="261" spans="1:2" ht="15.75" customHeight="1"/>
    <row r="262" spans="1:2" ht="15.75" customHeight="1"/>
    <row r="263" spans="1:2" ht="15.75" customHeight="1"/>
    <row r="264" spans="1:2" ht="15.75" customHeight="1"/>
    <row r="265" spans="1:2" ht="15.75" customHeight="1"/>
    <row r="266" spans="1:2" ht="15.75" customHeight="1"/>
    <row r="267" spans="1:2" ht="15.75" customHeight="1"/>
    <row r="268" spans="1:2" ht="15.75" customHeight="1"/>
    <row r="269" spans="1:2" ht="15.75" customHeight="1"/>
    <row r="270" spans="1:2" ht="15.75" customHeight="1"/>
    <row r="271" spans="1:2" ht="15.75" customHeight="1"/>
    <row r="272" spans="1: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907"/>
  <sheetViews>
    <sheetView workbookViewId="0">
      <selection activeCell="P12" sqref="P12"/>
    </sheetView>
  </sheetViews>
  <sheetFormatPr defaultColWidth="12.5546875" defaultRowHeight="15" customHeight="1"/>
  <cols>
    <col min="1" max="1" width="8.6640625" customWidth="1"/>
    <col min="2" max="2" width="8.88671875" customWidth="1"/>
    <col min="3" max="3" width="10" customWidth="1"/>
    <col min="4" max="47" width="9.109375" customWidth="1"/>
    <col min="48" max="50" width="8.5546875" customWidth="1"/>
  </cols>
  <sheetData>
    <row r="1" spans="1:50" ht="14.4">
      <c r="A1" s="105" t="s">
        <v>9</v>
      </c>
      <c r="B1" s="106" t="s">
        <v>10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0"/>
      <c r="AU1" s="4"/>
      <c r="AV1" s="4"/>
      <c r="AW1" s="4"/>
      <c r="AX1" s="4"/>
    </row>
    <row r="2" spans="1:50" ht="14.4">
      <c r="A2" s="93">
        <v>1</v>
      </c>
      <c r="B2" s="94">
        <v>1</v>
      </c>
      <c r="C2" s="131">
        <f>6.283*Angular_frequency!C2</f>
        <v>6.2830000000000011E-2</v>
      </c>
      <c r="D2" s="131">
        <f>6.283*Angular_frequency!D2</f>
        <v>0.10052800000000001</v>
      </c>
      <c r="E2" s="131">
        <f>6.283*Angular_frequency!E2</f>
        <v>0.16964100000000001</v>
      </c>
      <c r="F2" s="131">
        <f>6.283*Angular_frequency!F2</f>
        <v>0.27016899999999999</v>
      </c>
      <c r="G2" s="131">
        <f>6.283*Angular_frequency!G2</f>
        <v>0.43352700000000005</v>
      </c>
      <c r="H2" s="131">
        <f>6.283*Angular_frequency!H2</f>
        <v>0.70997900000000003</v>
      </c>
      <c r="I2" s="131">
        <f>6.283*Angular_frequency!I2</f>
        <v>1.1497889999999999</v>
      </c>
      <c r="J2" s="131">
        <f>6.283*Angular_frequency!J2</f>
        <v>1.853485</v>
      </c>
      <c r="K2" s="131">
        <f>6.283*Angular_frequency!K2</f>
        <v>3.0221230000000001</v>
      </c>
      <c r="L2" s="131">
        <f>6.283*Angular_frequency!L2</f>
        <v>4.9133060000000004</v>
      </c>
      <c r="M2" s="131">
        <f>6.283*Angular_frequency!M2</f>
        <v>7.9228629999999995</v>
      </c>
      <c r="N2" s="131">
        <f>6.283*Angular_frequency!N2</f>
        <v>12.892716000000002</v>
      </c>
      <c r="O2" s="131">
        <f>6.283*Angular_frequency!O2</f>
        <v>21.186275999999999</v>
      </c>
      <c r="P2" s="131">
        <f>6.283*Angular_frequency!P2</f>
        <v>33.815106</v>
      </c>
      <c r="Q2" s="131">
        <f>6.283*Angular_frequency!Q2</f>
        <v>55.032797000000002</v>
      </c>
      <c r="R2" s="131">
        <f>6.283*Angular_frequency!R2</f>
        <v>91.329688000000004</v>
      </c>
      <c r="S2" s="131">
        <f>6.283*Angular_frequency!S2</f>
        <v>148.63064800000001</v>
      </c>
      <c r="T2" s="131">
        <f>6.283*Angular_frequency!T2</f>
        <v>244.25790799999999</v>
      </c>
      <c r="U2" s="131">
        <f>6.283*Angular_frequency!U2</f>
        <v>401.40202100000005</v>
      </c>
      <c r="V2" s="132">
        <f>6.283*Angular_frequency!V2</f>
        <v>628.30000000000007</v>
      </c>
      <c r="W2" s="113"/>
      <c r="X2" s="16"/>
      <c r="Y2" s="16"/>
      <c r="Z2" s="16"/>
      <c r="AA2" s="16"/>
      <c r="AB2" s="16"/>
      <c r="AC2" s="16"/>
      <c r="AD2" s="16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</row>
    <row r="3" spans="1:50" ht="14.4">
      <c r="A3" s="92">
        <v>1</v>
      </c>
      <c r="B3" s="97">
        <v>2</v>
      </c>
      <c r="C3" s="133">
        <f>6.283*Angular_frequency!C3</f>
        <v>3.1415000000000005E-2</v>
      </c>
      <c r="D3" s="133">
        <f>6.283*Angular_frequency!D3</f>
        <v>5.0264000000000003E-2</v>
      </c>
      <c r="E3" s="133">
        <f>6.283*Angular_frequency!E3</f>
        <v>8.7962000000000012E-2</v>
      </c>
      <c r="F3" s="133">
        <f>6.283*Angular_frequency!F3</f>
        <v>0.144509</v>
      </c>
      <c r="G3" s="133">
        <f>6.283*Angular_frequency!G3</f>
        <v>0.25132000000000004</v>
      </c>
      <c r="H3" s="133">
        <f>6.283*Angular_frequency!H3</f>
        <v>0.42724400000000007</v>
      </c>
      <c r="I3" s="133">
        <f>6.283*Angular_frequency!I3</f>
        <v>0.7225450000000001</v>
      </c>
      <c r="J3" s="133">
        <f>6.283*Angular_frequency!J3</f>
        <v>1.2189020000000002</v>
      </c>
      <c r="K3" s="133">
        <f>6.283*Angular_frequency!K3</f>
        <v>2.0042770000000001</v>
      </c>
      <c r="L3" s="133">
        <f>6.283*Angular_frequency!L3</f>
        <v>3.4619330000000006</v>
      </c>
      <c r="M3" s="133">
        <f>6.283*Angular_frequency!M3</f>
        <v>5.8557560000000004</v>
      </c>
      <c r="N3" s="133">
        <f>6.283*Angular_frequency!N3</f>
        <v>9.8140460000000012</v>
      </c>
      <c r="O3" s="133">
        <f>6.283*Angular_frequency!O3</f>
        <v>16.285536</v>
      </c>
      <c r="P3" s="133">
        <f>6.283*Angular_frequency!P3</f>
        <v>26.76558</v>
      </c>
      <c r="Q3" s="133">
        <f>6.283*Angular_frequency!Q3</f>
        <v>46.186333000000005</v>
      </c>
      <c r="R3" s="133">
        <f>6.283*Angular_frequency!R3</f>
        <v>78.914480000000012</v>
      </c>
      <c r="S3" s="133">
        <f>6.283*Angular_frequency!S3</f>
        <v>132.23830100000001</v>
      </c>
      <c r="T3" s="133">
        <f>6.283*Angular_frequency!T3</f>
        <v>219.44005800000002</v>
      </c>
      <c r="U3" s="133">
        <f>6.283*Angular_frequency!U3</f>
        <v>374.94430800000004</v>
      </c>
      <c r="V3" s="134">
        <f>6.283*Angular_frequency!V3</f>
        <v>628.30000000000007</v>
      </c>
      <c r="W3" s="113"/>
      <c r="X3" s="16"/>
      <c r="Y3" s="16"/>
      <c r="Z3" s="16"/>
      <c r="AA3" s="16"/>
      <c r="AB3" s="16"/>
      <c r="AC3" s="16"/>
      <c r="AD3" s="16"/>
    </row>
    <row r="4" spans="1:50" ht="14.4">
      <c r="A4" s="92">
        <v>1</v>
      </c>
      <c r="B4" s="97">
        <v>3</v>
      </c>
      <c r="C4" s="133">
        <f>6.283*Angular_frequency!C4</f>
        <v>3.1415000000000005E-2</v>
      </c>
      <c r="D4" s="133">
        <f>6.283*Angular_frequency!D4</f>
        <v>5.0264000000000003E-2</v>
      </c>
      <c r="E4" s="133">
        <f>6.283*Angular_frequency!E4</f>
        <v>8.7962000000000012E-2</v>
      </c>
      <c r="F4" s="133">
        <f>6.283*Angular_frequency!F4</f>
        <v>0.144509</v>
      </c>
      <c r="G4" s="133">
        <f>6.283*Angular_frequency!G4</f>
        <v>0.25132000000000004</v>
      </c>
      <c r="H4" s="133">
        <f>6.283*Angular_frequency!H4</f>
        <v>0.42724400000000007</v>
      </c>
      <c r="I4" s="133">
        <f>6.283*Angular_frequency!I4</f>
        <v>0.7225450000000001</v>
      </c>
      <c r="J4" s="133">
        <f>6.283*Angular_frequency!J4</f>
        <v>1.2189020000000002</v>
      </c>
      <c r="K4" s="133">
        <f>6.283*Angular_frequency!K4</f>
        <v>2.0042770000000001</v>
      </c>
      <c r="L4" s="133">
        <f>6.283*Angular_frequency!L4</f>
        <v>3.4619330000000006</v>
      </c>
      <c r="M4" s="133">
        <f>6.283*Angular_frequency!M4</f>
        <v>5.8557560000000004</v>
      </c>
      <c r="N4" s="133">
        <f>6.283*Angular_frequency!N4</f>
        <v>9.8140460000000012</v>
      </c>
      <c r="O4" s="133">
        <f>6.283*Angular_frequency!O4</f>
        <v>16.285536</v>
      </c>
      <c r="P4" s="133">
        <f>6.283*Angular_frequency!P4</f>
        <v>26.76558</v>
      </c>
      <c r="Q4" s="133">
        <f>6.283*Angular_frequency!Q4</f>
        <v>46.186333000000005</v>
      </c>
      <c r="R4" s="133">
        <f>6.283*Angular_frequency!R4</f>
        <v>78.914480000000012</v>
      </c>
      <c r="S4" s="133">
        <f>6.283*Angular_frequency!S4</f>
        <v>132.23830100000001</v>
      </c>
      <c r="T4" s="133">
        <f>6.283*Angular_frequency!T4</f>
        <v>219.44005800000002</v>
      </c>
      <c r="U4" s="133">
        <f>6.283*Angular_frequency!U4</f>
        <v>374.94430800000004</v>
      </c>
      <c r="V4" s="134">
        <f>6.283*Angular_frequency!V4</f>
        <v>628.30000000000007</v>
      </c>
      <c r="W4" s="113"/>
      <c r="X4" s="16"/>
      <c r="Y4" s="16"/>
      <c r="Z4" s="16"/>
      <c r="AA4" s="16"/>
      <c r="AB4" s="16"/>
      <c r="AC4" s="16"/>
      <c r="AD4" s="16"/>
    </row>
    <row r="5" spans="1:50" ht="15.75" customHeight="1">
      <c r="A5" s="92">
        <v>1</v>
      </c>
      <c r="B5" s="97">
        <v>4</v>
      </c>
      <c r="C5" s="133">
        <f>6.283*Angular_frequency!C5</f>
        <v>6.2830000000000011E-2</v>
      </c>
      <c r="D5" s="133">
        <f>6.283*Angular_frequency!D5</f>
        <v>0.10052800000000001</v>
      </c>
      <c r="E5" s="133">
        <f>6.283*Angular_frequency!E5</f>
        <v>0.16964100000000001</v>
      </c>
      <c r="F5" s="133">
        <f>6.283*Angular_frequency!F5</f>
        <v>0.27016899999999999</v>
      </c>
      <c r="G5" s="133">
        <f>6.283*Angular_frequency!G5</f>
        <v>0.43352700000000005</v>
      </c>
      <c r="H5" s="133">
        <f>6.283*Angular_frequency!H5</f>
        <v>0.70997900000000003</v>
      </c>
      <c r="I5" s="133">
        <f>6.283*Angular_frequency!I5</f>
        <v>1.1497889999999999</v>
      </c>
      <c r="J5" s="133">
        <f>6.283*Angular_frequency!J5</f>
        <v>1.853485</v>
      </c>
      <c r="K5" s="133">
        <f>6.283*Angular_frequency!K5</f>
        <v>3.0221230000000001</v>
      </c>
      <c r="L5" s="133">
        <f>6.283*Angular_frequency!L5</f>
        <v>4.9133060000000004</v>
      </c>
      <c r="M5" s="133">
        <f>6.283*Angular_frequency!M5</f>
        <v>7.9228629999999995</v>
      </c>
      <c r="N5" s="133">
        <f>6.283*Angular_frequency!N5</f>
        <v>12.892716000000002</v>
      </c>
      <c r="O5" s="133">
        <f>6.283*Angular_frequency!O5</f>
        <v>21.186275999999999</v>
      </c>
      <c r="P5" s="133">
        <f>6.283*Angular_frequency!P5</f>
        <v>33.815106</v>
      </c>
      <c r="Q5" s="133">
        <f>6.283*Angular_frequency!Q5</f>
        <v>55.032797000000002</v>
      </c>
      <c r="R5" s="133">
        <f>6.283*Angular_frequency!R5</f>
        <v>91.329688000000004</v>
      </c>
      <c r="S5" s="133">
        <f>6.283*Angular_frequency!S5</f>
        <v>148.63064800000001</v>
      </c>
      <c r="T5" s="133">
        <f>6.283*Angular_frequency!T5</f>
        <v>244.25790799999999</v>
      </c>
      <c r="U5" s="133">
        <f>6.283*Angular_frequency!U5</f>
        <v>401.40202100000005</v>
      </c>
      <c r="V5" s="135">
        <f>6.283*Angular_frequency!V5</f>
        <v>628.30000000000007</v>
      </c>
      <c r="W5" s="136"/>
      <c r="X5" s="17"/>
      <c r="Y5" s="17"/>
      <c r="Z5" s="17"/>
      <c r="AA5" s="17"/>
      <c r="AB5" s="4"/>
    </row>
    <row r="6" spans="1:50" ht="15.75" customHeight="1">
      <c r="A6" s="139">
        <v>2</v>
      </c>
      <c r="B6" s="140">
        <v>1</v>
      </c>
      <c r="C6" s="151">
        <f>6.283*Angular_frequency!C6</f>
        <v>0.62201700000000004</v>
      </c>
      <c r="D6" s="151">
        <f>6.283*Angular_frequency!D6</f>
        <v>0.885903</v>
      </c>
      <c r="E6" s="151">
        <f>6.283*Angular_frequency!E6</f>
        <v>1.2126190000000001</v>
      </c>
      <c r="F6" s="151">
        <f>6.283*Angular_frequency!F6</f>
        <v>1.778089</v>
      </c>
      <c r="G6" s="151">
        <f>6.283*Angular_frequency!G6</f>
        <v>2.4943510000000004</v>
      </c>
      <c r="H6" s="151">
        <f>6.283*Angular_frequency!H6</f>
        <v>3.5561780000000001</v>
      </c>
      <c r="I6" s="151">
        <f>6.283*Angular_frequency!I6</f>
        <v>4.8504760000000005</v>
      </c>
      <c r="J6" s="151">
        <f>6.283*Angular_frequency!J6</f>
        <v>6.7982060000000004</v>
      </c>
      <c r="K6" s="151">
        <f>6.283*Angular_frequency!K6</f>
        <v>9.7951969999999999</v>
      </c>
      <c r="L6" s="151">
        <f>6.283*Angular_frequency!L6</f>
        <v>13.979675000000002</v>
      </c>
      <c r="M6" s="151">
        <f>6.283*Angular_frequency!M6</f>
        <v>19.778884000000001</v>
      </c>
      <c r="N6" s="151">
        <f>6.283*Angular_frequency!N6</f>
        <v>27.978199000000004</v>
      </c>
      <c r="O6" s="151">
        <f>6.283*Angular_frequency!O6</f>
        <v>38.854072000000002</v>
      </c>
      <c r="P6" s="151">
        <f>6.283*Angular_frequency!P6</f>
        <v>54.957401000000004</v>
      </c>
      <c r="Q6" s="151">
        <f>6.283*Angular_frequency!Q6</f>
        <v>78.449538000000004</v>
      </c>
      <c r="R6" s="151">
        <f>6.283*Angular_frequency!R6</f>
        <v>109.95878300000001</v>
      </c>
      <c r="S6" s="151">
        <f>6.283*Angular_frequency!S6</f>
        <v>156.961906</v>
      </c>
      <c r="T6" s="151">
        <f>6.283*Angular_frequency!T6</f>
        <v>219.99924500000003</v>
      </c>
      <c r="U6" s="152"/>
      <c r="V6" s="91"/>
      <c r="W6" s="4"/>
      <c r="X6" s="4"/>
      <c r="Y6" s="4"/>
      <c r="Z6" s="4"/>
      <c r="AA6" s="4"/>
      <c r="AB6" s="4"/>
    </row>
    <row r="7" spans="1:50" ht="15.75" customHeight="1">
      <c r="A7" s="93">
        <v>3</v>
      </c>
      <c r="B7" s="94">
        <v>1</v>
      </c>
      <c r="C7" s="150"/>
      <c r="D7" s="150"/>
      <c r="E7" s="150"/>
      <c r="F7" s="150"/>
      <c r="G7" s="150"/>
      <c r="H7" s="150"/>
      <c r="I7" s="150"/>
      <c r="J7" s="150"/>
      <c r="K7" s="136"/>
      <c r="L7" s="136"/>
      <c r="M7" s="136"/>
      <c r="N7" s="136"/>
      <c r="O7" s="136"/>
      <c r="P7" s="136"/>
      <c r="Q7" s="136"/>
      <c r="R7" s="136"/>
      <c r="S7" s="150"/>
      <c r="T7" s="150"/>
      <c r="U7" s="150"/>
      <c r="V7" s="36"/>
      <c r="W7" s="36"/>
      <c r="X7" s="36"/>
      <c r="Y7" s="36"/>
      <c r="Z7" s="36"/>
      <c r="AA7" s="4"/>
      <c r="AB7" s="4"/>
    </row>
    <row r="8" spans="1:50" ht="15.75" customHeight="1">
      <c r="A8" s="92">
        <v>3</v>
      </c>
      <c r="B8" s="97">
        <v>2</v>
      </c>
      <c r="C8" s="36"/>
      <c r="D8" s="36"/>
      <c r="E8" s="36"/>
      <c r="F8" s="36"/>
      <c r="G8" s="36"/>
      <c r="H8" s="36"/>
      <c r="I8" s="36"/>
      <c r="J8" s="17"/>
      <c r="K8" s="17"/>
      <c r="L8" s="17"/>
      <c r="M8" s="17"/>
      <c r="N8" s="17"/>
      <c r="O8" s="17"/>
      <c r="P8" s="17"/>
      <c r="Q8" s="17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50" ht="15.75" customHeight="1">
      <c r="A9" s="92">
        <v>3</v>
      </c>
      <c r="B9" s="97">
        <v>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"/>
      <c r="U9" s="4"/>
      <c r="V9" s="4"/>
      <c r="W9" s="4"/>
      <c r="X9" s="4"/>
      <c r="Y9" s="4"/>
      <c r="Z9" s="4"/>
      <c r="AA9" s="4"/>
      <c r="AB9" s="4"/>
    </row>
    <row r="10" spans="1:50" ht="15.75" customHeight="1">
      <c r="A10" s="92">
        <v>3</v>
      </c>
      <c r="B10" s="97">
        <v>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50" ht="15.75" customHeight="1">
      <c r="A11" s="92">
        <v>3</v>
      </c>
      <c r="B11" s="97">
        <v>1</v>
      </c>
      <c r="C11" s="36"/>
      <c r="D11" s="36"/>
      <c r="E11" s="36"/>
      <c r="F11" s="17"/>
      <c r="G11" s="17"/>
      <c r="H11" s="17"/>
      <c r="I11" s="17"/>
      <c r="J11" s="17"/>
      <c r="K11" s="17"/>
      <c r="L11" s="17"/>
      <c r="M11" s="1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50" ht="15.75" customHeight="1">
      <c r="A12" s="92">
        <v>3</v>
      </c>
      <c r="B12" s="97">
        <v>2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50" ht="15.75" customHeight="1">
      <c r="A13" s="92">
        <v>3</v>
      </c>
      <c r="B13" s="97">
        <v>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50" ht="15.75" customHeight="1">
      <c r="A14" s="103">
        <v>3</v>
      </c>
      <c r="B14" s="104">
        <v>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50" ht="15.75" customHeight="1">
      <c r="A15" s="139">
        <v>4</v>
      </c>
      <c r="B15" s="140">
        <v>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50" s="107" customFormat="1" ht="15.75" customHeight="1">
      <c r="A16" s="93">
        <v>5</v>
      </c>
      <c r="B16" s="94">
        <v>1</v>
      </c>
      <c r="C16" s="95">
        <v>1.754</v>
      </c>
      <c r="D16" s="95">
        <v>2.5110000000000001</v>
      </c>
      <c r="E16" s="95">
        <v>4.0199999999999996</v>
      </c>
      <c r="F16" s="95">
        <v>6.0010000000000003</v>
      </c>
      <c r="G16" s="95">
        <v>9.0839999999999996</v>
      </c>
      <c r="H16" s="95">
        <v>14.144</v>
      </c>
      <c r="I16" s="95">
        <v>20.097999999999999</v>
      </c>
      <c r="J16" s="95">
        <v>24.99</v>
      </c>
      <c r="K16" s="95">
        <v>40.015999999999998</v>
      </c>
      <c r="L16" s="95">
        <v>60.576000000000001</v>
      </c>
      <c r="M16" s="141">
        <v>79.674999999999997</v>
      </c>
      <c r="N16" s="141">
        <v>110.08</v>
      </c>
      <c r="O16" s="141">
        <v>149.96600000000001</v>
      </c>
      <c r="P16" s="141">
        <v>270.61399999999998</v>
      </c>
      <c r="Q16" s="141">
        <v>379.17599999999999</v>
      </c>
      <c r="R16" s="141">
        <v>590.34900000000005</v>
      </c>
      <c r="S16" s="141">
        <v>875.01300000000003</v>
      </c>
      <c r="T16" s="141">
        <v>1200.4639999999999</v>
      </c>
      <c r="U16" s="141">
        <v>2005.1010000000001</v>
      </c>
      <c r="V16" s="142">
        <v>3800.6480000000001</v>
      </c>
      <c r="W16" s="18"/>
      <c r="X16" s="18"/>
      <c r="Y16" s="18"/>
      <c r="Z16" s="18"/>
      <c r="AA16" s="18"/>
      <c r="AB16" s="18"/>
    </row>
    <row r="17" spans="1:28" ht="15.75" customHeight="1">
      <c r="A17" s="93">
        <v>6</v>
      </c>
      <c r="B17" s="187">
        <v>1</v>
      </c>
      <c r="C17" s="95">
        <v>1.6</v>
      </c>
      <c r="D17" s="95">
        <v>2.5</v>
      </c>
      <c r="E17" s="95">
        <v>4</v>
      </c>
      <c r="F17" s="95">
        <v>6.2750000000000004</v>
      </c>
      <c r="G17" s="95">
        <v>10</v>
      </c>
      <c r="H17" s="95">
        <v>15.5</v>
      </c>
      <c r="I17" s="95">
        <v>25</v>
      </c>
      <c r="J17" s="95">
        <v>40</v>
      </c>
      <c r="K17" s="95">
        <v>62</v>
      </c>
      <c r="L17" s="115">
        <v>100</v>
      </c>
      <c r="M17" s="150"/>
      <c r="N17" s="3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>
      <c r="A18" s="92">
        <v>6</v>
      </c>
      <c r="B18" s="188">
        <v>2</v>
      </c>
      <c r="C18" s="96">
        <v>1.6</v>
      </c>
      <c r="D18" s="96">
        <v>2.5</v>
      </c>
      <c r="E18" s="96">
        <v>4</v>
      </c>
      <c r="F18" s="96">
        <v>6.2750000000000004</v>
      </c>
      <c r="G18" s="96">
        <v>10</v>
      </c>
      <c r="H18" s="96">
        <v>15.5</v>
      </c>
      <c r="I18" s="96">
        <v>25</v>
      </c>
      <c r="J18" s="96">
        <v>40</v>
      </c>
      <c r="K18" s="96">
        <v>62</v>
      </c>
      <c r="L18" s="117">
        <v>100</v>
      </c>
      <c r="M18" s="150"/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92">
        <v>6</v>
      </c>
      <c r="B19" s="188">
        <v>3</v>
      </c>
      <c r="C19" s="96">
        <v>1.6</v>
      </c>
      <c r="D19" s="96">
        <v>2.5</v>
      </c>
      <c r="E19" s="96">
        <v>4</v>
      </c>
      <c r="F19" s="96">
        <v>6.2750000000000004</v>
      </c>
      <c r="G19" s="96">
        <v>10</v>
      </c>
      <c r="H19" s="96">
        <v>15.5</v>
      </c>
      <c r="I19" s="96">
        <v>25</v>
      </c>
      <c r="J19" s="96">
        <v>40</v>
      </c>
      <c r="K19" s="96">
        <v>62</v>
      </c>
      <c r="L19" s="117">
        <v>100</v>
      </c>
      <c r="M19" s="150"/>
      <c r="N19" s="3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92">
        <v>6</v>
      </c>
      <c r="B20" s="188">
        <v>4</v>
      </c>
      <c r="C20" s="96">
        <v>1.6</v>
      </c>
      <c r="D20" s="96">
        <v>2.5</v>
      </c>
      <c r="E20" s="96">
        <v>4</v>
      </c>
      <c r="F20" s="96">
        <v>6.2750000000000004</v>
      </c>
      <c r="G20" s="96">
        <v>10</v>
      </c>
      <c r="H20" s="96">
        <v>15.5</v>
      </c>
      <c r="I20" s="96">
        <v>25</v>
      </c>
      <c r="J20" s="96">
        <v>40</v>
      </c>
      <c r="K20" s="96">
        <v>62</v>
      </c>
      <c r="L20" s="117">
        <v>100</v>
      </c>
      <c r="M20" s="150"/>
      <c r="N20" s="3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92">
        <v>6</v>
      </c>
      <c r="B21" s="97">
        <v>5</v>
      </c>
      <c r="C21" s="96"/>
      <c r="D21" s="96"/>
      <c r="E21" s="110"/>
      <c r="F21" s="110"/>
      <c r="G21" s="96"/>
      <c r="H21" s="96"/>
      <c r="I21" s="96"/>
      <c r="J21" s="96"/>
      <c r="K21" s="96"/>
      <c r="L21" s="117"/>
      <c r="M21" s="9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8" ht="15.75" customHeight="1">
      <c r="A22" s="92">
        <v>6</v>
      </c>
      <c r="B22" s="97">
        <v>6</v>
      </c>
      <c r="C22" s="96"/>
      <c r="D22" s="96"/>
      <c r="E22" s="110"/>
      <c r="F22" s="110"/>
      <c r="G22" s="96"/>
      <c r="H22" s="96"/>
      <c r="I22" s="96"/>
      <c r="J22" s="96"/>
      <c r="K22" s="96"/>
      <c r="L22" s="117"/>
      <c r="M22" s="91"/>
      <c r="N22" s="4"/>
      <c r="O22" s="4"/>
      <c r="P22" s="4"/>
      <c r="Q22" s="4"/>
      <c r="R22" s="4"/>
      <c r="S22" s="4"/>
      <c r="T22" s="4"/>
      <c r="U22" s="4"/>
      <c r="V22" s="4"/>
    </row>
    <row r="23" spans="1:28" ht="15.75" customHeight="1">
      <c r="A23" s="103">
        <v>6</v>
      </c>
      <c r="B23" s="104">
        <v>7</v>
      </c>
      <c r="C23" s="156"/>
      <c r="D23" s="156"/>
      <c r="E23" s="203"/>
      <c r="F23" s="203"/>
      <c r="G23" s="156"/>
      <c r="H23" s="156"/>
      <c r="I23" s="156"/>
      <c r="J23" s="156"/>
      <c r="K23" s="156"/>
      <c r="L23" s="118"/>
      <c r="M23" s="91"/>
      <c r="N23" s="4"/>
      <c r="O23" s="4"/>
      <c r="P23" s="4"/>
      <c r="Q23" s="4"/>
      <c r="R23" s="4"/>
      <c r="S23" s="4"/>
      <c r="T23" s="4"/>
      <c r="U23" s="4"/>
      <c r="V23" s="4"/>
    </row>
    <row r="24" spans="1:28" ht="15.75" customHeight="1">
      <c r="A24" s="93">
        <v>7</v>
      </c>
      <c r="B24" s="187">
        <v>1</v>
      </c>
      <c r="C24" s="91"/>
      <c r="D24" s="91"/>
      <c r="E24" s="204"/>
      <c r="F24" s="204"/>
      <c r="G24" s="91"/>
      <c r="H24" s="91"/>
      <c r="I24" s="91"/>
      <c r="J24" s="91"/>
      <c r="K24" s="91"/>
      <c r="L24" s="91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8" ht="15.75" customHeight="1">
      <c r="A25" s="92">
        <v>7</v>
      </c>
      <c r="B25" s="188">
        <v>2</v>
      </c>
      <c r="C25" s="4"/>
      <c r="D25" s="4"/>
      <c r="E25" s="37"/>
      <c r="F25" s="3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8" ht="15.75" customHeight="1">
      <c r="A26" s="103">
        <v>7</v>
      </c>
      <c r="B26" s="209">
        <v>3</v>
      </c>
      <c r="C26" s="4"/>
      <c r="D26" s="4"/>
      <c r="E26" s="37"/>
      <c r="F26" s="3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8" ht="15.75" customHeight="1">
      <c r="A27" s="93">
        <v>8</v>
      </c>
      <c r="B27" s="187">
        <v>1</v>
      </c>
      <c r="C27" s="4"/>
      <c r="D27" s="4"/>
      <c r="E27" s="37"/>
      <c r="F27" s="3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8" ht="15.75" customHeight="1">
      <c r="A28" s="92">
        <v>8</v>
      </c>
      <c r="B28" s="188">
        <v>2</v>
      </c>
      <c r="C28" s="4"/>
      <c r="D28" s="4"/>
      <c r="E28" s="37"/>
      <c r="F28" s="3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8" ht="15.75" customHeight="1">
      <c r="A29" s="92">
        <v>8</v>
      </c>
      <c r="B29" s="188">
        <v>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8" ht="15.75" customHeight="1">
      <c r="A30" s="103">
        <v>8</v>
      </c>
      <c r="B30" s="209">
        <v>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8" ht="15.75" customHeight="1">
      <c r="A31" s="125">
        <v>9</v>
      </c>
      <c r="B31" s="229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8" ht="15.75" customHeight="1">
      <c r="A32" s="125">
        <v>9</v>
      </c>
      <c r="B32" s="229">
        <v>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3" ht="15.75" customHeight="1">
      <c r="A33" s="125">
        <v>9</v>
      </c>
      <c r="B33" s="229">
        <v>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3" ht="15.75" customHeight="1">
      <c r="A34" s="125">
        <v>9</v>
      </c>
      <c r="B34" s="229">
        <v>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3" ht="15.75" customHeight="1">
      <c r="A35" s="125">
        <v>9</v>
      </c>
      <c r="B35" s="229">
        <v>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3" ht="15.75" customHeight="1">
      <c r="A36" s="125">
        <v>9</v>
      </c>
      <c r="B36" s="229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3" ht="15.75" customHeight="1">
      <c r="A37" s="220">
        <v>9</v>
      </c>
      <c r="B37" s="209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139">
        <v>10</v>
      </c>
      <c r="B38" s="140">
        <v>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139">
        <v>11</v>
      </c>
      <c r="B39" s="140">
        <v>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13"/>
      <c r="B40" s="1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13"/>
      <c r="B41" s="1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13"/>
      <c r="B42" s="1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>
      <c r="A43" s="13"/>
      <c r="B43" s="1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>
      <c r="A44" s="13"/>
      <c r="B44" s="1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>
      <c r="A45" s="13"/>
      <c r="B45" s="1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3" ht="15.75" customHeight="1">
      <c r="A46" s="13"/>
      <c r="B46" s="14"/>
    </row>
    <row r="47" spans="1:23" ht="15.75" customHeight="1">
      <c r="A47" s="13"/>
      <c r="B47" s="14"/>
    </row>
    <row r="48" spans="1:23" ht="15.75" customHeight="1">
      <c r="A48" s="13"/>
      <c r="B48" s="14"/>
    </row>
    <row r="49" spans="1:37" ht="15.75" customHeight="1">
      <c r="A49" s="13"/>
      <c r="B49" s="1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7" ht="15.75" customHeight="1">
      <c r="A50" s="21"/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15.75" customHeight="1">
      <c r="A51" s="2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15.75" customHeight="1">
      <c r="A52" s="21"/>
      <c r="B52" s="2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15.75" customHeight="1">
      <c r="A53" s="21"/>
      <c r="B53" s="2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5.75" customHeight="1">
      <c r="A54" s="21"/>
      <c r="B54" s="2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5.75" customHeight="1">
      <c r="A55" s="21"/>
      <c r="B55" s="2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15.75" customHeight="1">
      <c r="A56" s="21"/>
      <c r="B56" s="2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15.75" customHeight="1">
      <c r="A57" s="13"/>
      <c r="B57" s="1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7" ht="15.75" customHeight="1">
      <c r="A58" s="13"/>
      <c r="B58" s="14"/>
    </row>
    <row r="59" spans="1:37" ht="15.75" customHeight="1">
      <c r="A59" s="13"/>
      <c r="B59" s="14"/>
    </row>
    <row r="60" spans="1:37" ht="15.75" customHeight="1">
      <c r="A60" s="13"/>
      <c r="B60" s="1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37" ht="15.75" customHeight="1">
      <c r="A61" s="13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37" ht="15.75" customHeight="1">
      <c r="A62" s="13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37" ht="15.75" customHeight="1">
      <c r="A63" s="13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37" ht="15.75" customHeight="1">
      <c r="A64" s="13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customHeight="1">
      <c r="A65" s="13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>
      <c r="A66" s="13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>
      <c r="A67" s="13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>
      <c r="A68" s="13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>
      <c r="A69" s="13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>
      <c r="A70" s="13"/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>
      <c r="A71" s="23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2" ht="15.75" customHeight="1">
      <c r="A72" s="23"/>
      <c r="B72" s="15"/>
    </row>
    <row r="73" spans="1:22" ht="15.75" customHeight="1">
      <c r="A73" s="23"/>
      <c r="B73" s="15"/>
    </row>
    <row r="74" spans="1:22" ht="15.75" customHeight="1">
      <c r="A74" s="23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2" ht="15.75" customHeight="1">
      <c r="A75" s="13"/>
      <c r="B75" s="1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.75" customHeight="1">
      <c r="A76" s="13"/>
      <c r="B76" s="1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0"/>
      <c r="P76" s="4"/>
      <c r="Q76" s="4"/>
      <c r="R76" s="4"/>
      <c r="S76" s="4"/>
      <c r="T76" s="4"/>
      <c r="U76" s="4"/>
      <c r="V76" s="4"/>
    </row>
    <row r="77" spans="1:22" ht="15.75" customHeight="1">
      <c r="A77" s="13"/>
      <c r="B77" s="1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.75" customHeight="1">
      <c r="A78" s="13"/>
      <c r="B78" s="1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.75" customHeight="1">
      <c r="A79" s="13"/>
      <c r="B79" s="1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.75" customHeight="1">
      <c r="A80" s="13"/>
      <c r="B80" s="1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47" ht="15.75" customHeight="1">
      <c r="A81" s="13"/>
      <c r="B81" s="1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47" ht="15.75" customHeight="1">
      <c r="A82" s="13"/>
      <c r="B82" s="1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47" ht="15.75" customHeight="1">
      <c r="A83" s="13"/>
      <c r="B83" s="1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47" ht="15.75" customHeight="1">
      <c r="A84" s="13"/>
      <c r="B84" s="1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47" ht="15.75" customHeight="1">
      <c r="A85" s="13"/>
      <c r="B85" s="1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47" ht="15.75" customHeight="1">
      <c r="A86" s="13"/>
      <c r="B86" s="1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47" ht="15.75" customHeight="1">
      <c r="A87" s="13"/>
      <c r="B87" s="14"/>
    </row>
    <row r="88" spans="1:47" ht="15.75" customHeight="1">
      <c r="A88" s="13"/>
      <c r="B88" s="14"/>
    </row>
    <row r="89" spans="1:47" ht="15.75" customHeight="1">
      <c r="A89" s="13"/>
      <c r="B89" s="14"/>
    </row>
    <row r="90" spans="1:47" ht="15.75" customHeight="1">
      <c r="A90" s="13"/>
      <c r="B90" s="14"/>
    </row>
    <row r="91" spans="1:47" ht="15.75" customHeight="1">
      <c r="A91" s="13"/>
      <c r="B91" s="14"/>
    </row>
    <row r="92" spans="1:47" ht="15.75" customHeight="1">
      <c r="A92" s="13"/>
      <c r="B92" s="14"/>
    </row>
    <row r="93" spans="1:47" ht="15.75" customHeight="1">
      <c r="A93" s="13"/>
      <c r="B93" s="14"/>
    </row>
    <row r="94" spans="1:47" ht="15.75" customHeight="1">
      <c r="A94" s="23"/>
      <c r="B94" s="15"/>
    </row>
    <row r="95" spans="1:47" ht="15.75" customHeight="1">
      <c r="A95" s="23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47" ht="15.75" customHeight="1">
      <c r="A96" s="13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18"/>
      <c r="AU96" s="4"/>
    </row>
    <row r="97" spans="1:47" ht="15.75" customHeight="1">
      <c r="A97" s="13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18"/>
      <c r="AU97" s="4"/>
    </row>
    <row r="98" spans="1:47" ht="15.75" customHeight="1">
      <c r="A98" s="13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18"/>
      <c r="AU98" s="4"/>
    </row>
    <row r="99" spans="1:47" ht="15.75" customHeight="1">
      <c r="A99" s="13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18"/>
      <c r="AU99" s="4"/>
    </row>
    <row r="100" spans="1:47" ht="15.75" customHeight="1">
      <c r="A100" s="23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18"/>
      <c r="AU100" s="4"/>
    </row>
    <row r="101" spans="1:47" ht="15.75" customHeight="1">
      <c r="A101" s="23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18"/>
      <c r="AU101" s="4"/>
    </row>
    <row r="102" spans="1:47" ht="15.75" customHeight="1">
      <c r="A102" s="23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18"/>
      <c r="AU102" s="4"/>
    </row>
    <row r="103" spans="1:47" ht="15.75" customHeight="1">
      <c r="A103" s="23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18"/>
      <c r="AU103" s="4"/>
    </row>
    <row r="104" spans="1:47" ht="15.75" customHeight="1">
      <c r="A104" s="13"/>
      <c r="B104" s="1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6"/>
      <c r="T104" s="4"/>
      <c r="U104" s="46"/>
      <c r="V104" s="46"/>
      <c r="W104" s="46"/>
      <c r="X104" s="46"/>
      <c r="Y104" s="46"/>
      <c r="Z104" s="46"/>
      <c r="AA104" s="46"/>
      <c r="AB104" s="46"/>
      <c r="AC104" s="4"/>
      <c r="AD104" s="46"/>
      <c r="AE104" s="46"/>
      <c r="AF104" s="4"/>
      <c r="AG104" s="46"/>
      <c r="AH104" s="46"/>
      <c r="AI104" s="46"/>
      <c r="AJ104" s="4"/>
    </row>
    <row r="105" spans="1:47" ht="15.75" customHeight="1">
      <c r="A105" s="13"/>
      <c r="B105" s="1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6"/>
      <c r="T105" s="4"/>
      <c r="U105" s="46"/>
      <c r="V105" s="46"/>
      <c r="W105" s="46"/>
      <c r="X105" s="46"/>
      <c r="Y105" s="46"/>
      <c r="Z105" s="46"/>
      <c r="AA105" s="46"/>
      <c r="AB105" s="46"/>
      <c r="AC105" s="4"/>
      <c r="AD105" s="46"/>
      <c r="AE105" s="46"/>
      <c r="AF105" s="4"/>
      <c r="AG105" s="46"/>
      <c r="AH105" s="46"/>
      <c r="AI105" s="46"/>
      <c r="AJ105" s="4"/>
    </row>
    <row r="106" spans="1:47" ht="15.75" customHeight="1">
      <c r="A106" s="13"/>
      <c r="B106" s="1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6"/>
      <c r="T106" s="4"/>
      <c r="U106" s="46"/>
      <c r="V106" s="46"/>
      <c r="W106" s="46"/>
      <c r="X106" s="46"/>
      <c r="Y106" s="46"/>
      <c r="Z106" s="46"/>
      <c r="AA106" s="46"/>
      <c r="AB106" s="46"/>
      <c r="AC106" s="4"/>
      <c r="AD106" s="46"/>
      <c r="AE106" s="46"/>
      <c r="AF106" s="4"/>
      <c r="AG106" s="46"/>
      <c r="AH106" s="46"/>
      <c r="AI106" s="46"/>
      <c r="AJ106" s="4"/>
    </row>
    <row r="107" spans="1:47" ht="15.75" customHeight="1">
      <c r="A107" s="13"/>
      <c r="B107" s="1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6"/>
      <c r="T107" s="4"/>
      <c r="U107" s="46"/>
      <c r="V107" s="46"/>
      <c r="W107" s="46"/>
      <c r="X107" s="46"/>
      <c r="Y107" s="46"/>
      <c r="Z107" s="46"/>
      <c r="AA107" s="46"/>
      <c r="AB107" s="46"/>
      <c r="AC107" s="4"/>
      <c r="AD107" s="46"/>
      <c r="AE107" s="46"/>
      <c r="AF107" s="4"/>
      <c r="AG107" s="46"/>
      <c r="AH107" s="46"/>
      <c r="AI107" s="46"/>
      <c r="AJ107" s="4"/>
    </row>
    <row r="108" spans="1:47" ht="15.75" customHeight="1">
      <c r="A108" s="13"/>
      <c r="B108" s="1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47" ht="15.75" customHeight="1">
      <c r="A109" s="13"/>
      <c r="B109" s="14"/>
    </row>
    <row r="110" spans="1:47" ht="15.75" customHeight="1">
      <c r="A110" s="13"/>
      <c r="B110" s="14"/>
    </row>
    <row r="111" spans="1:47" ht="15.75" customHeight="1">
      <c r="A111" s="13"/>
      <c r="B111" s="14"/>
    </row>
    <row r="112" spans="1:47" ht="15.75" customHeight="1">
      <c r="A112" s="13"/>
      <c r="B112" s="15"/>
    </row>
    <row r="113" spans="1:47" ht="15.75" customHeight="1">
      <c r="A113" s="13"/>
      <c r="B113" s="15"/>
    </row>
    <row r="114" spans="1:47" ht="15.75" customHeight="1">
      <c r="A114" s="13"/>
      <c r="B114" s="15"/>
    </row>
    <row r="115" spans="1:47" ht="15.75" customHeight="1">
      <c r="A115" s="13"/>
      <c r="B115" s="15"/>
    </row>
    <row r="116" spans="1:47" ht="15.75" customHeight="1">
      <c r="A116" s="13"/>
      <c r="B116" s="15"/>
    </row>
    <row r="117" spans="1:47" ht="15.75" customHeight="1">
      <c r="A117" s="13"/>
      <c r="B117" s="15"/>
    </row>
    <row r="118" spans="1:47" ht="15.75" customHeight="1">
      <c r="A118" s="13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47" ht="15.75" customHeight="1">
      <c r="A119" s="13"/>
      <c r="B119" s="1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18"/>
      <c r="AU119" s="4"/>
    </row>
    <row r="120" spans="1:47" ht="15.75" customHeight="1">
      <c r="A120" s="13"/>
      <c r="B120" s="1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18"/>
      <c r="AU120" s="4"/>
    </row>
    <row r="121" spans="1:47" ht="15.75" customHeight="1">
      <c r="A121" s="13"/>
      <c r="B121" s="1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18"/>
      <c r="AU121" s="4"/>
    </row>
    <row r="122" spans="1:47" ht="15.75" customHeight="1">
      <c r="A122" s="13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18"/>
      <c r="AU122" s="4"/>
    </row>
    <row r="123" spans="1:47" ht="15.75" customHeight="1">
      <c r="A123" s="13"/>
      <c r="B123" s="1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18"/>
      <c r="AU123" s="4"/>
    </row>
    <row r="124" spans="1:47" ht="15.75" customHeight="1">
      <c r="A124" s="13"/>
      <c r="B124" s="1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18"/>
      <c r="AU124" s="4"/>
    </row>
    <row r="125" spans="1:47" ht="15.75" customHeight="1">
      <c r="A125" s="13"/>
      <c r="B125" s="14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4"/>
      <c r="P125" s="4"/>
      <c r="Q125" s="4"/>
      <c r="R125" s="4"/>
      <c r="S125" s="4"/>
      <c r="T125" s="4"/>
      <c r="U125" s="4"/>
      <c r="V125" s="4"/>
      <c r="W125" s="4"/>
    </row>
    <row r="126" spans="1:47" ht="15.75" customHeight="1">
      <c r="A126" s="13"/>
      <c r="B126" s="14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4"/>
    </row>
    <row r="127" spans="1:47" ht="15.75" customHeight="1">
      <c r="A127" s="13"/>
      <c r="B127" s="14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4"/>
    </row>
    <row r="128" spans="1:47" ht="15.75" customHeight="1">
      <c r="A128" s="13"/>
      <c r="B128" s="14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4"/>
    </row>
    <row r="129" spans="1:47" ht="15.75" customHeight="1">
      <c r="A129" s="13"/>
      <c r="B129" s="14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4"/>
    </row>
    <row r="130" spans="1:47" ht="15.75" customHeight="1">
      <c r="A130" s="13"/>
      <c r="B130" s="14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4"/>
    </row>
    <row r="131" spans="1:47" ht="15.75" customHeight="1">
      <c r="A131" s="13"/>
      <c r="B131" s="14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4"/>
    </row>
    <row r="132" spans="1:47" ht="15.75" customHeight="1">
      <c r="A132" s="13"/>
      <c r="B132" s="14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4"/>
    </row>
    <row r="133" spans="1:47" ht="15.75" customHeight="1">
      <c r="A133" s="13"/>
      <c r="B133" s="14"/>
      <c r="C133" s="4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47" ht="15.75" customHeight="1">
      <c r="A134" s="13"/>
      <c r="B134" s="14"/>
    </row>
    <row r="135" spans="1:47" ht="15.75" customHeight="1">
      <c r="A135" s="13"/>
      <c r="B135" s="14"/>
    </row>
    <row r="136" spans="1:47" ht="15.75" customHeight="1">
      <c r="A136" s="13"/>
      <c r="B136" s="14"/>
    </row>
    <row r="137" spans="1:47" ht="15.75" customHeight="1">
      <c r="A137" s="13"/>
      <c r="B137" s="1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47" ht="15.75" customHeight="1">
      <c r="A138" s="23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47" ht="15.75" customHeight="1">
      <c r="A139" s="23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47" ht="15.75" customHeight="1">
      <c r="A140" s="23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47" ht="15.75" customHeight="1">
      <c r="A141" s="23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47" ht="15.75" customHeight="1">
      <c r="A142" s="23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47" ht="15.75" customHeight="1">
      <c r="A143" s="23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47" ht="15.75" customHeight="1">
      <c r="A144" s="23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18"/>
      <c r="AU144" s="4"/>
    </row>
    <row r="145" spans="1:47" ht="15.75" customHeight="1">
      <c r="A145" s="23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18"/>
      <c r="AU145" s="4"/>
    </row>
    <row r="146" spans="1:47" ht="15.75" customHeight="1">
      <c r="A146" s="23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18"/>
      <c r="AU146" s="4"/>
    </row>
    <row r="147" spans="1:47" ht="15.75" customHeight="1">
      <c r="A147" s="23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47" ht="15.75" customHeight="1">
      <c r="A148" s="23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47" ht="15.75" customHeight="1">
      <c r="A149" s="23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47" ht="15.7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47" ht="15.75" customHeight="1">
      <c r="A151" s="13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47" ht="15.75" customHeight="1">
      <c r="A152" s="13"/>
      <c r="B152" s="1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47" ht="15.75" customHeight="1">
      <c r="A153" s="13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47" ht="15.75" customHeight="1">
      <c r="A154" s="13"/>
      <c r="B154" s="1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47" ht="15.75" customHeight="1">
      <c r="A155" s="13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47" ht="15.7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47" ht="15.75" customHeight="1">
      <c r="A157" s="13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47" ht="15.75" customHeight="1">
      <c r="A158" s="13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47" ht="15.75" customHeight="1">
      <c r="A159" s="13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47" ht="15.75" customHeight="1">
      <c r="A160" s="13"/>
      <c r="B160" s="1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27" ht="15.75" customHeight="1">
      <c r="A161" s="13"/>
      <c r="B161" s="1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27" ht="15.75" customHeight="1">
      <c r="A162" s="13"/>
      <c r="B162" s="1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27" ht="15.7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27" ht="15.75" customHeight="1">
      <c r="A164" s="2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27" ht="15.75" customHeight="1">
      <c r="A165" s="2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27" ht="15.75" customHeight="1">
      <c r="A166" s="2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27" ht="15.75" customHeight="1">
      <c r="A167" s="2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27" ht="15.7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27" ht="15.75" customHeight="1">
      <c r="A169" s="23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27" ht="15.75" customHeight="1">
      <c r="A170" s="23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7" ht="15.75" customHeight="1">
      <c r="A171" s="23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7" ht="15.75" customHeight="1">
      <c r="A172" s="23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7" ht="15.75" customHeight="1">
      <c r="A173" s="23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7" ht="15.75" customHeight="1">
      <c r="A174" s="23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7" ht="15.75" customHeight="1">
      <c r="A175" s="23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7" ht="15.75" customHeight="1">
      <c r="A176" s="23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47" ht="15.75" customHeight="1">
      <c r="A177" s="23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9"/>
      <c r="AU177" s="4"/>
    </row>
    <row r="178" spans="1:47" ht="15.75" customHeight="1">
      <c r="A178" s="23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9"/>
      <c r="AU178" s="4"/>
    </row>
    <row r="179" spans="1:47" ht="15.75" customHeight="1">
      <c r="A179" s="23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9"/>
      <c r="AU179" s="4"/>
    </row>
    <row r="180" spans="1:47" ht="15.75" customHeight="1">
      <c r="A180" s="23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9"/>
      <c r="AU180" s="4"/>
    </row>
    <row r="181" spans="1:47" ht="15.75" customHeight="1">
      <c r="A181" s="23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9"/>
      <c r="AU181" s="4"/>
    </row>
    <row r="182" spans="1:47" ht="15.75" customHeight="1">
      <c r="A182" s="23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47" ht="15.75" customHeight="1">
      <c r="A183" s="23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47" ht="15.75" customHeight="1">
      <c r="A184" s="23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47" ht="15.75" customHeight="1">
      <c r="A185" s="23"/>
      <c r="B185" s="15"/>
      <c r="C185" s="4"/>
      <c r="D185" s="4"/>
      <c r="E185" s="4"/>
      <c r="F185" s="4"/>
      <c r="G185" s="4"/>
      <c r="H185" s="4"/>
      <c r="I185" s="4"/>
      <c r="J185" s="4"/>
      <c r="K185" s="4"/>
    </row>
    <row r="186" spans="1:47" ht="15.75" customHeight="1">
      <c r="A186" s="23"/>
      <c r="B186" s="15"/>
      <c r="C186" s="4"/>
      <c r="D186" s="4"/>
      <c r="E186" s="4"/>
      <c r="F186" s="4"/>
      <c r="G186" s="4"/>
      <c r="H186" s="4"/>
      <c r="I186" s="4"/>
      <c r="J186" s="4"/>
      <c r="K186" s="4"/>
    </row>
    <row r="187" spans="1:47" ht="15.75" customHeight="1">
      <c r="A187" s="23"/>
      <c r="B187" s="15"/>
      <c r="C187" s="4"/>
      <c r="D187" s="4"/>
      <c r="E187" s="4"/>
      <c r="F187" s="4"/>
      <c r="G187" s="4"/>
      <c r="H187" s="4"/>
      <c r="I187" s="4"/>
      <c r="J187" s="4"/>
      <c r="K187" s="4"/>
    </row>
    <row r="188" spans="1:47" ht="15.75" customHeight="1">
      <c r="A188" s="23"/>
      <c r="B188" s="15"/>
      <c r="C188" s="4"/>
      <c r="D188" s="4"/>
      <c r="E188" s="4"/>
      <c r="F188" s="4"/>
      <c r="G188" s="4"/>
      <c r="H188" s="4"/>
      <c r="I188" s="4"/>
      <c r="J188" s="4"/>
      <c r="K188" s="4"/>
    </row>
    <row r="189" spans="1:47" ht="15.75" customHeight="1">
      <c r="A189" s="23"/>
      <c r="B189" s="15"/>
      <c r="C189" s="4"/>
      <c r="D189" s="4"/>
      <c r="E189" s="4"/>
      <c r="F189" s="4"/>
      <c r="G189" s="4"/>
      <c r="H189" s="4"/>
      <c r="I189" s="4"/>
      <c r="J189" s="4"/>
      <c r="K189" s="4"/>
    </row>
    <row r="190" spans="1:47" ht="15.75" customHeight="1">
      <c r="A190" s="23"/>
      <c r="B190" s="15"/>
      <c r="C190" s="4"/>
      <c r="D190" s="4"/>
      <c r="E190" s="4"/>
      <c r="F190" s="4"/>
      <c r="G190" s="4"/>
      <c r="H190" s="4"/>
      <c r="I190" s="4"/>
      <c r="J190" s="4"/>
      <c r="K190" s="4"/>
    </row>
    <row r="191" spans="1:47" ht="15.75" customHeight="1">
      <c r="A191" s="23"/>
      <c r="B191" s="15"/>
      <c r="C191" s="4"/>
      <c r="D191" s="4"/>
      <c r="E191" s="4"/>
      <c r="F191" s="4"/>
      <c r="G191" s="4"/>
      <c r="H191" s="4"/>
      <c r="I191" s="4"/>
      <c r="J191" s="4"/>
      <c r="K191" s="4"/>
    </row>
    <row r="192" spans="1:47" ht="15.75" customHeight="1">
      <c r="A192" s="23"/>
      <c r="B192" s="15"/>
      <c r="C192" s="4"/>
      <c r="D192" s="4"/>
      <c r="E192" s="4"/>
      <c r="F192" s="4"/>
      <c r="G192" s="4"/>
      <c r="H192" s="4"/>
      <c r="I192" s="4"/>
      <c r="J192" s="4"/>
      <c r="K192" s="4"/>
    </row>
    <row r="193" spans="1:47" ht="15.75" customHeight="1">
      <c r="A193" s="23"/>
      <c r="B193" s="15"/>
      <c r="C193" s="4"/>
      <c r="D193" s="4"/>
      <c r="E193" s="4"/>
      <c r="F193" s="4"/>
      <c r="G193" s="4"/>
      <c r="H193" s="4"/>
      <c r="I193" s="4"/>
      <c r="J193" s="4"/>
      <c r="K193" s="4"/>
    </row>
    <row r="194" spans="1:47" ht="15.75" customHeight="1">
      <c r="A194" s="23"/>
      <c r="B194" s="15"/>
      <c r="C194" s="4"/>
      <c r="D194" s="4"/>
      <c r="E194" s="4"/>
      <c r="F194" s="4"/>
      <c r="G194" s="4"/>
      <c r="H194" s="4"/>
      <c r="I194" s="4"/>
      <c r="J194" s="4"/>
      <c r="K194" s="4"/>
    </row>
    <row r="195" spans="1:47" ht="15.75" customHeight="1">
      <c r="A195" s="23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47" ht="15.75" customHeight="1">
      <c r="A196" s="21"/>
      <c r="B196" s="1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18"/>
      <c r="AU196" s="4"/>
    </row>
    <row r="197" spans="1:47" ht="15.75" customHeight="1">
      <c r="A197" s="21"/>
      <c r="B197" s="1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18"/>
      <c r="AU197" s="4"/>
    </row>
    <row r="198" spans="1:47" ht="15.75" customHeight="1">
      <c r="A198" s="21"/>
      <c r="B198" s="1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18"/>
      <c r="AU198" s="4"/>
    </row>
    <row r="199" spans="1:47" ht="15.75" customHeight="1">
      <c r="A199" s="21"/>
      <c r="B199" s="1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18"/>
      <c r="AU199" s="4"/>
    </row>
    <row r="200" spans="1:47" ht="15.75" customHeight="1">
      <c r="A200" s="13"/>
      <c r="B200" s="1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47" ht="15.75" customHeight="1">
      <c r="A201" s="13"/>
      <c r="B201" s="14"/>
    </row>
    <row r="202" spans="1:47" ht="15.75" customHeight="1">
      <c r="A202" s="13"/>
      <c r="B202" s="14"/>
    </row>
    <row r="203" spans="1:47" ht="15.75" customHeight="1">
      <c r="A203" s="13"/>
      <c r="B203" s="14"/>
    </row>
    <row r="204" spans="1:47" ht="15.75" customHeight="1">
      <c r="A204" s="13"/>
      <c r="B204" s="14"/>
    </row>
    <row r="205" spans="1:47" ht="15.75" customHeight="1">
      <c r="A205" s="13"/>
      <c r="B205" s="14"/>
    </row>
    <row r="206" spans="1:47" ht="15.75" customHeight="1">
      <c r="A206" s="13"/>
      <c r="B206" s="14"/>
    </row>
    <row r="207" spans="1:47" ht="15.75" customHeight="1">
      <c r="A207" s="13"/>
      <c r="B207" s="14"/>
    </row>
    <row r="208" spans="1:47" ht="15.75" customHeight="1">
      <c r="A208" s="13"/>
      <c r="B208" s="14"/>
    </row>
    <row r="209" spans="1:19" ht="15.75" customHeight="1">
      <c r="A209" s="13"/>
      <c r="B209" s="14"/>
    </row>
    <row r="210" spans="1:19" ht="15.75" customHeight="1">
      <c r="A210" s="13"/>
      <c r="B210" s="14"/>
    </row>
    <row r="211" spans="1:19" ht="15.75" customHeight="1">
      <c r="A211" s="13"/>
      <c r="B211" s="15"/>
    </row>
    <row r="212" spans="1:19" ht="15.75" customHeight="1">
      <c r="A212" s="13"/>
      <c r="B212" s="15"/>
    </row>
    <row r="213" spans="1:19" ht="15.75" customHeight="1">
      <c r="A213" s="13"/>
      <c r="B213" s="15"/>
    </row>
    <row r="214" spans="1:19" ht="15.75" customHeight="1">
      <c r="A214" s="13"/>
      <c r="B214" s="15"/>
    </row>
    <row r="215" spans="1:19" ht="15.75" customHeight="1">
      <c r="A215" s="13"/>
      <c r="B215" s="15"/>
    </row>
    <row r="216" spans="1:19" ht="15.75" customHeight="1">
      <c r="A216" s="13"/>
      <c r="B216" s="15"/>
    </row>
    <row r="217" spans="1:19" ht="15.75" customHeight="1">
      <c r="A217" s="13"/>
      <c r="B217" s="15"/>
    </row>
    <row r="218" spans="1:19" ht="15.75" customHeight="1">
      <c r="A218" s="13"/>
      <c r="B218" s="15"/>
    </row>
    <row r="219" spans="1:19" ht="15.75" customHeight="1">
      <c r="A219" s="13"/>
      <c r="B219" s="15"/>
    </row>
    <row r="220" spans="1:19" ht="15.75" customHeight="1">
      <c r="A220" s="13"/>
      <c r="B220" s="15"/>
    </row>
    <row r="221" spans="1:19" ht="15.75" customHeight="1">
      <c r="A221" s="13"/>
      <c r="B221" s="15"/>
    </row>
    <row r="222" spans="1:19" ht="15.75" customHeight="1">
      <c r="A222" s="13"/>
      <c r="B222" s="15"/>
    </row>
    <row r="223" spans="1:19" ht="15.75" customHeight="1">
      <c r="A223" s="13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9" ht="15.75" customHeight="1">
      <c r="A224" s="23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4"/>
    </row>
    <row r="225" spans="1:19" ht="15.75" customHeight="1">
      <c r="A225" s="23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4"/>
    </row>
    <row r="226" spans="1:19" ht="15.75" customHeight="1">
      <c r="A226" s="23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4"/>
    </row>
    <row r="227" spans="1:19" ht="15.75" customHeight="1">
      <c r="A227" s="23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4"/>
    </row>
    <row r="228" spans="1:19" ht="15.75" customHeight="1">
      <c r="A228" s="23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4"/>
    </row>
    <row r="229" spans="1:19" ht="15.75" customHeight="1">
      <c r="A229" s="23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4"/>
    </row>
    <row r="230" spans="1:19" ht="15.75" customHeight="1">
      <c r="A230" s="23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4"/>
    </row>
    <row r="231" spans="1:19" ht="15.75" customHeight="1">
      <c r="A231" s="23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4"/>
    </row>
    <row r="232" spans="1:19" ht="15.75" customHeight="1">
      <c r="A232" s="23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4"/>
    </row>
    <row r="233" spans="1:19" ht="15.75" customHeight="1">
      <c r="A233" s="23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ht="15.75" customHeight="1">
      <c r="A234" s="23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4"/>
    </row>
    <row r="235" spans="1:19" ht="15.75" customHeight="1">
      <c r="A235" s="23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9" ht="15.75" customHeight="1">
      <c r="A236" s="23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9" ht="15.7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9" ht="15.7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9" ht="15.7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9" ht="15.75" customHeight="1">
      <c r="A240" s="13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47" ht="15.75" customHeight="1">
      <c r="A241" s="13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47" ht="15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spans="1:47" ht="15.75" customHeight="1">
      <c r="A243" s="13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spans="1:47" ht="15.7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spans="1:47" ht="15.75" customHeight="1">
      <c r="A245" s="13"/>
      <c r="B245" s="1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spans="1:47" ht="15.75" customHeight="1">
      <c r="A246" s="13"/>
      <c r="B246" s="1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spans="1:47" ht="15.75" customHeight="1">
      <c r="A247" s="13"/>
      <c r="B247" s="1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spans="1:47" ht="15.75" customHeight="1">
      <c r="A248" s="13"/>
      <c r="B248" s="1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spans="1:47" ht="15.75" customHeight="1">
      <c r="A249" s="13"/>
      <c r="B249" s="1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spans="1:47" ht="15.75" customHeight="1">
      <c r="A250" s="13"/>
      <c r="B250" s="1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spans="1:47" ht="15.75" customHeight="1">
      <c r="A251" s="13"/>
      <c r="B251" s="1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spans="1:47" ht="15.75" customHeight="1">
      <c r="A252" s="13"/>
      <c r="B252" s="1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spans="1:47" ht="15.75" customHeight="1">
      <c r="A253" s="13"/>
      <c r="B253" s="1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spans="1:47" ht="15.75" customHeight="1">
      <c r="A254" s="13"/>
      <c r="B254" s="1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spans="1:47" ht="15.75" customHeight="1">
      <c r="A255" s="13"/>
      <c r="B255" s="1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spans="1:47" ht="15.75" customHeight="1">
      <c r="A256" s="13"/>
      <c r="B256" s="1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spans="2:4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spans="2:47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spans="2:47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spans="2:47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spans="2:47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spans="2:47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spans="2:47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spans="2:47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spans="2:47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spans="2:47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spans="2:4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spans="2:47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spans="2:47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spans="2:47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spans="2:47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spans="2:47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spans="2:47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spans="2:47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spans="2:47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spans="2:47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spans="2:4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spans="2:47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spans="2:47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spans="2:47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spans="2:47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spans="2:47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spans="2:47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spans="2:47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spans="2:47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spans="2:47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spans="2:4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spans="2:47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spans="2:47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spans="2:47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spans="2:47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spans="2:47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spans="2:47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spans="2:47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spans="2:47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spans="2:47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spans="2:4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spans="2:47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spans="2:47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spans="2:47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spans="2:47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spans="2:47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spans="2:47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spans="2:47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spans="2:47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spans="2:47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spans="2:4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spans="2:47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spans="2:47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spans="2:47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spans="2:47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spans="2:47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spans="2:47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spans="2:47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spans="2:47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spans="2:47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spans="2:4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spans="2:47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spans="2:47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spans="2:47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spans="2:47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spans="2:47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spans="2:47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spans="2:47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spans="2:47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spans="2:47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spans="2:4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spans="2:47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spans="2:47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spans="2:47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spans="2:47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spans="2:47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spans="2:47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spans="2:47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spans="2:47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spans="2:47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spans="2:4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spans="2:47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spans="2:47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spans="2:47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spans="2:47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spans="2:47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spans="2:47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spans="2:47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spans="2:47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spans="2:47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spans="2: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spans="2:47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spans="2:47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spans="2:47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spans="2:47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spans="2:47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spans="2:47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spans="2:47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spans="2:47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spans="2:47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spans="2:4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spans="2:47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spans="2:47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spans="2:47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spans="2:47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spans="2:47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spans="2:47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spans="2:47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spans="2:47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spans="2:47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spans="2:4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spans="2:47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spans="2:47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spans="2:47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spans="2:47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spans="2:47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spans="2:47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spans="2:47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spans="2:47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spans="2:47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spans="2:4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spans="2:47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spans="2:47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spans="2:47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spans="2:47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spans="2:47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spans="2:47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spans="2:47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spans="2:47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spans="2:47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spans="2:4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spans="2:47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spans="2:47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spans="2:47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spans="2:47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spans="2:47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spans="2:47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spans="2:47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spans="2:47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spans="2:47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spans="2:4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spans="2:47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spans="2:47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spans="2:47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spans="2:47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spans="2:47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spans="2:47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spans="2:47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spans="2:47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spans="2:47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spans="2:4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spans="2:47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spans="2:47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spans="2:47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spans="2:47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spans="2:47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spans="2:47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spans="2:47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spans="2:47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spans="2:47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spans="2:4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spans="2:47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spans="2:47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spans="2:47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spans="2:47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spans="2:47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spans="2:47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spans="2:47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spans="2:47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spans="2:47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spans="2:4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spans="2:47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spans="2:47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spans="2:47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spans="2:47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spans="2:47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spans="2:47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spans="2:47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spans="2:47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spans="2:47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spans="2:4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spans="2:47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spans="2:47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spans="2:47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spans="2:47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spans="2:47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spans="2:47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spans="2:47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spans="2:47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spans="2:47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spans="2: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spans="2:47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spans="2:47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spans="2:47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spans="2:47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spans="2:47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spans="2:47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spans="2:47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spans="2:47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spans="2:47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spans="2:4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spans="2:47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spans="2:47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spans="2:47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spans="2:47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spans="2:47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spans="2:47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spans="2:47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spans="2:47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spans="2:47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spans="2:4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spans="2:47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spans="2:47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spans="2:47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spans="2:47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spans="2:47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spans="2:47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spans="2:47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spans="2:47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spans="2:47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spans="2:4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spans="2:47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spans="2:47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spans="2:47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spans="2:47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spans="2:47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spans="2:47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spans="2:47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spans="2:47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spans="2:47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spans="2:4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spans="2:47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spans="2:47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spans="2:47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spans="2:47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spans="2:47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spans="2:47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spans="2:47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spans="2:47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spans="2:47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spans="2:4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spans="2:47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spans="2:47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spans="2:47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spans="2:47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spans="2:47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spans="2:47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spans="2:47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spans="2:47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spans="2:47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spans="2:4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spans="2:47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spans="2:47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spans="2:47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spans="2:47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spans="2:47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spans="2:47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spans="2:47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spans="2:47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spans="2:47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spans="2:4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spans="2:47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spans="2:47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spans="2:47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spans="2:47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spans="2:47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spans="2:47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spans="2:47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spans="2:47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spans="2:47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spans="2:4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spans="2:47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spans="2:47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spans="2:47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spans="2:47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spans="2:47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spans="2:47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spans="2:47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spans="2:47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spans="2:47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spans="2:4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spans="2:47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spans="2:47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spans="2:47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spans="2:47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spans="2:47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spans="2:47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spans="2:47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spans="2:47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spans="2:47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spans="2: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spans="2:47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spans="2:47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spans="2:47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spans="2:47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spans="2:47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spans="2:47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spans="2:47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spans="2:47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spans="2:47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spans="2:4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spans="2:47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spans="2:47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spans="2:47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spans="2:47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spans="2:47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spans="2:47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spans="2:47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spans="2:47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spans="2:47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spans="2:4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spans="2:47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spans="2:47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spans="2:47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spans="2:47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spans="2:47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spans="2:47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spans="2:47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spans="2:47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spans="2:47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spans="2:4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spans="2:47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spans="2:47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spans="2:47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spans="2:47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spans="2:47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spans="2:47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spans="2:47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spans="2:47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spans="2:47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spans="2:4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spans="2:47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spans="2:47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spans="2:47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spans="2:47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spans="2:47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spans="2:47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spans="2:47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spans="2:47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spans="2:47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spans="2:4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spans="2:47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spans="2:47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spans="2:47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spans="2:47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spans="2:47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spans="2:47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spans="2:47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spans="2:47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spans="2:47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spans="2:4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spans="2:47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spans="2:47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spans="2:47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spans="2:47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spans="2:47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spans="2:47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spans="2:47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spans="2:47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spans="2:47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spans="2:4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spans="2:47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spans="2:47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spans="2:47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spans="2:47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spans="2:47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spans="2:47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spans="2:47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spans="2:47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spans="2:47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spans="2:4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spans="2:47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spans="2:47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spans="2:47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spans="2:47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spans="2:47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spans="2:47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spans="2:47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spans="2:47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spans="2:47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spans="2:4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spans="2:47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spans="2:47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spans="2:47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spans="2:47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spans="2:47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spans="2:47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spans="2:47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spans="2:47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spans="2:47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spans="2: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spans="2:47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spans="2:47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spans="2:47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spans="2:47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spans="2:47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spans="2:47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spans="2:47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spans="2:47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spans="2:47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spans="2:4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spans="2:47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spans="2:47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spans="2:47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spans="2:47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spans="2:47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spans="2:47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spans="2:47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spans="2:47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spans="2:47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spans="2:4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spans="2:47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spans="2:47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spans="2:47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spans="2:47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spans="2:47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spans="2:47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spans="2:47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spans="2:47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spans="2:47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spans="2:4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spans="2:47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spans="2:47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spans="2:47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spans="2:47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spans="2:47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spans="2:47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spans="2:47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spans="2:47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spans="2:47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spans="2:4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spans="2:47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spans="2:47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spans="2:47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spans="2:47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spans="2:47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spans="2:47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spans="2:47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spans="2:47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spans="2:47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spans="2:4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spans="2:47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spans="2:47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spans="2:47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spans="2:47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spans="2:47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spans="2:47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spans="2:47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spans="2:47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spans="2:47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spans="2:4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spans="2:47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spans="2:47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spans="2:47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spans="2:47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spans="2:47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spans="2:47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spans="2:47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spans="2:47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spans="2:47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spans="2:4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spans="2:47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spans="2:47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spans="2:47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spans="2:47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spans="2:47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spans="2:47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spans="2:47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spans="2:47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spans="2:47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spans="2:4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spans="2:47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spans="2:47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spans="2:47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spans="2:47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spans="2:47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spans="2:47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spans="2:47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spans="2:47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spans="2:47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spans="2:4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spans="2:47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spans="2:47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spans="2:47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spans="2:47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spans="2:47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spans="2:47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spans="2:47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spans="2:47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spans="2:47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spans="2: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spans="2:47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spans="2:47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spans="2:47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spans="2:47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spans="2:47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spans="2:47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spans="2:47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spans="2:47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spans="2:47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spans="2:4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spans="2:47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spans="2:47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spans="2:47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spans="2:47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spans="2:47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spans="2:47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spans="2:47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spans="2:47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spans="2:47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spans="2:4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spans="2:47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spans="2:47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spans="2:47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spans="2:47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spans="2:47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spans="2:47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spans="2:47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spans="2:47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spans="2:47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spans="2:4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spans="2:47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spans="2:47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spans="2:47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spans="2:47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spans="2:47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spans="2:47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spans="2:47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spans="2:47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spans="2:47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spans="2:4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spans="2:47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spans="2:47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spans="2:47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spans="2:47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spans="2:47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spans="2:47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spans="2:47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spans="2:47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spans="2:47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spans="2:4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spans="2:47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spans="2:47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spans="2:47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spans="2:47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spans="2:47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spans="2:47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spans="2:47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spans="2:47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spans="2:47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spans="2:4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spans="2:47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spans="2:47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spans="2:47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spans="2:47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spans="2:47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spans="2:47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spans="2:47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spans="2:47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spans="2:47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spans="2:4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spans="2:47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spans="2:47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spans="2:47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spans="2:47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spans="2:47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spans="2:47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spans="2:47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spans="2:47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spans="2:47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spans="2:4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spans="2:47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spans="2:47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spans="2:47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spans="2:47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spans="2:47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spans="2:47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spans="2:47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spans="2:47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spans="2:47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spans="2:4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spans="2:47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spans="2:47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spans="2:47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spans="2:47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spans="2:47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spans="2:47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spans="2:47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spans="2:47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spans="2:47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spans="2: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spans="2:47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spans="2:47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spans="2:47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spans="2:47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spans="2:47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spans="2:47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spans="2:47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spans="2:47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spans="2:47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spans="2:4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spans="2:47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spans="2:47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spans="2:47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spans="2:47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spans="2:47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spans="2:47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spans="2:47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spans="2:47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spans="2:47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spans="2:4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spans="2:47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spans="2:47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spans="2:47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spans="2:47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spans="2:47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spans="2:47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spans="2:47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spans="2:47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spans="2:47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spans="2:4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spans="2:47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spans="2:47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spans="2:47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spans="2:47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spans="2:47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spans="2:47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spans="2:47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spans="2:47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spans="2:47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spans="2:4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spans="2:47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spans="2:47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spans="2:47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spans="2:47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spans="2:47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spans="2:47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spans="2:47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spans="2:47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spans="2:47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spans="2:4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spans="2:47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spans="2:47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spans="2:47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spans="2:47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spans="2:47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spans="2:47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spans="2:47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spans="2:47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spans="2:47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spans="2:4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647"/>
  <sheetViews>
    <sheetView workbookViewId="0">
      <selection activeCell="F18" sqref="F18"/>
    </sheetView>
  </sheetViews>
  <sheetFormatPr defaultColWidth="12.5546875" defaultRowHeight="15" customHeight="1"/>
  <cols>
    <col min="7" max="7" width="9.44140625" customWidth="1"/>
  </cols>
  <sheetData>
    <row r="1" spans="1:33" ht="14.4">
      <c r="A1" s="86" t="s">
        <v>9</v>
      </c>
      <c r="B1" s="87" t="s">
        <v>10</v>
      </c>
      <c r="C1" s="12"/>
      <c r="D1" s="11"/>
      <c r="E1" s="12"/>
      <c r="F1" s="11"/>
      <c r="G1" s="12"/>
      <c r="H1" s="11"/>
      <c r="I1" s="12"/>
      <c r="J1" s="11"/>
      <c r="K1" s="12"/>
      <c r="L1" s="11"/>
    </row>
    <row r="2" spans="1:33" ht="14.4">
      <c r="A2" s="93">
        <v>1</v>
      </c>
      <c r="B2" s="94">
        <v>1</v>
      </c>
    </row>
    <row r="3" spans="1:33" ht="14.4">
      <c r="A3" s="92">
        <v>1</v>
      </c>
      <c r="B3" s="15">
        <v>2</v>
      </c>
    </row>
    <row r="4" spans="1:33" ht="14.4">
      <c r="A4" s="92">
        <v>1</v>
      </c>
      <c r="B4" s="15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  <c r="R4" s="27"/>
      <c r="S4" s="27"/>
    </row>
    <row r="5" spans="1:33" ht="14.4">
      <c r="A5" s="92">
        <v>1</v>
      </c>
      <c r="B5" s="15">
        <v>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7"/>
    </row>
    <row r="6" spans="1:33" ht="14.4">
      <c r="A6" s="93">
        <v>2</v>
      </c>
      <c r="B6" s="94">
        <v>1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4"/>
      <c r="R6" s="124"/>
      <c r="S6" s="124"/>
      <c r="T6" s="90"/>
      <c r="U6" s="90"/>
      <c r="V6" s="90"/>
      <c r="W6" s="90"/>
    </row>
    <row r="7" spans="1:33" ht="14.4">
      <c r="A7" s="93">
        <v>3</v>
      </c>
      <c r="B7" s="94" t="s">
        <v>154</v>
      </c>
      <c r="C7" s="120">
        <v>-123</v>
      </c>
      <c r="D7" s="120">
        <v>-115</v>
      </c>
      <c r="E7" s="120">
        <v>-105</v>
      </c>
      <c r="F7" s="120">
        <v>-95</v>
      </c>
      <c r="G7" s="120">
        <v>-85</v>
      </c>
      <c r="H7" s="120">
        <v>-75</v>
      </c>
      <c r="I7" s="120">
        <v>-65</v>
      </c>
      <c r="J7" s="120">
        <v>-55</v>
      </c>
      <c r="K7" s="120">
        <v>-45</v>
      </c>
      <c r="L7" s="120">
        <v>-35</v>
      </c>
      <c r="M7" s="120">
        <v>-25</v>
      </c>
      <c r="N7" s="120">
        <v>-15</v>
      </c>
      <c r="O7" s="120">
        <v>-5</v>
      </c>
      <c r="P7" s="120">
        <v>5</v>
      </c>
      <c r="Q7" s="120">
        <v>15</v>
      </c>
      <c r="R7" s="120">
        <v>25</v>
      </c>
      <c r="S7" s="120"/>
      <c r="T7" s="120"/>
      <c r="U7" s="120"/>
      <c r="V7" s="120"/>
      <c r="W7" s="121"/>
      <c r="X7" s="122"/>
      <c r="Y7" s="26"/>
    </row>
    <row r="8" spans="1:33" ht="14.4">
      <c r="A8" s="92">
        <v>3</v>
      </c>
      <c r="B8" s="97" t="s">
        <v>155</v>
      </c>
      <c r="C8" s="122">
        <v>-123</v>
      </c>
      <c r="D8" s="122">
        <v>-115</v>
      </c>
      <c r="E8" s="122">
        <v>-105</v>
      </c>
      <c r="F8" s="122">
        <v>-95</v>
      </c>
      <c r="G8" s="122">
        <v>-85</v>
      </c>
      <c r="H8" s="122">
        <v>-75</v>
      </c>
      <c r="I8" s="122">
        <v>-65</v>
      </c>
      <c r="J8" s="122">
        <v>-55</v>
      </c>
      <c r="K8" s="122">
        <v>-45</v>
      </c>
      <c r="L8" s="122">
        <v>-35</v>
      </c>
      <c r="M8" s="122">
        <v>-25</v>
      </c>
      <c r="N8" s="122">
        <v>-15</v>
      </c>
      <c r="O8" s="122">
        <v>-5</v>
      </c>
      <c r="P8" s="122">
        <v>5</v>
      </c>
      <c r="Q8" s="122">
        <v>15</v>
      </c>
      <c r="R8" s="122">
        <v>25</v>
      </c>
      <c r="S8" s="122">
        <v>35</v>
      </c>
      <c r="T8" s="122">
        <v>45</v>
      </c>
      <c r="U8" s="122">
        <v>55</v>
      </c>
      <c r="V8" s="122">
        <v>65</v>
      </c>
      <c r="W8" s="123">
        <v>75</v>
      </c>
      <c r="X8" s="122"/>
    </row>
    <row r="9" spans="1:33" ht="14.4">
      <c r="A9" s="92">
        <v>3</v>
      </c>
      <c r="B9" s="97" t="s">
        <v>156</v>
      </c>
      <c r="C9" s="122">
        <v>-123</v>
      </c>
      <c r="D9" s="122">
        <v>-115</v>
      </c>
      <c r="E9" s="122">
        <v>-105</v>
      </c>
      <c r="F9" s="122">
        <v>-95</v>
      </c>
      <c r="G9" s="122">
        <v>-85</v>
      </c>
      <c r="H9" s="122">
        <v>-75</v>
      </c>
      <c r="I9" s="122">
        <v>-65</v>
      </c>
      <c r="J9" s="122">
        <v>-55</v>
      </c>
      <c r="K9" s="122">
        <v>-45</v>
      </c>
      <c r="L9" s="122">
        <v>-35</v>
      </c>
      <c r="M9" s="122">
        <v>-25</v>
      </c>
      <c r="N9" s="122">
        <v>-15</v>
      </c>
      <c r="O9" s="122">
        <v>-5</v>
      </c>
      <c r="P9" s="122">
        <v>5</v>
      </c>
      <c r="Q9" s="122">
        <v>15</v>
      </c>
      <c r="R9" s="122">
        <v>25</v>
      </c>
      <c r="S9" s="122">
        <v>35</v>
      </c>
      <c r="T9" s="122">
        <v>45</v>
      </c>
      <c r="U9" s="122">
        <v>55</v>
      </c>
      <c r="V9" s="122">
        <v>65</v>
      </c>
      <c r="W9" s="123">
        <v>75</v>
      </c>
      <c r="X9" s="122"/>
      <c r="Y9" s="26"/>
      <c r="Z9" s="26"/>
      <c r="AA9" s="26"/>
      <c r="AB9" s="26"/>
      <c r="AC9" s="26"/>
      <c r="AD9" s="26"/>
      <c r="AE9" s="26"/>
      <c r="AF9" s="26"/>
      <c r="AG9" s="26"/>
    </row>
    <row r="10" spans="1:33" ht="14.4">
      <c r="A10" s="92">
        <v>3</v>
      </c>
      <c r="B10" s="97" t="s">
        <v>157</v>
      </c>
      <c r="C10" s="122">
        <v>-123</v>
      </c>
      <c r="D10" s="122">
        <v>-115</v>
      </c>
      <c r="E10" s="122">
        <v>-105</v>
      </c>
      <c r="F10" s="122">
        <v>-95</v>
      </c>
      <c r="G10" s="122">
        <v>-85</v>
      </c>
      <c r="H10" s="122">
        <v>-75</v>
      </c>
      <c r="I10" s="122">
        <v>-65</v>
      </c>
      <c r="J10" s="122">
        <v>-55</v>
      </c>
      <c r="K10" s="122">
        <v>-45</v>
      </c>
      <c r="L10" s="122">
        <v>-35</v>
      </c>
      <c r="M10" s="122">
        <v>-25</v>
      </c>
      <c r="N10" s="122">
        <v>-15</v>
      </c>
      <c r="O10" s="122">
        <v>-5</v>
      </c>
      <c r="P10" s="122">
        <v>5</v>
      </c>
      <c r="Q10" s="122">
        <v>15</v>
      </c>
      <c r="R10" s="122">
        <v>25</v>
      </c>
      <c r="S10" s="122">
        <v>35</v>
      </c>
      <c r="T10" s="122">
        <v>45</v>
      </c>
      <c r="U10" s="122">
        <v>55</v>
      </c>
      <c r="V10" s="122">
        <v>65</v>
      </c>
      <c r="W10" s="123">
        <v>75</v>
      </c>
      <c r="X10" s="90"/>
    </row>
    <row r="11" spans="1:33" ht="14.4">
      <c r="A11" s="92">
        <v>3</v>
      </c>
      <c r="B11" s="97" t="s">
        <v>158</v>
      </c>
      <c r="C11" s="122">
        <v>-123</v>
      </c>
      <c r="D11" s="122">
        <v>-115</v>
      </c>
      <c r="E11" s="122">
        <v>-105</v>
      </c>
      <c r="F11" s="122">
        <v>-95</v>
      </c>
      <c r="G11" s="122">
        <v>-85</v>
      </c>
      <c r="H11" s="122">
        <v>-75</v>
      </c>
      <c r="I11" s="122">
        <v>-65</v>
      </c>
      <c r="J11" s="122">
        <v>-55</v>
      </c>
      <c r="K11" s="122">
        <v>-45</v>
      </c>
      <c r="L11" s="122">
        <v>-35</v>
      </c>
      <c r="M11" s="122">
        <v>-25</v>
      </c>
      <c r="N11" s="122">
        <v>-15</v>
      </c>
      <c r="O11" s="122">
        <v>-5</v>
      </c>
      <c r="P11" s="122">
        <v>5</v>
      </c>
      <c r="Q11" s="122">
        <v>15</v>
      </c>
      <c r="R11" s="122">
        <v>25</v>
      </c>
      <c r="S11" s="122">
        <v>35</v>
      </c>
      <c r="T11" s="122">
        <v>45</v>
      </c>
      <c r="U11" s="90"/>
      <c r="V11" s="90"/>
      <c r="W11" s="128"/>
      <c r="X11" s="90"/>
    </row>
    <row r="12" spans="1:33" ht="14.4">
      <c r="A12" s="92">
        <v>3</v>
      </c>
      <c r="B12" s="97" t="s">
        <v>159</v>
      </c>
      <c r="C12" s="122">
        <v>-123</v>
      </c>
      <c r="D12" s="122">
        <v>-115</v>
      </c>
      <c r="E12" s="122">
        <v>-105</v>
      </c>
      <c r="F12" s="122">
        <v>-95</v>
      </c>
      <c r="G12" s="122">
        <v>-85</v>
      </c>
      <c r="H12" s="122">
        <v>-75</v>
      </c>
      <c r="I12" s="122">
        <v>-65</v>
      </c>
      <c r="J12" s="122">
        <v>-55</v>
      </c>
      <c r="K12" s="122">
        <v>-45</v>
      </c>
      <c r="L12" s="122">
        <v>-35</v>
      </c>
      <c r="M12" s="122">
        <v>-25</v>
      </c>
      <c r="N12" s="122">
        <v>-15</v>
      </c>
      <c r="O12" s="122">
        <v>-5</v>
      </c>
      <c r="P12" s="122">
        <v>5</v>
      </c>
      <c r="Q12" s="122">
        <v>15</v>
      </c>
      <c r="R12" s="122">
        <v>25</v>
      </c>
      <c r="S12" s="122">
        <v>35</v>
      </c>
      <c r="T12" s="122">
        <v>45</v>
      </c>
      <c r="U12" s="90"/>
      <c r="V12" s="90"/>
      <c r="W12" s="128"/>
      <c r="X12" s="90"/>
    </row>
    <row r="13" spans="1:33" ht="14.4">
      <c r="A13" s="92">
        <v>3</v>
      </c>
      <c r="B13" s="97" t="s">
        <v>160</v>
      </c>
      <c r="C13" s="122">
        <v>-123</v>
      </c>
      <c r="D13" s="122">
        <v>-115</v>
      </c>
      <c r="E13" s="122">
        <v>-105</v>
      </c>
      <c r="F13" s="122">
        <v>-95</v>
      </c>
      <c r="G13" s="122">
        <v>-85</v>
      </c>
      <c r="H13" s="122">
        <v>-75</v>
      </c>
      <c r="I13" s="122">
        <v>-65</v>
      </c>
      <c r="J13" s="122">
        <v>-55</v>
      </c>
      <c r="K13" s="122">
        <v>-45</v>
      </c>
      <c r="L13" s="122">
        <v>-35</v>
      </c>
      <c r="M13" s="122">
        <v>-25</v>
      </c>
      <c r="N13" s="122">
        <v>-15</v>
      </c>
      <c r="O13" s="122">
        <v>-5</v>
      </c>
      <c r="P13" s="122">
        <v>5</v>
      </c>
      <c r="Q13" s="122">
        <v>15</v>
      </c>
      <c r="R13" s="122">
        <v>25</v>
      </c>
      <c r="S13" s="122">
        <v>35</v>
      </c>
      <c r="T13" s="122">
        <v>45</v>
      </c>
      <c r="U13" s="90"/>
      <c r="V13" s="90"/>
      <c r="W13" s="128"/>
      <c r="X13" s="90"/>
    </row>
    <row r="14" spans="1:33" ht="14.4">
      <c r="A14" s="92">
        <v>3</v>
      </c>
      <c r="B14" s="97" t="s">
        <v>161</v>
      </c>
      <c r="C14" s="122">
        <v>-123</v>
      </c>
      <c r="D14" s="122">
        <v>-115</v>
      </c>
      <c r="E14" s="122">
        <v>-105</v>
      </c>
      <c r="F14" s="122">
        <v>-95</v>
      </c>
      <c r="G14" s="122">
        <v>-85</v>
      </c>
      <c r="H14" s="122">
        <v>-75</v>
      </c>
      <c r="I14" s="122">
        <v>-65</v>
      </c>
      <c r="J14" s="122">
        <v>-55</v>
      </c>
      <c r="K14" s="122">
        <v>-45</v>
      </c>
      <c r="L14" s="122">
        <v>-35</v>
      </c>
      <c r="M14" s="122">
        <v>-25</v>
      </c>
      <c r="N14" s="122">
        <v>-15</v>
      </c>
      <c r="O14" s="122">
        <v>-5</v>
      </c>
      <c r="P14" s="155">
        <v>5</v>
      </c>
      <c r="Q14" s="155">
        <v>15</v>
      </c>
      <c r="R14" s="155">
        <v>25</v>
      </c>
      <c r="S14" s="155">
        <v>35</v>
      </c>
      <c r="T14" s="155">
        <v>45</v>
      </c>
      <c r="U14" s="129"/>
      <c r="V14" s="129"/>
      <c r="W14" s="130"/>
      <c r="X14" s="90"/>
    </row>
    <row r="15" spans="1:33" ht="14.4">
      <c r="A15" s="139">
        <v>4</v>
      </c>
      <c r="B15" s="140">
        <v>1</v>
      </c>
      <c r="C15" s="181">
        <v>60</v>
      </c>
      <c r="D15" s="181">
        <v>65</v>
      </c>
      <c r="E15" s="181">
        <v>70</v>
      </c>
      <c r="F15" s="181">
        <v>75</v>
      </c>
      <c r="G15" s="181">
        <v>80</v>
      </c>
      <c r="H15" s="181">
        <v>85</v>
      </c>
      <c r="I15" s="181">
        <v>90</v>
      </c>
      <c r="J15" s="181">
        <v>95</v>
      </c>
      <c r="K15" s="181">
        <v>100</v>
      </c>
      <c r="L15" s="181">
        <v>105</v>
      </c>
      <c r="M15" s="181">
        <v>110</v>
      </c>
      <c r="N15" s="181">
        <v>115</v>
      </c>
      <c r="O15" s="182">
        <v>120</v>
      </c>
      <c r="P15" s="122"/>
      <c r="Q15" s="124"/>
      <c r="R15" s="124"/>
      <c r="S15" s="124"/>
      <c r="T15" s="90"/>
      <c r="U15" s="90"/>
      <c r="V15" s="90"/>
      <c r="W15" s="90"/>
    </row>
    <row r="16" spans="1:33" ht="14.4">
      <c r="A16" s="93">
        <v>5</v>
      </c>
      <c r="B16" s="94">
        <v>1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26"/>
      <c r="Q16" s="27"/>
      <c r="R16" s="27"/>
      <c r="S16" s="27"/>
    </row>
    <row r="17" spans="1:39" ht="14.4">
      <c r="A17" s="93">
        <v>6</v>
      </c>
      <c r="B17" s="187">
        <v>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27"/>
      <c r="S17" s="27"/>
    </row>
    <row r="18" spans="1:39" ht="14.4">
      <c r="A18" s="92">
        <v>6</v>
      </c>
      <c r="B18" s="188">
        <v>2</v>
      </c>
      <c r="C18" s="26"/>
      <c r="D18" s="26"/>
      <c r="E18" s="26"/>
      <c r="F18" s="26"/>
      <c r="G18" s="26"/>
      <c r="H18" s="26"/>
      <c r="I18" s="159"/>
      <c r="J18" s="26"/>
      <c r="K18" s="26"/>
      <c r="L18" s="26"/>
      <c r="M18" s="26"/>
      <c r="N18" s="26"/>
      <c r="O18" s="26"/>
      <c r="P18" s="26"/>
      <c r="Q18" s="27"/>
      <c r="R18" s="27"/>
      <c r="S18" s="27"/>
    </row>
    <row r="19" spans="1:39" ht="14.4">
      <c r="A19" s="92">
        <v>6</v>
      </c>
      <c r="B19" s="188">
        <v>3</v>
      </c>
      <c r="C19" s="26"/>
      <c r="D19" s="26"/>
      <c r="E19" s="26"/>
      <c r="F19" s="26"/>
      <c r="G19" s="26"/>
      <c r="H19" s="26"/>
      <c r="I19" s="159"/>
      <c r="J19" s="26"/>
      <c r="K19" s="26"/>
      <c r="L19" s="26"/>
      <c r="M19" s="26"/>
      <c r="N19" s="26"/>
      <c r="O19" s="26"/>
      <c r="P19" s="26"/>
      <c r="Q19" s="27"/>
      <c r="R19" s="27"/>
      <c r="S19" s="27"/>
    </row>
    <row r="20" spans="1:39" ht="14.4">
      <c r="A20" s="92">
        <v>6</v>
      </c>
      <c r="B20" s="188">
        <v>4</v>
      </c>
      <c r="C20" s="26"/>
      <c r="D20" s="26"/>
      <c r="E20" s="26"/>
      <c r="F20" s="26"/>
      <c r="G20" s="26"/>
      <c r="H20" s="26"/>
      <c r="I20" s="159"/>
      <c r="J20" s="26"/>
      <c r="K20" s="26"/>
      <c r="L20" s="26"/>
      <c r="M20" s="26"/>
      <c r="N20" s="26"/>
      <c r="O20" s="26"/>
      <c r="P20" s="26"/>
      <c r="Q20" s="27"/>
      <c r="R20" s="27"/>
      <c r="S20" s="27"/>
    </row>
    <row r="21" spans="1:39" ht="14.4">
      <c r="A21" s="92">
        <v>6</v>
      </c>
      <c r="B21" s="97">
        <v>5</v>
      </c>
      <c r="C21" s="26"/>
      <c r="D21" s="26"/>
      <c r="E21" s="26"/>
      <c r="F21" s="26"/>
      <c r="G21" s="26"/>
      <c r="H21" s="26"/>
      <c r="I21" s="159"/>
      <c r="J21" s="26"/>
      <c r="K21" s="26"/>
      <c r="L21" s="26"/>
      <c r="M21" s="26"/>
      <c r="N21" s="26"/>
      <c r="O21" s="26"/>
      <c r="P21" s="26"/>
      <c r="Q21" s="27"/>
      <c r="R21" s="27"/>
      <c r="S21" s="27"/>
    </row>
    <row r="22" spans="1:39" ht="14.4">
      <c r="A22" s="92">
        <v>6</v>
      </c>
      <c r="B22" s="97">
        <v>6</v>
      </c>
      <c r="C22" s="26"/>
      <c r="D22" s="26"/>
      <c r="E22" s="26"/>
      <c r="F22" s="26"/>
      <c r="G22" s="26"/>
      <c r="H22" s="26"/>
      <c r="I22" s="159"/>
      <c r="J22" s="26"/>
      <c r="K22" s="26"/>
      <c r="L22" s="26"/>
      <c r="M22" s="26"/>
      <c r="N22" s="26"/>
      <c r="O22" s="26"/>
      <c r="P22" s="26"/>
      <c r="Q22" s="27"/>
      <c r="R22" s="27"/>
      <c r="S22" s="27"/>
    </row>
    <row r="23" spans="1:39" ht="14.4">
      <c r="A23" s="92">
        <v>6</v>
      </c>
      <c r="B23" s="97">
        <v>7</v>
      </c>
      <c r="C23" s="122"/>
      <c r="D23" s="122"/>
      <c r="E23" s="122"/>
      <c r="F23" s="122"/>
      <c r="G23" s="122"/>
      <c r="H23" s="122"/>
      <c r="I23" s="216"/>
      <c r="J23" s="122"/>
      <c r="K23" s="122"/>
      <c r="L23" s="122"/>
      <c r="M23" s="122"/>
      <c r="N23" s="122"/>
      <c r="O23" s="122"/>
      <c r="P23" s="122"/>
      <c r="Q23" s="124"/>
      <c r="R23" s="124"/>
      <c r="S23" s="124"/>
      <c r="T23" s="90"/>
      <c r="U23" s="90"/>
      <c r="V23" s="90"/>
      <c r="W23" s="90"/>
    </row>
    <row r="24" spans="1:39" s="107" customFormat="1" ht="14.4">
      <c r="A24" s="93">
        <v>7</v>
      </c>
      <c r="B24" s="187">
        <v>1</v>
      </c>
      <c r="C24" s="120">
        <v>100</v>
      </c>
      <c r="D24" s="120">
        <v>105</v>
      </c>
      <c r="E24" s="120">
        <v>110</v>
      </c>
      <c r="F24" s="120">
        <v>115</v>
      </c>
      <c r="G24" s="120">
        <v>120</v>
      </c>
      <c r="H24" s="120">
        <v>125</v>
      </c>
      <c r="I24" s="212">
        <v>130</v>
      </c>
      <c r="J24" s="120">
        <v>135</v>
      </c>
      <c r="K24" s="120">
        <v>140</v>
      </c>
      <c r="L24" s="120">
        <v>145</v>
      </c>
      <c r="M24" s="120">
        <v>150</v>
      </c>
      <c r="N24" s="120">
        <v>155</v>
      </c>
      <c r="O24" s="120">
        <v>160</v>
      </c>
      <c r="P24" s="120">
        <v>165</v>
      </c>
      <c r="Q24" s="120">
        <v>170</v>
      </c>
      <c r="R24" s="120">
        <v>175</v>
      </c>
      <c r="S24" s="120">
        <v>180</v>
      </c>
      <c r="T24" s="213"/>
      <c r="U24" s="213"/>
      <c r="V24" s="213"/>
      <c r="W24" s="214"/>
      <c r="X24" s="114"/>
    </row>
    <row r="25" spans="1:39" ht="14.4">
      <c r="A25" s="92">
        <v>7</v>
      </c>
      <c r="B25" s="188">
        <v>2</v>
      </c>
      <c r="C25" s="122">
        <v>100</v>
      </c>
      <c r="D25" s="122">
        <v>105</v>
      </c>
      <c r="E25" s="122">
        <v>110</v>
      </c>
      <c r="F25" s="122">
        <v>115</v>
      </c>
      <c r="G25" s="122">
        <v>120</v>
      </c>
      <c r="H25" s="122">
        <v>125</v>
      </c>
      <c r="I25" s="215">
        <v>130</v>
      </c>
      <c r="J25" s="122">
        <v>135</v>
      </c>
      <c r="K25" s="122">
        <v>140</v>
      </c>
      <c r="L25" s="122">
        <v>145</v>
      </c>
      <c r="M25" s="122">
        <v>150</v>
      </c>
      <c r="N25" s="122">
        <v>155</v>
      </c>
      <c r="O25" s="122">
        <v>160</v>
      </c>
      <c r="P25" s="122">
        <v>165</v>
      </c>
      <c r="Q25" s="122">
        <v>170</v>
      </c>
      <c r="R25" s="122">
        <v>175</v>
      </c>
      <c r="S25" s="122">
        <v>180</v>
      </c>
      <c r="T25" s="122">
        <v>185</v>
      </c>
      <c r="U25" s="122">
        <v>190</v>
      </c>
      <c r="V25" s="122">
        <v>195</v>
      </c>
      <c r="W25" s="123">
        <v>200</v>
      </c>
      <c r="X25" s="122"/>
    </row>
    <row r="26" spans="1:39" ht="14.4">
      <c r="A26" s="92">
        <v>7</v>
      </c>
      <c r="B26" s="188">
        <v>3</v>
      </c>
      <c r="C26" s="122">
        <v>100</v>
      </c>
      <c r="D26" s="122">
        <v>105</v>
      </c>
      <c r="E26" s="122">
        <v>110</v>
      </c>
      <c r="F26" s="122">
        <v>115</v>
      </c>
      <c r="G26" s="122">
        <v>120</v>
      </c>
      <c r="H26" s="122">
        <v>125</v>
      </c>
      <c r="I26" s="215">
        <v>130</v>
      </c>
      <c r="J26" s="122">
        <v>135</v>
      </c>
      <c r="K26" s="122">
        <v>140</v>
      </c>
      <c r="L26" s="122">
        <v>145</v>
      </c>
      <c r="M26" s="122">
        <v>150</v>
      </c>
      <c r="N26" s="122">
        <v>155</v>
      </c>
      <c r="O26" s="122">
        <v>160</v>
      </c>
      <c r="P26" s="122">
        <v>165</v>
      </c>
      <c r="Q26" s="122">
        <v>170</v>
      </c>
      <c r="R26" s="122">
        <v>175</v>
      </c>
      <c r="S26" s="122">
        <v>180</v>
      </c>
      <c r="T26" s="122">
        <v>185</v>
      </c>
      <c r="U26" s="122">
        <v>190</v>
      </c>
      <c r="V26" s="122">
        <v>195</v>
      </c>
      <c r="W26" s="123">
        <v>200</v>
      </c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</row>
    <row r="27" spans="1:39" ht="14.4">
      <c r="A27" s="93">
        <v>8</v>
      </c>
      <c r="B27" s="187">
        <v>1</v>
      </c>
      <c r="C27" s="120">
        <v>-65</v>
      </c>
      <c r="D27" s="120">
        <v>-60</v>
      </c>
      <c r="E27" s="120">
        <v>-55</v>
      </c>
      <c r="F27" s="120">
        <v>-50</v>
      </c>
      <c r="G27" s="120">
        <v>-45</v>
      </c>
      <c r="H27" s="120">
        <v>-40</v>
      </c>
      <c r="I27" s="212">
        <v>-35</v>
      </c>
      <c r="J27" s="120">
        <v>-30</v>
      </c>
      <c r="K27" s="120">
        <v>-25</v>
      </c>
      <c r="L27" s="120">
        <v>-20</v>
      </c>
      <c r="M27" s="120">
        <v>-15</v>
      </c>
      <c r="N27" s="120">
        <v>-10</v>
      </c>
      <c r="O27" s="120">
        <v>-5</v>
      </c>
      <c r="P27" s="120">
        <v>0</v>
      </c>
      <c r="Q27" s="120">
        <v>5</v>
      </c>
      <c r="R27" s="120">
        <v>10</v>
      </c>
      <c r="S27" s="120">
        <v>15</v>
      </c>
      <c r="T27" s="120">
        <v>20</v>
      </c>
      <c r="U27" s="120">
        <v>25</v>
      </c>
      <c r="V27" s="120">
        <v>30</v>
      </c>
      <c r="W27" s="120">
        <v>35</v>
      </c>
      <c r="X27" s="95">
        <v>40</v>
      </c>
      <c r="Y27" s="95">
        <v>45</v>
      </c>
      <c r="Z27" s="95">
        <v>50</v>
      </c>
      <c r="AA27" s="95">
        <v>55</v>
      </c>
      <c r="AB27" s="95">
        <v>60</v>
      </c>
      <c r="AC27" s="95">
        <v>65</v>
      </c>
      <c r="AD27" s="95">
        <v>70</v>
      </c>
      <c r="AE27" s="95">
        <v>75</v>
      </c>
      <c r="AF27" s="95">
        <v>80</v>
      </c>
      <c r="AG27" s="95">
        <v>85</v>
      </c>
      <c r="AH27" s="95">
        <v>90</v>
      </c>
      <c r="AI27" s="95">
        <v>95</v>
      </c>
      <c r="AJ27" s="95">
        <v>100</v>
      </c>
      <c r="AK27" s="95">
        <v>105</v>
      </c>
      <c r="AL27" s="115">
        <v>110</v>
      </c>
      <c r="AM27" s="90"/>
    </row>
    <row r="28" spans="1:39" ht="14.4">
      <c r="A28" s="92">
        <v>8</v>
      </c>
      <c r="B28" s="188">
        <v>1</v>
      </c>
      <c r="C28" s="122">
        <v>-65</v>
      </c>
      <c r="D28" s="122">
        <v>-60</v>
      </c>
      <c r="E28" s="122">
        <v>-55</v>
      </c>
      <c r="F28" s="122">
        <v>-50</v>
      </c>
      <c r="G28" s="122">
        <v>-45</v>
      </c>
      <c r="H28" s="122">
        <v>-40</v>
      </c>
      <c r="I28" s="215">
        <v>-35</v>
      </c>
      <c r="J28" s="122">
        <v>-30</v>
      </c>
      <c r="K28" s="122">
        <v>-25</v>
      </c>
      <c r="L28" s="122">
        <v>-20</v>
      </c>
      <c r="M28" s="122">
        <v>-15</v>
      </c>
      <c r="N28" s="122">
        <v>-10</v>
      </c>
      <c r="O28" s="122">
        <v>-5</v>
      </c>
      <c r="P28" s="122">
        <v>0</v>
      </c>
      <c r="Q28" s="122">
        <v>5</v>
      </c>
      <c r="R28" s="122">
        <v>10</v>
      </c>
      <c r="S28" s="122">
        <v>15</v>
      </c>
      <c r="T28" s="122">
        <v>20</v>
      </c>
      <c r="U28" s="122">
        <v>25</v>
      </c>
      <c r="V28" s="122">
        <v>30</v>
      </c>
      <c r="W28" s="122">
        <v>35</v>
      </c>
      <c r="X28" s="96">
        <v>40</v>
      </c>
      <c r="Y28" s="96">
        <v>45</v>
      </c>
      <c r="Z28" s="96">
        <v>50</v>
      </c>
      <c r="AA28" s="96">
        <v>55</v>
      </c>
      <c r="AB28" s="96">
        <v>60</v>
      </c>
      <c r="AC28" s="96">
        <v>65</v>
      </c>
      <c r="AD28" s="96">
        <v>70</v>
      </c>
      <c r="AE28" s="96">
        <v>75</v>
      </c>
      <c r="AF28" s="96">
        <v>80</v>
      </c>
      <c r="AG28" s="96">
        <v>85</v>
      </c>
      <c r="AH28" s="96">
        <v>90</v>
      </c>
      <c r="AI28" s="96">
        <v>95</v>
      </c>
      <c r="AJ28" s="96">
        <v>100</v>
      </c>
      <c r="AK28" s="96">
        <v>105</v>
      </c>
      <c r="AL28" s="117">
        <v>110</v>
      </c>
      <c r="AM28" s="90"/>
    </row>
    <row r="29" spans="1:39" ht="14.4">
      <c r="A29" s="92">
        <v>8</v>
      </c>
      <c r="B29" s="188">
        <v>1</v>
      </c>
      <c r="C29" s="122">
        <v>-65</v>
      </c>
      <c r="D29" s="122">
        <v>-60</v>
      </c>
      <c r="E29" s="122">
        <v>-55</v>
      </c>
      <c r="F29" s="122">
        <v>-50</v>
      </c>
      <c r="G29" s="122">
        <v>-45</v>
      </c>
      <c r="H29" s="122">
        <v>-40</v>
      </c>
      <c r="I29" s="215">
        <v>-35</v>
      </c>
      <c r="J29" s="122">
        <v>-30</v>
      </c>
      <c r="K29" s="122">
        <v>-25</v>
      </c>
      <c r="L29" s="122">
        <v>-20</v>
      </c>
      <c r="M29" s="122">
        <v>-15</v>
      </c>
      <c r="N29" s="122">
        <v>-10</v>
      </c>
      <c r="O29" s="122">
        <v>-5</v>
      </c>
      <c r="P29" s="122">
        <v>0</v>
      </c>
      <c r="Q29" s="122">
        <v>5</v>
      </c>
      <c r="R29" s="122">
        <v>10</v>
      </c>
      <c r="S29" s="122">
        <v>15</v>
      </c>
      <c r="T29" s="122">
        <v>20</v>
      </c>
      <c r="U29" s="122">
        <v>25</v>
      </c>
      <c r="V29" s="122">
        <v>30</v>
      </c>
      <c r="W29" s="122">
        <v>35</v>
      </c>
      <c r="X29" s="96">
        <v>40</v>
      </c>
      <c r="Y29" s="96">
        <v>45</v>
      </c>
      <c r="Z29" s="96">
        <v>50</v>
      </c>
      <c r="AA29" s="96">
        <v>55</v>
      </c>
      <c r="AB29" s="96">
        <v>60</v>
      </c>
      <c r="AC29" s="96">
        <v>65</v>
      </c>
      <c r="AD29" s="96">
        <v>70</v>
      </c>
      <c r="AE29" s="96">
        <v>75</v>
      </c>
      <c r="AF29" s="96">
        <v>80</v>
      </c>
      <c r="AG29" s="96">
        <v>85</v>
      </c>
      <c r="AH29" s="96">
        <v>90</v>
      </c>
      <c r="AI29" s="96">
        <v>95</v>
      </c>
      <c r="AJ29" s="96">
        <v>100</v>
      </c>
      <c r="AK29" s="96">
        <v>105</v>
      </c>
      <c r="AL29" s="117">
        <v>110</v>
      </c>
      <c r="AM29" s="90"/>
    </row>
    <row r="30" spans="1:39" ht="14.4">
      <c r="A30" s="92">
        <v>8</v>
      </c>
      <c r="B30" s="188">
        <v>1</v>
      </c>
      <c r="C30" s="122">
        <v>-65</v>
      </c>
      <c r="D30" s="122">
        <v>-60</v>
      </c>
      <c r="E30" s="122">
        <v>-55</v>
      </c>
      <c r="F30" s="122">
        <v>-50</v>
      </c>
      <c r="G30" s="122">
        <v>-45</v>
      </c>
      <c r="H30" s="122">
        <v>-40</v>
      </c>
      <c r="I30" s="215">
        <v>-35</v>
      </c>
      <c r="J30" s="122">
        <v>-30</v>
      </c>
      <c r="K30" s="122">
        <v>-25</v>
      </c>
      <c r="L30" s="122">
        <v>-20</v>
      </c>
      <c r="M30" s="122">
        <v>-15</v>
      </c>
      <c r="N30" s="122">
        <v>-10</v>
      </c>
      <c r="O30" s="122">
        <v>-5</v>
      </c>
      <c r="P30" s="122">
        <v>0</v>
      </c>
      <c r="Q30" s="122">
        <v>5</v>
      </c>
      <c r="R30" s="122">
        <v>10</v>
      </c>
      <c r="S30" s="155">
        <v>15</v>
      </c>
      <c r="T30" s="155">
        <v>20</v>
      </c>
      <c r="U30" s="155">
        <v>25</v>
      </c>
      <c r="V30" s="155">
        <v>30</v>
      </c>
      <c r="W30" s="155">
        <v>35</v>
      </c>
      <c r="X30" s="156">
        <v>40</v>
      </c>
      <c r="Y30" s="156">
        <v>45</v>
      </c>
      <c r="Z30" s="156">
        <v>50</v>
      </c>
      <c r="AA30" s="156">
        <v>55</v>
      </c>
      <c r="AB30" s="156">
        <v>60</v>
      </c>
      <c r="AC30" s="156">
        <v>65</v>
      </c>
      <c r="AD30" s="156">
        <v>70</v>
      </c>
      <c r="AE30" s="156">
        <v>75</v>
      </c>
      <c r="AF30" s="156">
        <v>80</v>
      </c>
      <c r="AG30" s="156">
        <v>85</v>
      </c>
      <c r="AH30" s="156">
        <v>90</v>
      </c>
      <c r="AI30" s="156">
        <v>95</v>
      </c>
      <c r="AJ30" s="156">
        <v>100</v>
      </c>
      <c r="AK30" s="156">
        <v>105</v>
      </c>
      <c r="AL30" s="118">
        <v>110</v>
      </c>
      <c r="AM30" s="90"/>
    </row>
    <row r="31" spans="1:39" s="3" customFormat="1" ht="13.8">
      <c r="A31" s="93">
        <v>9</v>
      </c>
      <c r="B31" s="187">
        <v>1</v>
      </c>
      <c r="C31" s="120">
        <v>-95</v>
      </c>
      <c r="D31" s="120">
        <v>-75</v>
      </c>
      <c r="E31" s="120">
        <v>-55</v>
      </c>
      <c r="F31" s="120">
        <v>-35</v>
      </c>
      <c r="G31" s="120">
        <v>-15</v>
      </c>
      <c r="H31" s="120">
        <v>5</v>
      </c>
      <c r="I31" s="212">
        <v>25</v>
      </c>
      <c r="J31" s="120">
        <v>45</v>
      </c>
      <c r="K31" s="120">
        <v>65</v>
      </c>
      <c r="L31" s="120">
        <v>85</v>
      </c>
      <c r="M31" s="120">
        <v>105</v>
      </c>
      <c r="N31" s="120">
        <v>125</v>
      </c>
      <c r="O31" s="120">
        <v>145</v>
      </c>
      <c r="P31" s="120">
        <v>165</v>
      </c>
      <c r="Q31" s="120">
        <v>175</v>
      </c>
      <c r="R31" s="121">
        <v>180</v>
      </c>
      <c r="S31" s="122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</row>
    <row r="32" spans="1:39" ht="14.4">
      <c r="A32" s="92">
        <v>9</v>
      </c>
      <c r="B32" s="188">
        <v>2</v>
      </c>
      <c r="C32" s="122">
        <v>-95</v>
      </c>
      <c r="D32" s="122">
        <v>-75</v>
      </c>
      <c r="E32" s="122">
        <v>-55</v>
      </c>
      <c r="F32" s="122">
        <v>-35</v>
      </c>
      <c r="G32" s="122">
        <v>-15</v>
      </c>
      <c r="H32" s="122">
        <v>5</v>
      </c>
      <c r="I32" s="215">
        <v>25</v>
      </c>
      <c r="J32" s="122">
        <v>45</v>
      </c>
      <c r="K32" s="122">
        <v>65</v>
      </c>
      <c r="L32" s="122">
        <v>85</v>
      </c>
      <c r="M32" s="122">
        <v>105</v>
      </c>
      <c r="N32" s="122">
        <v>125</v>
      </c>
      <c r="O32" s="122">
        <v>145</v>
      </c>
      <c r="P32" s="122">
        <v>165</v>
      </c>
      <c r="Q32" s="122">
        <v>175</v>
      </c>
      <c r="R32" s="123">
        <v>180</v>
      </c>
      <c r="S32" s="124"/>
    </row>
    <row r="33" spans="1:23" ht="14.4">
      <c r="A33" s="92">
        <v>9</v>
      </c>
      <c r="B33" s="188">
        <v>3</v>
      </c>
      <c r="C33" s="122">
        <v>-95</v>
      </c>
      <c r="D33" s="122">
        <v>-75</v>
      </c>
      <c r="E33" s="122">
        <v>-55</v>
      </c>
      <c r="F33" s="122">
        <v>-35</v>
      </c>
      <c r="G33" s="122">
        <v>-15</v>
      </c>
      <c r="H33" s="122">
        <v>5</v>
      </c>
      <c r="I33" s="215">
        <v>25</v>
      </c>
      <c r="J33" s="122">
        <v>45</v>
      </c>
      <c r="K33" s="122">
        <v>65</v>
      </c>
      <c r="L33" s="122">
        <v>85</v>
      </c>
      <c r="M33" s="122">
        <v>105</v>
      </c>
      <c r="N33" s="122">
        <v>125</v>
      </c>
      <c r="O33" s="122">
        <v>145</v>
      </c>
      <c r="P33" s="122">
        <v>165</v>
      </c>
      <c r="Q33" s="122">
        <v>175</v>
      </c>
      <c r="R33" s="231"/>
      <c r="S33" s="124"/>
    </row>
    <row r="34" spans="1:23" ht="14.4">
      <c r="A34" s="92">
        <v>9</v>
      </c>
      <c r="B34" s="188">
        <v>4</v>
      </c>
      <c r="C34" s="122">
        <v>-95</v>
      </c>
      <c r="D34" s="122">
        <v>-75</v>
      </c>
      <c r="E34" s="122">
        <v>-55</v>
      </c>
      <c r="F34" s="122">
        <v>-35</v>
      </c>
      <c r="G34" s="122">
        <v>-15</v>
      </c>
      <c r="H34" s="122">
        <v>5</v>
      </c>
      <c r="I34" s="215">
        <v>25</v>
      </c>
      <c r="J34" s="122">
        <v>45</v>
      </c>
      <c r="K34" s="122">
        <v>65</v>
      </c>
      <c r="L34" s="122">
        <v>85</v>
      </c>
      <c r="M34" s="122">
        <v>105</v>
      </c>
      <c r="N34" s="122">
        <v>125</v>
      </c>
      <c r="O34" s="122">
        <v>145</v>
      </c>
      <c r="P34" s="122">
        <v>165</v>
      </c>
      <c r="Q34" s="122">
        <v>175</v>
      </c>
      <c r="R34" s="123">
        <v>180</v>
      </c>
      <c r="S34" s="124"/>
    </row>
    <row r="35" spans="1:23" ht="14.4">
      <c r="A35" s="92">
        <v>9</v>
      </c>
      <c r="B35" s="188">
        <v>5</v>
      </c>
      <c r="C35" s="122">
        <v>-95</v>
      </c>
      <c r="D35" s="122">
        <v>-75</v>
      </c>
      <c r="E35" s="122">
        <v>-55</v>
      </c>
      <c r="F35" s="122">
        <v>-35</v>
      </c>
      <c r="G35" s="122">
        <v>-15</v>
      </c>
      <c r="H35" s="122">
        <v>5</v>
      </c>
      <c r="I35" s="215">
        <v>25</v>
      </c>
      <c r="J35" s="122">
        <v>45</v>
      </c>
      <c r="K35" s="122">
        <v>55</v>
      </c>
      <c r="L35" s="122"/>
      <c r="M35" s="122"/>
      <c r="N35" s="122"/>
      <c r="O35" s="122"/>
      <c r="P35" s="122"/>
      <c r="Q35" s="124"/>
      <c r="R35" s="231"/>
      <c r="S35" s="124"/>
    </row>
    <row r="36" spans="1:23" ht="14.4">
      <c r="A36" s="92">
        <v>9</v>
      </c>
      <c r="B36" s="188">
        <v>6</v>
      </c>
      <c r="C36" s="122">
        <v>-95</v>
      </c>
      <c r="D36" s="122">
        <v>-75</v>
      </c>
      <c r="E36" s="122">
        <v>-55</v>
      </c>
      <c r="F36" s="122">
        <v>-35</v>
      </c>
      <c r="G36" s="122">
        <v>-15</v>
      </c>
      <c r="H36" s="122">
        <v>5</v>
      </c>
      <c r="I36" s="215">
        <v>25</v>
      </c>
      <c r="J36" s="122">
        <v>45</v>
      </c>
      <c r="K36" s="122">
        <v>55</v>
      </c>
      <c r="L36" s="122"/>
      <c r="M36" s="122"/>
      <c r="N36" s="122"/>
      <c r="O36" s="122"/>
      <c r="P36" s="122"/>
      <c r="Q36" s="124"/>
      <c r="R36" s="231"/>
      <c r="S36" s="124"/>
    </row>
    <row r="37" spans="1:23" ht="14.4">
      <c r="A37" s="92">
        <v>9</v>
      </c>
      <c r="B37" s="188">
        <v>7</v>
      </c>
      <c r="C37" s="122">
        <v>-95</v>
      </c>
      <c r="D37" s="122">
        <v>-75</v>
      </c>
      <c r="E37" s="122">
        <v>-55</v>
      </c>
      <c r="F37" s="122">
        <v>-35</v>
      </c>
      <c r="G37" s="122">
        <v>-15</v>
      </c>
      <c r="H37" s="122">
        <v>5</v>
      </c>
      <c r="I37" s="215">
        <v>25</v>
      </c>
      <c r="J37" s="122">
        <v>45</v>
      </c>
      <c r="K37" s="122">
        <v>55</v>
      </c>
      <c r="L37" s="122"/>
      <c r="M37" s="122"/>
      <c r="N37" s="122"/>
      <c r="O37" s="122"/>
      <c r="P37" s="122"/>
      <c r="Q37" s="124"/>
      <c r="R37" s="231"/>
      <c r="S37" s="124"/>
    </row>
    <row r="38" spans="1:23" ht="14.4">
      <c r="A38" s="239">
        <v>10</v>
      </c>
      <c r="B38" s="94">
        <v>1</v>
      </c>
      <c r="C38" s="120">
        <v>-120</v>
      </c>
      <c r="D38" s="120">
        <v>-110</v>
      </c>
      <c r="E38" s="120">
        <v>-100</v>
      </c>
      <c r="F38" s="120">
        <v>-90</v>
      </c>
      <c r="G38" s="120">
        <v>-80</v>
      </c>
      <c r="H38" s="120">
        <v>-70</v>
      </c>
      <c r="I38" s="120">
        <v>-60</v>
      </c>
      <c r="J38" s="120">
        <v>-50</v>
      </c>
      <c r="K38" s="120">
        <v>-40</v>
      </c>
      <c r="L38" s="120">
        <v>-30</v>
      </c>
      <c r="M38" s="120">
        <v>-20</v>
      </c>
      <c r="N38" s="120">
        <v>-10</v>
      </c>
      <c r="O38" s="120">
        <v>0</v>
      </c>
      <c r="P38" s="120">
        <v>10</v>
      </c>
      <c r="Q38" s="120">
        <v>20</v>
      </c>
      <c r="R38" s="120">
        <v>30</v>
      </c>
      <c r="S38" s="121">
        <v>40</v>
      </c>
      <c r="T38" s="90"/>
      <c r="U38" s="90"/>
      <c r="V38" s="90"/>
    </row>
    <row r="39" spans="1:23" ht="14.4">
      <c r="A39" s="103">
        <v>11</v>
      </c>
      <c r="B39" s="140">
        <v>1</v>
      </c>
      <c r="C39" s="181">
        <v>-125</v>
      </c>
      <c r="D39" s="181">
        <v>-115</v>
      </c>
      <c r="E39" s="181">
        <v>-105</v>
      </c>
      <c r="F39" s="181">
        <v>-95</v>
      </c>
      <c r="G39" s="181">
        <v>-85</v>
      </c>
      <c r="H39" s="181">
        <v>-75</v>
      </c>
      <c r="I39" s="181">
        <v>-65</v>
      </c>
      <c r="J39" s="181">
        <v>-55</v>
      </c>
      <c r="K39" s="181">
        <v>-45</v>
      </c>
      <c r="L39" s="181">
        <v>-35</v>
      </c>
      <c r="M39" s="181">
        <v>-25</v>
      </c>
      <c r="N39" s="181">
        <v>-15</v>
      </c>
      <c r="O39" s="181">
        <v>-5</v>
      </c>
      <c r="P39" s="181">
        <v>5</v>
      </c>
      <c r="Q39" s="181">
        <v>15</v>
      </c>
      <c r="R39" s="181">
        <v>25</v>
      </c>
      <c r="S39" s="181">
        <v>35</v>
      </c>
      <c r="T39" s="141">
        <v>45</v>
      </c>
      <c r="U39" s="141">
        <v>55</v>
      </c>
      <c r="V39" s="142">
        <v>65</v>
      </c>
      <c r="W39" s="90"/>
    </row>
    <row r="40" spans="1:23" ht="14.4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4"/>
      <c r="R40" s="124"/>
      <c r="S40" s="124"/>
      <c r="T40" s="90"/>
      <c r="U40" s="90"/>
      <c r="V40" s="90"/>
    </row>
    <row r="41" spans="1:23" ht="14.4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"/>
      <c r="R41" s="27"/>
      <c r="S41" s="27"/>
    </row>
    <row r="42" spans="1:23" ht="14.4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"/>
      <c r="R42" s="27"/>
      <c r="S42" s="27"/>
    </row>
    <row r="43" spans="1:23" ht="14.4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7"/>
      <c r="R43" s="27"/>
      <c r="S43" s="27"/>
    </row>
    <row r="44" spans="1:23" ht="14.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7"/>
      <c r="R44" s="27"/>
      <c r="S44" s="27"/>
    </row>
    <row r="45" spans="1:23" ht="14.4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7"/>
      <c r="R45" s="27"/>
      <c r="S45" s="27"/>
    </row>
    <row r="46" spans="1:23" ht="14.4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7"/>
      <c r="R46" s="27"/>
      <c r="S46" s="27"/>
    </row>
    <row r="47" spans="1:23" ht="14.4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/>
      <c r="R47" s="27"/>
      <c r="S47" s="27"/>
    </row>
    <row r="48" spans="1:23" ht="14.4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7"/>
      <c r="R48" s="27"/>
      <c r="S48" s="27"/>
    </row>
    <row r="49" spans="1:19" ht="14.4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7"/>
      <c r="R49" s="27"/>
      <c r="S49" s="27"/>
    </row>
    <row r="50" spans="1:19" ht="14.4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7"/>
      <c r="R50" s="27"/>
      <c r="S50" s="27"/>
    </row>
    <row r="51" spans="1:19" ht="14.4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/>
      <c r="R51" s="27"/>
      <c r="S51" s="27"/>
    </row>
    <row r="52" spans="1:19" ht="14.4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7"/>
      <c r="R52" s="27"/>
      <c r="S52" s="27"/>
    </row>
    <row r="53" spans="1:19" ht="14.4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7"/>
      <c r="R53" s="27"/>
      <c r="S53" s="27"/>
    </row>
    <row r="54" spans="1:19" ht="14.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7"/>
      <c r="R54" s="27"/>
      <c r="S54" s="27"/>
    </row>
    <row r="55" spans="1:19" ht="14.4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7"/>
      <c r="R55" s="27"/>
      <c r="S55" s="27"/>
    </row>
    <row r="56" spans="1:19" ht="14.4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7"/>
      <c r="S56" s="27"/>
    </row>
    <row r="57" spans="1:19" ht="14.4">
      <c r="A57" s="26"/>
      <c r="B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"/>
      <c r="R57" s="27"/>
      <c r="S57" s="27"/>
    </row>
    <row r="58" spans="1:19" ht="14.4">
      <c r="A58" s="26"/>
      <c r="B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  <c r="R58" s="27"/>
      <c r="S58" s="27"/>
    </row>
    <row r="59" spans="1:19" ht="14.4">
      <c r="A59" s="26"/>
      <c r="B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7"/>
      <c r="R59" s="27"/>
      <c r="S59" s="27"/>
    </row>
    <row r="60" spans="1:19" ht="14.4">
      <c r="A60" s="26"/>
      <c r="B60" s="26"/>
      <c r="I60" s="26"/>
      <c r="J60" s="26"/>
      <c r="K60" s="26"/>
      <c r="L60" s="26"/>
      <c r="M60" s="26"/>
      <c r="N60" s="26"/>
      <c r="O60" s="26"/>
      <c r="P60" s="26"/>
      <c r="Q60" s="27"/>
      <c r="R60" s="27"/>
      <c r="S60" s="27"/>
    </row>
    <row r="61" spans="1:19" ht="14.4">
      <c r="A61" s="26"/>
      <c r="B61" s="26"/>
      <c r="I61" s="26"/>
      <c r="J61" s="26"/>
      <c r="K61" s="26"/>
      <c r="L61" s="26"/>
      <c r="M61" s="26"/>
      <c r="N61" s="26"/>
      <c r="O61" s="26"/>
      <c r="P61" s="26"/>
      <c r="Q61" s="27"/>
      <c r="R61" s="27"/>
      <c r="S61" s="27"/>
    </row>
    <row r="62" spans="1:19" ht="14.4">
      <c r="A62" s="26"/>
      <c r="B62" s="26"/>
      <c r="I62" s="26"/>
      <c r="J62" s="26"/>
      <c r="K62" s="26"/>
      <c r="L62" s="26"/>
      <c r="M62" s="26"/>
      <c r="N62" s="26"/>
      <c r="O62" s="26"/>
      <c r="P62" s="26"/>
      <c r="Q62" s="27"/>
      <c r="R62" s="27"/>
      <c r="S62" s="27"/>
    </row>
    <row r="63" spans="1:19" ht="14.4">
      <c r="A63" s="26"/>
      <c r="B63" s="26"/>
      <c r="I63" s="26"/>
      <c r="J63" s="26"/>
      <c r="K63" s="26"/>
      <c r="L63" s="26"/>
      <c r="M63" s="26"/>
      <c r="N63" s="26"/>
      <c r="O63" s="26"/>
      <c r="P63" s="26"/>
      <c r="Q63" s="27"/>
      <c r="R63" s="27"/>
      <c r="S63" s="27"/>
    </row>
    <row r="64" spans="1:19" ht="14.4">
      <c r="A64" s="26"/>
      <c r="B64" s="26"/>
      <c r="I64" s="26"/>
      <c r="J64" s="26"/>
      <c r="K64" s="26"/>
      <c r="L64" s="26"/>
      <c r="M64" s="26"/>
      <c r="N64" s="26"/>
      <c r="O64" s="26"/>
      <c r="P64" s="26"/>
      <c r="Q64" s="27"/>
      <c r="R64" s="27"/>
      <c r="S64" s="27"/>
    </row>
    <row r="65" spans="1:19" ht="14.4">
      <c r="A65" s="26"/>
      <c r="B65" s="26"/>
      <c r="I65" s="26"/>
      <c r="J65" s="26"/>
      <c r="K65" s="26"/>
      <c r="L65" s="26"/>
      <c r="M65" s="26"/>
      <c r="N65" s="26"/>
      <c r="O65" s="26"/>
      <c r="P65" s="26"/>
      <c r="Q65" s="27"/>
      <c r="R65" s="27"/>
      <c r="S65" s="27"/>
    </row>
    <row r="66" spans="1:19" ht="14.4">
      <c r="A66" s="26"/>
      <c r="B66" s="26"/>
      <c r="I66" s="26"/>
      <c r="J66" s="26"/>
      <c r="K66" s="26"/>
      <c r="L66" s="26"/>
      <c r="M66" s="26"/>
      <c r="N66" s="26"/>
      <c r="O66" s="26"/>
      <c r="P66" s="26"/>
      <c r="Q66" s="27"/>
      <c r="R66" s="27"/>
      <c r="S66" s="27"/>
    </row>
    <row r="67" spans="1:19" ht="14.4">
      <c r="A67" s="26"/>
      <c r="B67" s="26"/>
      <c r="I67" s="26"/>
      <c r="J67" s="26"/>
      <c r="K67" s="26"/>
      <c r="L67" s="26"/>
      <c r="M67" s="26"/>
      <c r="N67" s="26"/>
      <c r="O67" s="26"/>
      <c r="P67" s="26"/>
      <c r="Q67" s="27"/>
      <c r="R67" s="27"/>
      <c r="S67" s="27"/>
    </row>
    <row r="68" spans="1:19" ht="14.4">
      <c r="A68" s="26"/>
      <c r="B68" s="26"/>
      <c r="I68" s="26"/>
      <c r="J68" s="26"/>
      <c r="K68" s="26"/>
      <c r="L68" s="26"/>
      <c r="M68" s="26"/>
      <c r="N68" s="26"/>
      <c r="O68" s="26"/>
      <c r="P68" s="26"/>
      <c r="Q68" s="27"/>
      <c r="R68" s="27"/>
      <c r="S68" s="27"/>
    </row>
    <row r="69" spans="1:19" ht="14.4">
      <c r="A69" s="26"/>
      <c r="B69" s="26"/>
      <c r="I69" s="26"/>
      <c r="J69" s="26"/>
      <c r="K69" s="26"/>
      <c r="L69" s="26"/>
      <c r="M69" s="26"/>
      <c r="N69" s="26"/>
      <c r="O69" s="26"/>
      <c r="P69" s="26"/>
      <c r="Q69" s="27"/>
      <c r="R69" s="27"/>
      <c r="S69" s="27"/>
    </row>
    <row r="70" spans="1:19" ht="14.4">
      <c r="A70" s="26"/>
      <c r="B70" s="26"/>
      <c r="I70" s="26"/>
      <c r="J70" s="26"/>
      <c r="K70" s="26"/>
      <c r="L70" s="26"/>
      <c r="M70" s="26"/>
      <c r="N70" s="26"/>
      <c r="O70" s="26"/>
      <c r="P70" s="26"/>
      <c r="Q70" s="27"/>
      <c r="R70" s="27"/>
      <c r="S70" s="27"/>
    </row>
    <row r="71" spans="1:19" ht="14.4">
      <c r="A71" s="26"/>
      <c r="B71" s="26"/>
      <c r="I71" s="26"/>
      <c r="J71" s="26"/>
      <c r="K71" s="26"/>
      <c r="L71" s="26"/>
      <c r="M71" s="26"/>
      <c r="N71" s="26"/>
      <c r="O71" s="26"/>
      <c r="P71" s="26"/>
      <c r="Q71" s="27"/>
      <c r="R71" s="27"/>
      <c r="S71" s="27"/>
    </row>
    <row r="72" spans="1:19" ht="14.4">
      <c r="A72" s="26"/>
      <c r="B72" s="26"/>
      <c r="I72" s="26"/>
      <c r="J72" s="26"/>
      <c r="K72" s="26"/>
      <c r="L72" s="26"/>
      <c r="M72" s="26"/>
      <c r="N72" s="26"/>
      <c r="O72" s="26"/>
      <c r="P72" s="26"/>
      <c r="Q72" s="27"/>
      <c r="R72" s="27"/>
      <c r="S72" s="27"/>
    </row>
    <row r="73" spans="1:19" ht="14.4">
      <c r="A73" s="26"/>
      <c r="B73" s="26"/>
      <c r="I73" s="26"/>
      <c r="J73" s="26"/>
      <c r="K73" s="26"/>
      <c r="L73" s="26"/>
      <c r="M73" s="26"/>
      <c r="N73" s="26"/>
      <c r="O73" s="26"/>
      <c r="P73" s="26"/>
      <c r="Q73" s="27"/>
      <c r="R73" s="27"/>
      <c r="S73" s="27"/>
    </row>
    <row r="74" spans="1:19" ht="14.4">
      <c r="A74" s="26"/>
      <c r="B74" s="26"/>
      <c r="I74" s="26"/>
      <c r="J74" s="26"/>
      <c r="K74" s="26"/>
      <c r="L74" s="26"/>
      <c r="M74" s="26"/>
      <c r="N74" s="26"/>
      <c r="O74" s="26"/>
      <c r="P74" s="26"/>
      <c r="Q74" s="27"/>
      <c r="R74" s="27"/>
      <c r="S74" s="27"/>
    </row>
    <row r="75" spans="1:19" ht="14.4">
      <c r="A75" s="26"/>
      <c r="B75" s="26"/>
      <c r="I75" s="26"/>
      <c r="J75" s="26"/>
      <c r="K75" s="26"/>
      <c r="L75" s="26"/>
      <c r="M75" s="26"/>
      <c r="N75" s="26"/>
      <c r="O75" s="26"/>
      <c r="P75" s="26"/>
      <c r="Q75" s="27"/>
      <c r="R75" s="27"/>
      <c r="S75" s="27"/>
    </row>
    <row r="76" spans="1:19" ht="14.4">
      <c r="A76" s="26"/>
      <c r="B76" s="26"/>
      <c r="I76" s="26"/>
      <c r="J76" s="26"/>
      <c r="K76" s="26"/>
      <c r="L76" s="26"/>
      <c r="M76" s="26"/>
      <c r="N76" s="26"/>
      <c r="O76" s="26"/>
      <c r="P76" s="26"/>
      <c r="Q76" s="27"/>
      <c r="R76" s="27"/>
      <c r="S76" s="27"/>
    </row>
    <row r="77" spans="1:19" ht="14.4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7"/>
      <c r="R77" s="27"/>
      <c r="S77" s="27"/>
    </row>
    <row r="78" spans="1:19" ht="14.4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7"/>
      <c r="R78" s="27"/>
      <c r="S78" s="27"/>
    </row>
    <row r="79" spans="1:19" ht="14.4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7"/>
      <c r="R79" s="27"/>
      <c r="S79" s="27"/>
    </row>
    <row r="80" spans="1:19" ht="14.4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7"/>
      <c r="R80" s="27"/>
      <c r="S80" s="27"/>
    </row>
    <row r="81" spans="1:19" ht="14.4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7"/>
      <c r="R81" s="27"/>
      <c r="S81" s="27"/>
    </row>
    <row r="82" spans="1:19" ht="14.4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7"/>
      <c r="R82" s="27"/>
      <c r="S82" s="27"/>
    </row>
    <row r="83" spans="1:19" ht="1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7"/>
      <c r="R83" s="27"/>
      <c r="S83" s="27"/>
    </row>
    <row r="84" spans="1:19" ht="1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7"/>
      <c r="R84" s="27"/>
      <c r="S84" s="27"/>
    </row>
    <row r="85" spans="1:19" ht="1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7"/>
      <c r="R85" s="27"/>
      <c r="S85" s="27"/>
    </row>
    <row r="86" spans="1:19" ht="1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7"/>
      <c r="R86" s="27"/>
      <c r="S86" s="27"/>
    </row>
    <row r="87" spans="1:19" ht="1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7"/>
      <c r="R87" s="27"/>
      <c r="S87" s="27"/>
    </row>
    <row r="88" spans="1:19" ht="1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7"/>
      <c r="R88" s="27"/>
      <c r="S88" s="27"/>
    </row>
    <row r="89" spans="1:19" ht="1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7"/>
      <c r="R89" s="27"/>
      <c r="S89" s="27"/>
    </row>
    <row r="90" spans="1:19" ht="1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7"/>
      <c r="R90" s="27"/>
      <c r="S90" s="27"/>
    </row>
    <row r="91" spans="1:19" ht="1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7"/>
      <c r="R91" s="27"/>
      <c r="S91" s="27"/>
    </row>
    <row r="92" spans="1:19" ht="1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7"/>
      <c r="R92" s="27"/>
      <c r="S92" s="27"/>
    </row>
    <row r="93" spans="1:19" ht="1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7"/>
      <c r="R93" s="27"/>
      <c r="S93" s="27"/>
    </row>
    <row r="94" spans="1:19" ht="1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7"/>
      <c r="R94" s="27"/>
      <c r="S94" s="27"/>
    </row>
    <row r="95" spans="1:19" ht="1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7"/>
      <c r="R95" s="27"/>
      <c r="S95" s="27"/>
    </row>
    <row r="96" spans="1:19" ht="1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7"/>
      <c r="R96" s="27"/>
      <c r="S96" s="27"/>
    </row>
    <row r="97" spans="1:19" ht="1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7"/>
      <c r="R97" s="27"/>
      <c r="S97" s="27"/>
    </row>
    <row r="98" spans="1:19" ht="1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7"/>
      <c r="R98" s="27"/>
      <c r="S98" s="27"/>
    </row>
    <row r="99" spans="1:19" ht="1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7"/>
      <c r="R99" s="27"/>
      <c r="S99" s="27"/>
    </row>
    <row r="100" spans="1:19" ht="1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7"/>
      <c r="R100" s="27"/>
      <c r="S100" s="27"/>
    </row>
    <row r="101" spans="1:19" ht="1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7"/>
      <c r="R101" s="27"/>
      <c r="S101" s="27"/>
    </row>
    <row r="102" spans="1:19" ht="1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7"/>
      <c r="R102" s="27"/>
      <c r="S102" s="27"/>
    </row>
    <row r="103" spans="1:19" ht="1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7"/>
      <c r="R103" s="27"/>
      <c r="S103" s="27"/>
    </row>
    <row r="104" spans="1:19" ht="1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7"/>
      <c r="R104" s="27"/>
      <c r="S104" s="27"/>
    </row>
    <row r="105" spans="1:19" ht="1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7"/>
      <c r="R105" s="27"/>
      <c r="S105" s="27"/>
    </row>
    <row r="106" spans="1:19" ht="1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7"/>
      <c r="R106" s="27"/>
      <c r="S106" s="27"/>
    </row>
    <row r="107" spans="1:19" ht="1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7"/>
      <c r="R107" s="27"/>
      <c r="S107" s="27"/>
    </row>
    <row r="108" spans="1:19" ht="1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7"/>
      <c r="R108" s="27"/>
      <c r="S108" s="27"/>
    </row>
    <row r="109" spans="1:19" ht="1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7"/>
      <c r="R109" s="27"/>
      <c r="S109" s="27"/>
    </row>
    <row r="110" spans="1:19" ht="1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7"/>
      <c r="R110" s="27"/>
      <c r="S110" s="27"/>
    </row>
    <row r="111" spans="1:19" ht="1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7"/>
      <c r="R111" s="27"/>
      <c r="S111" s="27"/>
    </row>
    <row r="112" spans="1:19" ht="1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7"/>
      <c r="R112" s="27"/>
      <c r="S112" s="27"/>
    </row>
    <row r="113" spans="1:19" ht="1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7"/>
      <c r="R113" s="27"/>
      <c r="S113" s="27"/>
    </row>
    <row r="114" spans="1:19" ht="1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7"/>
      <c r="R114" s="27"/>
      <c r="S114" s="27"/>
    </row>
    <row r="115" spans="1:19" ht="1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7"/>
      <c r="R115" s="27"/>
      <c r="S115" s="27"/>
    </row>
    <row r="116" spans="1:19" ht="1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7"/>
      <c r="R116" s="27"/>
      <c r="S116" s="27"/>
    </row>
    <row r="117" spans="1:19" ht="1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7"/>
      <c r="R117" s="27"/>
      <c r="S117" s="27"/>
    </row>
    <row r="118" spans="1:19" ht="1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7"/>
      <c r="R118" s="27"/>
      <c r="S118" s="27"/>
    </row>
    <row r="119" spans="1:19" ht="1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7"/>
      <c r="R119" s="27"/>
      <c r="S119" s="27"/>
    </row>
    <row r="120" spans="1:19" ht="1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7"/>
      <c r="R120" s="27"/>
      <c r="S120" s="27"/>
    </row>
    <row r="121" spans="1:19" ht="1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7"/>
      <c r="R121" s="27"/>
      <c r="S121" s="27"/>
    </row>
    <row r="122" spans="1:19" ht="1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7"/>
      <c r="R122" s="27"/>
      <c r="S122" s="27"/>
    </row>
    <row r="123" spans="1:19" ht="1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78" spans="1:2" ht="15" customHeight="1">
      <c r="A178" s="4"/>
    </row>
    <row r="179" spans="1:2" ht="15" customHeight="1">
      <c r="A179" s="9"/>
      <c r="B179" s="4"/>
    </row>
    <row r="180" spans="1:2" ht="15" customHeight="1">
      <c r="A180" s="9"/>
      <c r="B180" s="4"/>
    </row>
    <row r="181" spans="1:2" ht="15" customHeight="1">
      <c r="A181" s="9"/>
      <c r="B181" s="4"/>
    </row>
    <row r="182" spans="1:2" ht="15" customHeight="1">
      <c r="A182" s="4"/>
    </row>
    <row r="201" spans="1:2" ht="15" customHeight="1">
      <c r="A201" s="4"/>
    </row>
    <row r="202" spans="1:2" ht="15" customHeight="1">
      <c r="A202" s="4"/>
    </row>
    <row r="203" spans="1:2" ht="15" customHeight="1">
      <c r="A203" s="4"/>
    </row>
    <row r="204" spans="1:2" ht="15" customHeight="1">
      <c r="A204" s="4"/>
    </row>
    <row r="205" spans="1:2" ht="15" customHeight="1">
      <c r="A205" s="9"/>
      <c r="B205" s="4"/>
    </row>
    <row r="206" spans="1:2" ht="15" customHeight="1">
      <c r="A206" s="9"/>
      <c r="B206" s="4"/>
    </row>
    <row r="207" spans="1:2" ht="15" customHeight="1">
      <c r="A207" s="9"/>
      <c r="B207" s="4"/>
    </row>
    <row r="208" spans="1:2" ht="15" customHeight="1">
      <c r="A208" s="9"/>
      <c r="B208" s="4"/>
    </row>
    <row r="209" spans="1:2" ht="15" customHeight="1">
      <c r="A209" s="9"/>
      <c r="B209" s="4"/>
    </row>
    <row r="210" spans="1:2" ht="15" customHeight="1">
      <c r="A210" s="9"/>
      <c r="B210" s="4"/>
    </row>
    <row r="211" spans="1:2" ht="15" customHeight="1">
      <c r="A211" s="9"/>
      <c r="B211" s="4"/>
    </row>
    <row r="212" spans="1:2" ht="15" customHeight="1">
      <c r="A212" s="4"/>
    </row>
    <row r="236" spans="1:4" ht="15" customHeight="1">
      <c r="A236" s="4"/>
      <c r="B236" s="4"/>
      <c r="C236" s="4"/>
    </row>
    <row r="237" spans="1:4" ht="15" customHeight="1">
      <c r="A237" s="4"/>
      <c r="B237" s="4"/>
      <c r="C237" s="4"/>
      <c r="D237" s="4"/>
    </row>
    <row r="238" spans="1:4" ht="15" customHeight="1">
      <c r="A238" s="4"/>
      <c r="B238" s="4"/>
      <c r="C238" s="4"/>
      <c r="D238" s="4"/>
    </row>
    <row r="239" spans="1:4" ht="15" customHeight="1">
      <c r="A239" s="4"/>
      <c r="B239" s="4"/>
      <c r="C239" s="4"/>
      <c r="D239" s="4"/>
    </row>
    <row r="240" spans="1:4" ht="15" customHeight="1">
      <c r="A240" s="4"/>
      <c r="B240" s="4"/>
      <c r="C240" s="4"/>
      <c r="D240" s="4"/>
    </row>
    <row r="241" spans="1:5" ht="15" customHeight="1">
      <c r="A241" s="4"/>
      <c r="B241" s="4"/>
      <c r="C241" s="4"/>
      <c r="D241" s="4"/>
    </row>
    <row r="242" spans="1:5" ht="15" customHeight="1">
      <c r="A242" s="4"/>
      <c r="B242" s="4"/>
      <c r="C242" s="4"/>
      <c r="D242" s="4"/>
    </row>
    <row r="243" spans="1:5" ht="15" customHeight="1">
      <c r="A243" s="4"/>
      <c r="B243" s="4"/>
      <c r="C243" s="4"/>
    </row>
    <row r="255" spans="1:5" ht="15" customHeight="1">
      <c r="A255" s="4"/>
      <c r="B255" s="4"/>
      <c r="C255" s="4"/>
      <c r="D255" s="4"/>
    </row>
    <row r="256" spans="1:5" ht="15" customHeight="1">
      <c r="A256" s="4"/>
      <c r="B256" s="4"/>
      <c r="C256" s="4"/>
      <c r="D256" s="4"/>
      <c r="E256" s="4"/>
    </row>
    <row r="257" spans="1:5" ht="15" customHeight="1">
      <c r="A257" s="4"/>
      <c r="B257" s="4"/>
      <c r="C257" s="4"/>
      <c r="D257" s="4"/>
      <c r="E257" s="4"/>
    </row>
    <row r="258" spans="1:5" ht="15" customHeight="1">
      <c r="A258" s="4"/>
      <c r="B258" s="4"/>
      <c r="C258" s="4"/>
      <c r="D258" s="4"/>
      <c r="E258" s="4"/>
    </row>
    <row r="259" spans="1:5" ht="15" customHeight="1">
      <c r="A259" s="4"/>
      <c r="B259" s="4"/>
      <c r="C259" s="4"/>
      <c r="D259" s="4"/>
      <c r="E259" s="4"/>
    </row>
    <row r="260" spans="1:5" ht="15" customHeight="1">
      <c r="A260" s="4"/>
      <c r="B260" s="4"/>
      <c r="C260" s="4"/>
      <c r="D260" s="4"/>
      <c r="E260" s="4"/>
    </row>
    <row r="261" spans="1:5" ht="15" customHeight="1">
      <c r="A261" s="4"/>
      <c r="B261" s="4"/>
      <c r="C261" s="4"/>
      <c r="D261" s="4"/>
      <c r="E261" s="4"/>
    </row>
    <row r="262" spans="1:5" ht="15" customHeight="1">
      <c r="A262" s="4"/>
      <c r="B262" s="4"/>
      <c r="C262" s="4"/>
      <c r="D262" s="4"/>
      <c r="E262" s="4"/>
    </row>
    <row r="263" spans="1:5" ht="15" customHeight="1">
      <c r="A263" s="4"/>
      <c r="B263" s="4"/>
      <c r="C263" s="4"/>
      <c r="D263" s="4"/>
      <c r="E263" s="4"/>
    </row>
    <row r="264" spans="1:5" ht="15" customHeight="1">
      <c r="A264" s="4"/>
      <c r="B264" s="4"/>
      <c r="C264" s="4"/>
      <c r="D264" s="4"/>
    </row>
    <row r="269" spans="1:5" ht="15" customHeight="1">
      <c r="A269" s="4"/>
    </row>
    <row r="270" spans="1:5" ht="15" customHeight="1">
      <c r="A270" s="4"/>
      <c r="B270" s="4"/>
    </row>
    <row r="271" spans="1:5" ht="15" customHeight="1">
      <c r="A271" s="4"/>
      <c r="B271" s="4"/>
    </row>
    <row r="272" spans="1:5" ht="15" customHeight="1">
      <c r="A272" s="4"/>
      <c r="B272" s="4"/>
    </row>
    <row r="273" spans="1:2" ht="15" customHeight="1">
      <c r="A273" s="4"/>
      <c r="B273" s="4"/>
    </row>
    <row r="274" spans="1:2" ht="15" customHeight="1">
      <c r="A274" s="4"/>
      <c r="B274" s="4"/>
    </row>
    <row r="275" spans="1:2" ht="15" customHeight="1">
      <c r="A275" s="9"/>
      <c r="B275" s="4"/>
    </row>
    <row r="276" spans="1:2" ht="15" customHeight="1">
      <c r="A276" s="9"/>
      <c r="B276" s="4"/>
    </row>
    <row r="277" spans="1:2" ht="15" customHeight="1">
      <c r="A277" s="4"/>
    </row>
    <row r="292" spans="1:5" ht="15" customHeight="1">
      <c r="A292" s="4"/>
      <c r="B292" s="4"/>
      <c r="C292" s="4"/>
      <c r="D292" s="4"/>
    </row>
    <row r="293" spans="1:5" ht="15" customHeight="1">
      <c r="A293" s="18"/>
      <c r="B293" s="18"/>
      <c r="C293" s="18"/>
      <c r="D293" s="18"/>
      <c r="E293" s="4"/>
    </row>
    <row r="294" spans="1:5" ht="15" customHeight="1">
      <c r="A294" s="18"/>
      <c r="B294" s="18"/>
      <c r="C294" s="18"/>
      <c r="D294" s="18"/>
      <c r="E294" s="4"/>
    </row>
    <row r="295" spans="1:5" ht="15" customHeight="1">
      <c r="A295" s="18"/>
      <c r="B295" s="18"/>
      <c r="C295" s="18"/>
      <c r="D295" s="18"/>
      <c r="E295" s="4"/>
    </row>
    <row r="296" spans="1:5" ht="15" customHeight="1">
      <c r="A296" s="18"/>
      <c r="B296" s="18"/>
      <c r="C296" s="18"/>
      <c r="D296" s="18"/>
      <c r="E296" s="4"/>
    </row>
    <row r="297" spans="1:5" ht="15" customHeight="1">
      <c r="A297" s="4"/>
      <c r="B297" s="4"/>
      <c r="C297" s="4"/>
      <c r="D297" s="4"/>
    </row>
    <row r="303" spans="1:5" ht="15" customHeight="1">
      <c r="A303" s="4"/>
    </row>
    <row r="304" spans="1:5" ht="15" customHeight="1">
      <c r="A304" s="9"/>
      <c r="B304" s="4"/>
    </row>
    <row r="305" spans="1:2" ht="15" customHeight="1">
      <c r="A305" s="9"/>
      <c r="B305" s="4"/>
    </row>
    <row r="306" spans="1:2" ht="15" customHeight="1">
      <c r="A306" s="9"/>
      <c r="B306" s="4"/>
    </row>
    <row r="307" spans="1:2" ht="15" customHeight="1">
      <c r="A307" s="9"/>
      <c r="B307" s="4"/>
    </row>
    <row r="308" spans="1:2" ht="15" customHeight="1">
      <c r="A308" s="4"/>
    </row>
    <row r="325" spans="1:6" ht="15" customHeight="1">
      <c r="A325" s="4"/>
      <c r="B325" s="4"/>
      <c r="C325" s="4"/>
    </row>
    <row r="326" spans="1:6" ht="15" customHeight="1">
      <c r="A326" s="9"/>
      <c r="B326" s="9"/>
      <c r="C326" s="9"/>
      <c r="D326" s="4"/>
    </row>
    <row r="327" spans="1:6" ht="15" customHeight="1">
      <c r="A327" s="9"/>
      <c r="B327" s="9"/>
      <c r="C327" s="9"/>
      <c r="D327" s="4"/>
    </row>
    <row r="328" spans="1:6" ht="15" customHeight="1">
      <c r="A328" s="4"/>
      <c r="B328" s="4"/>
      <c r="C328" s="4"/>
    </row>
    <row r="334" spans="1:6" ht="15" customHeight="1">
      <c r="A334" s="4"/>
      <c r="B334" s="4"/>
      <c r="C334" s="4"/>
      <c r="D334" s="4"/>
      <c r="E334" s="4"/>
    </row>
    <row r="335" spans="1:6" ht="15" customHeight="1">
      <c r="A335" s="9"/>
      <c r="B335" s="9"/>
      <c r="C335" s="9"/>
      <c r="D335" s="9"/>
      <c r="E335" s="9"/>
      <c r="F335" s="4"/>
    </row>
    <row r="336" spans="1:6" ht="15" customHeight="1">
      <c r="A336" s="9"/>
      <c r="B336" s="9"/>
      <c r="C336" s="9"/>
      <c r="D336" s="9"/>
      <c r="E336" s="9"/>
      <c r="F336" s="4"/>
    </row>
    <row r="337" spans="1:17" ht="15" customHeight="1">
      <c r="A337" s="9"/>
      <c r="B337" s="9"/>
      <c r="C337" s="9"/>
      <c r="D337" s="9"/>
      <c r="E337" s="9"/>
      <c r="F337" s="4"/>
    </row>
    <row r="338" spans="1:17" ht="15" customHeight="1">
      <c r="A338" s="9"/>
      <c r="B338" s="9"/>
      <c r="C338" s="9"/>
      <c r="D338" s="9"/>
      <c r="E338" s="9"/>
      <c r="F338" s="4"/>
    </row>
    <row r="339" spans="1:17" ht="15" customHeight="1">
      <c r="A339" s="9"/>
      <c r="B339" s="9"/>
      <c r="C339" s="9"/>
      <c r="D339" s="9"/>
      <c r="E339" s="9"/>
      <c r="F339" s="4"/>
    </row>
    <row r="340" spans="1:17" ht="15" customHeight="1">
      <c r="A340" s="9"/>
      <c r="B340" s="9"/>
      <c r="C340" s="9"/>
      <c r="D340" s="9"/>
      <c r="E340" s="9"/>
      <c r="F340" s="4"/>
    </row>
    <row r="341" spans="1:17" ht="15" customHeight="1">
      <c r="A341" s="4"/>
      <c r="B341" s="4"/>
      <c r="C341" s="4"/>
      <c r="D341" s="4"/>
      <c r="E341" s="4"/>
    </row>
    <row r="349" spans="1:17" ht="15" customHeight="1">
      <c r="Q349" s="5">
        <v>11</v>
      </c>
    </row>
    <row r="350" spans="1:17" ht="15" customHeight="1">
      <c r="Q350" s="5">
        <v>11</v>
      </c>
    </row>
    <row r="351" spans="1:17" ht="15" customHeight="1">
      <c r="Q351" s="5">
        <v>11</v>
      </c>
    </row>
    <row r="352" spans="1:17" ht="15" customHeight="1">
      <c r="Q352" s="5">
        <v>11</v>
      </c>
    </row>
    <row r="353" spans="17:17" ht="15" customHeight="1">
      <c r="Q353" s="5">
        <v>11</v>
      </c>
    </row>
    <row r="354" spans="17:17" ht="15" customHeight="1">
      <c r="Q354" s="5">
        <v>12</v>
      </c>
    </row>
    <row r="355" spans="17:17" ht="15" customHeight="1">
      <c r="Q355" s="5">
        <v>12</v>
      </c>
    </row>
    <row r="356" spans="17:17" ht="15" customHeight="1">
      <c r="Q356" s="5">
        <v>12</v>
      </c>
    </row>
    <row r="357" spans="17:17" ht="15" customHeight="1">
      <c r="Q357" s="5">
        <v>12</v>
      </c>
    </row>
    <row r="358" spans="17:17" ht="15" customHeight="1">
      <c r="Q358" s="5">
        <v>12</v>
      </c>
    </row>
    <row r="359" spans="17:17" ht="15" customHeight="1">
      <c r="Q359" s="5">
        <v>12</v>
      </c>
    </row>
    <row r="360" spans="17:17" ht="15" customHeight="1">
      <c r="Q360" s="5">
        <v>12</v>
      </c>
    </row>
    <row r="361" spans="17:17" ht="15" customHeight="1">
      <c r="Q361" s="5">
        <v>12</v>
      </c>
    </row>
    <row r="362" spans="17:17" ht="15" customHeight="1">
      <c r="Q362" s="5">
        <v>13</v>
      </c>
    </row>
    <row r="363" spans="17:17" ht="15" customHeight="1">
      <c r="Q363" s="5">
        <v>13</v>
      </c>
    </row>
    <row r="364" spans="17:17" ht="15" customHeight="1">
      <c r="Q364" s="5">
        <v>13</v>
      </c>
    </row>
    <row r="365" spans="17:17" ht="15" customHeight="1">
      <c r="Q365" s="5">
        <v>13</v>
      </c>
    </row>
    <row r="366" spans="17:17" ht="15" customHeight="1">
      <c r="Q366" s="5">
        <v>13</v>
      </c>
    </row>
    <row r="367" spans="17:17" ht="15" customHeight="1">
      <c r="Q367" s="5">
        <v>13</v>
      </c>
    </row>
    <row r="368" spans="17:17" ht="15" customHeight="1">
      <c r="Q368" s="5">
        <v>13</v>
      </c>
    </row>
    <row r="369" spans="17:17" ht="15" customHeight="1">
      <c r="Q369" s="5">
        <v>13</v>
      </c>
    </row>
    <row r="370" spans="17:17" ht="15" customHeight="1">
      <c r="Q370" s="5">
        <v>13</v>
      </c>
    </row>
    <row r="371" spans="17:17" ht="15" customHeight="1">
      <c r="Q371" s="5">
        <v>13</v>
      </c>
    </row>
    <row r="372" spans="17:17" ht="15" customHeight="1">
      <c r="Q372" s="5">
        <v>14</v>
      </c>
    </row>
    <row r="373" spans="17:17" ht="15" customHeight="1">
      <c r="Q373" s="5">
        <v>14</v>
      </c>
    </row>
    <row r="374" spans="17:17" ht="15" customHeight="1">
      <c r="Q374" s="5">
        <v>14</v>
      </c>
    </row>
    <row r="375" spans="17:17" ht="15" customHeight="1">
      <c r="Q375" s="5">
        <v>14</v>
      </c>
    </row>
    <row r="376" spans="17:17" ht="15" customHeight="1">
      <c r="Q376" s="5">
        <v>14</v>
      </c>
    </row>
    <row r="377" spans="17:17" ht="15" customHeight="1">
      <c r="Q377" s="5">
        <v>14</v>
      </c>
    </row>
    <row r="378" spans="17:17" ht="15" customHeight="1">
      <c r="Q378" s="5">
        <v>15</v>
      </c>
    </row>
    <row r="379" spans="17:17" ht="15" customHeight="1">
      <c r="Q379" s="5">
        <v>15</v>
      </c>
    </row>
    <row r="380" spans="17:17" ht="15" customHeight="1">
      <c r="Q380" s="5">
        <v>15</v>
      </c>
    </row>
    <row r="381" spans="17:17" ht="15" customHeight="1">
      <c r="Q381" s="5">
        <v>16</v>
      </c>
    </row>
    <row r="382" spans="17:17" ht="15" customHeight="1">
      <c r="Q382" s="5">
        <v>16</v>
      </c>
    </row>
    <row r="383" spans="17:17" ht="15" customHeight="1">
      <c r="Q383" s="5">
        <v>16</v>
      </c>
    </row>
    <row r="384" spans="17:17" ht="15" customHeight="1">
      <c r="Q384" s="5">
        <v>16</v>
      </c>
    </row>
    <row r="385" spans="17:17" ht="15" customHeight="1">
      <c r="Q385" s="5">
        <v>17</v>
      </c>
    </row>
    <row r="386" spans="17:17" ht="15" customHeight="1">
      <c r="Q386" s="5">
        <v>17</v>
      </c>
    </row>
    <row r="387" spans="17:17" ht="15" customHeight="1">
      <c r="Q387" s="5">
        <v>18</v>
      </c>
    </row>
    <row r="388" spans="17:17" ht="15" customHeight="1">
      <c r="Q388" s="5">
        <v>18</v>
      </c>
    </row>
    <row r="389" spans="17:17" ht="15" customHeight="1">
      <c r="Q389" s="5">
        <v>18</v>
      </c>
    </row>
    <row r="390" spans="17:17" ht="15" customHeight="1">
      <c r="Q390" s="5">
        <v>18</v>
      </c>
    </row>
    <row r="391" spans="17:17" ht="15" customHeight="1">
      <c r="Q391" s="5">
        <v>18</v>
      </c>
    </row>
    <row r="392" spans="17:17" ht="15" customHeight="1">
      <c r="Q392" s="5">
        <v>19</v>
      </c>
    </row>
    <row r="393" spans="17:17" ht="15" customHeight="1">
      <c r="Q393" s="5">
        <v>19</v>
      </c>
    </row>
    <row r="394" spans="17:17" ht="15" customHeight="1">
      <c r="Q394" s="5">
        <v>19</v>
      </c>
    </row>
    <row r="395" spans="17:17" ht="15" customHeight="1">
      <c r="Q395" s="5">
        <v>19</v>
      </c>
    </row>
    <row r="396" spans="17:17" ht="15" customHeight="1">
      <c r="Q396" s="5">
        <v>19</v>
      </c>
    </row>
    <row r="397" spans="17:17" ht="15" customHeight="1">
      <c r="Q397" s="5">
        <v>19</v>
      </c>
    </row>
    <row r="398" spans="17:17" ht="15" customHeight="1">
      <c r="Q398" s="5">
        <v>19</v>
      </c>
    </row>
    <row r="399" spans="17:17" ht="15" customHeight="1">
      <c r="Q399" s="5">
        <v>19</v>
      </c>
    </row>
    <row r="400" spans="17:17" ht="15" customHeight="1">
      <c r="Q400" s="5">
        <v>19</v>
      </c>
    </row>
    <row r="401" spans="17:17" ht="15" customHeight="1">
      <c r="Q401" s="5">
        <v>19</v>
      </c>
    </row>
    <row r="402" spans="17:17" ht="15" customHeight="1">
      <c r="Q402" s="5">
        <v>19</v>
      </c>
    </row>
    <row r="403" spans="17:17" ht="15" customHeight="1">
      <c r="Q403" s="5">
        <v>19</v>
      </c>
    </row>
    <row r="404" spans="17:17" ht="15" customHeight="1">
      <c r="Q404" s="5">
        <v>19</v>
      </c>
    </row>
    <row r="405" spans="17:17" ht="15" customHeight="1">
      <c r="Q405" s="5">
        <v>19</v>
      </c>
    </row>
    <row r="406" spans="17:17" ht="15" customHeight="1">
      <c r="Q406" s="5">
        <v>19</v>
      </c>
    </row>
    <row r="407" spans="17:17" ht="15" customHeight="1">
      <c r="Q407" s="5">
        <v>19</v>
      </c>
    </row>
    <row r="408" spans="17:17" ht="15" customHeight="1">
      <c r="Q408" s="5">
        <v>19</v>
      </c>
    </row>
    <row r="409" spans="17:17" ht="15" customHeight="1">
      <c r="Q409" s="5">
        <v>19</v>
      </c>
    </row>
    <row r="410" spans="17:17" ht="15" customHeight="1">
      <c r="Q410" s="5">
        <v>19</v>
      </c>
    </row>
    <row r="411" spans="17:17" ht="15" customHeight="1">
      <c r="Q411" s="5">
        <v>19</v>
      </c>
    </row>
    <row r="412" spans="17:17" ht="15" customHeight="1">
      <c r="Q412" s="5">
        <v>20</v>
      </c>
    </row>
    <row r="413" spans="17:17" ht="15" customHeight="1">
      <c r="Q413" s="5">
        <v>20</v>
      </c>
    </row>
    <row r="414" spans="17:17" ht="15" customHeight="1">
      <c r="Q414" s="5">
        <v>20</v>
      </c>
    </row>
    <row r="415" spans="17:17" ht="15" customHeight="1">
      <c r="Q415" s="5">
        <v>20</v>
      </c>
    </row>
    <row r="416" spans="17:17" ht="15" customHeight="1">
      <c r="Q416" s="5">
        <v>20</v>
      </c>
    </row>
    <row r="417" spans="17:17" ht="15" customHeight="1">
      <c r="Q417" s="5">
        <v>20</v>
      </c>
    </row>
    <row r="418" spans="17:17" ht="15" customHeight="1">
      <c r="Q418" s="5">
        <v>20</v>
      </c>
    </row>
    <row r="419" spans="17:17" ht="15" customHeight="1">
      <c r="Q419" s="5">
        <v>20</v>
      </c>
    </row>
    <row r="420" spans="17:17" ht="15" customHeight="1">
      <c r="Q420" s="5">
        <v>20</v>
      </c>
    </row>
    <row r="421" spans="17:17" ht="15" customHeight="1">
      <c r="Q421" s="5">
        <v>20</v>
      </c>
    </row>
    <row r="422" spans="17:17" ht="15" customHeight="1">
      <c r="Q422" s="5">
        <v>20</v>
      </c>
    </row>
    <row r="423" spans="17:17" ht="15" customHeight="1">
      <c r="Q423" s="5">
        <v>20</v>
      </c>
    </row>
    <row r="424" spans="17:17" ht="15" customHeight="1">
      <c r="Q424" s="5">
        <v>20</v>
      </c>
    </row>
    <row r="425" spans="17:17" ht="15" customHeight="1">
      <c r="Q425" s="5">
        <v>20</v>
      </c>
    </row>
    <row r="426" spans="17:17" ht="15" customHeight="1">
      <c r="Q426" s="5">
        <v>20</v>
      </c>
    </row>
    <row r="427" spans="17:17" ht="15" customHeight="1">
      <c r="Q427" s="5">
        <v>20</v>
      </c>
    </row>
    <row r="428" spans="17:17" ht="15" customHeight="1">
      <c r="Q428" s="5">
        <v>21</v>
      </c>
    </row>
    <row r="429" spans="17:17" ht="15" customHeight="1">
      <c r="Q429" s="5">
        <v>21</v>
      </c>
    </row>
    <row r="430" spans="17:17" ht="15" customHeight="1">
      <c r="Q430" s="5">
        <v>21</v>
      </c>
    </row>
    <row r="431" spans="17:17" ht="15" customHeight="1">
      <c r="Q431" s="5">
        <v>21</v>
      </c>
    </row>
    <row r="432" spans="17:17" ht="15" customHeight="1">
      <c r="Q432" s="5">
        <v>21</v>
      </c>
    </row>
    <row r="433" spans="17:17" ht="15" customHeight="1">
      <c r="Q433" s="5">
        <v>21</v>
      </c>
    </row>
    <row r="434" spans="17:17" ht="15" customHeight="1">
      <c r="Q434" s="5">
        <v>21</v>
      </c>
    </row>
    <row r="435" spans="17:17" ht="15" customHeight="1">
      <c r="Q435" s="5">
        <v>21</v>
      </c>
    </row>
    <row r="436" spans="17:17" ht="15" customHeight="1">
      <c r="Q436" s="5">
        <v>22</v>
      </c>
    </row>
    <row r="437" spans="17:17" ht="15" customHeight="1">
      <c r="Q437" s="5">
        <v>22</v>
      </c>
    </row>
    <row r="438" spans="17:17" ht="15" customHeight="1">
      <c r="Q438" s="5">
        <v>22</v>
      </c>
    </row>
    <row r="439" spans="17:17" ht="15" customHeight="1">
      <c r="Q439" s="5">
        <v>22</v>
      </c>
    </row>
    <row r="440" spans="17:17" ht="15" customHeight="1">
      <c r="Q440" s="5">
        <v>22</v>
      </c>
    </row>
    <row r="441" spans="17:17" ht="15" customHeight="1">
      <c r="Q441" s="5">
        <v>23</v>
      </c>
    </row>
    <row r="442" spans="17:17" ht="15" customHeight="1">
      <c r="Q442" s="5">
        <v>23</v>
      </c>
    </row>
    <row r="443" spans="17:17" ht="15" customHeight="1">
      <c r="Q443" s="5">
        <v>23</v>
      </c>
    </row>
    <row r="444" spans="17:17" ht="15" customHeight="1">
      <c r="Q444" s="5">
        <v>23</v>
      </c>
    </row>
    <row r="445" spans="17:17" ht="15" customHeight="1">
      <c r="Q445" s="5">
        <v>23</v>
      </c>
    </row>
    <row r="446" spans="17:17" ht="15" customHeight="1">
      <c r="Q446" s="5">
        <v>23</v>
      </c>
    </row>
    <row r="447" spans="17:17" ht="15" customHeight="1">
      <c r="Q447" s="5">
        <v>23</v>
      </c>
    </row>
    <row r="448" spans="17:17" ht="15" customHeight="1">
      <c r="Q448" s="5">
        <v>24</v>
      </c>
    </row>
    <row r="449" spans="17:17" ht="15" customHeight="1">
      <c r="Q449" s="5">
        <v>24</v>
      </c>
    </row>
    <row r="450" spans="17:17" ht="15" customHeight="1">
      <c r="Q450" s="5">
        <v>24</v>
      </c>
    </row>
    <row r="451" spans="17:17" ht="15" customHeight="1">
      <c r="Q451" s="5">
        <v>24</v>
      </c>
    </row>
    <row r="452" spans="17:17" ht="15" customHeight="1">
      <c r="Q452" s="5">
        <v>25</v>
      </c>
    </row>
    <row r="453" spans="17:17" ht="15" customHeight="1">
      <c r="Q453" s="5">
        <v>25</v>
      </c>
    </row>
    <row r="454" spans="17:17" ht="15" customHeight="1">
      <c r="Q454" s="5">
        <v>25</v>
      </c>
    </row>
    <row r="455" spans="17:17" ht="15" customHeight="1">
      <c r="Q455" s="5">
        <v>25</v>
      </c>
    </row>
    <row r="456" spans="17:17" ht="15" customHeight="1">
      <c r="Q456" s="5">
        <v>25</v>
      </c>
    </row>
    <row r="457" spans="17:17" ht="15" customHeight="1">
      <c r="Q457" s="5">
        <v>25</v>
      </c>
    </row>
    <row r="458" spans="17:17" ht="15" customHeight="1">
      <c r="Q458" s="5">
        <v>25</v>
      </c>
    </row>
    <row r="459" spans="17:17" ht="15" customHeight="1">
      <c r="Q459" s="5">
        <v>25</v>
      </c>
    </row>
    <row r="460" spans="17:17" ht="15" customHeight="1">
      <c r="Q460" s="5">
        <v>25</v>
      </c>
    </row>
    <row r="461" spans="17:17" ht="15" customHeight="1">
      <c r="Q461" s="5">
        <v>25</v>
      </c>
    </row>
    <row r="462" spans="17:17" ht="15" customHeight="1">
      <c r="Q462" s="5">
        <v>26</v>
      </c>
    </row>
    <row r="463" spans="17:17" ht="15" customHeight="1">
      <c r="Q463" s="5">
        <v>26</v>
      </c>
    </row>
    <row r="464" spans="17:17" ht="15" customHeight="1">
      <c r="Q464" s="5">
        <v>26</v>
      </c>
    </row>
    <row r="465" spans="17:17" ht="15" customHeight="1">
      <c r="Q465" s="5">
        <v>26</v>
      </c>
    </row>
    <row r="466" spans="17:17" ht="15" customHeight="1">
      <c r="Q466" s="5">
        <v>27</v>
      </c>
    </row>
    <row r="467" spans="17:17" ht="15" customHeight="1">
      <c r="Q467" s="5">
        <v>27</v>
      </c>
    </row>
    <row r="468" spans="17:17" ht="15" customHeight="1">
      <c r="Q468" s="5">
        <v>27</v>
      </c>
    </row>
    <row r="469" spans="17:17" ht="15" customHeight="1">
      <c r="Q469" s="5">
        <v>27</v>
      </c>
    </row>
    <row r="470" spans="17:17" ht="15" customHeight="1">
      <c r="Q470" s="5">
        <v>27</v>
      </c>
    </row>
    <row r="471" spans="17:17" ht="15" customHeight="1">
      <c r="Q471" s="5">
        <v>27</v>
      </c>
    </row>
    <row r="472" spans="17:17" ht="15" customHeight="1">
      <c r="Q472" s="5">
        <v>28</v>
      </c>
    </row>
    <row r="473" spans="17:17" ht="15" customHeight="1">
      <c r="Q473" s="5">
        <v>28</v>
      </c>
    </row>
    <row r="474" spans="17:17" ht="15" customHeight="1">
      <c r="Q474" s="5">
        <v>28</v>
      </c>
    </row>
    <row r="475" spans="17:17" ht="15" customHeight="1">
      <c r="Q475" s="5">
        <v>28</v>
      </c>
    </row>
    <row r="476" spans="17:17" ht="15" customHeight="1">
      <c r="Q476" s="5">
        <v>28</v>
      </c>
    </row>
    <row r="477" spans="17:17" ht="15" customHeight="1">
      <c r="Q477" s="5">
        <v>29</v>
      </c>
    </row>
    <row r="478" spans="17:17" ht="15" customHeight="1">
      <c r="Q478" s="5">
        <v>29</v>
      </c>
    </row>
    <row r="479" spans="17:17" ht="15" customHeight="1">
      <c r="Q479" s="5">
        <v>29</v>
      </c>
    </row>
    <row r="480" spans="17:17" ht="15" customHeight="1">
      <c r="Q480" s="5">
        <v>30</v>
      </c>
    </row>
    <row r="481" spans="17:17" ht="15" customHeight="1">
      <c r="Q481" s="5">
        <v>30</v>
      </c>
    </row>
    <row r="482" spans="17:17" ht="15" customHeight="1">
      <c r="Q482" s="5">
        <v>30</v>
      </c>
    </row>
    <row r="483" spans="17:17" ht="15" customHeight="1">
      <c r="Q483" s="5">
        <v>30</v>
      </c>
    </row>
    <row r="484" spans="17:17" ht="15" customHeight="1">
      <c r="Q484" s="5">
        <v>30</v>
      </c>
    </row>
    <row r="485" spans="17:17" ht="15" customHeight="1">
      <c r="Q485" s="5">
        <v>31</v>
      </c>
    </row>
    <row r="486" spans="17:17" ht="15" customHeight="1">
      <c r="Q486" s="5">
        <v>31</v>
      </c>
    </row>
    <row r="487" spans="17:17" ht="15" customHeight="1">
      <c r="Q487" s="5">
        <v>32</v>
      </c>
    </row>
    <row r="488" spans="17:17" ht="15" customHeight="1">
      <c r="Q488" s="5">
        <v>32</v>
      </c>
    </row>
    <row r="489" spans="17:17" ht="15" customHeight="1">
      <c r="Q489" s="5">
        <v>32</v>
      </c>
    </row>
    <row r="490" spans="17:17" ht="15" customHeight="1">
      <c r="Q490" s="5">
        <v>32</v>
      </c>
    </row>
    <row r="491" spans="17:17" ht="15" customHeight="1">
      <c r="Q491" s="5">
        <v>33</v>
      </c>
    </row>
    <row r="492" spans="17:17" ht="15" customHeight="1">
      <c r="Q492" s="5">
        <v>33</v>
      </c>
    </row>
    <row r="493" spans="17:17" ht="15" customHeight="1">
      <c r="Q493" s="5">
        <v>33</v>
      </c>
    </row>
    <row r="494" spans="17:17" ht="15" customHeight="1">
      <c r="Q494" s="5">
        <v>33</v>
      </c>
    </row>
    <row r="495" spans="17:17" ht="15" customHeight="1">
      <c r="Q495" s="5">
        <v>34</v>
      </c>
    </row>
    <row r="496" spans="17:17" ht="15" customHeight="1">
      <c r="Q496" s="5">
        <v>34</v>
      </c>
    </row>
    <row r="497" spans="17:17" ht="15" customHeight="1">
      <c r="Q497" s="5">
        <v>34</v>
      </c>
    </row>
    <row r="498" spans="17:17" ht="15" customHeight="1">
      <c r="Q498" s="5">
        <v>34</v>
      </c>
    </row>
    <row r="499" spans="17:17" ht="15" customHeight="1">
      <c r="Q499" s="5">
        <v>35</v>
      </c>
    </row>
    <row r="500" spans="17:17" ht="15" customHeight="1">
      <c r="Q500" s="5">
        <v>35</v>
      </c>
    </row>
    <row r="501" spans="17:17" ht="15" customHeight="1">
      <c r="Q501" s="5">
        <v>35</v>
      </c>
    </row>
    <row r="502" spans="17:17" ht="15" customHeight="1">
      <c r="Q502" s="5">
        <v>35</v>
      </c>
    </row>
    <row r="503" spans="17:17" ht="15" customHeight="1">
      <c r="Q503" s="5">
        <v>36</v>
      </c>
    </row>
    <row r="504" spans="17:17" ht="15" customHeight="1">
      <c r="Q504" s="5">
        <v>36</v>
      </c>
    </row>
    <row r="505" spans="17:17" ht="15" customHeight="1">
      <c r="Q505" s="5">
        <v>36</v>
      </c>
    </row>
    <row r="506" spans="17:17" ht="15" customHeight="1">
      <c r="Q506" s="5">
        <v>36</v>
      </c>
    </row>
    <row r="507" spans="17:17" ht="15" customHeight="1">
      <c r="Q507" s="5">
        <v>36</v>
      </c>
    </row>
    <row r="508" spans="17:17" ht="15" customHeight="1">
      <c r="Q508" s="5">
        <v>36</v>
      </c>
    </row>
    <row r="509" spans="17:17" ht="15" customHeight="1">
      <c r="Q509" s="5">
        <v>36</v>
      </c>
    </row>
    <row r="510" spans="17:17" ht="15" customHeight="1">
      <c r="Q510" s="5">
        <v>37</v>
      </c>
    </row>
    <row r="511" spans="17:17" ht="15" customHeight="1">
      <c r="Q511" s="5">
        <v>37</v>
      </c>
    </row>
    <row r="512" spans="17:17" ht="15" customHeight="1">
      <c r="Q512" s="5">
        <v>37</v>
      </c>
    </row>
    <row r="513" spans="17:17" ht="15" customHeight="1">
      <c r="Q513" s="5">
        <v>37</v>
      </c>
    </row>
    <row r="514" spans="17:17" ht="15" customHeight="1">
      <c r="Q514" s="5">
        <v>37</v>
      </c>
    </row>
    <row r="515" spans="17:17" ht="15" customHeight="1">
      <c r="Q515" s="5">
        <v>37</v>
      </c>
    </row>
    <row r="516" spans="17:17" ht="15" customHeight="1">
      <c r="Q516" s="5">
        <v>38</v>
      </c>
    </row>
    <row r="517" spans="17:17" ht="15" customHeight="1">
      <c r="Q517" s="5">
        <v>38</v>
      </c>
    </row>
    <row r="518" spans="17:17" ht="15" customHeight="1">
      <c r="Q518" s="5">
        <v>38</v>
      </c>
    </row>
    <row r="519" spans="17:17" ht="15" customHeight="1">
      <c r="Q519" s="5">
        <v>38</v>
      </c>
    </row>
    <row r="520" spans="17:17" ht="15" customHeight="1">
      <c r="Q520" s="5">
        <v>38</v>
      </c>
    </row>
    <row r="521" spans="17:17" ht="15" customHeight="1">
      <c r="Q521" s="5">
        <v>38</v>
      </c>
    </row>
    <row r="522" spans="17:17" ht="15" customHeight="1">
      <c r="Q522" s="5">
        <v>38</v>
      </c>
    </row>
    <row r="523" spans="17:17" ht="15" customHeight="1">
      <c r="Q523" s="5">
        <v>38</v>
      </c>
    </row>
    <row r="524" spans="17:17" ht="15" customHeight="1">
      <c r="Q524" s="5">
        <v>39</v>
      </c>
    </row>
    <row r="525" spans="17:17" ht="15" customHeight="1">
      <c r="Q525" s="5">
        <v>39</v>
      </c>
    </row>
    <row r="526" spans="17:17" ht="15" customHeight="1">
      <c r="Q526" s="5">
        <v>39</v>
      </c>
    </row>
    <row r="527" spans="17:17" ht="15" customHeight="1">
      <c r="Q527" s="5">
        <v>39</v>
      </c>
    </row>
    <row r="528" spans="17:17" ht="15" customHeight="1">
      <c r="Q528" s="5">
        <v>39</v>
      </c>
    </row>
    <row r="529" spans="17:17" ht="15" customHeight="1">
      <c r="Q529" s="5">
        <v>40</v>
      </c>
    </row>
    <row r="530" spans="17:17" ht="15" customHeight="1">
      <c r="Q530" s="5">
        <v>40</v>
      </c>
    </row>
    <row r="531" spans="17:17" ht="15" customHeight="1">
      <c r="Q531" s="5">
        <v>40</v>
      </c>
    </row>
    <row r="532" spans="17:17" ht="15" customHeight="1">
      <c r="Q532" s="5">
        <v>40</v>
      </c>
    </row>
    <row r="533" spans="17:17" ht="15" customHeight="1">
      <c r="Q533" s="5">
        <v>40</v>
      </c>
    </row>
    <row r="534" spans="17:17" ht="15" customHeight="1">
      <c r="Q534" s="5">
        <v>40</v>
      </c>
    </row>
    <row r="535" spans="17:17" ht="15" customHeight="1">
      <c r="Q535" s="5">
        <v>41</v>
      </c>
    </row>
    <row r="536" spans="17:17" ht="15" customHeight="1">
      <c r="Q536" s="5">
        <v>41</v>
      </c>
    </row>
    <row r="537" spans="17:17" ht="15" customHeight="1">
      <c r="Q537" s="5">
        <v>41</v>
      </c>
    </row>
    <row r="538" spans="17:17" ht="15" customHeight="1">
      <c r="Q538" s="5">
        <v>41</v>
      </c>
    </row>
    <row r="539" spans="17:17" ht="15" customHeight="1">
      <c r="Q539" s="5">
        <v>41</v>
      </c>
    </row>
    <row r="540" spans="17:17" ht="15" customHeight="1">
      <c r="Q540" s="5">
        <v>41</v>
      </c>
    </row>
    <row r="541" spans="17:17" ht="15" customHeight="1">
      <c r="Q541" s="5">
        <v>42</v>
      </c>
    </row>
    <row r="542" spans="17:17" ht="15" customHeight="1">
      <c r="Q542" s="5">
        <v>42</v>
      </c>
    </row>
    <row r="543" spans="17:17" ht="15" customHeight="1">
      <c r="Q543" s="5">
        <v>42</v>
      </c>
    </row>
    <row r="544" spans="17:17" ht="15" customHeight="1">
      <c r="Q544" s="5">
        <v>43</v>
      </c>
    </row>
    <row r="545" spans="17:17" ht="15" customHeight="1">
      <c r="Q545" s="5">
        <v>43</v>
      </c>
    </row>
    <row r="546" spans="17:17" ht="15" customHeight="1">
      <c r="Q546" s="5">
        <v>43</v>
      </c>
    </row>
    <row r="547" spans="17:17" ht="15" customHeight="1">
      <c r="Q547" s="5">
        <v>43</v>
      </c>
    </row>
    <row r="548" spans="17:17" ht="15" customHeight="1">
      <c r="Q548" s="5">
        <v>43</v>
      </c>
    </row>
    <row r="549" spans="17:17" ht="15" customHeight="1">
      <c r="Q549" s="5">
        <v>43</v>
      </c>
    </row>
    <row r="550" spans="17:17" ht="15" customHeight="1">
      <c r="Q550" s="5">
        <v>43</v>
      </c>
    </row>
    <row r="551" spans="17:17" ht="15" customHeight="1">
      <c r="Q551" s="5">
        <v>43</v>
      </c>
    </row>
    <row r="552" spans="17:17" ht="15" customHeight="1">
      <c r="Q552" s="5">
        <v>43</v>
      </c>
    </row>
    <row r="553" spans="17:17" ht="15" customHeight="1">
      <c r="Q553" s="5">
        <v>43</v>
      </c>
    </row>
    <row r="554" spans="17:17" ht="15" customHeight="1">
      <c r="Q554" s="5">
        <v>44</v>
      </c>
    </row>
    <row r="555" spans="17:17" ht="15" customHeight="1">
      <c r="Q555" s="5">
        <v>44</v>
      </c>
    </row>
    <row r="556" spans="17:17" ht="15" customHeight="1">
      <c r="Q556" s="5">
        <v>44</v>
      </c>
    </row>
    <row r="557" spans="17:17" ht="15" customHeight="1">
      <c r="Q557" s="5">
        <v>44</v>
      </c>
    </row>
    <row r="558" spans="17:17" ht="15" customHeight="1">
      <c r="Q558" s="5">
        <v>44</v>
      </c>
    </row>
    <row r="559" spans="17:17" ht="15" customHeight="1">
      <c r="Q559" s="5">
        <v>44</v>
      </c>
    </row>
    <row r="560" spans="17:17" ht="15" customHeight="1">
      <c r="Q560" s="5">
        <v>44</v>
      </c>
    </row>
    <row r="561" spans="17:17" ht="15" customHeight="1">
      <c r="Q561" s="5">
        <v>44</v>
      </c>
    </row>
    <row r="562" spans="17:17" ht="15" customHeight="1">
      <c r="Q562" s="5">
        <v>45</v>
      </c>
    </row>
    <row r="563" spans="17:17" ht="15" customHeight="1">
      <c r="Q563" s="5">
        <v>45</v>
      </c>
    </row>
    <row r="564" spans="17:17" ht="15" customHeight="1">
      <c r="Q564" s="5">
        <v>45</v>
      </c>
    </row>
    <row r="565" spans="17:17" ht="15" customHeight="1">
      <c r="Q565" s="5">
        <v>45</v>
      </c>
    </row>
    <row r="566" spans="17:17" ht="15" customHeight="1">
      <c r="Q566" s="5">
        <v>45</v>
      </c>
    </row>
    <row r="567" spans="17:17" ht="15" customHeight="1">
      <c r="Q567" s="5">
        <v>45</v>
      </c>
    </row>
    <row r="568" spans="17:17" ht="15" customHeight="1">
      <c r="Q568" s="5">
        <v>46</v>
      </c>
    </row>
    <row r="569" spans="17:17" ht="15" customHeight="1">
      <c r="Q569" s="5">
        <v>46</v>
      </c>
    </row>
    <row r="570" spans="17:17" ht="15" customHeight="1">
      <c r="Q570" s="5">
        <v>46</v>
      </c>
    </row>
    <row r="571" spans="17:17" ht="15" customHeight="1">
      <c r="Q571" s="5">
        <v>46</v>
      </c>
    </row>
    <row r="572" spans="17:17" ht="15" customHeight="1">
      <c r="Q572" s="5">
        <v>46</v>
      </c>
    </row>
    <row r="573" spans="17:17" ht="15" customHeight="1">
      <c r="Q573" s="5">
        <v>46</v>
      </c>
    </row>
    <row r="574" spans="17:17" ht="15" customHeight="1">
      <c r="Q574" s="5">
        <v>46</v>
      </c>
    </row>
    <row r="575" spans="17:17" ht="15" customHeight="1">
      <c r="Q575" s="5">
        <v>47</v>
      </c>
    </row>
    <row r="576" spans="17:17" ht="15" customHeight="1">
      <c r="Q576" s="5">
        <v>47</v>
      </c>
    </row>
    <row r="577" spans="17:17" ht="15" customHeight="1">
      <c r="Q577" s="5">
        <v>47</v>
      </c>
    </row>
    <row r="578" spans="17:17" ht="15" customHeight="1">
      <c r="Q578" s="5">
        <v>47</v>
      </c>
    </row>
    <row r="579" spans="17:17" ht="15" customHeight="1">
      <c r="Q579" s="5">
        <v>47</v>
      </c>
    </row>
    <row r="580" spans="17:17" ht="15" customHeight="1">
      <c r="Q580" s="5">
        <v>47</v>
      </c>
    </row>
    <row r="581" spans="17:17" ht="15" customHeight="1">
      <c r="Q581" s="5">
        <v>47</v>
      </c>
    </row>
    <row r="582" spans="17:17" ht="15" customHeight="1">
      <c r="Q582" s="5">
        <v>47</v>
      </c>
    </row>
    <row r="583" spans="17:17" ht="15" customHeight="1">
      <c r="Q583" s="5">
        <v>47</v>
      </c>
    </row>
    <row r="584" spans="17:17" ht="15" customHeight="1">
      <c r="Q584" s="5">
        <v>47</v>
      </c>
    </row>
    <row r="585" spans="17:17" ht="15" customHeight="1">
      <c r="Q585" s="5">
        <v>47</v>
      </c>
    </row>
    <row r="586" spans="17:17" ht="15" customHeight="1">
      <c r="Q586" s="5">
        <v>47</v>
      </c>
    </row>
    <row r="587" spans="17:17" ht="15" customHeight="1">
      <c r="Q587" s="5">
        <v>48</v>
      </c>
    </row>
    <row r="588" spans="17:17" ht="15" customHeight="1">
      <c r="Q588" s="5">
        <v>48</v>
      </c>
    </row>
    <row r="589" spans="17:17" ht="15" customHeight="1">
      <c r="Q589" s="5">
        <v>48</v>
      </c>
    </row>
    <row r="590" spans="17:17" ht="15" customHeight="1">
      <c r="Q590" s="5">
        <v>48</v>
      </c>
    </row>
    <row r="591" spans="17:17" ht="15" customHeight="1">
      <c r="Q591" s="5">
        <v>49</v>
      </c>
    </row>
    <row r="592" spans="17:17" ht="15" customHeight="1">
      <c r="Q592" s="5">
        <v>49</v>
      </c>
    </row>
    <row r="593" spans="17:17" ht="15" customHeight="1">
      <c r="Q593" s="5">
        <v>49</v>
      </c>
    </row>
    <row r="594" spans="17:17" ht="15" customHeight="1">
      <c r="Q594" s="5">
        <v>49</v>
      </c>
    </row>
    <row r="595" spans="17:17" ht="15" customHeight="1">
      <c r="Q595" s="5">
        <v>50</v>
      </c>
    </row>
    <row r="596" spans="17:17" ht="15" customHeight="1">
      <c r="Q596" s="5">
        <v>50</v>
      </c>
    </row>
    <row r="597" spans="17:17" ht="15" customHeight="1">
      <c r="Q597" s="5">
        <v>50</v>
      </c>
    </row>
    <row r="598" spans="17:17" ht="15" customHeight="1">
      <c r="Q598" s="5">
        <v>50</v>
      </c>
    </row>
    <row r="599" spans="17:17" ht="15" customHeight="1">
      <c r="Q599" s="5">
        <v>50</v>
      </c>
    </row>
    <row r="600" spans="17:17" ht="15" customHeight="1">
      <c r="Q600" s="5">
        <v>50</v>
      </c>
    </row>
    <row r="601" spans="17:17" ht="15" customHeight="1">
      <c r="Q601" s="5">
        <v>50</v>
      </c>
    </row>
    <row r="602" spans="17:17" ht="15" customHeight="1">
      <c r="Q602" s="5">
        <v>51</v>
      </c>
    </row>
    <row r="603" spans="17:17" ht="15" customHeight="1">
      <c r="Q603" s="5">
        <v>51</v>
      </c>
    </row>
    <row r="604" spans="17:17" ht="15" customHeight="1">
      <c r="Q604" s="5">
        <v>51</v>
      </c>
    </row>
    <row r="605" spans="17:17" ht="15" customHeight="1">
      <c r="Q605" s="5">
        <v>51</v>
      </c>
    </row>
    <row r="606" spans="17:17" ht="15" customHeight="1">
      <c r="Q606" s="5">
        <v>52</v>
      </c>
    </row>
    <row r="607" spans="17:17" ht="15" customHeight="1">
      <c r="Q607" s="5">
        <v>52</v>
      </c>
    </row>
    <row r="608" spans="17:17" ht="15" customHeight="1">
      <c r="Q608" s="5">
        <v>52</v>
      </c>
    </row>
    <row r="609" spans="17:17" ht="15" customHeight="1">
      <c r="Q609" s="5">
        <v>52</v>
      </c>
    </row>
    <row r="610" spans="17:17" ht="15" customHeight="1">
      <c r="Q610" s="5">
        <v>52</v>
      </c>
    </row>
    <row r="611" spans="17:17" ht="15" customHeight="1">
      <c r="Q611" s="5">
        <v>53</v>
      </c>
    </row>
    <row r="612" spans="17:17" ht="15" customHeight="1">
      <c r="Q612" s="5">
        <v>53</v>
      </c>
    </row>
    <row r="613" spans="17:17" ht="15" customHeight="1">
      <c r="Q613" s="5">
        <v>53</v>
      </c>
    </row>
    <row r="614" spans="17:17" ht="15" customHeight="1">
      <c r="Q614" s="5">
        <v>53</v>
      </c>
    </row>
    <row r="615" spans="17:17" ht="15" customHeight="1">
      <c r="Q615" s="5">
        <v>54</v>
      </c>
    </row>
    <row r="616" spans="17:17" ht="15" customHeight="1">
      <c r="Q616" s="5">
        <v>54</v>
      </c>
    </row>
    <row r="617" spans="17:17" ht="15" customHeight="1">
      <c r="Q617" s="5">
        <v>54</v>
      </c>
    </row>
    <row r="618" spans="17:17" ht="15" customHeight="1">
      <c r="Q618" s="5">
        <v>54</v>
      </c>
    </row>
    <row r="619" spans="17:17" ht="15" customHeight="1">
      <c r="Q619" s="5">
        <v>54</v>
      </c>
    </row>
    <row r="620" spans="17:17" ht="15" customHeight="1">
      <c r="Q620" s="5">
        <v>54</v>
      </c>
    </row>
    <row r="621" spans="17:17" ht="15" customHeight="1">
      <c r="Q621" s="5">
        <v>54</v>
      </c>
    </row>
    <row r="622" spans="17:17" ht="15" customHeight="1">
      <c r="Q622" s="5">
        <v>54</v>
      </c>
    </row>
    <row r="623" spans="17:17" ht="15" customHeight="1">
      <c r="Q623" s="5">
        <v>54</v>
      </c>
    </row>
    <row r="624" spans="17:17" ht="15" customHeight="1">
      <c r="Q624" s="5">
        <v>55</v>
      </c>
    </row>
    <row r="625" spans="17:17" ht="15" customHeight="1">
      <c r="Q625" s="5">
        <v>55</v>
      </c>
    </row>
    <row r="626" spans="17:17" ht="15" customHeight="1">
      <c r="Q626" s="5">
        <v>56</v>
      </c>
    </row>
    <row r="627" spans="17:17" ht="15" customHeight="1">
      <c r="Q627" s="5">
        <v>56</v>
      </c>
    </row>
    <row r="628" spans="17:17" ht="15" customHeight="1">
      <c r="Q628" s="5">
        <v>57</v>
      </c>
    </row>
    <row r="629" spans="17:17" ht="15" customHeight="1">
      <c r="Q629" s="5">
        <v>57</v>
      </c>
    </row>
    <row r="630" spans="17:17" ht="15" customHeight="1">
      <c r="Q630" s="5">
        <v>57</v>
      </c>
    </row>
    <row r="631" spans="17:17" ht="15" customHeight="1">
      <c r="Q631" s="5">
        <v>57</v>
      </c>
    </row>
    <row r="632" spans="17:17" ht="15" customHeight="1">
      <c r="Q632" s="5">
        <v>57</v>
      </c>
    </row>
    <row r="633" spans="17:17" ht="15" customHeight="1">
      <c r="Q633" s="5">
        <v>58</v>
      </c>
    </row>
    <row r="634" spans="17:17" ht="15" customHeight="1">
      <c r="Q634" s="5">
        <v>58</v>
      </c>
    </row>
    <row r="635" spans="17:17" ht="15" customHeight="1">
      <c r="Q635" s="5">
        <v>58</v>
      </c>
    </row>
    <row r="636" spans="17:17" ht="15" customHeight="1">
      <c r="Q636" s="5">
        <v>58</v>
      </c>
    </row>
    <row r="637" spans="17:17" ht="15" customHeight="1">
      <c r="Q637" s="5">
        <v>58</v>
      </c>
    </row>
    <row r="638" spans="17:17" ht="15" customHeight="1">
      <c r="Q638" s="5">
        <v>58</v>
      </c>
    </row>
    <row r="639" spans="17:17" ht="15" customHeight="1">
      <c r="Q639" s="5">
        <v>59</v>
      </c>
    </row>
    <row r="640" spans="17:17" ht="15" customHeight="1">
      <c r="Q640" s="5">
        <v>59</v>
      </c>
    </row>
    <row r="641" spans="17:17" ht="15" customHeight="1">
      <c r="Q641" s="5">
        <v>59</v>
      </c>
    </row>
    <row r="642" spans="17:17" ht="15" customHeight="1">
      <c r="Q642" s="5">
        <v>59</v>
      </c>
    </row>
    <row r="643" spans="17:17" ht="15" customHeight="1">
      <c r="Q643" s="5">
        <v>59</v>
      </c>
    </row>
    <row r="644" spans="17:17" ht="15" customHeight="1">
      <c r="Q644" s="5">
        <v>59</v>
      </c>
    </row>
    <row r="645" spans="17:17" ht="15" customHeight="1">
      <c r="Q645" s="5">
        <v>59</v>
      </c>
    </row>
    <row r="646" spans="17:17" ht="15" customHeight="1">
      <c r="Q646" s="5">
        <v>59</v>
      </c>
    </row>
    <row r="647" spans="17:17" ht="15" customHeight="1">
      <c r="Q647" s="5">
        <v>60</v>
      </c>
    </row>
  </sheetData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S349"/>
  <sheetViews>
    <sheetView workbookViewId="0">
      <selection activeCell="C16" sqref="C16:C20"/>
    </sheetView>
  </sheetViews>
  <sheetFormatPr defaultColWidth="12.5546875" defaultRowHeight="15" customHeight="1"/>
  <cols>
    <col min="3" max="3" width="14.88671875" customWidth="1"/>
    <col min="4" max="9" width="13.88671875" customWidth="1"/>
    <col min="30" max="32" width="8.33203125" customWidth="1"/>
    <col min="33" max="33" width="12.88671875" customWidth="1"/>
  </cols>
  <sheetData>
    <row r="1" spans="1:71" ht="14.4">
      <c r="A1" s="12" t="s">
        <v>9</v>
      </c>
      <c r="B1" s="11" t="s">
        <v>10</v>
      </c>
    </row>
    <row r="2" spans="1:71" ht="14.4">
      <c r="A2" s="93">
        <v>1</v>
      </c>
      <c r="B2" s="94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</row>
    <row r="3" spans="1:71" ht="14.4">
      <c r="A3" s="92">
        <v>1</v>
      </c>
      <c r="B3" s="15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</row>
    <row r="4" spans="1:71" ht="14.4">
      <c r="A4" s="92">
        <v>1</v>
      </c>
      <c r="B4" s="15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7"/>
      <c r="AF4" s="27"/>
      <c r="AG4" s="27"/>
    </row>
    <row r="5" spans="1:71" ht="14.4">
      <c r="A5" s="92">
        <v>1</v>
      </c>
      <c r="B5" s="15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71" ht="14.4">
      <c r="A6" s="139">
        <v>2</v>
      </c>
      <c r="B6" s="140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71" ht="14.4">
      <c r="A7" s="93">
        <v>3</v>
      </c>
      <c r="B7" s="9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71" ht="14.4">
      <c r="A8" s="92">
        <v>3</v>
      </c>
      <c r="B8" s="97"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71" ht="14.4">
      <c r="A9" s="92">
        <v>3</v>
      </c>
      <c r="B9" s="97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71" ht="14.4">
      <c r="A10" s="92">
        <v>3</v>
      </c>
      <c r="B10" s="97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71" ht="14.4">
      <c r="A11" s="92">
        <v>3</v>
      </c>
      <c r="B11" s="97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71" ht="14.4">
      <c r="A12" s="92">
        <v>3</v>
      </c>
      <c r="B12" s="97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71" ht="14.4">
      <c r="A13" s="92">
        <v>3</v>
      </c>
      <c r="B13" s="97">
        <v>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71" ht="14.4">
      <c r="A14" s="103">
        <v>3</v>
      </c>
      <c r="B14" s="104">
        <v>4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</row>
    <row r="15" spans="1:71" ht="14.4">
      <c r="A15" s="93">
        <v>4</v>
      </c>
      <c r="B15" s="94">
        <v>1</v>
      </c>
      <c r="C15" s="185">
        <v>63.720999999999997</v>
      </c>
      <c r="D15" s="120">
        <v>53.813000000000002</v>
      </c>
      <c r="E15" s="120">
        <v>40.036000000000001</v>
      </c>
      <c r="F15" s="120">
        <v>29.786000000000001</v>
      </c>
      <c r="G15" s="120">
        <v>22.315999999999999</v>
      </c>
      <c r="H15" s="120">
        <v>17.318999999999999</v>
      </c>
      <c r="I15" s="120">
        <v>13.16</v>
      </c>
      <c r="J15" s="120">
        <v>10.654</v>
      </c>
      <c r="K15" s="120">
        <v>8.5050000000000008</v>
      </c>
      <c r="L15" s="120">
        <v>7.1820000000000004</v>
      </c>
      <c r="M15" s="120">
        <v>5.8559999999999999</v>
      </c>
      <c r="N15" s="120">
        <v>5.0510000000000002</v>
      </c>
      <c r="O15" s="121">
        <v>4.3869999999999996</v>
      </c>
      <c r="P15" s="90"/>
      <c r="Q15" s="90"/>
      <c r="R15" s="90"/>
      <c r="S15" s="90"/>
      <c r="T15" s="90"/>
      <c r="U15" s="90"/>
      <c r="V15" s="90"/>
    </row>
    <row r="16" spans="1:71" ht="14.4">
      <c r="A16" s="93">
        <v>5</v>
      </c>
      <c r="B16" s="94">
        <v>1</v>
      </c>
      <c r="C16" s="95">
        <v>1092.912</v>
      </c>
      <c r="D16" s="95">
        <v>1084.8499999999999</v>
      </c>
      <c r="E16" s="95">
        <v>1053.193</v>
      </c>
      <c r="F16" s="95">
        <v>1000</v>
      </c>
      <c r="G16" s="95">
        <v>970.81899999999996</v>
      </c>
      <c r="H16" s="95">
        <v>914.98699999999997</v>
      </c>
      <c r="I16" s="95">
        <v>837.20100000000002</v>
      </c>
      <c r="J16" s="95">
        <v>789.053</v>
      </c>
      <c r="K16" s="95">
        <v>711.36099999999999</v>
      </c>
      <c r="L16" s="95">
        <v>622.60400000000004</v>
      </c>
      <c r="M16" s="141">
        <v>553.05100000000004</v>
      </c>
      <c r="N16" s="141">
        <v>487.64400000000001</v>
      </c>
      <c r="O16" s="141">
        <v>417.42500000000001</v>
      </c>
      <c r="P16" s="141">
        <v>324.529</v>
      </c>
      <c r="Q16" s="141">
        <v>269.69200000000001</v>
      </c>
      <c r="R16" s="141">
        <v>209.673</v>
      </c>
      <c r="S16" s="141">
        <v>171.68299999999999</v>
      </c>
      <c r="T16" s="141">
        <v>136.47300000000001</v>
      </c>
      <c r="U16" s="141">
        <v>97.802999999999997</v>
      </c>
      <c r="V16" s="142">
        <v>60.444000000000003</v>
      </c>
      <c r="W16" s="91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71" ht="14.4">
      <c r="A17" s="93">
        <v>6</v>
      </c>
      <c r="B17" s="187">
        <v>1</v>
      </c>
      <c r="C17" s="95">
        <v>7.601</v>
      </c>
      <c r="D17" s="95">
        <v>7.4249999999999998</v>
      </c>
      <c r="E17" s="95">
        <v>7.4249999999999998</v>
      </c>
      <c r="F17" s="95">
        <v>7.0019999999999998</v>
      </c>
      <c r="G17" s="95">
        <v>7.0839999999999996</v>
      </c>
      <c r="H17" s="95">
        <v>6.5259999999999998</v>
      </c>
      <c r="I17" s="95">
        <v>6.681</v>
      </c>
      <c r="J17" s="95">
        <v>6.3010000000000002</v>
      </c>
      <c r="K17" s="95">
        <v>5.9420000000000002</v>
      </c>
      <c r="L17" s="115">
        <v>5.9420000000000002</v>
      </c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71" ht="14.4">
      <c r="A18" s="92">
        <v>6</v>
      </c>
      <c r="B18" s="188">
        <v>2</v>
      </c>
      <c r="C18" s="96">
        <v>149.32599999999999</v>
      </c>
      <c r="D18" s="96">
        <v>118.114</v>
      </c>
      <c r="E18" s="96">
        <v>94.528000000000006</v>
      </c>
      <c r="F18" s="96">
        <v>72.186000000000007</v>
      </c>
      <c r="G18" s="96">
        <v>57.771000000000001</v>
      </c>
      <c r="H18" s="96">
        <v>45.695999999999998</v>
      </c>
      <c r="I18" s="96">
        <v>36.145000000000003</v>
      </c>
      <c r="J18" s="96">
        <v>28.59</v>
      </c>
      <c r="K18" s="96">
        <v>23.978999999999999</v>
      </c>
      <c r="L18" s="117">
        <v>20.350000000000001</v>
      </c>
      <c r="M18" s="91"/>
      <c r="N18" s="4"/>
      <c r="O18" s="4"/>
      <c r="P18" s="4"/>
      <c r="Q18" s="4"/>
      <c r="R18" s="4"/>
      <c r="S18" s="4"/>
      <c r="T18" s="4"/>
      <c r="U18" s="4"/>
      <c r="V18" s="4"/>
    </row>
    <row r="19" spans="1:71" ht="14.4">
      <c r="A19" s="92">
        <v>6</v>
      </c>
      <c r="B19" s="188">
        <v>3</v>
      </c>
      <c r="C19" s="96">
        <v>940.85599999999999</v>
      </c>
      <c r="D19" s="96">
        <v>638.99699999999996</v>
      </c>
      <c r="E19" s="96">
        <v>444.28100000000001</v>
      </c>
      <c r="F19" s="96">
        <v>305.29899999999998</v>
      </c>
      <c r="G19" s="96">
        <v>222.459</v>
      </c>
      <c r="H19" s="96">
        <v>151.08699999999999</v>
      </c>
      <c r="I19" s="96">
        <v>102.613</v>
      </c>
      <c r="J19" s="96">
        <v>75.652000000000001</v>
      </c>
      <c r="K19" s="96">
        <v>53.219000000000001</v>
      </c>
      <c r="L19" s="117">
        <v>42.095999999999997</v>
      </c>
      <c r="M19" s="91"/>
      <c r="N19" s="4"/>
      <c r="O19" s="4"/>
      <c r="P19" s="4"/>
      <c r="Q19" s="4"/>
      <c r="R19" s="4"/>
      <c r="S19" s="4"/>
      <c r="T19" s="4"/>
      <c r="U19" s="4"/>
      <c r="V19" s="4"/>
    </row>
    <row r="20" spans="1:71" ht="14.4">
      <c r="A20" s="92">
        <v>6</v>
      </c>
      <c r="B20" s="188">
        <v>4</v>
      </c>
      <c r="C20" s="96">
        <v>20301.856</v>
      </c>
      <c r="D20" s="96">
        <v>13003.285</v>
      </c>
      <c r="E20" s="96">
        <v>8135.5510000000004</v>
      </c>
      <c r="F20" s="96">
        <v>4914.1229999999996</v>
      </c>
      <c r="G20" s="96">
        <v>3110.797</v>
      </c>
      <c r="H20" s="96">
        <v>1992.4580000000001</v>
      </c>
      <c r="I20" s="96">
        <v>1217.6990000000001</v>
      </c>
      <c r="J20" s="96">
        <v>779.93200000000002</v>
      </c>
      <c r="K20" s="96">
        <v>487.96800000000002</v>
      </c>
      <c r="L20" s="117">
        <v>327.548</v>
      </c>
      <c r="M20" s="91"/>
      <c r="N20" s="4"/>
      <c r="O20" s="4"/>
      <c r="P20" s="4"/>
      <c r="Q20" s="4"/>
      <c r="R20" s="4"/>
      <c r="S20" s="4"/>
      <c r="T20" s="4"/>
      <c r="U20" s="4"/>
      <c r="V20" s="4"/>
    </row>
    <row r="21" spans="1:71" ht="14.4">
      <c r="A21" s="92">
        <v>6</v>
      </c>
      <c r="B21" s="97">
        <v>5</v>
      </c>
      <c r="C21" s="96"/>
      <c r="D21" s="96"/>
      <c r="E21" s="96"/>
      <c r="F21" s="96"/>
      <c r="G21" s="96"/>
      <c r="H21" s="96"/>
      <c r="I21" s="96"/>
      <c r="J21" s="96"/>
      <c r="K21" s="96"/>
      <c r="L21" s="117"/>
      <c r="M21" s="91"/>
      <c r="N21" s="4"/>
      <c r="O21" s="4"/>
      <c r="P21" s="4"/>
      <c r="Q21" s="4"/>
      <c r="R21" s="4"/>
      <c r="S21" s="4"/>
      <c r="T21" s="4"/>
      <c r="U21" s="4"/>
      <c r="V21" s="4"/>
    </row>
    <row r="22" spans="1:71" ht="14.4">
      <c r="A22" s="92">
        <v>6</v>
      </c>
      <c r="B22" s="97">
        <v>6</v>
      </c>
      <c r="C22" s="96"/>
      <c r="D22" s="96"/>
      <c r="E22" s="96"/>
      <c r="F22" s="96"/>
      <c r="G22" s="96"/>
      <c r="H22" s="96"/>
      <c r="I22" s="96"/>
      <c r="J22" s="96"/>
      <c r="K22" s="96"/>
      <c r="L22" s="117"/>
      <c r="M22" s="91"/>
      <c r="N22" s="4"/>
      <c r="O22" s="4"/>
      <c r="P22" s="4"/>
      <c r="Q22" s="4"/>
      <c r="R22" s="4"/>
      <c r="S22" s="4"/>
      <c r="T22" s="4"/>
      <c r="U22" s="4"/>
      <c r="V22" s="4"/>
    </row>
    <row r="23" spans="1:71" ht="14.4">
      <c r="A23" s="103">
        <v>6</v>
      </c>
      <c r="B23" s="104">
        <v>7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18"/>
      <c r="M23" s="91"/>
      <c r="N23" s="4"/>
      <c r="O23" s="4"/>
      <c r="P23" s="4"/>
      <c r="Q23" s="4"/>
      <c r="R23" s="4"/>
      <c r="S23" s="4"/>
      <c r="T23" s="4"/>
      <c r="U23" s="4"/>
      <c r="V23" s="4"/>
    </row>
    <row r="24" spans="1:71" ht="14.4">
      <c r="A24" s="93">
        <v>7</v>
      </c>
      <c r="B24" s="187">
        <v>1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4"/>
      <c r="N24" s="4"/>
      <c r="O24" s="4"/>
      <c r="P24" s="4"/>
      <c r="Q24" s="4"/>
      <c r="R24" s="4"/>
      <c r="S24" s="4"/>
      <c r="T24" s="4"/>
      <c r="U24" s="4"/>
      <c r="V24" s="4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</row>
    <row r="25" spans="1:71" ht="14.4">
      <c r="A25" s="92">
        <v>7</v>
      </c>
      <c r="B25" s="188">
        <v>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71" ht="14.4">
      <c r="A26" s="103">
        <v>7</v>
      </c>
      <c r="B26" s="209">
        <v>3</v>
      </c>
      <c r="C26" s="4"/>
      <c r="D26" s="4"/>
      <c r="E26" s="4"/>
      <c r="F26" s="4"/>
      <c r="G26" s="4"/>
      <c r="H26" s="4"/>
      <c r="I26" s="4"/>
      <c r="L26" s="4"/>
      <c r="M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71" ht="14.4">
      <c r="A27" s="93">
        <v>8</v>
      </c>
      <c r="B27" s="187">
        <v>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71" ht="14.4">
      <c r="A28" s="92">
        <v>8</v>
      </c>
      <c r="B28" s="188">
        <v>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71" ht="14.4">
      <c r="A29" s="92">
        <v>8</v>
      </c>
      <c r="B29" s="188">
        <v>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71" ht="14.4">
      <c r="A30" s="103">
        <v>8</v>
      </c>
      <c r="B30" s="209">
        <v>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71" ht="14.4">
      <c r="A31" s="125">
        <v>9</v>
      </c>
      <c r="B31" s="229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71" ht="14.4">
      <c r="A32" s="125">
        <v>9</v>
      </c>
      <c r="B32" s="229">
        <v>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14.4">
      <c r="A33" s="125">
        <v>9</v>
      </c>
      <c r="B33" s="229">
        <v>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14.4">
      <c r="A34" s="125">
        <v>9</v>
      </c>
      <c r="B34" s="229">
        <v>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7" ht="14.4">
      <c r="A35" s="125">
        <v>9</v>
      </c>
      <c r="B35" s="229">
        <v>5</v>
      </c>
      <c r="F35" s="4"/>
      <c r="J35" s="4"/>
      <c r="K35" s="4"/>
      <c r="N35" s="4"/>
      <c r="O35" s="4"/>
    </row>
    <row r="36" spans="1:37" ht="14.4">
      <c r="A36" s="125">
        <v>9</v>
      </c>
      <c r="B36" s="229">
        <v>6</v>
      </c>
    </row>
    <row r="37" spans="1:37" ht="14.4">
      <c r="A37" s="220">
        <v>9</v>
      </c>
      <c r="B37" s="209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7" ht="14.4">
      <c r="A38" s="139">
        <v>10</v>
      </c>
      <c r="B38" s="140">
        <v>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7" ht="14.4">
      <c r="A39" s="139">
        <v>11</v>
      </c>
      <c r="B39" s="140">
        <v>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37" ht="14.4">
      <c r="A40" s="13"/>
      <c r="B40" s="1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37" ht="14.4">
      <c r="A41" s="13"/>
      <c r="B41" s="1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37" ht="14.4">
      <c r="A42" s="13"/>
      <c r="B42" s="1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37" ht="14.4">
      <c r="A43" s="13"/>
      <c r="B43" s="1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37" ht="14.4">
      <c r="A44" s="13"/>
      <c r="B44" s="1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37" ht="14.4">
      <c r="A45" s="13"/>
      <c r="B45" s="1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37" ht="14.4">
      <c r="A46" s="13"/>
      <c r="B46" s="1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7" ht="14.4">
      <c r="A47" s="21"/>
      <c r="B47" s="2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14.4">
      <c r="A48" s="21"/>
      <c r="B48" s="2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47" ht="14.4">
      <c r="A49" s="21"/>
      <c r="B49" s="2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47" ht="14.4">
      <c r="A50" s="21"/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47" ht="14.4">
      <c r="A51" s="2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47" ht="14.4">
      <c r="A52" s="21"/>
      <c r="B52" s="2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47" ht="14.4">
      <c r="A53" s="21"/>
      <c r="B53" s="2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47" ht="14.4">
      <c r="A54" s="13"/>
      <c r="B54" s="1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47" ht="14.4">
      <c r="A55" s="13"/>
      <c r="B55" s="14"/>
    </row>
    <row r="56" spans="1:47" ht="14.4">
      <c r="A56" s="13"/>
      <c r="B56" s="14"/>
      <c r="AL56" s="17"/>
      <c r="AM56" s="17"/>
      <c r="AN56" s="17"/>
      <c r="AO56" s="17"/>
      <c r="AP56" s="17"/>
      <c r="AQ56" s="17"/>
      <c r="AR56" s="17"/>
      <c r="AS56" s="17"/>
    </row>
    <row r="57" spans="1:47" ht="14.4">
      <c r="A57" s="13"/>
      <c r="B57" s="1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L57" s="17"/>
      <c r="AM57" s="17"/>
      <c r="AN57" s="17"/>
      <c r="AO57" s="17"/>
      <c r="AP57" s="17"/>
      <c r="AQ57" s="17"/>
      <c r="AR57" s="17"/>
      <c r="AS57" s="17"/>
      <c r="AT57" s="17"/>
      <c r="AU57" s="17"/>
    </row>
    <row r="58" spans="1:47" ht="14.4">
      <c r="A58" s="13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L58" s="17"/>
      <c r="AM58" s="17"/>
      <c r="AN58" s="17"/>
      <c r="AO58" s="17"/>
      <c r="AP58" s="17"/>
      <c r="AQ58" s="17"/>
      <c r="AR58" s="17"/>
      <c r="AS58" s="17"/>
    </row>
    <row r="59" spans="1:47" ht="14.4">
      <c r="A59" s="13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AL59" s="17"/>
      <c r="AM59" s="17"/>
      <c r="AN59" s="17"/>
      <c r="AO59" s="17"/>
      <c r="AP59" s="17"/>
      <c r="AQ59" s="17"/>
      <c r="AR59" s="17"/>
      <c r="AS59" s="17"/>
    </row>
    <row r="60" spans="1:47" ht="14.4">
      <c r="A60" s="13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AL60" s="17"/>
      <c r="AM60" s="17"/>
      <c r="AN60" s="17"/>
      <c r="AO60" s="17"/>
      <c r="AP60" s="17"/>
      <c r="AQ60" s="17"/>
      <c r="AR60" s="17"/>
      <c r="AS60" s="17"/>
    </row>
    <row r="61" spans="1:47" ht="14.4">
      <c r="A61" s="13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AL61" s="17"/>
      <c r="AM61" s="17"/>
      <c r="AN61" s="17"/>
      <c r="AO61" s="17"/>
      <c r="AP61" s="17"/>
      <c r="AQ61" s="17"/>
      <c r="AR61" s="17"/>
      <c r="AS61" s="17"/>
    </row>
    <row r="62" spans="1:47" ht="14.4">
      <c r="A62" s="13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AL62" s="17"/>
      <c r="AM62" s="17"/>
      <c r="AN62" s="17"/>
      <c r="AO62" s="17"/>
      <c r="AP62" s="17"/>
      <c r="AQ62" s="17"/>
      <c r="AR62" s="17"/>
      <c r="AS62" s="17"/>
    </row>
    <row r="63" spans="1:47" ht="14.4">
      <c r="A63" s="13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AL63" s="17"/>
      <c r="AM63" s="17"/>
      <c r="AN63" s="17"/>
      <c r="AO63" s="17"/>
      <c r="AP63" s="17"/>
      <c r="AQ63" s="17"/>
      <c r="AR63" s="17"/>
      <c r="AS63" s="17"/>
    </row>
    <row r="64" spans="1:47" ht="14.4">
      <c r="A64" s="13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4.4">
      <c r="A65" s="13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4.4">
      <c r="A66" s="13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4.4">
      <c r="A67" s="13"/>
      <c r="B67" s="1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4.4">
      <c r="A68" s="23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2" ht="14.4">
      <c r="A69" s="23"/>
      <c r="B69" s="15"/>
      <c r="C69" s="37"/>
      <c r="D69" s="37"/>
      <c r="E69" s="36"/>
      <c r="F69" s="36"/>
      <c r="G69" s="36"/>
      <c r="H69" s="36"/>
      <c r="J69" s="36"/>
      <c r="K69" s="36"/>
    </row>
    <row r="70" spans="1:22" ht="14.4">
      <c r="A70" s="23"/>
      <c r="B70" s="15"/>
      <c r="C70" s="37"/>
      <c r="D70" s="37"/>
      <c r="E70" s="36"/>
      <c r="F70" s="36"/>
      <c r="G70" s="36"/>
      <c r="H70" s="36"/>
      <c r="J70" s="36"/>
      <c r="K70" s="36"/>
    </row>
    <row r="71" spans="1:22" ht="14.4">
      <c r="A71" s="23"/>
      <c r="B71" s="15"/>
      <c r="C71" s="37"/>
      <c r="D71" s="37"/>
      <c r="E71" s="36"/>
      <c r="F71" s="36"/>
      <c r="G71" s="36"/>
      <c r="H71" s="36"/>
      <c r="J71" s="36"/>
      <c r="K71" s="36"/>
    </row>
    <row r="72" spans="1:22" ht="14.4">
      <c r="A72" s="23"/>
      <c r="B72" s="15"/>
      <c r="C72" s="37"/>
      <c r="D72" s="37"/>
      <c r="E72" s="36"/>
      <c r="F72" s="36"/>
      <c r="G72" s="36"/>
      <c r="H72" s="36"/>
      <c r="J72" s="36"/>
      <c r="K72" s="36"/>
    </row>
    <row r="73" spans="1:22" ht="14.4">
      <c r="A73" s="23"/>
      <c r="B73" s="15"/>
      <c r="C73" s="37"/>
      <c r="D73" s="37"/>
      <c r="E73" s="36"/>
      <c r="F73" s="36"/>
      <c r="G73" s="36"/>
      <c r="H73" s="36"/>
      <c r="I73" s="4"/>
      <c r="J73" s="36"/>
      <c r="K73" s="36"/>
      <c r="L73" s="4"/>
      <c r="M73" s="4"/>
      <c r="N73" s="4"/>
      <c r="O73" s="4"/>
    </row>
    <row r="74" spans="1:22" ht="14.4">
      <c r="A74" s="23"/>
      <c r="B74" s="15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4"/>
    </row>
    <row r="75" spans="1:22" ht="14.4">
      <c r="A75" s="23"/>
      <c r="B75" s="1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4"/>
    </row>
    <row r="76" spans="1:22" ht="14.4">
      <c r="A76" s="23"/>
      <c r="B76" s="15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4"/>
    </row>
    <row r="77" spans="1:22" ht="14.4">
      <c r="A77" s="23"/>
      <c r="B77" s="15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4"/>
    </row>
    <row r="78" spans="1:22" ht="14.4">
      <c r="A78" s="23"/>
      <c r="B78" s="15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4"/>
    </row>
    <row r="79" spans="1:22" ht="14.4">
      <c r="A79" s="23"/>
      <c r="B79" s="15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4"/>
    </row>
    <row r="80" spans="1:22" ht="14.4">
      <c r="A80" s="13"/>
      <c r="B80" s="14"/>
      <c r="C80" s="37"/>
      <c r="D80" s="37"/>
      <c r="E80" s="36"/>
      <c r="F80" s="36"/>
      <c r="G80" s="36"/>
      <c r="H80" s="36"/>
      <c r="I80" s="4"/>
      <c r="J80" s="36"/>
      <c r="K80" s="36"/>
      <c r="L80" s="4"/>
      <c r="M80" s="4"/>
      <c r="N80" s="4"/>
      <c r="O80" s="4"/>
    </row>
    <row r="81" spans="1:55" ht="14.4">
      <c r="A81" s="13"/>
      <c r="B81" s="14"/>
      <c r="C81" s="37"/>
      <c r="D81" s="36"/>
      <c r="E81" s="36"/>
      <c r="F81" s="36"/>
      <c r="G81" s="36"/>
      <c r="H81" s="36"/>
      <c r="I81" s="4"/>
      <c r="J81" s="36"/>
      <c r="K81" s="36"/>
      <c r="L81" s="4"/>
      <c r="M81" s="4"/>
      <c r="N81" s="4"/>
      <c r="O81" s="4"/>
      <c r="AE81" s="38"/>
    </row>
    <row r="82" spans="1:55" ht="14.4">
      <c r="A82" s="13"/>
      <c r="B82" s="14"/>
      <c r="C82" s="37"/>
      <c r="D82" s="36"/>
      <c r="E82" s="36"/>
      <c r="F82" s="36"/>
      <c r="G82" s="36"/>
      <c r="H82" s="36"/>
      <c r="I82" s="4"/>
      <c r="J82" s="36"/>
      <c r="K82" s="36"/>
      <c r="L82" s="4"/>
      <c r="M82" s="4"/>
      <c r="N82" s="4"/>
      <c r="O82" s="4"/>
      <c r="AE82" s="20"/>
    </row>
    <row r="83" spans="1:55" ht="14.4">
      <c r="A83" s="13"/>
      <c r="B83" s="14"/>
      <c r="C83" s="37"/>
      <c r="D83" s="36"/>
      <c r="E83" s="36"/>
      <c r="F83" s="36"/>
      <c r="G83" s="36"/>
      <c r="H83" s="36"/>
      <c r="I83" s="4"/>
      <c r="J83" s="36"/>
      <c r="K83" s="36"/>
      <c r="L83" s="4"/>
      <c r="M83" s="4"/>
      <c r="N83" s="4"/>
      <c r="O83" s="4"/>
      <c r="AE83" s="38"/>
    </row>
    <row r="84" spans="1:55" ht="14.4">
      <c r="A84" s="13"/>
      <c r="B84" s="14"/>
      <c r="C84" s="37"/>
      <c r="D84" s="36"/>
      <c r="E84" s="36"/>
      <c r="F84" s="36"/>
      <c r="G84" s="36"/>
      <c r="H84" s="36"/>
      <c r="J84" s="36"/>
      <c r="K84" s="36"/>
      <c r="AE84" s="38"/>
    </row>
    <row r="85" spans="1:55" ht="14.4">
      <c r="A85" s="13"/>
      <c r="B85" s="14"/>
      <c r="C85" s="37"/>
      <c r="D85" s="36"/>
      <c r="E85" s="36"/>
      <c r="F85" s="36"/>
      <c r="G85" s="36"/>
      <c r="H85" s="36"/>
      <c r="J85" s="36"/>
      <c r="K85" s="36"/>
      <c r="AE85" s="38"/>
    </row>
    <row r="86" spans="1:55" ht="14.4">
      <c r="A86" s="13"/>
      <c r="B86" s="14"/>
      <c r="C86" s="37"/>
      <c r="D86" s="36"/>
      <c r="E86" s="36"/>
      <c r="F86" s="36"/>
      <c r="G86" s="36"/>
      <c r="H86" s="36"/>
      <c r="J86" s="36"/>
      <c r="K86" s="36"/>
      <c r="AE86" s="38"/>
    </row>
    <row r="87" spans="1:55" ht="14.4">
      <c r="A87" s="13"/>
      <c r="B87" s="14"/>
      <c r="C87" s="37"/>
      <c r="D87" s="36"/>
      <c r="E87" s="36"/>
      <c r="F87" s="36"/>
      <c r="G87" s="36"/>
      <c r="H87" s="36"/>
      <c r="J87" s="36"/>
      <c r="K87" s="36"/>
      <c r="AE87" s="38"/>
    </row>
    <row r="88" spans="1:55" ht="14.4">
      <c r="A88" s="13"/>
      <c r="B88" s="14"/>
      <c r="C88" s="37"/>
      <c r="D88" s="36"/>
      <c r="E88" s="36"/>
      <c r="F88" s="36"/>
      <c r="G88" s="36"/>
      <c r="H88" s="36"/>
      <c r="J88" s="36"/>
      <c r="K88" s="36"/>
      <c r="AD88" s="39"/>
      <c r="AE88" s="38"/>
    </row>
    <row r="89" spans="1:55" ht="14.4">
      <c r="A89" s="13"/>
      <c r="B89" s="14"/>
      <c r="C89" s="37"/>
      <c r="D89" s="36"/>
      <c r="E89" s="36"/>
      <c r="F89" s="36"/>
      <c r="G89" s="36"/>
      <c r="H89" s="36"/>
      <c r="J89" s="36"/>
      <c r="K89" s="36"/>
      <c r="AD89" s="39"/>
      <c r="AE89" s="38"/>
    </row>
    <row r="90" spans="1:55" ht="14.4">
      <c r="A90" s="13"/>
      <c r="B90" s="14"/>
      <c r="C90" s="37"/>
      <c r="D90" s="36"/>
      <c r="E90" s="36"/>
      <c r="F90" s="36"/>
      <c r="G90" s="36"/>
      <c r="H90" s="36"/>
      <c r="J90" s="36"/>
      <c r="K90" s="36"/>
      <c r="AD90" s="39"/>
      <c r="AE90" s="38"/>
    </row>
    <row r="91" spans="1:55" ht="14.4">
      <c r="A91" s="13"/>
      <c r="B91" s="14"/>
      <c r="C91" s="37"/>
      <c r="D91" s="36"/>
      <c r="E91" s="36"/>
      <c r="F91" s="36"/>
      <c r="G91" s="36"/>
      <c r="H91" s="36"/>
      <c r="J91" s="36"/>
      <c r="K91" s="36"/>
      <c r="AD91" s="39"/>
      <c r="AE91" s="20"/>
    </row>
    <row r="92" spans="1:55" ht="14.4">
      <c r="A92" s="13"/>
      <c r="B92" s="14"/>
      <c r="C92" s="37"/>
      <c r="D92" s="36"/>
      <c r="E92" s="36"/>
      <c r="F92" s="36"/>
      <c r="G92" s="36"/>
      <c r="H92" s="36"/>
      <c r="J92" s="36"/>
      <c r="K92" s="36"/>
      <c r="AD92" s="39"/>
      <c r="AE92" s="20"/>
    </row>
    <row r="93" spans="1:55" ht="14.4">
      <c r="A93" s="13"/>
      <c r="B93" s="14"/>
      <c r="C93" s="37"/>
      <c r="D93" s="36"/>
      <c r="E93" s="36"/>
      <c r="F93" s="36"/>
      <c r="G93" s="36"/>
      <c r="H93" s="36"/>
      <c r="I93" s="4"/>
      <c r="J93" s="36"/>
      <c r="K93" s="3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D93" s="39"/>
      <c r="AE93" s="2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</row>
    <row r="94" spans="1:55" ht="14.4">
      <c r="A94" s="13"/>
      <c r="B94" s="15"/>
      <c r="C94" s="41"/>
      <c r="D94" s="41"/>
      <c r="E94" s="41"/>
      <c r="F94" s="41"/>
      <c r="G94" s="41"/>
      <c r="H94" s="41"/>
      <c r="I94" s="41"/>
      <c r="J94" s="41"/>
      <c r="K94" s="3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D94" s="39"/>
      <c r="AE94" s="20"/>
      <c r="AF94" s="36"/>
    </row>
    <row r="95" spans="1:55" ht="14.4">
      <c r="A95" s="13"/>
      <c r="B95" s="15"/>
      <c r="C95" s="41"/>
      <c r="D95" s="41"/>
      <c r="E95" s="41"/>
      <c r="F95" s="41"/>
      <c r="G95" s="41"/>
      <c r="H95" s="41"/>
      <c r="I95" s="41"/>
      <c r="J95" s="41"/>
      <c r="K95" s="3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D95" s="39"/>
      <c r="AF95" s="36"/>
    </row>
    <row r="96" spans="1:55" ht="14.4">
      <c r="A96" s="13"/>
      <c r="B96" s="15"/>
      <c r="C96" s="41"/>
      <c r="D96" s="41"/>
      <c r="E96" s="41"/>
      <c r="F96" s="41"/>
      <c r="G96" s="41"/>
      <c r="H96" s="41"/>
      <c r="I96" s="41"/>
      <c r="J96" s="41"/>
      <c r="K96" s="3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D96" s="39"/>
      <c r="AF96" s="36"/>
    </row>
    <row r="97" spans="1:32" ht="14.4">
      <c r="A97" s="13"/>
      <c r="B97" s="15"/>
      <c r="C97" s="41"/>
      <c r="D97" s="41"/>
      <c r="E97" s="41"/>
      <c r="F97" s="41"/>
      <c r="G97" s="41"/>
      <c r="H97" s="41"/>
      <c r="I97" s="41"/>
      <c r="J97" s="41"/>
      <c r="K97" s="3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D97" s="39"/>
      <c r="AF97" s="36"/>
    </row>
    <row r="98" spans="1:32" ht="14.4">
      <c r="A98" s="13"/>
      <c r="B98" s="15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4"/>
      <c r="AD98" s="39"/>
      <c r="AF98" s="36"/>
    </row>
    <row r="99" spans="1:32" ht="14.4">
      <c r="A99" s="13"/>
      <c r="B99" s="1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8"/>
      <c r="T99" s="38"/>
      <c r="U99" s="38"/>
      <c r="V99" s="38"/>
      <c r="W99" s="38"/>
      <c r="X99" s="38"/>
      <c r="Y99" s="38"/>
      <c r="Z99" s="38"/>
      <c r="AA99" s="38"/>
      <c r="AB99" s="4"/>
      <c r="AD99" s="39"/>
      <c r="AF99" s="36"/>
    </row>
    <row r="100" spans="1:32" ht="14.4">
      <c r="A100" s="13"/>
      <c r="B100" s="15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4"/>
      <c r="AB100" s="4"/>
      <c r="AD100" s="39"/>
      <c r="AF100" s="36"/>
    </row>
    <row r="101" spans="1:32" ht="14.4">
      <c r="A101" s="13"/>
      <c r="B101" s="15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D101" s="42"/>
      <c r="AF101" s="36"/>
    </row>
    <row r="102" spans="1:32" ht="14.4">
      <c r="A102" s="13"/>
      <c r="B102" s="15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4"/>
      <c r="U102" s="4"/>
      <c r="V102" s="4"/>
      <c r="W102" s="4"/>
      <c r="X102" s="4"/>
      <c r="Y102" s="4"/>
      <c r="Z102" s="4"/>
      <c r="AA102" s="4"/>
      <c r="AB102" s="4"/>
      <c r="AD102" s="42"/>
      <c r="AF102" s="36"/>
    </row>
    <row r="103" spans="1:32" ht="14.4">
      <c r="A103" s="13"/>
      <c r="B103" s="1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D103" s="42"/>
      <c r="AF103" s="36"/>
    </row>
    <row r="104" spans="1:32" ht="14.4">
      <c r="A104" s="13"/>
      <c r="B104" s="15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D104" s="42"/>
      <c r="AF104" s="36"/>
    </row>
    <row r="105" spans="1:32" ht="14.4">
      <c r="A105" s="13"/>
      <c r="B105" s="15"/>
      <c r="C105" s="20"/>
      <c r="D105" s="20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D105" s="42"/>
      <c r="AF105" s="36"/>
    </row>
    <row r="106" spans="1:32" ht="14.4">
      <c r="A106" s="13"/>
      <c r="B106" s="14"/>
      <c r="C106" s="20"/>
      <c r="D106" s="20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D106" s="42"/>
      <c r="AF106" s="36"/>
    </row>
    <row r="107" spans="1:32" ht="14.4">
      <c r="A107" s="13"/>
      <c r="B107" s="14"/>
      <c r="C107" s="20"/>
      <c r="D107" s="20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D107" s="42"/>
      <c r="AF107" s="36"/>
    </row>
    <row r="108" spans="1:32" ht="14.4">
      <c r="A108" s="13"/>
      <c r="B108" s="14"/>
      <c r="C108" s="20"/>
      <c r="D108" s="20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D108" s="42"/>
      <c r="AF108" s="36"/>
    </row>
    <row r="109" spans="1:32" ht="14.4">
      <c r="A109" s="13"/>
      <c r="B109" s="14"/>
      <c r="C109" s="20"/>
      <c r="D109" s="20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D109" s="42"/>
      <c r="AF109" s="36"/>
    </row>
    <row r="110" spans="1:32" ht="14.4">
      <c r="A110" s="13"/>
      <c r="B110" s="14"/>
      <c r="C110" s="20"/>
      <c r="D110" s="20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D110" s="42"/>
      <c r="AF110" s="36"/>
    </row>
    <row r="111" spans="1:32" ht="14.4">
      <c r="A111" s="13"/>
      <c r="B111" s="14"/>
      <c r="C111" s="20"/>
      <c r="D111" s="20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D111" s="42"/>
      <c r="AF111" s="36"/>
    </row>
    <row r="112" spans="1:32" ht="14.4">
      <c r="A112" s="13"/>
      <c r="B112" s="14"/>
      <c r="C112" s="20"/>
      <c r="D112" s="20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D112" s="42"/>
      <c r="AF112" s="36"/>
    </row>
    <row r="113" spans="1:61" ht="14.4">
      <c r="A113" s="13"/>
      <c r="B113" s="14"/>
      <c r="C113" s="20"/>
      <c r="D113" s="20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D113" s="42"/>
      <c r="AF113" s="36"/>
    </row>
    <row r="114" spans="1:61" ht="14.4">
      <c r="A114" s="13"/>
      <c r="B114" s="14"/>
      <c r="C114" s="4"/>
      <c r="D114" s="4"/>
      <c r="E114" s="4"/>
      <c r="F114" s="4"/>
      <c r="G114" s="36"/>
      <c r="H114" s="36"/>
      <c r="I114" s="4"/>
      <c r="J114" s="36"/>
      <c r="K114" s="3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D114" s="42"/>
      <c r="AF114" s="36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</row>
    <row r="115" spans="1:61" ht="14.4">
      <c r="A115" s="13"/>
      <c r="B115" s="14"/>
      <c r="G115" s="36"/>
      <c r="H115" s="36"/>
      <c r="J115" s="36"/>
      <c r="K115" s="36"/>
      <c r="AD115" s="42"/>
      <c r="AF115" s="36"/>
    </row>
    <row r="116" spans="1:61" ht="14.4">
      <c r="A116" s="13"/>
      <c r="B116" s="14"/>
      <c r="G116" s="36"/>
      <c r="H116" s="36"/>
      <c r="J116" s="36"/>
      <c r="K116" s="36"/>
      <c r="AD116" s="42"/>
      <c r="AF116" s="36"/>
    </row>
    <row r="117" spans="1:61" ht="14.4">
      <c r="A117" s="13"/>
      <c r="B117" s="14"/>
      <c r="G117" s="36"/>
      <c r="H117" s="36"/>
      <c r="J117" s="36"/>
      <c r="K117" s="36"/>
      <c r="AD117" s="39"/>
      <c r="AF117" s="36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4"/>
      <c r="AZ117" s="44"/>
      <c r="BA117" s="44"/>
      <c r="BB117" s="44"/>
      <c r="BC117" s="44"/>
    </row>
    <row r="118" spans="1:61" ht="14.4">
      <c r="A118" s="13"/>
      <c r="B118" s="14"/>
      <c r="G118" s="36"/>
      <c r="H118" s="36"/>
      <c r="J118" s="36"/>
      <c r="K118" s="36"/>
      <c r="AD118" s="39"/>
      <c r="AF118" s="36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45"/>
      <c r="AZ118" s="45"/>
      <c r="BA118" s="45"/>
      <c r="BB118" s="45"/>
      <c r="BC118" s="45"/>
    </row>
    <row r="119" spans="1:61" ht="14.4">
      <c r="A119" s="13"/>
      <c r="B119" s="14"/>
      <c r="G119" s="36"/>
      <c r="H119" s="36"/>
      <c r="J119" s="36"/>
      <c r="K119" s="36"/>
      <c r="AD119" s="39"/>
      <c r="AF119" s="36"/>
      <c r="AG119" s="36"/>
      <c r="AH119" s="36"/>
      <c r="AI119" s="36"/>
      <c r="AJ119" s="36"/>
      <c r="AK119" s="17"/>
      <c r="AL119" s="17"/>
      <c r="AM119" s="17"/>
      <c r="AN119" s="17"/>
      <c r="AO119" s="17"/>
      <c r="AP119" s="17"/>
      <c r="AQ119" s="17"/>
      <c r="AR119" s="17"/>
    </row>
    <row r="120" spans="1:61" ht="14.4">
      <c r="A120" s="13"/>
      <c r="B120" s="14"/>
      <c r="G120" s="36"/>
      <c r="H120" s="36"/>
      <c r="J120" s="36"/>
      <c r="K120" s="36"/>
      <c r="M120" s="46"/>
      <c r="AD120" s="39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</row>
    <row r="121" spans="1:61" ht="14.4">
      <c r="A121" s="13"/>
      <c r="B121" s="14"/>
      <c r="G121" s="36"/>
      <c r="H121" s="36"/>
      <c r="J121" s="36"/>
      <c r="K121" s="36"/>
      <c r="M121" s="46"/>
      <c r="AD121" s="39"/>
    </row>
    <row r="122" spans="1:61" ht="14.4">
      <c r="A122" s="13"/>
      <c r="B122" s="14"/>
      <c r="AD122" s="39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</row>
    <row r="123" spans="1:61" ht="14.4">
      <c r="A123" s="13"/>
      <c r="B123" s="14"/>
      <c r="AD123" s="39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1:61" ht="14.4">
      <c r="A124" s="13"/>
      <c r="B124" s="14"/>
      <c r="AD124" s="39"/>
    </row>
    <row r="125" spans="1:61" ht="14.4">
      <c r="A125" s="13"/>
      <c r="B125" s="14"/>
      <c r="AD125" s="39"/>
    </row>
    <row r="126" spans="1:61" ht="14.4">
      <c r="A126" s="13"/>
      <c r="B126" s="14"/>
      <c r="AD126" s="39"/>
    </row>
    <row r="127" spans="1:61" ht="14.4">
      <c r="A127" s="13"/>
      <c r="B127" s="14"/>
      <c r="AB127" s="36"/>
      <c r="AC127" s="36"/>
      <c r="AD127" s="39"/>
      <c r="AF127" s="36"/>
      <c r="AG127" s="36"/>
      <c r="AH127" s="36"/>
      <c r="AI127" s="36"/>
      <c r="AJ127" s="36"/>
      <c r="AK127" s="17"/>
      <c r="AL127" s="17"/>
      <c r="AM127" s="17"/>
      <c r="AN127" s="17"/>
      <c r="AO127" s="17"/>
      <c r="AP127" s="17"/>
      <c r="AQ127" s="17"/>
      <c r="AR127" s="17"/>
      <c r="AS127" s="36"/>
      <c r="AT127" s="36"/>
      <c r="AU127" s="36"/>
      <c r="AV127" s="36"/>
      <c r="AW127" s="36"/>
      <c r="AX127" s="36"/>
      <c r="AY127" s="36"/>
      <c r="AZ127" s="36"/>
    </row>
    <row r="128" spans="1:61" ht="14.4">
      <c r="A128" s="13"/>
      <c r="B128" s="14"/>
      <c r="AB128" s="20"/>
      <c r="AC128" s="20"/>
      <c r="AD128" s="39"/>
      <c r="AE128" s="36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</row>
    <row r="129" spans="1:37" ht="14.4">
      <c r="A129" s="13"/>
      <c r="B129" s="14"/>
      <c r="AD129" s="36"/>
      <c r="AE129" s="36"/>
    </row>
    <row r="130" spans="1:37" ht="14.4">
      <c r="A130" s="13"/>
      <c r="B130" s="14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4"/>
      <c r="AD130" s="36"/>
      <c r="AE130" s="36"/>
    </row>
    <row r="131" spans="1:37" ht="15" customHeight="1">
      <c r="A131" s="13"/>
      <c r="B131" s="14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4"/>
    </row>
    <row r="132" spans="1:37" ht="15" customHeight="1">
      <c r="A132" s="13"/>
      <c r="B132" s="14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4"/>
    </row>
    <row r="133" spans="1:37" ht="15" customHeight="1">
      <c r="A133" s="13"/>
      <c r="B133" s="14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4"/>
    </row>
    <row r="134" spans="1:37" ht="15" customHeight="1">
      <c r="A134" s="13"/>
      <c r="B134" s="14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4"/>
    </row>
    <row r="135" spans="1:37" ht="15" customHeight="1">
      <c r="A135" s="13"/>
      <c r="B135" s="14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4"/>
    </row>
    <row r="136" spans="1:37" ht="15" customHeight="1">
      <c r="A136" s="13"/>
      <c r="B136" s="14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4"/>
    </row>
    <row r="137" spans="1:37" ht="15" customHeight="1">
      <c r="A137" s="13"/>
      <c r="B137" s="14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4"/>
    </row>
    <row r="138" spans="1:37" ht="15" customHeight="1">
      <c r="A138" s="13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37" ht="15" customHeight="1">
      <c r="A139" s="13"/>
      <c r="B139" s="14"/>
    </row>
    <row r="140" spans="1:37" ht="15" customHeight="1">
      <c r="A140" s="13"/>
      <c r="B140" s="14"/>
    </row>
    <row r="141" spans="1:37" ht="15" customHeight="1">
      <c r="A141" s="13"/>
      <c r="B141" s="14"/>
    </row>
    <row r="142" spans="1:37" ht="15" customHeight="1">
      <c r="A142" s="13"/>
      <c r="B142" s="1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7" ht="15" customHeight="1">
      <c r="A143" s="21"/>
      <c r="B143" s="2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15" customHeight="1">
      <c r="A144" s="21"/>
      <c r="B144" s="2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15" customHeight="1">
      <c r="A145" s="21"/>
      <c r="B145" s="2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15" customHeight="1">
      <c r="A146" s="21"/>
      <c r="B146" s="2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15" customHeight="1">
      <c r="A147" s="21"/>
      <c r="B147" s="2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15" customHeight="1">
      <c r="A148" s="21"/>
      <c r="B148" s="2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15" customHeight="1">
      <c r="A149" s="21"/>
      <c r="B149" s="2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1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7" ht="15" customHeight="1">
      <c r="A151" s="13"/>
      <c r="B151" s="14"/>
    </row>
    <row r="152" spans="1:37" ht="15" customHeight="1">
      <c r="A152" s="13"/>
      <c r="B152" s="14"/>
    </row>
    <row r="153" spans="1:37" ht="15" customHeight="1">
      <c r="A153" s="13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7" ht="15" customHeight="1">
      <c r="A154" s="13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7" ht="15" customHeight="1">
      <c r="A155" s="13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37" ht="15" customHeight="1">
      <c r="A156" s="13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37" ht="15" customHeight="1">
      <c r="A157" s="13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37" ht="15" customHeight="1">
      <c r="A158" s="13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37" ht="15" customHeight="1">
      <c r="A159" s="13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37" ht="15" customHeight="1">
      <c r="A160" s="13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" customHeight="1">
      <c r="A161" s="13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" customHeight="1">
      <c r="A162" s="13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" customHeight="1">
      <c r="A163" s="13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" customHeight="1">
      <c r="A164" s="2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2" ht="15" customHeight="1">
      <c r="A165" s="23"/>
      <c r="B165" s="15"/>
    </row>
    <row r="166" spans="1:22" ht="15" customHeight="1">
      <c r="A166" s="23"/>
      <c r="B166" s="15"/>
    </row>
    <row r="167" spans="1:22" ht="15" customHeight="1">
      <c r="A167" s="2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2" ht="15" customHeight="1">
      <c r="A168" s="13"/>
      <c r="B168" s="1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" customHeight="1">
      <c r="A169" s="13"/>
      <c r="B169" s="1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" customHeight="1">
      <c r="A170" s="13"/>
      <c r="B170" s="1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" customHeight="1">
      <c r="A171" s="13"/>
      <c r="B171" s="1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" customHeight="1">
      <c r="A172" s="13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" customHeight="1">
      <c r="A173" s="13"/>
      <c r="B173" s="1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" customHeight="1">
      <c r="A174" s="13"/>
      <c r="B174" s="1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2" ht="15" customHeight="1">
      <c r="A175" s="13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2" ht="15" customHeight="1">
      <c r="A176" s="13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8" ht="15" customHeight="1">
      <c r="A177" s="13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8" ht="15" customHeight="1">
      <c r="A178" s="13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8" ht="15" customHeight="1">
      <c r="A179" s="13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8" ht="15" customHeight="1">
      <c r="A180" s="13"/>
      <c r="B180" s="14"/>
    </row>
    <row r="181" spans="1:28" ht="15" customHeight="1">
      <c r="A181" s="13"/>
      <c r="B181" s="14"/>
    </row>
    <row r="182" spans="1:28" ht="15" customHeight="1">
      <c r="A182" s="13"/>
      <c r="B182" s="14"/>
    </row>
    <row r="183" spans="1:28" ht="15" customHeight="1">
      <c r="A183" s="13"/>
      <c r="B183" s="14"/>
    </row>
    <row r="184" spans="1:28" ht="15" customHeight="1">
      <c r="A184" s="13"/>
      <c r="B184" s="14"/>
    </row>
    <row r="185" spans="1:28" ht="15" customHeight="1">
      <c r="A185" s="13"/>
      <c r="B185" s="14"/>
    </row>
    <row r="186" spans="1:28" ht="15" customHeight="1">
      <c r="A186" s="13"/>
      <c r="B186" s="14"/>
    </row>
    <row r="187" spans="1:28" ht="15" customHeight="1">
      <c r="A187" s="23"/>
      <c r="B187" s="15"/>
    </row>
    <row r="188" spans="1:28" ht="15" customHeight="1">
      <c r="A188" s="23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8" ht="15" customHeight="1">
      <c r="A189" s="13"/>
      <c r="B189" s="15"/>
      <c r="C189" s="46"/>
      <c r="D189" s="46"/>
      <c r="E189" s="46"/>
      <c r="F189" s="4"/>
      <c r="G189" s="46"/>
      <c r="H189" s="46"/>
      <c r="I189" s="46"/>
      <c r="J189" s="46"/>
      <c r="K189" s="46"/>
      <c r="L189" s="4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" customHeight="1">
      <c r="A190" s="13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" customHeight="1">
      <c r="A191" s="13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" customHeight="1">
      <c r="A192" s="13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36" ht="15" customHeight="1">
      <c r="A193" s="23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36" ht="15" customHeight="1">
      <c r="A194" s="23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36" ht="15" customHeight="1">
      <c r="A195" s="23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36" ht="15" customHeight="1">
      <c r="A196" s="23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6" ht="15" customHeight="1">
      <c r="A197" s="47"/>
      <c r="B197" s="4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4"/>
    </row>
    <row r="198" spans="1:36" ht="15" customHeight="1">
      <c r="A198" s="47"/>
      <c r="B198" s="4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4"/>
    </row>
    <row r="199" spans="1:36" ht="15" customHeight="1">
      <c r="A199" s="47"/>
      <c r="B199" s="4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4"/>
    </row>
    <row r="200" spans="1:36" ht="15" customHeight="1">
      <c r="A200" s="47"/>
      <c r="B200" s="4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4"/>
    </row>
    <row r="201" spans="1:36" ht="15" customHeight="1">
      <c r="A201" s="13"/>
      <c r="B201" s="1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6" ht="15" customHeight="1">
      <c r="A202" s="13"/>
      <c r="B202" s="14"/>
      <c r="D202" s="4"/>
    </row>
    <row r="203" spans="1:36" ht="15" customHeight="1">
      <c r="A203" s="13"/>
      <c r="B203" s="14"/>
      <c r="C203" s="4"/>
      <c r="D203" s="4"/>
      <c r="E203" s="4"/>
    </row>
    <row r="204" spans="1:36" ht="15" customHeight="1">
      <c r="A204" s="13"/>
      <c r="B204" s="14"/>
      <c r="C204" s="4"/>
      <c r="D204" s="4"/>
      <c r="E204" s="4"/>
    </row>
    <row r="205" spans="1:36" ht="15" customHeight="1">
      <c r="A205" s="13"/>
      <c r="B205" s="15"/>
      <c r="C205" s="4"/>
      <c r="D205" s="46"/>
      <c r="E205" s="4"/>
    </row>
    <row r="206" spans="1:36" ht="15" customHeight="1">
      <c r="A206" s="13"/>
      <c r="B206" s="15"/>
      <c r="C206" s="4"/>
      <c r="D206" s="46"/>
      <c r="E206" s="4"/>
    </row>
    <row r="207" spans="1:36" ht="15" customHeight="1">
      <c r="A207" s="13"/>
      <c r="B207" s="15"/>
      <c r="C207" s="4"/>
      <c r="D207" s="46"/>
      <c r="E207" s="4"/>
      <c r="G207" s="46"/>
    </row>
    <row r="208" spans="1:36" ht="15" customHeight="1">
      <c r="A208" s="13"/>
      <c r="B208" s="15"/>
      <c r="C208" s="4"/>
      <c r="D208" s="46"/>
      <c r="E208" s="4"/>
      <c r="G208" s="46"/>
    </row>
    <row r="209" spans="1:24" ht="15" customHeight="1">
      <c r="A209" s="13"/>
      <c r="B209" s="15"/>
      <c r="C209" s="4"/>
      <c r="D209" s="4"/>
      <c r="E209" s="4"/>
      <c r="G209" s="46"/>
    </row>
    <row r="210" spans="1:24" ht="15" customHeight="1">
      <c r="A210" s="13"/>
      <c r="B210" s="15"/>
      <c r="D210" s="4"/>
      <c r="G210" s="46"/>
    </row>
    <row r="211" spans="1:24" ht="15" customHeight="1">
      <c r="A211" s="13"/>
      <c r="B211" s="15"/>
      <c r="C211" s="4"/>
      <c r="D211" s="4"/>
      <c r="E211" s="4"/>
      <c r="F211" s="4"/>
      <c r="G211" s="4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4" ht="15" customHeight="1">
      <c r="A212" s="13"/>
      <c r="B212" s="14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"/>
    </row>
    <row r="213" spans="1:24" ht="15" customHeight="1">
      <c r="A213" s="13"/>
      <c r="B213" s="14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"/>
    </row>
    <row r="214" spans="1:24" ht="15" customHeight="1">
      <c r="A214" s="13"/>
      <c r="B214" s="14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"/>
    </row>
    <row r="215" spans="1:24" ht="15" customHeight="1">
      <c r="A215" s="13"/>
      <c r="B215" s="14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"/>
    </row>
    <row r="216" spans="1:24" ht="15" customHeight="1">
      <c r="A216" s="13"/>
      <c r="B216" s="14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"/>
    </row>
    <row r="217" spans="1:24" ht="15" customHeight="1">
      <c r="A217" s="13"/>
      <c r="B217" s="14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"/>
    </row>
    <row r="218" spans="1:24" ht="15" customHeight="1">
      <c r="A218" s="13"/>
      <c r="B218" s="14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38"/>
      <c r="P218" s="38"/>
      <c r="Q218" s="38"/>
      <c r="R218" s="38"/>
      <c r="S218" s="38"/>
      <c r="T218" s="38"/>
      <c r="U218" s="38"/>
      <c r="V218" s="38"/>
      <c r="W218" s="38"/>
    </row>
    <row r="219" spans="1:24" ht="15" customHeight="1">
      <c r="A219" s="13"/>
      <c r="B219" s="14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38"/>
      <c r="P219" s="38"/>
      <c r="Q219" s="38"/>
      <c r="R219" s="38"/>
      <c r="S219" s="38"/>
      <c r="T219" s="38"/>
      <c r="U219" s="38"/>
      <c r="V219" s="38"/>
      <c r="W219" s="38"/>
    </row>
    <row r="220" spans="1:24" ht="15" customHeight="1">
      <c r="A220" s="13"/>
      <c r="B220" s="14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38"/>
      <c r="P220" s="38"/>
      <c r="Q220" s="38"/>
      <c r="R220" s="38"/>
      <c r="S220" s="38"/>
      <c r="T220" s="38"/>
      <c r="U220" s="38"/>
      <c r="V220" s="38"/>
      <c r="W220" s="38"/>
    </row>
    <row r="221" spans="1:24" ht="15" customHeight="1">
      <c r="A221" s="13"/>
      <c r="B221" s="14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38"/>
      <c r="P221" s="38"/>
      <c r="Q221" s="38"/>
      <c r="R221" s="38"/>
      <c r="S221" s="38"/>
      <c r="T221" s="38"/>
      <c r="U221" s="38"/>
      <c r="V221" s="38"/>
      <c r="W221" s="38"/>
    </row>
    <row r="222" spans="1:24" ht="15" customHeight="1">
      <c r="A222" s="13"/>
      <c r="B222" s="14"/>
      <c r="C222" s="49"/>
      <c r="D222" s="49"/>
      <c r="E222" s="49"/>
      <c r="F222" s="49"/>
      <c r="G222" s="49"/>
      <c r="H222" s="49"/>
      <c r="I222" s="49"/>
      <c r="J222" s="49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</row>
    <row r="223" spans="1:24" ht="15" customHeight="1">
      <c r="A223" s="13"/>
      <c r="B223" s="14"/>
      <c r="C223" s="49"/>
      <c r="D223" s="49"/>
      <c r="E223" s="49"/>
      <c r="F223" s="49"/>
      <c r="G223" s="49"/>
      <c r="H223" s="49"/>
      <c r="I223" s="49"/>
      <c r="J223" s="49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</row>
    <row r="224" spans="1:24" ht="15" customHeight="1">
      <c r="A224" s="13"/>
      <c r="B224" s="14"/>
      <c r="C224" s="49"/>
      <c r="D224" s="49"/>
      <c r="E224" s="49"/>
      <c r="F224" s="49"/>
      <c r="G224" s="49"/>
      <c r="H224" s="49"/>
      <c r="I224" s="49"/>
      <c r="J224" s="49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</row>
    <row r="225" spans="1:27" ht="15" customHeight="1">
      <c r="A225" s="13"/>
      <c r="B225" s="14"/>
      <c r="C225" s="49"/>
      <c r="D225" s="49"/>
      <c r="E225" s="49"/>
      <c r="F225" s="49"/>
      <c r="G225" s="49"/>
      <c r="H225" s="49"/>
      <c r="I225" s="49"/>
      <c r="J225" s="49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</row>
    <row r="226" spans="1:27" ht="15" customHeight="1">
      <c r="A226" s="13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27" ht="15" customHeight="1">
      <c r="A227" s="13"/>
      <c r="B227" s="14"/>
    </row>
    <row r="228" spans="1:27" ht="15" customHeight="1">
      <c r="A228" s="13"/>
      <c r="B228" s="14"/>
      <c r="D228" s="46"/>
    </row>
    <row r="229" spans="1:27" ht="15" customHeight="1">
      <c r="A229" s="13"/>
      <c r="B229" s="14"/>
      <c r="D229" s="46"/>
    </row>
    <row r="230" spans="1:27" ht="15" customHeight="1">
      <c r="A230" s="13"/>
      <c r="B230" s="14"/>
      <c r="C230" s="4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7" ht="15" customHeight="1">
      <c r="A231" s="23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" customHeight="1">
      <c r="A232" s="23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" customHeight="1">
      <c r="A233" s="23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" customHeight="1">
      <c r="A234" s="23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" customHeight="1">
      <c r="A235" s="23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" customHeight="1">
      <c r="A236" s="23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" customHeight="1">
      <c r="A237" s="23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7" ht="15" customHeight="1">
      <c r="A238" s="23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7" ht="15" customHeight="1">
      <c r="A239" s="23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7" ht="15" customHeight="1">
      <c r="A240" s="23"/>
      <c r="B240" s="15"/>
      <c r="C240" s="4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" customHeight="1">
      <c r="A241" s="23"/>
      <c r="B241" s="15"/>
      <c r="C241" s="4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" customHeight="1">
      <c r="A242" s="23"/>
      <c r="B242" s="15"/>
      <c r="C242" s="4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" customHeight="1">
      <c r="A243" s="13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4" ht="1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24" ht="15" customHeight="1">
      <c r="A245" s="13"/>
      <c r="B245" s="1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24" ht="15" customHeight="1">
      <c r="A246" s="13"/>
      <c r="B246" s="14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4"/>
      <c r="O246" s="4"/>
      <c r="P246" s="4"/>
      <c r="Q246" s="4"/>
      <c r="R246" s="4"/>
    </row>
    <row r="247" spans="1:24" ht="15" customHeight="1">
      <c r="A247" s="13"/>
      <c r="B247" s="14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4"/>
    </row>
    <row r="248" spans="1:24" ht="15" customHeight="1">
      <c r="A248" s="13"/>
      <c r="B248" s="14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4"/>
    </row>
    <row r="249" spans="1:24" ht="15" customHeight="1">
      <c r="A249" s="13"/>
      <c r="B249" s="14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4"/>
    </row>
    <row r="250" spans="1:24" ht="15" customHeight="1">
      <c r="A250" s="13"/>
      <c r="B250" s="14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4"/>
    </row>
    <row r="251" spans="1:24" ht="15" customHeight="1">
      <c r="A251" s="13"/>
      <c r="B251" s="14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4"/>
    </row>
    <row r="252" spans="1:24" ht="15" customHeight="1">
      <c r="A252" s="13"/>
      <c r="B252" s="14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 spans="1:24" ht="15" customHeight="1">
      <c r="A253" s="13"/>
      <c r="B253" s="14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24" ht="15" customHeight="1">
      <c r="A254" s="13"/>
      <c r="B254" s="14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24" ht="15" customHeight="1">
      <c r="A255" s="13"/>
      <c r="B255" s="14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24" ht="15" customHeight="1">
      <c r="A256" s="23"/>
      <c r="B256" s="15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4"/>
    </row>
    <row r="257" spans="1:22" ht="15" customHeight="1">
      <c r="A257" s="23"/>
      <c r="B257" s="15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4"/>
    </row>
    <row r="258" spans="1:22" ht="15" customHeight="1">
      <c r="A258" s="23"/>
      <c r="B258" s="15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4"/>
    </row>
    <row r="259" spans="1:22" ht="15" customHeight="1">
      <c r="A259" s="23"/>
      <c r="B259" s="15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4"/>
    </row>
    <row r="260" spans="1:22" ht="15" customHeight="1">
      <c r="A260" s="23"/>
      <c r="B260" s="15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4"/>
    </row>
    <row r="261" spans="1:22" ht="15" customHeight="1">
      <c r="A261" s="23"/>
      <c r="B261" s="15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4"/>
    </row>
    <row r="262" spans="1:22" ht="15" customHeight="1">
      <c r="A262" s="23"/>
      <c r="B262" s="15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4"/>
    </row>
    <row r="263" spans="1:22" ht="15" customHeight="1">
      <c r="A263" s="23"/>
      <c r="B263" s="15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4"/>
      <c r="N263" s="4"/>
      <c r="O263" s="4"/>
      <c r="P263" s="4"/>
      <c r="Q263" s="4"/>
      <c r="R263" s="4"/>
      <c r="S263" s="4"/>
      <c r="T263" s="4"/>
      <c r="U263" s="4"/>
    </row>
    <row r="264" spans="1:22" ht="15" customHeight="1">
      <c r="A264" s="23"/>
      <c r="B264" s="1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" customHeight="1">
      <c r="A265" s="23"/>
      <c r="B265" s="1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" customHeight="1">
      <c r="A266" s="23"/>
      <c r="B266" s="1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" customHeight="1">
      <c r="A267" s="23"/>
      <c r="B267" s="1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" customHeight="1">
      <c r="A268" s="23"/>
      <c r="B268" s="1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" customHeight="1">
      <c r="A269" s="23"/>
      <c r="B269" s="1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" customHeight="1">
      <c r="A270" s="23"/>
      <c r="B270" s="1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2" ht="15" customHeight="1">
      <c r="A271" s="23"/>
      <c r="B271" s="15"/>
    </row>
    <row r="272" spans="1:22" ht="15" customHeight="1">
      <c r="A272" s="23"/>
      <c r="B272" s="15"/>
    </row>
    <row r="273" spans="1:18" ht="15" customHeight="1">
      <c r="A273" s="23"/>
      <c r="B273" s="15"/>
    </row>
    <row r="274" spans="1:18" ht="15" customHeight="1">
      <c r="A274" s="23"/>
      <c r="B274" s="15"/>
    </row>
    <row r="275" spans="1:18" ht="15" customHeight="1">
      <c r="A275" s="23"/>
      <c r="B275" s="15"/>
    </row>
    <row r="276" spans="1:18" ht="15" customHeight="1">
      <c r="A276" s="23"/>
      <c r="B276" s="15"/>
      <c r="C276" s="4"/>
      <c r="D276" s="4"/>
      <c r="E276" s="4"/>
      <c r="F276" s="4"/>
      <c r="G276" s="4"/>
      <c r="H276" s="4"/>
      <c r="I276" s="4"/>
      <c r="J276" s="4"/>
    </row>
    <row r="277" spans="1:18" ht="15" customHeight="1">
      <c r="A277" s="23"/>
      <c r="B277" s="15"/>
      <c r="C277" s="4"/>
      <c r="D277" s="4"/>
      <c r="E277" s="4"/>
      <c r="F277" s="4"/>
      <c r="G277" s="4"/>
      <c r="H277" s="4"/>
      <c r="I277" s="4"/>
      <c r="J277" s="4"/>
      <c r="K277" s="4"/>
    </row>
    <row r="278" spans="1:18" ht="15" customHeight="1">
      <c r="A278" s="23"/>
      <c r="B278" s="15"/>
      <c r="C278" s="4"/>
      <c r="D278" s="4"/>
      <c r="E278" s="4"/>
      <c r="F278" s="4"/>
      <c r="G278" s="4"/>
      <c r="H278" s="4"/>
      <c r="I278" s="4"/>
      <c r="J278" s="4"/>
      <c r="K278" s="4"/>
    </row>
    <row r="279" spans="1:18" ht="15" customHeight="1">
      <c r="A279" s="23"/>
      <c r="B279" s="15"/>
      <c r="C279" s="4"/>
      <c r="D279" s="4"/>
      <c r="E279" s="4"/>
      <c r="F279" s="4"/>
      <c r="G279" s="4"/>
      <c r="H279" s="4"/>
      <c r="I279" s="4"/>
      <c r="J279" s="4"/>
      <c r="K279" s="4"/>
    </row>
    <row r="280" spans="1:18" ht="15" customHeight="1">
      <c r="A280" s="23"/>
      <c r="B280" s="15"/>
      <c r="C280" s="4"/>
      <c r="D280" s="4"/>
      <c r="E280" s="4"/>
      <c r="F280" s="4"/>
      <c r="G280" s="4"/>
      <c r="H280" s="4"/>
      <c r="I280" s="4"/>
      <c r="J280" s="4"/>
      <c r="K280" s="4"/>
    </row>
    <row r="281" spans="1:18" ht="15" customHeight="1">
      <c r="A281" s="23"/>
      <c r="B281" s="15"/>
      <c r="C281" s="4"/>
      <c r="D281" s="4"/>
      <c r="E281" s="4"/>
      <c r="F281" s="4"/>
      <c r="G281" s="4"/>
      <c r="H281" s="4"/>
      <c r="I281" s="4"/>
      <c r="J281" s="4"/>
      <c r="K281" s="4"/>
    </row>
    <row r="282" spans="1:18" ht="15" customHeight="1">
      <c r="A282" s="23"/>
      <c r="B282" s="15"/>
      <c r="C282" s="4"/>
      <c r="D282" s="4"/>
      <c r="E282" s="4"/>
      <c r="F282" s="4"/>
      <c r="G282" s="4"/>
      <c r="H282" s="4"/>
      <c r="I282" s="4"/>
      <c r="J282" s="4"/>
      <c r="K282" s="4"/>
    </row>
    <row r="283" spans="1:18" ht="15" customHeight="1">
      <c r="A283" s="23"/>
      <c r="B283" s="15"/>
      <c r="C283" s="4"/>
      <c r="D283" s="4"/>
      <c r="E283" s="4"/>
      <c r="F283" s="4"/>
      <c r="G283" s="4"/>
      <c r="H283" s="4"/>
      <c r="I283" s="4"/>
      <c r="J283" s="4"/>
      <c r="K283" s="4"/>
    </row>
    <row r="284" spans="1:18" ht="15" customHeight="1">
      <c r="A284" s="23"/>
      <c r="B284" s="15"/>
      <c r="C284" s="4"/>
      <c r="D284" s="4"/>
      <c r="E284" s="4"/>
      <c r="F284" s="4"/>
      <c r="G284" s="4"/>
      <c r="H284" s="4"/>
      <c r="I284" s="4"/>
      <c r="J284" s="4"/>
      <c r="K284" s="4"/>
    </row>
    <row r="285" spans="1:18" ht="15" customHeight="1">
      <c r="A285" s="23"/>
      <c r="B285" s="15"/>
      <c r="C285" s="4"/>
      <c r="D285" s="4"/>
      <c r="E285" s="4"/>
      <c r="F285" s="4"/>
      <c r="G285" s="4"/>
      <c r="H285" s="4"/>
      <c r="I285" s="4"/>
      <c r="J285" s="4"/>
      <c r="K285" s="4"/>
    </row>
    <row r="286" spans="1:18" ht="15" customHeight="1">
      <c r="A286" s="23"/>
      <c r="B286" s="15"/>
      <c r="C286" s="4"/>
      <c r="D286" s="4"/>
      <c r="E286" s="4"/>
      <c r="F286" s="4"/>
      <c r="G286" s="4"/>
      <c r="H286" s="4"/>
      <c r="I286" s="4"/>
      <c r="J286" s="4"/>
      <c r="K286" s="4"/>
    </row>
    <row r="287" spans="1:18" ht="15" customHeight="1">
      <c r="A287" s="23"/>
      <c r="B287" s="15"/>
      <c r="C287" s="4"/>
      <c r="D287" s="4"/>
      <c r="E287" s="4"/>
      <c r="F287" s="4"/>
      <c r="G287" s="4"/>
      <c r="H287" s="4"/>
      <c r="I287" s="4"/>
      <c r="J287" s="4"/>
      <c r="K287" s="4"/>
    </row>
    <row r="288" spans="1:18" ht="15" customHeight="1">
      <c r="A288" s="23"/>
      <c r="B288" s="1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9" ht="15" customHeight="1">
      <c r="A289" s="21"/>
      <c r="B289" s="14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4"/>
    </row>
    <row r="290" spans="1:19" ht="15" customHeight="1">
      <c r="A290" s="21"/>
      <c r="B290" s="14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4"/>
    </row>
    <row r="291" spans="1:19" ht="15" customHeight="1">
      <c r="A291" s="21"/>
      <c r="B291" s="14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4"/>
    </row>
    <row r="292" spans="1:19" ht="15" customHeight="1">
      <c r="A292" s="21"/>
      <c r="B292" s="14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4"/>
    </row>
    <row r="293" spans="1:19" ht="15" customHeight="1">
      <c r="A293" s="13"/>
      <c r="B293" s="1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9" ht="15" customHeight="1">
      <c r="A294" s="13"/>
      <c r="B294" s="14"/>
    </row>
    <row r="295" spans="1:19" ht="15" customHeight="1">
      <c r="A295" s="13"/>
      <c r="B295" s="14"/>
    </row>
    <row r="296" spans="1:19" ht="15" customHeight="1">
      <c r="A296" s="13"/>
      <c r="B296" s="14"/>
    </row>
    <row r="297" spans="1:19" ht="15" customHeight="1">
      <c r="A297" s="13"/>
      <c r="B297" s="14"/>
    </row>
    <row r="298" spans="1:19" ht="15" customHeight="1">
      <c r="A298" s="13"/>
      <c r="B298" s="14"/>
    </row>
    <row r="299" spans="1:19" ht="15" customHeight="1">
      <c r="A299" s="13"/>
      <c r="B299" s="14"/>
    </row>
    <row r="300" spans="1:19" ht="15" customHeight="1">
      <c r="A300" s="13"/>
      <c r="B300" s="14"/>
    </row>
    <row r="301" spans="1:19" ht="15" customHeight="1">
      <c r="A301" s="13"/>
      <c r="B301" s="14"/>
    </row>
    <row r="302" spans="1:19" ht="15" customHeight="1">
      <c r="A302" s="13"/>
      <c r="B302" s="14"/>
    </row>
    <row r="303" spans="1:19" ht="15" customHeight="1">
      <c r="A303" s="13"/>
      <c r="B303" s="14"/>
    </row>
    <row r="304" spans="1:19" ht="15" customHeight="1">
      <c r="A304" s="13"/>
      <c r="B304" s="15"/>
    </row>
    <row r="305" spans="1:19" ht="15" customHeight="1">
      <c r="A305" s="13"/>
      <c r="B305" s="15"/>
    </row>
    <row r="306" spans="1:19" ht="15" customHeight="1">
      <c r="A306" s="13"/>
      <c r="B306" s="15"/>
    </row>
    <row r="307" spans="1:19" ht="15" customHeight="1">
      <c r="A307" s="13"/>
      <c r="B307" s="15"/>
      <c r="C307" s="4"/>
      <c r="D307" s="4"/>
      <c r="E307" s="4"/>
      <c r="F307" s="4"/>
      <c r="G307" s="4"/>
      <c r="H307" s="4"/>
    </row>
    <row r="308" spans="1:19" ht="15" customHeight="1">
      <c r="A308" s="13"/>
      <c r="B308" s="15"/>
      <c r="C308" s="4"/>
      <c r="D308" s="4"/>
      <c r="E308" s="4"/>
      <c r="F308" s="4"/>
      <c r="G308" s="4"/>
      <c r="H308" s="4"/>
      <c r="I308" s="4"/>
    </row>
    <row r="309" spans="1:19" ht="15" customHeight="1">
      <c r="A309" s="13"/>
      <c r="B309" s="15"/>
      <c r="C309" s="4"/>
      <c r="D309" s="4"/>
      <c r="E309" s="4"/>
      <c r="F309" s="4"/>
      <c r="G309" s="4"/>
      <c r="H309" s="4"/>
      <c r="I309" s="4"/>
    </row>
    <row r="310" spans="1:19" ht="15" customHeight="1">
      <c r="A310" s="13"/>
      <c r="B310" s="15"/>
      <c r="C310" s="4"/>
      <c r="D310" s="4"/>
      <c r="E310" s="4"/>
      <c r="F310" s="4"/>
      <c r="G310" s="4"/>
      <c r="H310" s="4"/>
      <c r="I310" s="4"/>
    </row>
    <row r="311" spans="1:19" ht="15" customHeight="1">
      <c r="A311" s="13"/>
      <c r="B311" s="15"/>
      <c r="C311" s="4"/>
      <c r="D311" s="4"/>
      <c r="E311" s="4"/>
      <c r="F311" s="4"/>
      <c r="G311" s="4"/>
      <c r="H311" s="4"/>
      <c r="I311" s="4"/>
    </row>
    <row r="312" spans="1:19" ht="15" customHeight="1">
      <c r="A312" s="13"/>
      <c r="B312" s="15"/>
      <c r="C312" s="4"/>
      <c r="D312" s="4"/>
      <c r="E312" s="4"/>
      <c r="F312" s="4"/>
      <c r="G312" s="4"/>
      <c r="H312" s="4"/>
      <c r="I312" s="4"/>
    </row>
    <row r="313" spans="1:19" ht="15" customHeight="1">
      <c r="A313" s="13"/>
      <c r="B313" s="15"/>
      <c r="C313" s="4"/>
      <c r="D313" s="4"/>
      <c r="E313" s="4"/>
      <c r="F313" s="4"/>
      <c r="G313" s="4"/>
      <c r="H313" s="4"/>
    </row>
    <row r="314" spans="1:19" ht="15" customHeight="1">
      <c r="A314" s="13"/>
      <c r="B314" s="15"/>
    </row>
    <row r="315" spans="1:19" ht="15" customHeight="1">
      <c r="A315" s="13"/>
      <c r="B315" s="15"/>
    </row>
    <row r="316" spans="1:19" ht="15" customHeight="1">
      <c r="A316" s="13"/>
      <c r="B316" s="1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9" ht="15" customHeight="1">
      <c r="A317" s="13"/>
      <c r="B317" s="1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 ht="15" customHeight="1">
      <c r="A318" s="13"/>
      <c r="B318" s="1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 ht="15" customHeight="1">
      <c r="A319" s="13"/>
      <c r="B319" s="1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 ht="15" customHeight="1">
      <c r="A320" s="13"/>
      <c r="B320" s="1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 ht="15" customHeight="1">
      <c r="A321" s="13"/>
      <c r="B321" s="1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 ht="15" customHeight="1">
      <c r="A322" s="13"/>
      <c r="B322" s="1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ht="15" customHeight="1">
      <c r="A323" s="13"/>
      <c r="B323" s="1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 ht="15" customHeight="1">
      <c r="A324" s="13"/>
      <c r="B324" s="1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 ht="15" customHeight="1">
      <c r="A325" s="13"/>
      <c r="B325" s="1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 ht="15" customHeight="1">
      <c r="A326" s="23"/>
      <c r="B326" s="1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 ht="15" customHeight="1">
      <c r="A327" s="23"/>
      <c r="B327" s="1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ht="15" customHeight="1">
      <c r="A328" s="23"/>
      <c r="B328" s="1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9" ht="15" customHeight="1">
      <c r="A329" s="23"/>
      <c r="B329" s="15"/>
    </row>
    <row r="330" spans="1:19" ht="15" customHeight="1">
      <c r="A330" s="13"/>
      <c r="B330" s="14"/>
    </row>
    <row r="331" spans="1:19" ht="15" customHeight="1">
      <c r="A331" s="13"/>
      <c r="B331" s="14"/>
    </row>
    <row r="332" spans="1:19" ht="15" customHeight="1">
      <c r="A332" s="13"/>
      <c r="B332" s="14"/>
    </row>
    <row r="333" spans="1:19" ht="15" customHeight="1">
      <c r="A333" s="13"/>
      <c r="B333" s="14"/>
    </row>
    <row r="334" spans="1:19" ht="15" customHeight="1">
      <c r="A334" s="13"/>
      <c r="B334" s="14"/>
    </row>
    <row r="335" spans="1:19" ht="15" customHeight="1">
      <c r="A335" s="13"/>
      <c r="B335" s="14"/>
    </row>
    <row r="336" spans="1:19" ht="15" customHeight="1">
      <c r="A336" s="13"/>
      <c r="B336" s="14"/>
    </row>
    <row r="337" spans="1:2" ht="15" customHeight="1">
      <c r="A337" s="13"/>
      <c r="B337" s="14"/>
    </row>
    <row r="338" spans="1:2" ht="15" customHeight="1">
      <c r="A338" s="13"/>
      <c r="B338" s="14"/>
    </row>
    <row r="339" spans="1:2" ht="15" customHeight="1">
      <c r="A339" s="13"/>
      <c r="B339" s="14"/>
    </row>
    <row r="340" spans="1:2" ht="15" customHeight="1">
      <c r="A340" s="13"/>
      <c r="B340" s="14"/>
    </row>
    <row r="341" spans="1:2" ht="15" customHeight="1">
      <c r="A341" s="13"/>
      <c r="B341" s="14"/>
    </row>
    <row r="342" spans="1:2" ht="15" customHeight="1">
      <c r="A342" s="13"/>
      <c r="B342" s="14"/>
    </row>
    <row r="343" spans="1:2" ht="15" customHeight="1">
      <c r="A343" s="13"/>
      <c r="B343" s="14"/>
    </row>
    <row r="344" spans="1:2" ht="15" customHeight="1">
      <c r="A344" s="13"/>
      <c r="B344" s="14"/>
    </row>
    <row r="345" spans="1:2" ht="15" customHeight="1">
      <c r="A345" s="13"/>
      <c r="B345" s="14"/>
    </row>
    <row r="346" spans="1:2" ht="15" customHeight="1">
      <c r="A346" s="13"/>
      <c r="B346" s="14"/>
    </row>
    <row r="347" spans="1:2" ht="15" customHeight="1">
      <c r="A347" s="13"/>
      <c r="B347" s="14"/>
    </row>
    <row r="348" spans="1:2" ht="15" customHeight="1">
      <c r="A348" s="13"/>
      <c r="B348" s="14"/>
    </row>
    <row r="349" spans="1:2" ht="15" customHeight="1">
      <c r="A349" s="13"/>
      <c r="B349" s="14"/>
    </row>
  </sheetData>
  <autoFilter ref="A1:BS349" xr:uid="{00000000-0001-0000-0500-000000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900"/>
  <sheetViews>
    <sheetView workbookViewId="0">
      <selection activeCell="C2" sqref="C2"/>
    </sheetView>
  </sheetViews>
  <sheetFormatPr defaultColWidth="12.5546875" defaultRowHeight="15" customHeight="1"/>
  <cols>
    <col min="1" max="4" width="8.5546875" customWidth="1"/>
    <col min="5" max="5" width="8.33203125" customWidth="1"/>
    <col min="6" max="26" width="8.5546875" customWidth="1"/>
  </cols>
  <sheetData>
    <row r="1" spans="1:27" ht="14.4">
      <c r="A1" s="12" t="s">
        <v>9</v>
      </c>
      <c r="B1" s="11" t="s">
        <v>10</v>
      </c>
    </row>
    <row r="2" spans="1:27" ht="14.4">
      <c r="A2" s="93">
        <v>1</v>
      </c>
      <c r="B2" s="94">
        <v>1</v>
      </c>
    </row>
    <row r="3" spans="1:27" ht="15.75" customHeight="1">
      <c r="A3" s="92">
        <v>1</v>
      </c>
      <c r="B3" s="15">
        <v>2</v>
      </c>
    </row>
    <row r="4" spans="1:27" ht="15.75" customHeight="1">
      <c r="A4" s="92">
        <v>1</v>
      </c>
      <c r="B4" s="15">
        <v>3</v>
      </c>
    </row>
    <row r="5" spans="1:27" ht="15.75" customHeight="1">
      <c r="A5" s="92">
        <v>1</v>
      </c>
      <c r="B5" s="15">
        <v>4</v>
      </c>
    </row>
    <row r="6" spans="1:27" ht="15.75" customHeight="1">
      <c r="A6" s="93">
        <v>2</v>
      </c>
      <c r="B6" s="94">
        <v>1</v>
      </c>
      <c r="C6" s="90"/>
      <c r="D6" s="90"/>
      <c r="E6" s="90"/>
      <c r="F6" s="90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"/>
      <c r="T6" s="9"/>
    </row>
    <row r="7" spans="1:27" ht="15.75" customHeight="1">
      <c r="A7" s="93">
        <v>3</v>
      </c>
      <c r="B7" s="94">
        <v>1</v>
      </c>
      <c r="C7" s="126"/>
      <c r="D7" s="126"/>
      <c r="E7" s="126"/>
      <c r="F7" s="126"/>
      <c r="G7" s="95"/>
      <c r="H7" s="95"/>
      <c r="I7" s="120">
        <v>3.2000000000000001E-2</v>
      </c>
      <c r="J7" s="120">
        <v>0.05</v>
      </c>
      <c r="K7" s="120">
        <v>0.106</v>
      </c>
      <c r="L7" s="120">
        <v>0.35299999999999998</v>
      </c>
      <c r="M7" s="120">
        <v>2.153</v>
      </c>
      <c r="N7" s="120">
        <v>0.91400000000000003</v>
      </c>
      <c r="O7" s="120">
        <v>0.55200000000000005</v>
      </c>
      <c r="P7" s="120">
        <v>0.33800000000000002</v>
      </c>
      <c r="Q7" s="120">
        <v>0.379</v>
      </c>
      <c r="R7" s="121">
        <v>0.35299999999999998</v>
      </c>
      <c r="S7" s="96"/>
      <c r="T7" s="9"/>
    </row>
    <row r="8" spans="1:27" ht="15.75" customHeight="1">
      <c r="A8" s="92">
        <v>3</v>
      </c>
      <c r="B8" s="97">
        <v>2</v>
      </c>
      <c r="C8" s="90"/>
      <c r="D8" s="90"/>
      <c r="E8" s="90"/>
      <c r="F8" s="90"/>
      <c r="G8" s="96"/>
      <c r="H8" s="96"/>
      <c r="I8" s="96">
        <v>0.05</v>
      </c>
      <c r="J8" s="96">
        <v>8.2000000000000003E-2</v>
      </c>
      <c r="K8" s="96">
        <v>0.17</v>
      </c>
      <c r="L8" s="96">
        <v>0.60799999999999998</v>
      </c>
      <c r="M8" s="96">
        <v>0.60499999999999998</v>
      </c>
      <c r="N8" s="96">
        <v>0.30599999999999999</v>
      </c>
      <c r="O8" s="96">
        <v>0.27</v>
      </c>
      <c r="P8" s="96">
        <v>0.27900000000000003</v>
      </c>
      <c r="Q8" s="96">
        <v>0.27900000000000003</v>
      </c>
      <c r="R8" s="117">
        <v>0.27300000000000002</v>
      </c>
      <c r="S8" s="96"/>
      <c r="T8" s="9"/>
    </row>
    <row r="9" spans="1:27" ht="15.75" customHeight="1">
      <c r="A9" s="92">
        <v>3</v>
      </c>
      <c r="B9" s="97">
        <v>3</v>
      </c>
      <c r="C9" s="90"/>
      <c r="D9" s="90"/>
      <c r="E9" s="90"/>
      <c r="F9" s="90"/>
      <c r="G9" s="96"/>
      <c r="H9" s="96"/>
      <c r="I9" s="122">
        <v>9.4E-2</v>
      </c>
      <c r="J9" s="122">
        <v>0.115</v>
      </c>
      <c r="K9" s="122">
        <v>0.19700000000000001</v>
      </c>
      <c r="L9" s="122">
        <v>0.35299999999999998</v>
      </c>
      <c r="M9" s="122">
        <v>0.311</v>
      </c>
      <c r="N9" s="122">
        <v>0.17299999999999999</v>
      </c>
      <c r="O9" s="122">
        <v>0.159</v>
      </c>
      <c r="P9" s="122">
        <v>0.156</v>
      </c>
      <c r="Q9" s="122">
        <v>0.14699999999999999</v>
      </c>
      <c r="R9" s="123">
        <v>0.15</v>
      </c>
      <c r="S9" s="96"/>
      <c r="T9" s="9"/>
    </row>
    <row r="10" spans="1:27" ht="15.75" customHeight="1">
      <c r="A10" s="92">
        <v>3</v>
      </c>
      <c r="B10" s="97">
        <v>4</v>
      </c>
      <c r="C10" s="90"/>
      <c r="D10" s="90"/>
      <c r="E10" s="90"/>
      <c r="F10" s="90"/>
      <c r="G10" s="96"/>
      <c r="H10" s="96"/>
      <c r="I10" s="96">
        <v>5.2999999999999999E-2</v>
      </c>
      <c r="J10" s="96">
        <v>9.0999999999999998E-2</v>
      </c>
      <c r="K10" s="96">
        <v>0.13800000000000001</v>
      </c>
      <c r="L10" s="96">
        <v>0.28499999999999998</v>
      </c>
      <c r="M10" s="96">
        <v>0.17899999999999999</v>
      </c>
      <c r="N10" s="96">
        <v>0.106</v>
      </c>
      <c r="O10" s="96">
        <v>8.2000000000000003E-2</v>
      </c>
      <c r="P10" s="96">
        <v>7.5999999999999998E-2</v>
      </c>
      <c r="Q10" s="96">
        <v>7.9000000000000001E-2</v>
      </c>
      <c r="R10" s="117">
        <v>7.5999999999999998E-2</v>
      </c>
      <c r="S10" s="96"/>
      <c r="T10" s="9"/>
    </row>
    <row r="11" spans="1:27" ht="15.75" customHeight="1">
      <c r="A11" s="92">
        <v>3</v>
      </c>
      <c r="B11" s="97">
        <v>1</v>
      </c>
      <c r="C11" s="90"/>
      <c r="D11" s="90"/>
      <c r="E11" s="90"/>
      <c r="F11" s="90"/>
      <c r="G11" s="96"/>
      <c r="H11" s="96"/>
      <c r="I11" s="122">
        <v>2.9000000000000001E-2</v>
      </c>
      <c r="J11" s="122">
        <v>3.4000000000000002E-2</v>
      </c>
      <c r="K11" s="122">
        <v>6.3E-2</v>
      </c>
      <c r="L11" s="122">
        <v>0.20599999999999999</v>
      </c>
      <c r="M11" s="122">
        <v>0.34300000000000003</v>
      </c>
      <c r="N11" s="122">
        <v>0.17799999999999999</v>
      </c>
      <c r="O11" s="122">
        <v>9.8000000000000004E-2</v>
      </c>
      <c r="P11" s="122">
        <v>7.0000000000000007E-2</v>
      </c>
      <c r="Q11" s="122">
        <v>0.06</v>
      </c>
      <c r="R11" s="123">
        <v>5.8999999999999997E-2</v>
      </c>
      <c r="S11" s="96"/>
      <c r="T11" s="9"/>
    </row>
    <row r="12" spans="1:27" ht="15.75" customHeight="1">
      <c r="A12" s="92">
        <v>3</v>
      </c>
      <c r="B12" s="97">
        <v>2</v>
      </c>
      <c r="C12" s="90"/>
      <c r="D12" s="90"/>
      <c r="E12" s="90"/>
      <c r="F12" s="90"/>
      <c r="G12" s="96"/>
      <c r="H12" s="96"/>
      <c r="I12" s="122">
        <v>0.04</v>
      </c>
      <c r="J12" s="122">
        <v>4.8000000000000001E-2</v>
      </c>
      <c r="K12" s="122">
        <v>7.9000000000000001E-2</v>
      </c>
      <c r="L12" s="122">
        <v>0.24399999999999999</v>
      </c>
      <c r="M12" s="122">
        <v>0.28799999999999998</v>
      </c>
      <c r="N12" s="122">
        <v>0.151</v>
      </c>
      <c r="O12" s="122">
        <v>8.5999999999999993E-2</v>
      </c>
      <c r="P12" s="122">
        <v>6.2E-2</v>
      </c>
      <c r="Q12" s="122">
        <v>5.3999999999999999E-2</v>
      </c>
      <c r="R12" s="123">
        <v>5.0999999999999997E-2</v>
      </c>
      <c r="S12" s="96"/>
      <c r="T12" s="9"/>
    </row>
    <row r="13" spans="1:27" ht="15.75" customHeight="1">
      <c r="A13" s="92">
        <v>3</v>
      </c>
      <c r="B13" s="97">
        <v>3</v>
      </c>
      <c r="C13" s="90"/>
      <c r="D13" s="90"/>
      <c r="E13" s="160"/>
      <c r="F13" s="90"/>
      <c r="G13" s="96"/>
      <c r="H13" s="96"/>
      <c r="I13" s="122">
        <v>2.1000000000000001E-2</v>
      </c>
      <c r="J13" s="122">
        <v>2.8000000000000001E-2</v>
      </c>
      <c r="K13" s="122">
        <v>5.3999999999999999E-2</v>
      </c>
      <c r="L13" s="122">
        <v>0.19400000000000001</v>
      </c>
      <c r="M13" s="122">
        <v>0.246</v>
      </c>
      <c r="N13" s="122">
        <v>0.125</v>
      </c>
      <c r="O13" s="122">
        <v>7.4999999999999997E-2</v>
      </c>
      <c r="P13" s="122">
        <v>5.8000000000000003E-2</v>
      </c>
      <c r="Q13" s="122">
        <v>5.1999999999999998E-2</v>
      </c>
      <c r="R13" s="123">
        <v>5.3999999999999999E-2</v>
      </c>
      <c r="S13" s="96"/>
      <c r="T13" s="9"/>
    </row>
    <row r="14" spans="1:27" ht="15.75" customHeight="1">
      <c r="A14" s="103">
        <v>3</v>
      </c>
      <c r="B14" s="104">
        <v>4</v>
      </c>
      <c r="C14" s="129"/>
      <c r="D14" s="129"/>
      <c r="E14" s="129"/>
      <c r="F14" s="129"/>
      <c r="G14" s="156"/>
      <c r="H14" s="156"/>
      <c r="I14" s="155">
        <v>2.5999999999999999E-2</v>
      </c>
      <c r="J14" s="155">
        <v>3.1E-2</v>
      </c>
      <c r="K14" s="155">
        <v>5.6000000000000001E-2</v>
      </c>
      <c r="L14" s="155">
        <v>0.17799999999999999</v>
      </c>
      <c r="M14" s="155">
        <v>0.16700000000000001</v>
      </c>
      <c r="N14" s="155">
        <v>8.6999999999999994E-2</v>
      </c>
      <c r="O14" s="155">
        <v>5.8999999999999997E-2</v>
      </c>
      <c r="P14" s="155">
        <v>4.8000000000000001E-2</v>
      </c>
      <c r="Q14" s="155">
        <v>4.8000000000000001E-2</v>
      </c>
      <c r="R14" s="157">
        <v>5.0999999999999997E-2</v>
      </c>
      <c r="S14" s="96"/>
      <c r="T14" s="9"/>
    </row>
    <row r="15" spans="1:27" ht="15.75" customHeight="1">
      <c r="A15" s="161">
        <v>4</v>
      </c>
      <c r="B15" s="94">
        <v>1</v>
      </c>
      <c r="C15" s="90"/>
      <c r="D15" s="90"/>
      <c r="E15" s="90"/>
      <c r="F15" s="90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"/>
      <c r="T15" s="9"/>
    </row>
    <row r="16" spans="1:27" ht="15.75" customHeight="1">
      <c r="A16" s="93">
        <v>5</v>
      </c>
      <c r="B16" s="94">
        <v>1</v>
      </c>
      <c r="C16" s="91"/>
      <c r="D16" s="91"/>
      <c r="E16" s="91"/>
      <c r="F16" s="91"/>
      <c r="G16" s="96"/>
      <c r="H16" s="96"/>
      <c r="I16" s="96"/>
      <c r="J16" s="96"/>
      <c r="K16" s="96"/>
      <c r="L16" s="96"/>
      <c r="M16" s="9"/>
      <c r="N16" s="9"/>
      <c r="O16" s="9"/>
      <c r="P16" s="9"/>
      <c r="Q16" s="9"/>
      <c r="R16" s="9"/>
      <c r="S16" s="9"/>
      <c r="T16" s="9"/>
      <c r="U16" s="4"/>
      <c r="V16" s="4"/>
      <c r="W16" s="4"/>
      <c r="X16" s="4"/>
      <c r="Y16" s="4"/>
      <c r="Z16" s="4"/>
      <c r="AA16" s="4"/>
    </row>
    <row r="17" spans="1:39" ht="15.75" customHeight="1">
      <c r="A17" s="93">
        <v>6</v>
      </c>
      <c r="B17" s="187">
        <v>1</v>
      </c>
      <c r="C17" s="95"/>
      <c r="D17" s="95">
        <v>314.625</v>
      </c>
      <c r="E17" s="95">
        <v>240.934</v>
      </c>
      <c r="F17" s="95">
        <v>127.63200000000001</v>
      </c>
      <c r="G17" s="95">
        <v>92.894999999999996</v>
      </c>
      <c r="H17" s="95">
        <v>57.316000000000003</v>
      </c>
      <c r="I17" s="95">
        <v>49.838999999999999</v>
      </c>
      <c r="J17" s="95">
        <v>31.946000000000002</v>
      </c>
      <c r="K17" s="95">
        <v>8.0980000000000008</v>
      </c>
      <c r="L17" s="115">
        <v>6.8650000000000002</v>
      </c>
      <c r="M17" s="96"/>
      <c r="N17" s="9"/>
      <c r="O17" s="9"/>
      <c r="P17" s="9"/>
      <c r="Q17" s="9"/>
      <c r="R17" s="9"/>
      <c r="S17" s="9"/>
      <c r="T17" s="9"/>
      <c r="U17" s="4"/>
      <c r="V17" s="4"/>
      <c r="W17" s="4"/>
      <c r="X17" s="4"/>
      <c r="Y17" s="4"/>
      <c r="Z17" s="4"/>
      <c r="AA17" s="4"/>
    </row>
    <row r="18" spans="1:39" ht="15.75" customHeight="1">
      <c r="A18" s="92">
        <v>6</v>
      </c>
      <c r="B18" s="188">
        <v>2</v>
      </c>
      <c r="C18" s="96">
        <v>1.2190000000000001</v>
      </c>
      <c r="D18" s="96">
        <v>1.1739999999999999</v>
      </c>
      <c r="E18" s="96">
        <v>1.1439999999999999</v>
      </c>
      <c r="F18" s="96">
        <v>1.1739999999999999</v>
      </c>
      <c r="G18" s="96">
        <v>1.159</v>
      </c>
      <c r="H18" s="96">
        <v>1.1299999999999999</v>
      </c>
      <c r="I18" s="96">
        <v>1.1890000000000001</v>
      </c>
      <c r="J18" s="96">
        <v>1.2509999999999999</v>
      </c>
      <c r="K18" s="96">
        <v>1.204</v>
      </c>
      <c r="L18" s="117">
        <v>1.204</v>
      </c>
      <c r="M18" s="90"/>
    </row>
    <row r="19" spans="1:39" ht="15.75" customHeight="1">
      <c r="A19" s="92">
        <v>6</v>
      </c>
      <c r="B19" s="188">
        <v>3</v>
      </c>
      <c r="C19" s="96">
        <v>0.441</v>
      </c>
      <c r="D19" s="96">
        <v>0.441</v>
      </c>
      <c r="E19" s="96">
        <v>0.44700000000000001</v>
      </c>
      <c r="F19" s="96">
        <v>0.441</v>
      </c>
      <c r="G19" s="96">
        <v>0.47</v>
      </c>
      <c r="H19" s="96">
        <v>0.47</v>
      </c>
      <c r="I19" s="96">
        <v>0.50700000000000001</v>
      </c>
      <c r="J19" s="96">
        <v>0.56200000000000006</v>
      </c>
      <c r="K19" s="96">
        <v>0.59099999999999997</v>
      </c>
      <c r="L19" s="117">
        <v>0.61399999999999999</v>
      </c>
      <c r="M19" s="90"/>
    </row>
    <row r="20" spans="1:39" ht="15.75" customHeight="1">
      <c r="A20" s="92">
        <v>6</v>
      </c>
      <c r="B20" s="188">
        <v>4</v>
      </c>
      <c r="C20" s="96">
        <v>3.9E-2</v>
      </c>
      <c r="D20" s="96">
        <v>2.5000000000000001E-2</v>
      </c>
      <c r="E20" s="96">
        <v>2.1000000000000001E-2</v>
      </c>
      <c r="F20" s="96">
        <v>1.9E-2</v>
      </c>
      <c r="G20" s="96">
        <v>0.02</v>
      </c>
      <c r="H20" s="96">
        <v>0.02</v>
      </c>
      <c r="I20" s="96">
        <v>2.1000000000000001E-2</v>
      </c>
      <c r="J20" s="96">
        <v>2.3E-2</v>
      </c>
      <c r="K20" s="96">
        <v>2.3E-2</v>
      </c>
      <c r="L20" s="205">
        <v>3.1E-2</v>
      </c>
      <c r="M20" s="90"/>
    </row>
    <row r="21" spans="1:39" ht="15.75" customHeight="1">
      <c r="A21" s="92">
        <v>6</v>
      </c>
      <c r="B21" s="97">
        <v>5</v>
      </c>
      <c r="C21" s="96"/>
      <c r="D21" s="96"/>
      <c r="E21" s="96"/>
      <c r="F21" s="96"/>
      <c r="G21" s="96"/>
      <c r="H21" s="122"/>
      <c r="I21" s="96"/>
      <c r="J21" s="96"/>
      <c r="K21" s="96"/>
      <c r="L21" s="117"/>
      <c r="M21" s="90"/>
    </row>
    <row r="22" spans="1:39" ht="15.75" customHeight="1">
      <c r="A22" s="92">
        <v>6</v>
      </c>
      <c r="B22" s="97">
        <v>6</v>
      </c>
      <c r="C22" s="96"/>
      <c r="D22" s="96"/>
      <c r="E22" s="96"/>
      <c r="F22" s="96"/>
      <c r="G22" s="96"/>
      <c r="H22" s="122"/>
      <c r="I22" s="96"/>
      <c r="J22" s="96"/>
      <c r="K22" s="96"/>
      <c r="L22" s="117"/>
      <c r="M22" s="90"/>
    </row>
    <row r="23" spans="1:39" ht="15.75" customHeight="1">
      <c r="A23" s="103">
        <v>6</v>
      </c>
      <c r="B23" s="104">
        <v>7</v>
      </c>
      <c r="C23" s="156"/>
      <c r="D23" s="156"/>
      <c r="E23" s="156"/>
      <c r="F23" s="156"/>
      <c r="G23" s="156"/>
      <c r="H23" s="155"/>
      <c r="I23" s="156"/>
      <c r="J23" s="156"/>
      <c r="K23" s="156"/>
      <c r="L23" s="118"/>
      <c r="M23" s="90"/>
    </row>
    <row r="24" spans="1:39" ht="15.75" customHeight="1">
      <c r="A24" s="93">
        <v>7</v>
      </c>
      <c r="B24" s="187">
        <v>1</v>
      </c>
      <c r="C24" s="91"/>
      <c r="D24" s="90"/>
      <c r="E24" s="90"/>
      <c r="F24" s="90"/>
      <c r="G24" s="90"/>
      <c r="H24" s="124"/>
      <c r="I24" s="90"/>
      <c r="J24" s="90"/>
      <c r="K24" s="90"/>
      <c r="L24" s="90"/>
    </row>
    <row r="25" spans="1:39" ht="15.75" customHeight="1">
      <c r="A25" s="92">
        <v>7</v>
      </c>
      <c r="B25" s="188">
        <v>2</v>
      </c>
      <c r="H25" s="27"/>
    </row>
    <row r="26" spans="1:39" ht="15.75" customHeight="1">
      <c r="A26" s="92">
        <v>7</v>
      </c>
      <c r="B26" s="188">
        <v>3</v>
      </c>
      <c r="C26" s="90"/>
      <c r="D26" s="90"/>
      <c r="E26" s="90"/>
      <c r="F26" s="90"/>
      <c r="G26" s="90"/>
      <c r="H26" s="124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</row>
    <row r="27" spans="1:39" ht="15.75" customHeight="1">
      <c r="A27" s="93">
        <v>8</v>
      </c>
      <c r="B27" s="187">
        <v>1</v>
      </c>
      <c r="C27" s="120">
        <v>3.1E-2</v>
      </c>
      <c r="D27" s="120">
        <v>3.1E-2</v>
      </c>
      <c r="E27" s="120">
        <v>3.1E-2</v>
      </c>
      <c r="F27" s="120">
        <v>3.2000000000000001E-2</v>
      </c>
      <c r="G27" s="120">
        <v>3.4000000000000002E-2</v>
      </c>
      <c r="H27" s="120">
        <v>3.5999999999999997E-2</v>
      </c>
      <c r="I27" s="120">
        <v>3.7999999999999999E-2</v>
      </c>
      <c r="J27" s="120">
        <v>0.04</v>
      </c>
      <c r="K27" s="120">
        <v>4.2999999999999997E-2</v>
      </c>
      <c r="L27" s="120">
        <v>4.7E-2</v>
      </c>
      <c r="M27" s="120">
        <v>5.1999999999999998E-2</v>
      </c>
      <c r="N27" s="120">
        <v>5.8000000000000003E-2</v>
      </c>
      <c r="O27" s="120">
        <v>6.4000000000000001E-2</v>
      </c>
      <c r="P27" s="120">
        <v>6.9000000000000006E-2</v>
      </c>
      <c r="Q27" s="120">
        <v>7.2999999999999995E-2</v>
      </c>
      <c r="R27" s="120">
        <v>7.6999999999999999E-2</v>
      </c>
      <c r="S27" s="120">
        <v>7.9000000000000001E-2</v>
      </c>
      <c r="T27" s="120">
        <v>7.9000000000000001E-2</v>
      </c>
      <c r="U27" s="120">
        <v>7.9000000000000001E-2</v>
      </c>
      <c r="V27" s="120">
        <v>7.6999999999999999E-2</v>
      </c>
      <c r="W27" s="120">
        <v>7.4999999999999997E-2</v>
      </c>
      <c r="X27" s="120">
        <v>7.2999999999999995E-2</v>
      </c>
      <c r="Y27" s="120">
        <v>7.3999999999999996E-2</v>
      </c>
      <c r="Z27" s="120">
        <v>7.4999999999999997E-2</v>
      </c>
      <c r="AA27" s="120">
        <v>7.8E-2</v>
      </c>
      <c r="AB27" s="120">
        <v>8.2000000000000003E-2</v>
      </c>
      <c r="AC27" s="120">
        <v>8.6999999999999994E-2</v>
      </c>
      <c r="AD27" s="120">
        <v>0.09</v>
      </c>
      <c r="AE27" s="120">
        <v>9.1999999999999998E-2</v>
      </c>
      <c r="AF27" s="120">
        <v>9.5000000000000001E-2</v>
      </c>
      <c r="AG27" s="120">
        <v>0.1</v>
      </c>
      <c r="AH27" s="120">
        <v>0.105</v>
      </c>
      <c r="AI27" s="120">
        <v>0.11</v>
      </c>
      <c r="AJ27" s="120">
        <v>0.115</v>
      </c>
      <c r="AK27" s="120">
        <v>0.12</v>
      </c>
      <c r="AL27" s="121">
        <v>0.124</v>
      </c>
      <c r="AM27" s="90"/>
    </row>
    <row r="28" spans="1:39" ht="15.75" customHeight="1">
      <c r="A28" s="92">
        <v>8</v>
      </c>
      <c r="B28" s="188">
        <v>2</v>
      </c>
      <c r="C28" s="122">
        <v>3.5000000000000003E-2</v>
      </c>
      <c r="D28" s="122">
        <v>3.4000000000000002E-2</v>
      </c>
      <c r="E28" s="122">
        <v>3.5000000000000003E-2</v>
      </c>
      <c r="F28" s="122">
        <v>3.7999999999999999E-2</v>
      </c>
      <c r="G28" s="122">
        <v>0.04</v>
      </c>
      <c r="H28" s="122">
        <v>4.1000000000000002E-2</v>
      </c>
      <c r="I28" s="122">
        <v>4.1000000000000002E-2</v>
      </c>
      <c r="J28" s="122">
        <v>4.2000000000000003E-2</v>
      </c>
      <c r="K28" s="122">
        <v>4.3999999999999997E-2</v>
      </c>
      <c r="L28" s="122">
        <v>4.8000000000000001E-2</v>
      </c>
      <c r="M28" s="122">
        <v>5.3999999999999999E-2</v>
      </c>
      <c r="N28" s="122">
        <v>6.0999999999999999E-2</v>
      </c>
      <c r="O28" s="122">
        <v>6.6000000000000003E-2</v>
      </c>
      <c r="P28" s="122">
        <v>7.2999999999999995E-2</v>
      </c>
      <c r="Q28" s="122">
        <v>7.6999999999999999E-2</v>
      </c>
      <c r="R28" s="122">
        <v>8.1000000000000003E-2</v>
      </c>
      <c r="S28" s="122">
        <v>8.2000000000000003E-2</v>
      </c>
      <c r="T28" s="122">
        <v>8.2000000000000003E-2</v>
      </c>
      <c r="U28" s="122">
        <v>8.1000000000000003E-2</v>
      </c>
      <c r="V28" s="122">
        <v>7.9000000000000001E-2</v>
      </c>
      <c r="W28" s="122">
        <v>7.8E-2</v>
      </c>
      <c r="X28" s="122">
        <v>7.8E-2</v>
      </c>
      <c r="Y28" s="122">
        <v>8.1000000000000003E-2</v>
      </c>
      <c r="Z28" s="122">
        <v>8.5000000000000006E-2</v>
      </c>
      <c r="AA28" s="122">
        <v>8.7999999999999995E-2</v>
      </c>
      <c r="AB28" s="122">
        <v>0.09</v>
      </c>
      <c r="AC28" s="122">
        <v>9.1999999999999998E-2</v>
      </c>
      <c r="AD28" s="122">
        <v>9.5000000000000001E-2</v>
      </c>
      <c r="AE28" s="122">
        <v>9.7000000000000003E-2</v>
      </c>
      <c r="AF28" s="122">
        <v>0.1</v>
      </c>
      <c r="AG28" s="122">
        <v>0.104</v>
      </c>
      <c r="AH28" s="122">
        <v>0.108</v>
      </c>
      <c r="AI28" s="122">
        <v>0.113</v>
      </c>
      <c r="AJ28" s="122">
        <v>0.11799999999999999</v>
      </c>
      <c r="AK28" s="122">
        <v>0.122</v>
      </c>
      <c r="AL28" s="123">
        <v>0.127</v>
      </c>
      <c r="AM28" s="90"/>
    </row>
    <row r="29" spans="1:39" ht="15.75" customHeight="1">
      <c r="A29" s="92">
        <v>8</v>
      </c>
      <c r="B29" s="188">
        <v>3</v>
      </c>
      <c r="C29" s="122">
        <v>2.1999999999999999E-2</v>
      </c>
      <c r="D29" s="122">
        <v>2.1000000000000001E-2</v>
      </c>
      <c r="E29" s="122">
        <v>2.1999999999999999E-2</v>
      </c>
      <c r="F29" s="122">
        <v>2.4E-2</v>
      </c>
      <c r="G29" s="122">
        <v>2.5999999999999999E-2</v>
      </c>
      <c r="H29" s="122">
        <v>0.03</v>
      </c>
      <c r="I29" s="122">
        <v>3.1E-2</v>
      </c>
      <c r="J29" s="122">
        <v>3.3000000000000002E-2</v>
      </c>
      <c r="K29" s="122">
        <v>3.5999999999999997E-2</v>
      </c>
      <c r="L29" s="122">
        <v>3.9E-2</v>
      </c>
      <c r="M29" s="122">
        <v>4.4999999999999998E-2</v>
      </c>
      <c r="N29" s="122">
        <v>4.9000000000000002E-2</v>
      </c>
      <c r="O29" s="122">
        <v>5.2999999999999999E-2</v>
      </c>
      <c r="P29" s="122">
        <v>5.8000000000000003E-2</v>
      </c>
      <c r="Q29" s="122">
        <v>6.3E-2</v>
      </c>
      <c r="R29" s="122">
        <v>6.6000000000000003E-2</v>
      </c>
      <c r="S29" s="122">
        <v>6.8000000000000005E-2</v>
      </c>
      <c r="T29" s="122">
        <v>7.0000000000000007E-2</v>
      </c>
      <c r="U29" s="122">
        <v>6.9000000000000006E-2</v>
      </c>
      <c r="V29" s="122">
        <v>6.7000000000000004E-2</v>
      </c>
      <c r="W29" s="122">
        <v>6.7000000000000004E-2</v>
      </c>
      <c r="X29" s="122">
        <v>6.9000000000000006E-2</v>
      </c>
      <c r="Y29" s="122">
        <v>7.2999999999999995E-2</v>
      </c>
      <c r="Z29" s="122">
        <v>7.8E-2</v>
      </c>
      <c r="AA29" s="122">
        <v>8.7999999999999995E-2</v>
      </c>
      <c r="AB29" s="122">
        <v>9.1999999999999998E-2</v>
      </c>
      <c r="AC29" s="122">
        <v>9.1999999999999998E-2</v>
      </c>
      <c r="AD29" s="122">
        <v>9.4E-2</v>
      </c>
      <c r="AE29" s="122">
        <v>9.7000000000000003E-2</v>
      </c>
      <c r="AF29" s="122">
        <v>0.10199999999999999</v>
      </c>
      <c r="AG29" s="122">
        <v>0.107</v>
      </c>
      <c r="AH29" s="122">
        <v>0.115</v>
      </c>
      <c r="AI29" s="122">
        <v>0.12</v>
      </c>
      <c r="AJ29" s="122">
        <v>0.126</v>
      </c>
      <c r="AK29" s="122">
        <v>0.13100000000000001</v>
      </c>
      <c r="AL29" s="123">
        <v>0.13600000000000001</v>
      </c>
      <c r="AM29" s="90"/>
    </row>
    <row r="30" spans="1:39" ht="15.75" customHeight="1">
      <c r="A30" s="103">
        <v>8</v>
      </c>
      <c r="B30" s="209">
        <v>4</v>
      </c>
      <c r="C30" s="155">
        <v>2.9000000000000001E-2</v>
      </c>
      <c r="D30" s="155">
        <v>2.7E-2</v>
      </c>
      <c r="E30" s="155">
        <v>2.9000000000000001E-2</v>
      </c>
      <c r="F30" s="155">
        <v>3.5000000000000003E-2</v>
      </c>
      <c r="G30" s="155">
        <v>4.2000000000000003E-2</v>
      </c>
      <c r="H30" s="155">
        <v>4.5999999999999999E-2</v>
      </c>
      <c r="I30" s="155">
        <v>4.7E-2</v>
      </c>
      <c r="J30" s="155">
        <v>4.7E-2</v>
      </c>
      <c r="K30" s="155">
        <v>4.8000000000000001E-2</v>
      </c>
      <c r="L30" s="155">
        <v>0.05</v>
      </c>
      <c r="M30" s="155">
        <v>5.1999999999999998E-2</v>
      </c>
      <c r="N30" s="155">
        <v>5.7000000000000002E-2</v>
      </c>
      <c r="O30" s="155">
        <v>6.0999999999999999E-2</v>
      </c>
      <c r="P30" s="155">
        <v>6.4000000000000001E-2</v>
      </c>
      <c r="Q30" s="155">
        <v>6.7000000000000004E-2</v>
      </c>
      <c r="R30" s="155">
        <v>7.0000000000000007E-2</v>
      </c>
      <c r="S30" s="155">
        <v>7.2999999999999995E-2</v>
      </c>
      <c r="T30" s="155">
        <v>7.2999999999999995E-2</v>
      </c>
      <c r="U30" s="155">
        <v>7.3999999999999996E-2</v>
      </c>
      <c r="V30" s="155">
        <v>7.3999999999999996E-2</v>
      </c>
      <c r="W30" s="155">
        <v>7.4999999999999997E-2</v>
      </c>
      <c r="X30" s="155">
        <v>7.9000000000000001E-2</v>
      </c>
      <c r="Y30" s="155">
        <v>8.2000000000000003E-2</v>
      </c>
      <c r="Z30" s="155">
        <v>9.0999999999999998E-2</v>
      </c>
      <c r="AA30" s="155">
        <v>9.9000000000000005E-2</v>
      </c>
      <c r="AB30" s="155">
        <v>0.105</v>
      </c>
      <c r="AC30" s="155">
        <v>0.109</v>
      </c>
      <c r="AD30" s="155">
        <v>0.113</v>
      </c>
      <c r="AE30" s="155">
        <v>0.11700000000000001</v>
      </c>
      <c r="AF30" s="155">
        <v>0.122</v>
      </c>
      <c r="AG30" s="155">
        <v>0.127</v>
      </c>
      <c r="AH30" s="155">
        <v>0.13</v>
      </c>
      <c r="AI30" s="155">
        <v>0.13400000000000001</v>
      </c>
      <c r="AJ30" s="155">
        <v>0.14000000000000001</v>
      </c>
      <c r="AK30" s="155">
        <v>0.14399999999999999</v>
      </c>
      <c r="AL30" s="157">
        <v>0.15</v>
      </c>
      <c r="AM30" s="90"/>
    </row>
    <row r="31" spans="1:39" ht="15.75" customHeight="1">
      <c r="A31" s="125">
        <v>9</v>
      </c>
      <c r="B31" s="229">
        <v>1</v>
      </c>
      <c r="C31" s="90"/>
      <c r="D31" s="90"/>
      <c r="E31" s="90"/>
      <c r="F31" s="90"/>
      <c r="G31" s="90"/>
      <c r="H31" s="124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</row>
    <row r="32" spans="1:39" ht="15.75" customHeight="1">
      <c r="A32" s="125">
        <v>9</v>
      </c>
      <c r="B32" s="229">
        <v>2</v>
      </c>
      <c r="H32" s="27"/>
    </row>
    <row r="33" spans="1:23" ht="15.75" customHeight="1">
      <c r="A33" s="125">
        <v>9</v>
      </c>
      <c r="B33" s="229">
        <v>3</v>
      </c>
      <c r="H33" s="27"/>
    </row>
    <row r="34" spans="1:23" ht="15.75" customHeight="1">
      <c r="A34" s="125">
        <v>9</v>
      </c>
      <c r="B34" s="229">
        <v>4</v>
      </c>
      <c r="H34" s="27"/>
    </row>
    <row r="35" spans="1:23" ht="15.75" customHeight="1">
      <c r="A35" s="125">
        <v>9</v>
      </c>
      <c r="B35" s="229">
        <v>5</v>
      </c>
      <c r="H35" s="27"/>
    </row>
    <row r="36" spans="1:23" ht="15.75" customHeight="1">
      <c r="A36" s="125">
        <v>9</v>
      </c>
      <c r="B36" s="229">
        <v>6</v>
      </c>
      <c r="H36" s="27"/>
    </row>
    <row r="37" spans="1:23" ht="15.75" customHeight="1">
      <c r="A37" s="125">
        <v>9</v>
      </c>
      <c r="B37" s="188">
        <v>7</v>
      </c>
      <c r="C37" s="90"/>
      <c r="D37" s="90"/>
      <c r="E37" s="90"/>
      <c r="F37" s="90"/>
      <c r="G37" s="90"/>
      <c r="H37" s="124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</row>
    <row r="38" spans="1:23" ht="15.75" customHeight="1">
      <c r="A38" s="93">
        <v>10</v>
      </c>
      <c r="B38" s="94">
        <v>1</v>
      </c>
      <c r="C38" s="95">
        <v>2.8000000000000001E-2</v>
      </c>
      <c r="D38" s="95">
        <v>3.1E-2</v>
      </c>
      <c r="E38" s="95">
        <v>3.3000000000000002E-2</v>
      </c>
      <c r="F38" s="95">
        <v>3.5000000000000003E-2</v>
      </c>
      <c r="G38" s="95">
        <v>3.5999999999999997E-2</v>
      </c>
      <c r="H38" s="95">
        <v>4.2000000000000003E-2</v>
      </c>
      <c r="I38" s="95">
        <v>6.6000000000000003E-2</v>
      </c>
      <c r="J38" s="95">
        <v>0.2</v>
      </c>
      <c r="K38" s="95">
        <v>0.67500000000000004</v>
      </c>
      <c r="L38" s="95">
        <v>0.63200000000000001</v>
      </c>
      <c r="M38" s="95">
        <v>0.36199999999999999</v>
      </c>
      <c r="N38" s="95">
        <v>0.248</v>
      </c>
      <c r="O38" s="95">
        <v>0.17599999999999999</v>
      </c>
      <c r="P38" s="95">
        <v>0.159</v>
      </c>
      <c r="Q38" s="95">
        <v>0.14799999999999999</v>
      </c>
      <c r="R38" s="95">
        <v>0.17699999999999999</v>
      </c>
      <c r="S38" s="115">
        <v>0.14899999999999999</v>
      </c>
      <c r="T38" s="90"/>
      <c r="U38" s="90"/>
      <c r="V38" s="90"/>
    </row>
    <row r="39" spans="1:23" ht="15.75" customHeight="1">
      <c r="A39" s="139">
        <v>11</v>
      </c>
      <c r="B39" s="140">
        <v>1</v>
      </c>
      <c r="C39" s="141">
        <v>2.1999999999999999E-2</v>
      </c>
      <c r="D39" s="141">
        <v>2.4E-2</v>
      </c>
      <c r="E39" s="141">
        <v>2.9000000000000001E-2</v>
      </c>
      <c r="F39" s="141">
        <v>3.4000000000000002E-2</v>
      </c>
      <c r="G39" s="141">
        <v>4.1000000000000002E-2</v>
      </c>
      <c r="H39" s="141">
        <v>4.2000000000000003E-2</v>
      </c>
      <c r="I39" s="141">
        <v>0.04</v>
      </c>
      <c r="J39" s="141">
        <v>3.5999999999999997E-2</v>
      </c>
      <c r="K39" s="141">
        <v>3.4000000000000002E-2</v>
      </c>
      <c r="L39" s="141">
        <v>3.2000000000000001E-2</v>
      </c>
      <c r="M39" s="141">
        <v>3.2000000000000001E-2</v>
      </c>
      <c r="N39" s="141">
        <v>3.4000000000000002E-2</v>
      </c>
      <c r="O39" s="141">
        <v>3.7999999999999999E-2</v>
      </c>
      <c r="P39" s="141">
        <v>4.7E-2</v>
      </c>
      <c r="Q39" s="141">
        <v>7.0000000000000007E-2</v>
      </c>
      <c r="R39" s="141">
        <v>0.114</v>
      </c>
      <c r="S39" s="141">
        <v>0.24199999999999999</v>
      </c>
      <c r="T39" s="141">
        <v>0.60799999999999998</v>
      </c>
      <c r="U39" s="141">
        <v>0.54900000000000004</v>
      </c>
      <c r="V39" s="142">
        <v>0.16200000000000001</v>
      </c>
      <c r="W39" s="90"/>
    </row>
    <row r="40" spans="1:23" ht="15.75" customHeight="1">
      <c r="A40" s="161"/>
      <c r="B40" s="162"/>
      <c r="C40" s="90"/>
      <c r="D40" s="90"/>
      <c r="E40" s="90"/>
      <c r="F40" s="90"/>
      <c r="G40" s="90"/>
      <c r="H40" s="124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</row>
    <row r="41" spans="1:23" ht="15.75" customHeight="1">
      <c r="A41" s="13"/>
      <c r="B41" s="14"/>
      <c r="H41" s="27"/>
    </row>
    <row r="42" spans="1:23" ht="15.75" customHeight="1">
      <c r="A42" s="13"/>
      <c r="B42" s="14"/>
    </row>
    <row r="43" spans="1:23" ht="15.75" customHeight="1">
      <c r="A43" s="13"/>
      <c r="B43" s="14"/>
    </row>
    <row r="44" spans="1:23" ht="15.75" customHeight="1">
      <c r="A44" s="13"/>
      <c r="B44" s="14"/>
    </row>
    <row r="45" spans="1:23" ht="15.75" customHeight="1">
      <c r="A45" s="13"/>
      <c r="B45" s="14"/>
    </row>
    <row r="46" spans="1:23" ht="15.75" customHeight="1">
      <c r="A46" s="21"/>
      <c r="B46" s="22"/>
    </row>
    <row r="47" spans="1:23" ht="15.75" customHeight="1">
      <c r="A47" s="21"/>
      <c r="B47" s="22"/>
    </row>
    <row r="48" spans="1:23" ht="15.75" customHeight="1">
      <c r="A48" s="21"/>
      <c r="B48" s="22"/>
    </row>
    <row r="49" spans="1:15" ht="15.75" customHeight="1">
      <c r="A49" s="21"/>
      <c r="B49" s="22"/>
    </row>
    <row r="50" spans="1:15" ht="15.75" customHeight="1">
      <c r="A50" s="21"/>
      <c r="B50" s="22"/>
    </row>
    <row r="51" spans="1:15" ht="15.75" customHeight="1">
      <c r="A51" s="21"/>
      <c r="B51" s="22"/>
    </row>
    <row r="52" spans="1:15" ht="15.75" customHeight="1">
      <c r="A52" s="21"/>
      <c r="B52" s="22"/>
    </row>
    <row r="53" spans="1:15" ht="15.75" customHeight="1">
      <c r="A53" s="13"/>
      <c r="B53" s="14"/>
    </row>
    <row r="54" spans="1:15" ht="15.75" customHeight="1">
      <c r="A54" s="13"/>
      <c r="B54" s="14"/>
    </row>
    <row r="55" spans="1:15" ht="15.75" customHeight="1">
      <c r="A55" s="13"/>
      <c r="B55" s="14"/>
    </row>
    <row r="56" spans="1:15" ht="15.75" customHeight="1">
      <c r="A56" s="13"/>
      <c r="B56" s="1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ht="15.75" customHeight="1">
      <c r="A57" s="13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5.75" customHeight="1">
      <c r="A58" s="13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5.75" customHeight="1">
      <c r="A59" s="13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5.75" customHeight="1">
      <c r="A60" s="13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5.75" customHeight="1">
      <c r="A61" s="13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5.75" customHeight="1">
      <c r="A62" s="13"/>
      <c r="B62" s="1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4"/>
    </row>
    <row r="63" spans="1:15" ht="15.75" customHeight="1">
      <c r="A63" s="13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5.75" customHeight="1">
      <c r="A64" s="13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5.75" customHeight="1">
      <c r="A65" s="13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5.75" customHeight="1">
      <c r="A66" s="13"/>
      <c r="B66" s="1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5.75" customHeight="1">
      <c r="A67" s="23"/>
      <c r="B67" s="15"/>
    </row>
    <row r="68" spans="1:15" ht="15.75" customHeight="1">
      <c r="A68" s="23"/>
      <c r="B68" s="15"/>
    </row>
    <row r="69" spans="1:15" ht="15.75" customHeight="1">
      <c r="A69" s="23"/>
      <c r="B69" s="15"/>
    </row>
    <row r="70" spans="1:15" ht="15.75" customHeight="1">
      <c r="A70" s="23"/>
      <c r="B70" s="15"/>
    </row>
    <row r="71" spans="1:15" ht="15.75" customHeight="1">
      <c r="A71" s="13"/>
      <c r="B71" s="14"/>
    </row>
    <row r="72" spans="1:15" ht="15.75" customHeight="1">
      <c r="A72" s="13"/>
      <c r="B72" s="14"/>
    </row>
    <row r="73" spans="1:15" ht="15.75" customHeight="1">
      <c r="A73" s="13"/>
      <c r="B73" s="14"/>
    </row>
    <row r="74" spans="1:15" ht="15.75" customHeight="1">
      <c r="A74" s="13"/>
      <c r="B74" s="14"/>
    </row>
    <row r="75" spans="1:15" ht="15.75" customHeight="1">
      <c r="A75" s="13"/>
      <c r="B75" s="14"/>
    </row>
    <row r="76" spans="1:15" ht="15.75" customHeight="1">
      <c r="A76" s="13"/>
      <c r="B76" s="14"/>
    </row>
    <row r="77" spans="1:15" ht="15.75" customHeight="1">
      <c r="A77" s="13"/>
      <c r="B77" s="14"/>
    </row>
    <row r="78" spans="1:15" ht="15.75" customHeight="1">
      <c r="A78" s="13"/>
      <c r="B78" s="14"/>
    </row>
    <row r="79" spans="1:15" ht="15.75" customHeight="1">
      <c r="A79" s="13"/>
      <c r="B79" s="14"/>
    </row>
    <row r="80" spans="1:15" ht="15.75" customHeight="1">
      <c r="A80" s="13"/>
      <c r="B80" s="14"/>
    </row>
    <row r="81" spans="1:11" ht="15.75" customHeight="1">
      <c r="A81" s="13"/>
      <c r="B81" s="14"/>
    </row>
    <row r="82" spans="1:11" ht="15.75" customHeight="1">
      <c r="A82" s="13"/>
      <c r="B82" s="14"/>
    </row>
    <row r="83" spans="1:11" ht="15.75" customHeight="1">
      <c r="A83" s="13"/>
      <c r="B83" s="14"/>
    </row>
    <row r="84" spans="1:11" ht="15.75" customHeight="1">
      <c r="A84" s="13"/>
      <c r="B84" s="14"/>
    </row>
    <row r="85" spans="1:11" ht="15.75" customHeight="1">
      <c r="A85" s="13"/>
      <c r="B85" s="14"/>
    </row>
    <row r="86" spans="1:11" ht="15.75" customHeight="1">
      <c r="A86" s="13"/>
      <c r="B86" s="14"/>
    </row>
    <row r="87" spans="1:11" ht="15.75" customHeight="1">
      <c r="A87" s="13"/>
      <c r="B87" s="14"/>
    </row>
    <row r="88" spans="1:11" ht="15.75" customHeight="1">
      <c r="A88" s="13"/>
      <c r="B88" s="14"/>
    </row>
    <row r="89" spans="1:11" ht="15.75" customHeight="1">
      <c r="A89" s="13"/>
      <c r="B89" s="14"/>
      <c r="C89" s="4"/>
      <c r="D89" s="4"/>
      <c r="E89" s="4"/>
      <c r="F89" s="4"/>
      <c r="G89" s="4"/>
      <c r="H89" s="4"/>
      <c r="I89" s="4"/>
      <c r="J89" s="4"/>
    </row>
    <row r="90" spans="1:11" ht="15.75" customHeight="1">
      <c r="A90" s="23"/>
      <c r="B90" s="15"/>
      <c r="C90" s="4"/>
      <c r="D90" s="4"/>
      <c r="E90" s="4"/>
      <c r="F90" s="4"/>
      <c r="G90" s="4"/>
      <c r="H90" s="4"/>
      <c r="I90" s="4"/>
      <c r="J90" s="4"/>
      <c r="K90" s="4"/>
    </row>
    <row r="91" spans="1:11" ht="15.75" customHeight="1">
      <c r="A91" s="23"/>
      <c r="B91" s="15"/>
      <c r="C91" s="4"/>
      <c r="D91" s="4"/>
      <c r="E91" s="4"/>
      <c r="F91" s="4"/>
      <c r="G91" s="4"/>
      <c r="H91" s="4"/>
      <c r="I91" s="4"/>
      <c r="J91" s="4"/>
      <c r="K91" s="4"/>
    </row>
    <row r="92" spans="1:11" ht="15.75" customHeight="1">
      <c r="A92" s="13"/>
      <c r="B92" s="15"/>
      <c r="C92" s="4"/>
      <c r="D92" s="4"/>
      <c r="E92" s="4"/>
      <c r="F92" s="4"/>
      <c r="G92" s="4"/>
      <c r="H92" s="4"/>
      <c r="I92" s="4"/>
      <c r="J92" s="4"/>
    </row>
    <row r="93" spans="1:11" ht="15.75" customHeight="1">
      <c r="A93" s="13"/>
      <c r="B93" s="15"/>
    </row>
    <row r="94" spans="1:11" ht="15.75" customHeight="1">
      <c r="A94" s="13"/>
      <c r="B94" s="15"/>
    </row>
    <row r="95" spans="1:11" ht="15.75" customHeight="1">
      <c r="A95" s="13"/>
      <c r="B95" s="15"/>
    </row>
    <row r="96" spans="1:11" ht="15.75" customHeight="1">
      <c r="A96" s="23"/>
      <c r="B96" s="15"/>
    </row>
    <row r="97" spans="1:16" ht="15.75" customHeight="1">
      <c r="A97" s="23"/>
      <c r="B97" s="15"/>
    </row>
    <row r="98" spans="1:16" ht="15.75" customHeight="1">
      <c r="A98" s="23"/>
      <c r="B98" s="15"/>
    </row>
    <row r="99" spans="1:16" ht="15.75" customHeight="1">
      <c r="A99" s="23"/>
      <c r="B99" s="15"/>
    </row>
    <row r="100" spans="1:16" ht="15.75" customHeight="1">
      <c r="A100" s="13"/>
      <c r="B100" s="14"/>
    </row>
    <row r="101" spans="1:16" ht="15.75" customHeight="1">
      <c r="A101" s="13"/>
      <c r="B101" s="14"/>
    </row>
    <row r="102" spans="1:16" ht="15.75" customHeight="1">
      <c r="A102" s="13"/>
      <c r="B102" s="14"/>
    </row>
    <row r="103" spans="1:16" ht="15.75" customHeight="1">
      <c r="A103" s="13"/>
      <c r="B103" s="14"/>
    </row>
    <row r="104" spans="1:16" ht="15.75" customHeight="1">
      <c r="A104" s="13"/>
      <c r="B104" s="14"/>
    </row>
    <row r="105" spans="1:16" ht="15.75" customHeight="1">
      <c r="A105" s="13"/>
      <c r="B105" s="14"/>
    </row>
    <row r="106" spans="1:16" ht="15.75" customHeight="1">
      <c r="A106" s="13"/>
      <c r="B106" s="14"/>
    </row>
    <row r="107" spans="1:16" ht="15.75" customHeight="1">
      <c r="A107" s="13"/>
      <c r="B107" s="1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6" ht="15.75" customHeight="1">
      <c r="A108" s="13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5.75" customHeight="1">
      <c r="A109" s="13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5.75" customHeight="1">
      <c r="A110" s="13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5.75" customHeight="1">
      <c r="A111" s="13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5.75" customHeight="1">
      <c r="A112" s="13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5.75" customHeight="1">
      <c r="A113" s="13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5.75" customHeight="1">
      <c r="A114" s="13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5.75" customHeight="1">
      <c r="A115" s="13"/>
      <c r="B115" s="1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6" ht="15.75" customHeight="1">
      <c r="A116" s="13"/>
      <c r="B116" s="14"/>
    </row>
    <row r="117" spans="1:16" ht="15.75" customHeight="1">
      <c r="A117" s="13"/>
      <c r="B117" s="14"/>
    </row>
    <row r="118" spans="1:16" ht="15.75" customHeight="1">
      <c r="A118" s="13"/>
      <c r="B118" s="14"/>
    </row>
    <row r="119" spans="1:16" ht="15.75" customHeight="1">
      <c r="A119" s="13"/>
      <c r="B119" s="14"/>
    </row>
    <row r="120" spans="1:16" ht="15.75" customHeight="1">
      <c r="A120" s="13"/>
      <c r="B120" s="14"/>
    </row>
    <row r="121" spans="1:16" ht="15.75" customHeight="1">
      <c r="A121" s="13"/>
      <c r="B121" s="14"/>
    </row>
    <row r="122" spans="1:16" ht="15.75" customHeight="1">
      <c r="A122" s="13"/>
      <c r="B122" s="14"/>
    </row>
    <row r="123" spans="1:16" ht="15.75" customHeight="1">
      <c r="A123" s="13"/>
      <c r="B123" s="14"/>
    </row>
    <row r="124" spans="1:16" ht="15.75" customHeight="1">
      <c r="A124" s="13"/>
      <c r="B124" s="14"/>
    </row>
    <row r="125" spans="1:16" ht="15.75" customHeight="1">
      <c r="A125" s="13"/>
      <c r="B125" s="14"/>
    </row>
    <row r="126" spans="1:16" ht="15.75" customHeight="1">
      <c r="A126" s="13"/>
      <c r="B126" s="14"/>
    </row>
    <row r="127" spans="1:16" ht="15.75" customHeight="1">
      <c r="A127" s="13"/>
      <c r="B127" s="14"/>
    </row>
    <row r="128" spans="1:16" ht="15.75" customHeight="1">
      <c r="A128" s="13"/>
      <c r="B128" s="14"/>
    </row>
    <row r="129" spans="1:24" ht="15.75" customHeight="1">
      <c r="A129" s="13"/>
      <c r="B129" s="14"/>
    </row>
    <row r="130" spans="1:24" ht="15.75" customHeight="1">
      <c r="A130" s="13"/>
      <c r="B130" s="14"/>
    </row>
    <row r="131" spans="1:24" ht="15.75" customHeight="1">
      <c r="A131" s="13"/>
      <c r="B131" s="14"/>
    </row>
    <row r="132" spans="1:24" ht="15.75" customHeight="1">
      <c r="A132" s="13"/>
      <c r="B132" s="14"/>
    </row>
    <row r="133" spans="1:24" ht="15.75" customHeight="1">
      <c r="A133" s="13"/>
      <c r="B133" s="14"/>
    </row>
    <row r="134" spans="1:24" ht="15.75" customHeight="1">
      <c r="A134" s="23"/>
      <c r="B134" s="15"/>
    </row>
    <row r="135" spans="1:24" ht="15.75" customHeight="1">
      <c r="A135" s="23"/>
      <c r="B135" s="15"/>
    </row>
    <row r="136" spans="1:24" ht="15.75" customHeight="1">
      <c r="A136" s="23"/>
      <c r="B136" s="15"/>
    </row>
    <row r="137" spans="1:24" ht="15.75" customHeight="1">
      <c r="A137" s="23"/>
      <c r="B137" s="15"/>
    </row>
    <row r="138" spans="1:24" ht="15.75" customHeight="1">
      <c r="A138" s="23"/>
      <c r="B138" s="15"/>
    </row>
    <row r="139" spans="1:24" ht="15.75" customHeight="1">
      <c r="A139" s="23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4" ht="15.75" customHeight="1">
      <c r="A140" s="23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>
      <c r="A141" s="23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>
      <c r="A142" s="23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>
      <c r="A143" s="23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>
      <c r="A144" s="23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>
      <c r="A145" s="23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>
      <c r="A146" s="13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4" ht="15.75" customHeight="1">
      <c r="A147" s="13"/>
      <c r="B147" s="14"/>
    </row>
    <row r="148" spans="1:24" ht="15.75" customHeight="1">
      <c r="A148" s="13"/>
      <c r="B148" s="14"/>
    </row>
    <row r="149" spans="1:24" ht="15.75" customHeight="1">
      <c r="A149" s="13"/>
      <c r="B149" s="14"/>
    </row>
    <row r="150" spans="1:24" ht="15.75" customHeight="1">
      <c r="A150" s="13"/>
      <c r="B150" s="14"/>
    </row>
    <row r="151" spans="1:24" ht="15.75" customHeight="1">
      <c r="A151" s="13"/>
      <c r="B151" s="14"/>
    </row>
    <row r="152" spans="1:24" ht="15.75" customHeight="1">
      <c r="A152" s="13"/>
      <c r="B152" s="14"/>
    </row>
    <row r="153" spans="1:24" ht="15.75" customHeight="1">
      <c r="A153" s="13"/>
      <c r="B153" s="14"/>
    </row>
    <row r="154" spans="1:24" ht="15.75" customHeight="1">
      <c r="A154" s="13"/>
      <c r="B154" s="14"/>
    </row>
    <row r="155" spans="1:24" ht="15.75" customHeight="1">
      <c r="A155" s="13"/>
      <c r="B155" s="14"/>
    </row>
    <row r="156" spans="1:24" ht="15.75" customHeight="1">
      <c r="A156" s="13"/>
      <c r="B156" s="14"/>
    </row>
    <row r="157" spans="1:24" ht="15.75" customHeight="1">
      <c r="A157" s="13"/>
      <c r="B157" s="14"/>
    </row>
    <row r="158" spans="1:24" ht="15.75" customHeight="1">
      <c r="A158" s="13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24" ht="15.75" customHeight="1">
      <c r="A159" s="23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24" ht="15.75" customHeight="1">
      <c r="A160" s="23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22" ht="15.75" customHeight="1">
      <c r="A161" s="23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22" ht="15.75" customHeight="1">
      <c r="A162" s="23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22" ht="15.7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22" ht="15.75" customHeight="1">
      <c r="A164" s="2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22" ht="15.75" customHeight="1">
      <c r="A165" s="2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22" ht="15.75" customHeight="1">
      <c r="A166" s="2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2" ht="15.75" customHeight="1">
      <c r="A167" s="2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.7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.75" customHeight="1">
      <c r="A169" s="23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.75" customHeight="1">
      <c r="A170" s="23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.75" customHeight="1">
      <c r="A171" s="23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.75" customHeight="1">
      <c r="A172" s="23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.75" customHeight="1">
      <c r="A173" s="23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2" ht="15.75" customHeight="1">
      <c r="A174" s="23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22" ht="15.75" customHeight="1">
      <c r="A175" s="23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22" ht="15.75" customHeight="1">
      <c r="A176" s="23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5.75" customHeight="1">
      <c r="A177" s="23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5.75" customHeight="1">
      <c r="A178" s="23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5.75" customHeight="1">
      <c r="A179" s="23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5.75" customHeight="1">
      <c r="A180" s="23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6" ht="15.75" customHeight="1">
      <c r="A181" s="23"/>
      <c r="B181" s="15"/>
    </row>
    <row r="182" spans="1:16" ht="15.75" customHeight="1">
      <c r="A182" s="23"/>
      <c r="B182" s="15"/>
    </row>
    <row r="183" spans="1:16" ht="15.75" customHeight="1">
      <c r="A183" s="23"/>
      <c r="B183" s="15"/>
    </row>
    <row r="184" spans="1:16" ht="15.75" customHeight="1">
      <c r="A184" s="23"/>
      <c r="B184" s="15"/>
    </row>
    <row r="185" spans="1:16" ht="15.75" customHeight="1">
      <c r="A185" s="23"/>
      <c r="B185" s="15"/>
    </row>
    <row r="186" spans="1:16" ht="15.75" customHeight="1">
      <c r="A186" s="23"/>
      <c r="B186" s="15"/>
    </row>
    <row r="187" spans="1:16" ht="15.75" customHeight="1">
      <c r="A187" s="23"/>
      <c r="B187" s="15"/>
    </row>
    <row r="188" spans="1:16" ht="15.75" customHeight="1">
      <c r="A188" s="23"/>
      <c r="B188" s="15"/>
    </row>
    <row r="189" spans="1:16" ht="15.75" customHeight="1">
      <c r="A189" s="23"/>
      <c r="B189" s="15"/>
    </row>
    <row r="190" spans="1:16" ht="15.75" customHeight="1">
      <c r="A190" s="23"/>
      <c r="B190" s="15"/>
    </row>
    <row r="191" spans="1:16" ht="15.75" customHeight="1">
      <c r="A191" s="23"/>
      <c r="B191" s="15"/>
    </row>
    <row r="192" spans="1:16" ht="15.75" customHeight="1">
      <c r="A192" s="21"/>
      <c r="B192" s="14"/>
    </row>
    <row r="193" spans="1:10" ht="15.75" customHeight="1">
      <c r="A193" s="21"/>
      <c r="B193" s="14"/>
    </row>
    <row r="194" spans="1:10" ht="15.75" customHeight="1">
      <c r="A194" s="21"/>
      <c r="B194" s="14"/>
    </row>
    <row r="195" spans="1:10" ht="15.75" customHeight="1">
      <c r="A195" s="21"/>
      <c r="B195" s="14"/>
    </row>
    <row r="196" spans="1:10" ht="15.75" customHeight="1">
      <c r="A196" s="13"/>
      <c r="B196" s="14"/>
    </row>
    <row r="197" spans="1:10" ht="15.75" customHeight="1">
      <c r="A197" s="13"/>
      <c r="B197" s="14"/>
    </row>
    <row r="198" spans="1:10" ht="15.75" customHeight="1">
      <c r="A198" s="13"/>
      <c r="B198" s="14"/>
    </row>
    <row r="199" spans="1:10" ht="15.75" customHeight="1">
      <c r="A199" s="13"/>
      <c r="B199" s="14"/>
      <c r="C199" s="4"/>
      <c r="D199" s="4"/>
      <c r="E199" s="4"/>
      <c r="F199" s="4"/>
      <c r="G199" s="4"/>
      <c r="H199" s="4"/>
      <c r="I199" s="4"/>
    </row>
    <row r="200" spans="1:10" ht="15.75" customHeight="1">
      <c r="A200" s="13"/>
      <c r="B200" s="14"/>
      <c r="C200" s="4"/>
      <c r="D200" s="4"/>
      <c r="E200" s="4"/>
      <c r="F200" s="4"/>
      <c r="G200" s="4"/>
      <c r="H200" s="4"/>
      <c r="I200" s="4"/>
      <c r="J200" s="4"/>
    </row>
    <row r="201" spans="1:10" ht="15.75" customHeight="1">
      <c r="A201" s="13"/>
      <c r="B201" s="14"/>
      <c r="C201" s="4"/>
      <c r="D201" s="4"/>
      <c r="E201" s="4"/>
      <c r="F201" s="4"/>
      <c r="G201" s="4"/>
      <c r="H201" s="4"/>
      <c r="I201" s="4"/>
      <c r="J201" s="4"/>
    </row>
    <row r="202" spans="1:10" ht="15.75" customHeight="1">
      <c r="A202" s="13"/>
      <c r="B202" s="14"/>
      <c r="C202" s="4"/>
      <c r="D202" s="4"/>
      <c r="E202" s="4"/>
      <c r="F202" s="4"/>
      <c r="G202" s="4"/>
      <c r="H202" s="4"/>
      <c r="I202" s="4"/>
      <c r="J202" s="4"/>
    </row>
    <row r="203" spans="1:10" ht="15.75" customHeight="1">
      <c r="A203" s="13"/>
      <c r="B203" s="14"/>
      <c r="C203" s="4"/>
      <c r="D203" s="4"/>
      <c r="E203" s="4"/>
      <c r="F203" s="4"/>
      <c r="G203" s="4"/>
      <c r="H203" s="4"/>
      <c r="I203" s="4"/>
      <c r="J203" s="4"/>
    </row>
    <row r="204" spans="1:10" ht="15.75" customHeight="1">
      <c r="A204" s="13"/>
      <c r="B204" s="14"/>
      <c r="C204" s="4"/>
      <c r="D204" s="4"/>
      <c r="E204" s="4"/>
      <c r="F204" s="4"/>
      <c r="G204" s="4"/>
      <c r="H204" s="4"/>
      <c r="I204" s="4"/>
      <c r="J204" s="4"/>
    </row>
    <row r="205" spans="1:10" ht="15.75" customHeight="1">
      <c r="A205" s="13"/>
      <c r="B205" s="14"/>
      <c r="C205" s="4"/>
      <c r="D205" s="4"/>
      <c r="E205" s="4"/>
      <c r="F205" s="4"/>
      <c r="G205" s="4"/>
      <c r="H205" s="4"/>
      <c r="I205" s="4"/>
      <c r="J205" s="4"/>
    </row>
    <row r="206" spans="1:10" ht="15.75" customHeight="1">
      <c r="A206" s="13"/>
      <c r="B206" s="14"/>
      <c r="C206" s="4"/>
      <c r="D206" s="4"/>
      <c r="E206" s="4"/>
      <c r="F206" s="4"/>
      <c r="G206" s="4"/>
      <c r="H206" s="4"/>
      <c r="I206" s="4"/>
      <c r="J206" s="4"/>
    </row>
    <row r="207" spans="1:10" ht="15.75" customHeight="1">
      <c r="A207" s="13"/>
      <c r="B207" s="15"/>
      <c r="C207" s="4"/>
      <c r="D207" s="4"/>
      <c r="E207" s="4"/>
      <c r="F207" s="4"/>
      <c r="G207" s="4"/>
      <c r="H207" s="4"/>
      <c r="I207" s="4"/>
    </row>
    <row r="208" spans="1:10" ht="15.75" customHeight="1">
      <c r="A208" s="13"/>
      <c r="B208" s="15"/>
    </row>
    <row r="209" spans="1:10" ht="15.75" customHeight="1">
      <c r="A209" s="13"/>
      <c r="B209" s="15"/>
    </row>
    <row r="210" spans="1:10" ht="15.75" customHeight="1">
      <c r="A210" s="13"/>
      <c r="B210" s="15"/>
    </row>
    <row r="211" spans="1:10" ht="15.75" customHeight="1">
      <c r="A211" s="13"/>
      <c r="B211" s="15"/>
    </row>
    <row r="212" spans="1:10" ht="15.75" customHeight="1">
      <c r="A212" s="13"/>
      <c r="B212" s="15"/>
    </row>
    <row r="213" spans="1:10" ht="15.75" customHeight="1">
      <c r="A213" s="13"/>
      <c r="B213" s="15"/>
    </row>
    <row r="214" spans="1:10" ht="15.75" customHeight="1">
      <c r="A214" s="13"/>
      <c r="B214" s="15"/>
    </row>
    <row r="215" spans="1:10" ht="15.75" customHeight="1">
      <c r="A215" s="13"/>
      <c r="B215" s="15"/>
      <c r="C215" s="4"/>
      <c r="D215" s="4"/>
      <c r="E215" s="4"/>
      <c r="F215" s="4"/>
      <c r="G215" s="4"/>
      <c r="H215" s="4"/>
      <c r="I215" s="4"/>
    </row>
    <row r="216" spans="1:10" ht="15.75" customHeight="1">
      <c r="A216" s="13"/>
      <c r="B216" s="15"/>
      <c r="C216" s="4"/>
      <c r="D216" s="4"/>
      <c r="E216" s="4"/>
      <c r="F216" s="4"/>
      <c r="G216" s="4"/>
      <c r="H216" s="4"/>
      <c r="I216" s="4"/>
      <c r="J216" s="4"/>
    </row>
    <row r="217" spans="1:10" ht="15.75" customHeight="1">
      <c r="A217" s="13"/>
      <c r="B217" s="15"/>
      <c r="C217" s="4"/>
      <c r="D217" s="4"/>
      <c r="E217" s="4"/>
      <c r="F217" s="4"/>
      <c r="G217" s="4"/>
      <c r="H217" s="4"/>
      <c r="I217" s="4"/>
      <c r="J217" s="4"/>
    </row>
    <row r="218" spans="1:10" ht="15.75" customHeight="1">
      <c r="A218" s="13"/>
      <c r="B218" s="15"/>
      <c r="C218" s="4"/>
      <c r="D218" s="4"/>
      <c r="E218" s="4"/>
      <c r="F218" s="4"/>
      <c r="G218" s="4"/>
      <c r="H218" s="4"/>
      <c r="I218" s="4"/>
      <c r="J218" s="4"/>
    </row>
    <row r="219" spans="1:10" ht="15.75" customHeight="1">
      <c r="A219" s="13"/>
      <c r="B219" s="15"/>
      <c r="C219" s="4"/>
      <c r="D219" s="4"/>
      <c r="E219" s="4"/>
      <c r="F219" s="4"/>
      <c r="G219" s="4"/>
      <c r="H219" s="4"/>
      <c r="I219" s="4"/>
      <c r="J219" s="4"/>
    </row>
    <row r="220" spans="1:10" ht="15.75" customHeight="1">
      <c r="A220" s="13"/>
      <c r="B220" s="15"/>
      <c r="C220" s="4"/>
      <c r="D220" s="4"/>
      <c r="E220" s="4"/>
      <c r="F220" s="4"/>
      <c r="G220" s="4"/>
      <c r="H220" s="4"/>
      <c r="I220" s="4"/>
    </row>
    <row r="221" spans="1:10" ht="15.75" customHeight="1">
      <c r="A221" s="13"/>
      <c r="B221" s="15"/>
    </row>
    <row r="222" spans="1:10" ht="15.75" customHeight="1">
      <c r="A222" s="13"/>
      <c r="B222" s="15"/>
    </row>
    <row r="223" spans="1:10" ht="15.75" customHeight="1">
      <c r="A223" s="13"/>
      <c r="B223" s="15"/>
    </row>
    <row r="224" spans="1:10" ht="15.75" customHeight="1">
      <c r="A224" s="13"/>
      <c r="B224" s="15"/>
    </row>
    <row r="225" spans="1:20" ht="15.75" customHeight="1">
      <c r="A225" s="13"/>
      <c r="B225" s="15"/>
    </row>
    <row r="226" spans="1:20" ht="15.75" customHeight="1">
      <c r="A226" s="13"/>
      <c r="B226" s="15"/>
    </row>
    <row r="227" spans="1:20" ht="15.75" customHeight="1">
      <c r="A227" s="13"/>
      <c r="B227" s="15"/>
    </row>
    <row r="228" spans="1:20" ht="15.75" customHeight="1">
      <c r="A228" s="13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20" ht="15.75" customHeight="1">
      <c r="A229" s="23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20" ht="15.75" customHeight="1">
      <c r="A230" s="23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20" ht="15.75" customHeight="1">
      <c r="A231" s="23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20" ht="15.75" customHeight="1">
      <c r="A232" s="23"/>
      <c r="B232" s="15"/>
    </row>
    <row r="233" spans="1:20" ht="15.75" customHeight="1">
      <c r="A233" s="13"/>
      <c r="B233" s="14"/>
    </row>
    <row r="234" spans="1:20" ht="15.75" customHeight="1">
      <c r="A234" s="13"/>
      <c r="B234" s="14"/>
    </row>
    <row r="235" spans="1:20" ht="15.75" customHeight="1">
      <c r="A235" s="13"/>
      <c r="B235" s="14"/>
    </row>
    <row r="236" spans="1:20" ht="15.75" customHeight="1">
      <c r="A236" s="13"/>
      <c r="B236" s="14"/>
    </row>
    <row r="237" spans="1:20" ht="15.7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20" ht="15.7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ht="15.7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ht="15.75" customHeight="1">
      <c r="A240" s="13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ht="15.75" customHeight="1">
      <c r="A241" s="13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ht="15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ht="15.75" customHeight="1">
      <c r="A243" s="13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ht="15.7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20" ht="15.75" customHeight="1">
      <c r="A245" s="13"/>
      <c r="B245" s="14"/>
    </row>
    <row r="246" spans="1:20" ht="15.75" customHeight="1">
      <c r="A246" s="13"/>
      <c r="B246" s="14"/>
    </row>
    <row r="247" spans="1:20" ht="15.75" customHeight="1">
      <c r="A247" s="13"/>
      <c r="B247" s="14"/>
    </row>
    <row r="248" spans="1:20" ht="15.75" customHeight="1">
      <c r="A248" s="13"/>
      <c r="B248" s="14"/>
    </row>
    <row r="249" spans="1:20" ht="15.75" customHeight="1">
      <c r="A249" s="13"/>
      <c r="B249" s="14"/>
    </row>
    <row r="250" spans="1:20" ht="15.75" customHeight="1">
      <c r="A250" s="13"/>
      <c r="B250" s="14"/>
    </row>
    <row r="251" spans="1:20" ht="15.75" customHeight="1">
      <c r="A251" s="13"/>
      <c r="B251" s="14"/>
    </row>
    <row r="252" spans="1:20" ht="15.75" customHeight="1">
      <c r="A252" s="13"/>
      <c r="B252" s="14"/>
    </row>
    <row r="253" spans="1:20" ht="15.75" customHeight="1"/>
    <row r="254" spans="1:20" ht="15.75" customHeight="1"/>
    <row r="255" spans="1:20" ht="15.75" customHeight="1"/>
    <row r="256" spans="1:2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selection activeCell="C21" sqref="C21:D23"/>
    </sheetView>
  </sheetViews>
  <sheetFormatPr defaultColWidth="12.5546875" defaultRowHeight="15" customHeight="1"/>
  <cols>
    <col min="1" max="26" width="8.5546875" customWidth="1"/>
  </cols>
  <sheetData>
    <row r="1" spans="1:2" ht="15" customHeight="1">
      <c r="A1" s="83" t="s">
        <v>9</v>
      </c>
      <c r="B1" s="84" t="s">
        <v>10</v>
      </c>
    </row>
    <row r="2" spans="1:2" ht="15" customHeight="1">
      <c r="A2" s="93">
        <v>1</v>
      </c>
      <c r="B2" s="94">
        <v>1</v>
      </c>
    </row>
    <row r="3" spans="1:2" ht="15" customHeight="1">
      <c r="A3" s="92">
        <v>1</v>
      </c>
      <c r="B3" s="97">
        <v>2</v>
      </c>
    </row>
    <row r="4" spans="1:2" ht="15" customHeight="1">
      <c r="A4" s="92">
        <v>1</v>
      </c>
      <c r="B4" s="97">
        <v>3</v>
      </c>
    </row>
    <row r="5" spans="1:2" ht="15" customHeight="1">
      <c r="A5" s="92">
        <v>1</v>
      </c>
      <c r="B5" s="97">
        <v>4</v>
      </c>
    </row>
    <row r="6" spans="1:2" ht="15" customHeight="1">
      <c r="A6" s="139">
        <v>2</v>
      </c>
      <c r="B6" s="140">
        <v>1</v>
      </c>
    </row>
    <row r="7" spans="1:2" ht="15" customHeight="1">
      <c r="A7" s="93">
        <v>3</v>
      </c>
      <c r="B7" s="94">
        <v>1</v>
      </c>
    </row>
    <row r="8" spans="1:2" ht="15" customHeight="1">
      <c r="A8" s="92">
        <v>3</v>
      </c>
      <c r="B8" s="97">
        <v>2</v>
      </c>
    </row>
    <row r="9" spans="1:2" ht="15" customHeight="1">
      <c r="A9" s="92">
        <v>3</v>
      </c>
      <c r="B9" s="97">
        <v>3</v>
      </c>
    </row>
    <row r="10" spans="1:2" ht="15" customHeight="1">
      <c r="A10" s="92">
        <v>3</v>
      </c>
      <c r="B10" s="97">
        <v>4</v>
      </c>
    </row>
    <row r="11" spans="1:2" ht="15" customHeight="1">
      <c r="A11" s="92">
        <v>3</v>
      </c>
      <c r="B11" s="97">
        <v>1</v>
      </c>
    </row>
    <row r="12" spans="1:2" ht="15" customHeight="1">
      <c r="A12" s="92">
        <v>3</v>
      </c>
      <c r="B12" s="97">
        <v>2</v>
      </c>
    </row>
    <row r="13" spans="1:2" ht="15" customHeight="1">
      <c r="A13" s="92">
        <v>3</v>
      </c>
      <c r="B13" s="97">
        <v>3</v>
      </c>
    </row>
    <row r="14" spans="1:2" ht="15" customHeight="1">
      <c r="A14" s="92">
        <v>3</v>
      </c>
      <c r="B14" s="97">
        <v>4</v>
      </c>
    </row>
    <row r="15" spans="1:2" ht="15" customHeight="1">
      <c r="A15" s="139">
        <v>4</v>
      </c>
      <c r="B15" s="140">
        <v>1</v>
      </c>
    </row>
    <row r="16" spans="1:2" ht="15" customHeight="1">
      <c r="A16" s="93">
        <v>5</v>
      </c>
      <c r="B16" s="94">
        <v>1</v>
      </c>
    </row>
    <row r="17" spans="1:29" ht="15" customHeight="1">
      <c r="A17" s="93">
        <v>6</v>
      </c>
      <c r="B17" s="94">
        <v>1</v>
      </c>
    </row>
    <row r="18" spans="1:29" ht="15" customHeight="1">
      <c r="A18" s="92">
        <v>6</v>
      </c>
      <c r="B18" s="97">
        <v>2</v>
      </c>
    </row>
    <row r="19" spans="1:29" ht="15" customHeight="1">
      <c r="A19" s="92">
        <v>6</v>
      </c>
      <c r="B19" s="97">
        <v>3</v>
      </c>
    </row>
    <row r="20" spans="1:29" ht="15" customHeight="1">
      <c r="A20" s="92">
        <v>6</v>
      </c>
      <c r="B20" s="97">
        <v>4</v>
      </c>
    </row>
    <row r="21" spans="1:29" ht="15.75" customHeight="1">
      <c r="A21" s="92">
        <v>6</v>
      </c>
      <c r="B21" s="97">
        <v>5</v>
      </c>
      <c r="C21" s="58">
        <v>60.720999999999997</v>
      </c>
      <c r="D21" s="58">
        <v>111.95399999999999</v>
      </c>
      <c r="E21" s="58">
        <v>153.69999999999999</v>
      </c>
      <c r="F21" s="58">
        <v>189.75299999999999</v>
      </c>
      <c r="G21" s="58">
        <v>229.601</v>
      </c>
      <c r="H21" s="58">
        <v>271.34699999999998</v>
      </c>
      <c r="I21" s="58">
        <v>311.19499999999999</v>
      </c>
      <c r="J21" s="58">
        <v>345.351</v>
      </c>
      <c r="K21" s="58">
        <v>379.50700000000001</v>
      </c>
      <c r="L21" s="58">
        <v>423.15</v>
      </c>
      <c r="M21" s="58">
        <v>457.30500000000001</v>
      </c>
      <c r="N21" s="58">
        <v>508.53899999999999</v>
      </c>
      <c r="O21" s="18">
        <v>548.38699999999994</v>
      </c>
      <c r="P21" s="18">
        <v>590.13300000000004</v>
      </c>
      <c r="Q21" s="18">
        <v>681.21400000000006</v>
      </c>
      <c r="R21" s="18">
        <v>787.476</v>
      </c>
      <c r="S21" s="18">
        <v>884.25</v>
      </c>
      <c r="T21" s="18">
        <v>996.20500000000004</v>
      </c>
      <c r="U21" s="18">
        <v>1117.6469999999999</v>
      </c>
      <c r="V21" s="18">
        <v>1223.9090000000001</v>
      </c>
      <c r="W21" s="18">
        <v>1322.5809999999999</v>
      </c>
      <c r="X21" s="18">
        <v>1440.2280000000001</v>
      </c>
      <c r="Y21" s="18">
        <v>1561.67</v>
      </c>
      <c r="Z21" s="18">
        <v>1656.547</v>
      </c>
      <c r="AA21" s="18">
        <v>1743.8330000000001</v>
      </c>
      <c r="AB21" s="18">
        <v>1882.3530000000001</v>
      </c>
      <c r="AC21" s="18">
        <v>1967.742</v>
      </c>
    </row>
    <row r="22" spans="1:29" ht="15.75" customHeight="1">
      <c r="A22" s="92">
        <v>6</v>
      </c>
      <c r="B22" s="97">
        <v>6</v>
      </c>
      <c r="C22" s="58">
        <v>34.155999999999999</v>
      </c>
      <c r="D22" s="58">
        <v>75.900999999999996</v>
      </c>
      <c r="E22" s="58">
        <v>106.262</v>
      </c>
      <c r="F22" s="58">
        <v>149.905</v>
      </c>
      <c r="G22" s="58">
        <v>182.16300000000001</v>
      </c>
      <c r="H22" s="58">
        <v>222.011</v>
      </c>
      <c r="I22" s="58">
        <v>259.96199999999999</v>
      </c>
      <c r="J22" s="58">
        <v>301.70800000000003</v>
      </c>
      <c r="K22" s="58">
        <v>385.19900000000001</v>
      </c>
      <c r="L22" s="58">
        <v>453.51</v>
      </c>
      <c r="M22" s="58">
        <v>525.61699999999996</v>
      </c>
      <c r="N22" s="58">
        <v>622.39099999999996</v>
      </c>
      <c r="O22" s="18">
        <v>719.16499999999996</v>
      </c>
      <c r="P22" s="18">
        <v>804.55399999999997</v>
      </c>
      <c r="Q22" s="18">
        <v>889.94299999999998</v>
      </c>
      <c r="R22" s="18">
        <v>958.25400000000002</v>
      </c>
    </row>
    <row r="23" spans="1:29" ht="15.75" customHeight="1">
      <c r="A23" s="103">
        <v>6</v>
      </c>
      <c r="B23" s="104">
        <v>7</v>
      </c>
      <c r="C23" s="18">
        <v>34.155999999999999</v>
      </c>
      <c r="D23" s="18">
        <v>70.209000000000003</v>
      </c>
      <c r="E23" s="18">
        <v>110.057</v>
      </c>
      <c r="F23" s="18">
        <v>151.803</v>
      </c>
      <c r="G23" s="18">
        <v>185.958</v>
      </c>
      <c r="H23" s="18">
        <v>273.245</v>
      </c>
      <c r="I23" s="18">
        <v>388.99400000000003</v>
      </c>
      <c r="J23" s="18">
        <v>449.71499999999997</v>
      </c>
      <c r="K23" s="18">
        <v>552.18200000000002</v>
      </c>
      <c r="L23" s="18">
        <v>660.34100000000001</v>
      </c>
      <c r="M23" s="18">
        <v>762.80799999999999</v>
      </c>
      <c r="N23" s="18">
        <v>846.3</v>
      </c>
    </row>
    <row r="24" spans="1:29" ht="15.75" customHeight="1">
      <c r="A24" s="93">
        <v>7</v>
      </c>
      <c r="B24" s="187">
        <v>1</v>
      </c>
    </row>
    <row r="25" spans="1:29" ht="15.75" customHeight="1">
      <c r="A25" s="92">
        <v>7</v>
      </c>
      <c r="B25" s="188">
        <v>2</v>
      </c>
    </row>
    <row r="26" spans="1:29" ht="15.75" customHeight="1">
      <c r="A26" s="103">
        <v>7</v>
      </c>
      <c r="B26" s="209">
        <v>3</v>
      </c>
    </row>
    <row r="27" spans="1:29" ht="15.75" customHeight="1">
      <c r="A27" s="125">
        <v>8</v>
      </c>
      <c r="B27" s="187">
        <v>1</v>
      </c>
    </row>
    <row r="28" spans="1:29" ht="15.75" customHeight="1">
      <c r="A28" s="125">
        <v>8</v>
      </c>
      <c r="B28" s="188">
        <v>2</v>
      </c>
    </row>
    <row r="29" spans="1:29" ht="15.75" customHeight="1">
      <c r="A29" s="125">
        <v>8</v>
      </c>
      <c r="B29" s="188">
        <v>3</v>
      </c>
    </row>
    <row r="30" spans="1:29" ht="15.75" customHeight="1">
      <c r="A30" s="220">
        <v>8</v>
      </c>
      <c r="B30" s="209">
        <v>4</v>
      </c>
    </row>
    <row r="31" spans="1:29" ht="15.75" customHeight="1">
      <c r="A31" s="125">
        <v>9</v>
      </c>
      <c r="B31" s="229">
        <v>1</v>
      </c>
    </row>
    <row r="32" spans="1:29" ht="15.75" customHeight="1">
      <c r="A32" s="125">
        <v>9</v>
      </c>
      <c r="B32" s="229">
        <v>2</v>
      </c>
    </row>
    <row r="33" spans="1:2" ht="15.75" customHeight="1">
      <c r="A33" s="125">
        <v>9</v>
      </c>
      <c r="B33" s="229">
        <v>3</v>
      </c>
    </row>
    <row r="34" spans="1:2" ht="15.75" customHeight="1">
      <c r="A34" s="125">
        <v>9</v>
      </c>
      <c r="B34" s="229">
        <v>4</v>
      </c>
    </row>
    <row r="35" spans="1:2" ht="15.75" customHeight="1">
      <c r="A35" s="125">
        <v>9</v>
      </c>
      <c r="B35" s="229">
        <v>5</v>
      </c>
    </row>
    <row r="36" spans="1:2" ht="15.75" customHeight="1">
      <c r="A36" s="125">
        <v>9</v>
      </c>
      <c r="B36" s="229">
        <v>6</v>
      </c>
    </row>
    <row r="37" spans="1:2" ht="15.75" customHeight="1">
      <c r="A37" s="220">
        <v>9</v>
      </c>
      <c r="B37" s="209">
        <v>7</v>
      </c>
    </row>
    <row r="38" spans="1:2" ht="15.75" customHeight="1">
      <c r="A38" s="139">
        <v>10</v>
      </c>
      <c r="B38" s="140">
        <v>1</v>
      </c>
    </row>
    <row r="39" spans="1:2" ht="15.75" customHeight="1">
      <c r="A39" s="125">
        <v>11</v>
      </c>
      <c r="B39" s="97">
        <v>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97"/>
  <sheetViews>
    <sheetView workbookViewId="0">
      <pane ySplit="1" topLeftCell="A5" activePane="bottomLeft" state="frozen"/>
      <selection pane="bottomLeft" activeCell="E9" sqref="E9"/>
    </sheetView>
  </sheetViews>
  <sheetFormatPr defaultColWidth="12.5546875" defaultRowHeight="15" customHeight="1"/>
  <cols>
    <col min="1" max="1" width="9.44140625" customWidth="1"/>
    <col min="2" max="2" width="17" customWidth="1"/>
    <col min="3" max="3" width="9.44140625" customWidth="1"/>
    <col min="4" max="4" width="42.5546875" customWidth="1"/>
    <col min="5" max="5" width="56.6640625" customWidth="1"/>
    <col min="6" max="6" width="28.109375" customWidth="1"/>
    <col min="7" max="7" width="25.33203125" customWidth="1"/>
    <col min="8" max="27" width="9.44140625" customWidth="1"/>
  </cols>
  <sheetData>
    <row r="1" spans="1:12" ht="14.4">
      <c r="A1" s="61" t="s">
        <v>116</v>
      </c>
      <c r="B1" s="61" t="s">
        <v>117</v>
      </c>
      <c r="C1" s="11" t="s">
        <v>118</v>
      </c>
      <c r="D1" s="62" t="s">
        <v>119</v>
      </c>
      <c r="E1" s="11" t="s">
        <v>120</v>
      </c>
      <c r="F1" s="62"/>
      <c r="G1" s="61"/>
      <c r="H1" s="18"/>
      <c r="I1" s="11"/>
      <c r="J1" s="11"/>
    </row>
    <row r="2" spans="1:12" ht="55.2">
      <c r="A2" s="61">
        <v>1</v>
      </c>
      <c r="B2" s="34" t="s">
        <v>121</v>
      </c>
      <c r="C2" s="34">
        <v>2010</v>
      </c>
      <c r="D2" s="63" t="s">
        <v>122</v>
      </c>
      <c r="E2" s="33" t="s">
        <v>123</v>
      </c>
      <c r="F2" s="64"/>
      <c r="G2" s="33"/>
      <c r="H2" s="18"/>
      <c r="I2" s="18"/>
      <c r="J2" s="18"/>
      <c r="K2" s="18"/>
      <c r="L2" s="18"/>
    </row>
    <row r="3" spans="1:12" ht="41.4">
      <c r="A3" s="61">
        <v>2</v>
      </c>
      <c r="B3" s="34" t="s">
        <v>124</v>
      </c>
      <c r="C3" s="34">
        <v>2015</v>
      </c>
      <c r="D3" s="63" t="s">
        <v>125</v>
      </c>
      <c r="E3" s="34" t="s">
        <v>126</v>
      </c>
      <c r="F3" s="63"/>
      <c r="G3" s="33"/>
      <c r="H3" s="18"/>
      <c r="I3" s="18"/>
      <c r="J3" s="18"/>
      <c r="K3" s="18"/>
      <c r="L3" s="18"/>
    </row>
    <row r="4" spans="1:12" ht="66" customHeight="1">
      <c r="A4" s="61">
        <v>3</v>
      </c>
      <c r="B4" s="34" t="s">
        <v>127</v>
      </c>
      <c r="C4" s="34">
        <v>2012</v>
      </c>
      <c r="D4" s="63" t="s">
        <v>128</v>
      </c>
      <c r="E4" s="34" t="s">
        <v>129</v>
      </c>
      <c r="F4" s="64"/>
      <c r="G4" s="33"/>
      <c r="H4" s="18"/>
      <c r="I4" s="18"/>
      <c r="J4" s="18"/>
      <c r="K4" s="18"/>
      <c r="L4" s="18"/>
    </row>
    <row r="5" spans="1:12" ht="69">
      <c r="A5" s="61">
        <v>4</v>
      </c>
      <c r="B5" s="34" t="s">
        <v>130</v>
      </c>
      <c r="C5" s="34">
        <v>2021</v>
      </c>
      <c r="D5" s="63" t="s">
        <v>131</v>
      </c>
      <c r="E5" s="63" t="s">
        <v>132</v>
      </c>
      <c r="F5" s="64"/>
      <c r="G5" s="33"/>
      <c r="H5" s="18"/>
      <c r="I5" s="18"/>
      <c r="J5" s="18"/>
      <c r="K5" s="18"/>
      <c r="L5" s="18"/>
    </row>
    <row r="6" spans="1:12" ht="69">
      <c r="A6" s="61">
        <v>5</v>
      </c>
      <c r="B6" s="34" t="s">
        <v>133</v>
      </c>
      <c r="C6" s="34">
        <v>2023</v>
      </c>
      <c r="D6" s="63" t="s">
        <v>134</v>
      </c>
      <c r="E6" s="63" t="s">
        <v>135</v>
      </c>
      <c r="F6" s="64"/>
      <c r="G6" s="33"/>
      <c r="H6" s="18"/>
      <c r="I6" s="18"/>
      <c r="J6" s="18"/>
      <c r="K6" s="18"/>
      <c r="L6" s="18"/>
    </row>
    <row r="7" spans="1:12" ht="41.4">
      <c r="A7" s="61">
        <v>6</v>
      </c>
      <c r="B7" s="34" t="s">
        <v>136</v>
      </c>
      <c r="C7" s="34">
        <v>2013</v>
      </c>
      <c r="D7" s="63" t="s">
        <v>137</v>
      </c>
      <c r="E7" s="63" t="s">
        <v>138</v>
      </c>
      <c r="F7" s="64"/>
      <c r="G7" s="33"/>
      <c r="H7" s="18"/>
      <c r="I7" s="18"/>
      <c r="J7" s="18"/>
      <c r="K7" s="18"/>
      <c r="L7" s="18"/>
    </row>
    <row r="8" spans="1:12" ht="55.2">
      <c r="A8" s="61">
        <v>7</v>
      </c>
      <c r="B8" s="34" t="s">
        <v>139</v>
      </c>
      <c r="C8" s="34">
        <v>2011</v>
      </c>
      <c r="D8" s="63" t="s">
        <v>140</v>
      </c>
      <c r="E8" s="63" t="s">
        <v>141</v>
      </c>
      <c r="F8" s="64"/>
      <c r="G8" s="33"/>
      <c r="H8" s="18"/>
      <c r="I8" s="18"/>
      <c r="J8" s="18"/>
      <c r="K8" s="18"/>
      <c r="L8" s="18"/>
    </row>
    <row r="9" spans="1:12" ht="41.4">
      <c r="A9" s="61">
        <v>8</v>
      </c>
      <c r="B9" s="34" t="s">
        <v>142</v>
      </c>
      <c r="C9" s="34">
        <v>2023</v>
      </c>
      <c r="D9" s="63" t="s">
        <v>143</v>
      </c>
      <c r="E9" s="34" t="s">
        <v>144</v>
      </c>
      <c r="F9" s="64"/>
      <c r="G9" s="33"/>
      <c r="H9" s="18"/>
      <c r="I9" s="18"/>
      <c r="J9" s="18"/>
      <c r="K9" s="18"/>
      <c r="L9" s="18"/>
    </row>
    <row r="10" spans="1:12" ht="41.4">
      <c r="A10" s="61">
        <v>9</v>
      </c>
      <c r="B10" s="34" t="s">
        <v>145</v>
      </c>
      <c r="C10" s="34">
        <v>2000</v>
      </c>
      <c r="D10" s="63" t="s">
        <v>146</v>
      </c>
      <c r="E10" s="34" t="s">
        <v>147</v>
      </c>
      <c r="F10" s="64"/>
      <c r="G10" s="33"/>
      <c r="H10" s="18"/>
      <c r="I10" s="18"/>
      <c r="J10" s="18"/>
      <c r="K10" s="18"/>
      <c r="L10" s="18"/>
    </row>
    <row r="11" spans="1:12" ht="41.4">
      <c r="A11" s="61">
        <v>10</v>
      </c>
      <c r="B11" s="63" t="s">
        <v>148</v>
      </c>
      <c r="C11" s="34">
        <v>1998</v>
      </c>
      <c r="D11" s="63" t="s">
        <v>149</v>
      </c>
      <c r="E11" s="34" t="s">
        <v>150</v>
      </c>
      <c r="F11" s="64"/>
      <c r="G11" s="33"/>
      <c r="H11" s="18"/>
      <c r="I11" s="18"/>
      <c r="J11" s="18"/>
      <c r="K11" s="18"/>
      <c r="L11" s="18"/>
    </row>
    <row r="12" spans="1:12" ht="55.2">
      <c r="A12" s="61">
        <v>11</v>
      </c>
      <c r="B12" s="34" t="s">
        <v>148</v>
      </c>
      <c r="C12" s="34">
        <v>2000</v>
      </c>
      <c r="D12" s="63" t="s">
        <v>151</v>
      </c>
      <c r="E12" s="68" t="s">
        <v>152</v>
      </c>
      <c r="F12" s="64"/>
      <c r="G12" s="33"/>
      <c r="H12" s="18"/>
      <c r="I12" s="18"/>
      <c r="J12" s="18"/>
      <c r="K12" s="18"/>
      <c r="L12" s="18"/>
    </row>
    <row r="13" spans="1:12" ht="45.75" customHeight="1">
      <c r="A13" s="61"/>
      <c r="B13" s="34"/>
      <c r="C13" s="34"/>
      <c r="D13" s="65"/>
      <c r="E13" s="68"/>
      <c r="F13" s="64"/>
      <c r="G13" s="33"/>
      <c r="H13" s="18"/>
      <c r="I13" s="18"/>
      <c r="J13" s="18"/>
      <c r="K13" s="18"/>
      <c r="L13" s="18"/>
    </row>
    <row r="14" spans="1:12" ht="78.75" customHeight="1">
      <c r="A14" s="61"/>
      <c r="B14" s="34"/>
      <c r="C14" s="34"/>
      <c r="D14" s="63"/>
      <c r="E14" s="63"/>
      <c r="F14" s="64"/>
      <c r="G14" s="33"/>
      <c r="H14" s="18"/>
      <c r="I14" s="18"/>
      <c r="J14" s="18"/>
      <c r="K14" s="18"/>
      <c r="L14" s="18"/>
    </row>
    <row r="15" spans="1:12" ht="66.75" customHeight="1">
      <c r="A15" s="61"/>
      <c r="B15" s="34"/>
      <c r="C15" s="34"/>
      <c r="D15" s="63"/>
      <c r="E15" s="68"/>
      <c r="F15" s="64"/>
      <c r="G15" s="33"/>
      <c r="H15" s="18"/>
      <c r="I15" s="18"/>
      <c r="J15" s="18"/>
      <c r="K15" s="18"/>
      <c r="L15" s="18"/>
    </row>
    <row r="16" spans="1:12" ht="50.25" customHeight="1">
      <c r="A16" s="61"/>
      <c r="B16" s="34"/>
      <c r="C16" s="34"/>
      <c r="D16" s="63"/>
      <c r="E16" s="69"/>
      <c r="F16" s="64"/>
      <c r="G16" s="33"/>
      <c r="H16" s="18"/>
      <c r="I16" s="18"/>
      <c r="K16" s="18"/>
      <c r="L16" s="18"/>
    </row>
    <row r="17" spans="1:12" ht="45" customHeight="1">
      <c r="A17" s="61"/>
      <c r="B17" s="34"/>
      <c r="C17" s="34"/>
      <c r="D17" s="63"/>
      <c r="E17" s="63"/>
      <c r="F17" s="64"/>
      <c r="G17" s="33"/>
      <c r="H17" s="18"/>
      <c r="I17" s="18"/>
      <c r="K17" s="18"/>
      <c r="L17" s="18"/>
    </row>
    <row r="18" spans="1:12" ht="52.5" customHeight="1">
      <c r="A18" s="11"/>
      <c r="B18" s="34"/>
      <c r="C18" s="33"/>
      <c r="D18" s="70"/>
      <c r="E18" s="18"/>
      <c r="F18" s="64"/>
      <c r="G18" s="33"/>
      <c r="H18" s="18"/>
      <c r="I18" s="18"/>
      <c r="K18" s="18"/>
      <c r="L18" s="18"/>
    </row>
    <row r="19" spans="1:12" ht="51.75" customHeight="1">
      <c r="A19" s="71"/>
      <c r="B19" s="26"/>
      <c r="C19" s="72"/>
      <c r="D19" s="73"/>
      <c r="E19" s="74"/>
      <c r="F19" s="73"/>
      <c r="G19" s="26"/>
      <c r="H19" s="18"/>
    </row>
    <row r="20" spans="1:12" ht="51.75" customHeight="1">
      <c r="A20" s="71"/>
      <c r="B20" s="9"/>
      <c r="C20" s="72"/>
      <c r="D20" s="70"/>
      <c r="E20" s="75"/>
      <c r="F20" s="73"/>
      <c r="G20" s="26"/>
      <c r="H20" s="18"/>
    </row>
    <row r="21" spans="1:12" ht="51.75" customHeight="1">
      <c r="A21" s="71"/>
      <c r="B21" s="26"/>
      <c r="C21" s="72"/>
      <c r="D21" s="76"/>
      <c r="E21" s="72"/>
      <c r="F21" s="73"/>
      <c r="G21" s="26"/>
      <c r="H21" s="18"/>
    </row>
    <row r="22" spans="1:12" ht="64.5" customHeight="1">
      <c r="A22" s="71"/>
      <c r="B22" s="26"/>
      <c r="C22" s="72"/>
      <c r="D22" s="70"/>
      <c r="E22" s="26"/>
      <c r="F22" s="73"/>
      <c r="G22" s="26"/>
      <c r="H22" s="18"/>
    </row>
    <row r="23" spans="1:12" ht="14.4">
      <c r="A23" s="12"/>
      <c r="B23" s="9"/>
      <c r="C23" s="18"/>
      <c r="D23" s="77"/>
      <c r="E23" s="18"/>
      <c r="F23" s="76"/>
      <c r="G23" s="72"/>
      <c r="H23" s="18"/>
    </row>
    <row r="24" spans="1:12" ht="78" customHeight="1">
      <c r="A24" s="71"/>
      <c r="B24" s="9"/>
      <c r="C24" s="72"/>
      <c r="D24" s="70"/>
      <c r="E24" s="74"/>
      <c r="F24" s="76"/>
      <c r="G24" s="72"/>
      <c r="H24" s="18"/>
    </row>
    <row r="25" spans="1:12" ht="84.75" customHeight="1">
      <c r="A25" s="71"/>
      <c r="B25" s="26"/>
      <c r="C25" s="72"/>
      <c r="D25" s="70"/>
      <c r="E25" s="78"/>
      <c r="F25" s="76"/>
      <c r="G25" s="72"/>
      <c r="H25" s="18"/>
    </row>
    <row r="26" spans="1:12" ht="14.4">
      <c r="A26" s="71"/>
      <c r="B26" s="26"/>
      <c r="C26" s="72"/>
      <c r="D26" s="79"/>
      <c r="E26" s="18"/>
      <c r="F26" s="76"/>
      <c r="G26" s="72"/>
      <c r="H26" s="18"/>
    </row>
    <row r="27" spans="1:12" ht="14.4">
      <c r="A27" s="71"/>
      <c r="B27" s="63"/>
      <c r="C27" s="34"/>
      <c r="D27" s="63"/>
      <c r="E27" s="34"/>
      <c r="F27" s="76"/>
      <c r="G27" s="72"/>
      <c r="H27" s="18"/>
    </row>
    <row r="28" spans="1:12" ht="51.75" customHeight="1">
      <c r="A28" s="71"/>
      <c r="B28" s="63"/>
      <c r="C28" s="34"/>
      <c r="D28" s="63"/>
      <c r="E28" s="34"/>
      <c r="F28" s="76"/>
      <c r="G28" s="72"/>
      <c r="H28" s="18"/>
    </row>
    <row r="29" spans="1:12" ht="81.75" customHeight="1">
      <c r="A29" s="50"/>
      <c r="B29" s="9"/>
      <c r="C29" s="9"/>
      <c r="D29" s="70"/>
      <c r="E29" s="18"/>
      <c r="F29" s="56"/>
      <c r="G29" s="9"/>
    </row>
    <row r="30" spans="1:12" ht="83.25" customHeight="1">
      <c r="A30" s="50"/>
      <c r="B30" s="9"/>
      <c r="C30" s="9"/>
      <c r="D30" s="70"/>
      <c r="E30" s="18"/>
      <c r="F30" s="18"/>
      <c r="G30" s="9"/>
    </row>
    <row r="31" spans="1:12" ht="52.5" customHeight="1">
      <c r="A31" s="50"/>
      <c r="B31" s="9"/>
      <c r="C31" s="9"/>
      <c r="D31" s="67"/>
      <c r="E31" s="9"/>
      <c r="F31" s="67"/>
      <c r="G31" s="18"/>
    </row>
    <row r="32" spans="1:12" ht="41.25" customHeight="1">
      <c r="A32" s="50"/>
      <c r="B32" s="9"/>
      <c r="C32" s="9"/>
      <c r="D32" s="65"/>
      <c r="E32" s="18"/>
      <c r="F32" s="67"/>
      <c r="G32" s="18"/>
    </row>
    <row r="33" spans="1:27" ht="14.4">
      <c r="A33" s="50"/>
      <c r="B33" s="63"/>
      <c r="C33" s="34"/>
      <c r="D33" s="63"/>
      <c r="E33" s="34"/>
      <c r="F33" s="67"/>
      <c r="G33" s="18"/>
    </row>
    <row r="34" spans="1:27" ht="14.4">
      <c r="A34" s="50"/>
      <c r="B34" s="63"/>
      <c r="C34" s="34"/>
      <c r="D34" s="63"/>
      <c r="E34" s="34"/>
      <c r="F34" s="67"/>
      <c r="G34" s="18"/>
    </row>
    <row r="35" spans="1:27" ht="57.75" customHeight="1">
      <c r="A35" s="50"/>
      <c r="B35" s="63"/>
      <c r="C35" s="34"/>
      <c r="D35" s="63"/>
      <c r="E35" s="34"/>
      <c r="F35" s="67"/>
      <c r="G35" s="18"/>
    </row>
    <row r="36" spans="1:27" ht="14.4">
      <c r="A36" s="50"/>
      <c r="B36" s="63"/>
      <c r="C36" s="34"/>
      <c r="D36" s="63"/>
      <c r="E36" s="34"/>
      <c r="F36" s="67"/>
      <c r="G36" s="18"/>
    </row>
    <row r="37" spans="1:27" ht="14.4">
      <c r="A37" s="50"/>
      <c r="B37" s="9"/>
      <c r="C37" s="9"/>
      <c r="D37" s="65"/>
      <c r="E37" s="18"/>
      <c r="F37" s="67"/>
      <c r="G37" s="18"/>
    </row>
    <row r="38" spans="1:27" ht="14.4">
      <c r="A38" s="80"/>
      <c r="B38" s="63"/>
      <c r="C38" s="34"/>
      <c r="D38" s="63"/>
      <c r="E38" s="34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 spans="1:27" ht="14.4">
      <c r="A39" s="50"/>
      <c r="B39" s="9"/>
      <c r="C39" s="9"/>
      <c r="D39" s="70"/>
      <c r="E39" s="18"/>
      <c r="F39" s="67"/>
      <c r="G39" s="18"/>
    </row>
    <row r="40" spans="1:27" ht="29.25" customHeight="1">
      <c r="A40" s="50"/>
      <c r="B40" s="9"/>
      <c r="C40" s="9"/>
      <c r="D40" s="70"/>
      <c r="E40" s="81"/>
      <c r="F40" s="67"/>
      <c r="G40" s="18"/>
    </row>
    <row r="41" spans="1:27" ht="87" customHeight="1">
      <c r="A41" s="50"/>
      <c r="B41" s="9"/>
      <c r="C41" s="9"/>
      <c r="D41" s="65"/>
      <c r="E41" s="74"/>
      <c r="F41" s="67"/>
      <c r="G41" s="18"/>
    </row>
    <row r="42" spans="1:27" ht="56.25" customHeight="1">
      <c r="A42" s="50"/>
      <c r="B42" s="63"/>
      <c r="C42" s="34"/>
      <c r="D42" s="63"/>
      <c r="E42" s="34"/>
      <c r="F42" s="67"/>
      <c r="G42" s="18"/>
    </row>
    <row r="43" spans="1:27" ht="14.4">
      <c r="A43" s="50"/>
      <c r="B43" s="63"/>
      <c r="C43" s="34"/>
      <c r="D43" s="63"/>
      <c r="E43" s="34"/>
      <c r="F43" s="70"/>
    </row>
    <row r="44" spans="1:27" ht="61.5" customHeight="1">
      <c r="A44" s="50"/>
      <c r="B44" s="9"/>
      <c r="C44" s="9"/>
      <c r="D44" s="70"/>
      <c r="E44" s="74"/>
      <c r="F44" s="67"/>
      <c r="G44" s="18"/>
    </row>
    <row r="45" spans="1:27" ht="42" customHeight="1">
      <c r="A45" s="50"/>
      <c r="B45" s="9"/>
      <c r="C45" s="9"/>
      <c r="D45" s="70"/>
      <c r="E45" s="18"/>
      <c r="F45" s="67"/>
      <c r="G45" s="18"/>
    </row>
    <row r="46" spans="1:27" ht="14.4">
      <c r="A46" s="50"/>
      <c r="B46" s="63"/>
      <c r="C46" s="34"/>
      <c r="D46" s="63"/>
      <c r="E46" s="34"/>
      <c r="F46" s="67"/>
      <c r="G46" s="18"/>
    </row>
    <row r="47" spans="1:27" ht="14.4">
      <c r="A47" s="50"/>
      <c r="B47" s="63"/>
      <c r="C47" s="34"/>
      <c r="D47" s="63"/>
      <c r="E47" s="34"/>
      <c r="F47" s="67"/>
      <c r="G47" s="18"/>
    </row>
    <row r="48" spans="1:27" ht="14.4">
      <c r="A48" s="50"/>
      <c r="B48" s="63"/>
      <c r="C48" s="34"/>
      <c r="D48" s="63"/>
      <c r="E48" s="34"/>
      <c r="F48" s="67"/>
      <c r="G48" s="18"/>
    </row>
    <row r="49" spans="1:7" ht="33.75" customHeight="1">
      <c r="A49" s="50"/>
      <c r="B49" s="9"/>
      <c r="C49" s="9"/>
      <c r="D49" s="70"/>
      <c r="E49" s="18"/>
      <c r="F49" s="67"/>
      <c r="G49" s="18"/>
    </row>
    <row r="50" spans="1:7" ht="14.4">
      <c r="A50" s="50"/>
      <c r="B50" s="9"/>
      <c r="C50" s="9"/>
      <c r="D50" s="65"/>
      <c r="E50" s="18"/>
      <c r="F50" s="67"/>
      <c r="G50" s="18"/>
    </row>
    <row r="51" spans="1:7" ht="89.25" customHeight="1">
      <c r="A51" s="50"/>
      <c r="B51" s="9"/>
      <c r="C51" s="9"/>
      <c r="D51" s="70"/>
      <c r="E51" s="18"/>
      <c r="F51" s="67"/>
      <c r="G51" s="18"/>
    </row>
    <row r="52" spans="1:7" ht="14.4">
      <c r="A52" s="50"/>
      <c r="B52" s="9"/>
      <c r="C52" s="9"/>
      <c r="D52" s="67"/>
      <c r="E52" s="18"/>
      <c r="F52" s="67"/>
      <c r="G52" s="18"/>
    </row>
    <row r="53" spans="1:7" ht="54" customHeight="1">
      <c r="A53" s="50"/>
      <c r="B53" s="9"/>
      <c r="C53" s="9"/>
      <c r="D53" s="65"/>
      <c r="E53" s="9"/>
      <c r="F53" s="67"/>
      <c r="G53" s="18"/>
    </row>
    <row r="54" spans="1:7" ht="14.4">
      <c r="A54" s="50"/>
      <c r="B54" s="63"/>
      <c r="C54" s="34"/>
      <c r="D54" s="63"/>
      <c r="E54" s="34"/>
      <c r="F54" s="67"/>
      <c r="G54" s="18"/>
    </row>
    <row r="55" spans="1:7" ht="14.4">
      <c r="A55" s="50"/>
      <c r="B55" s="9"/>
      <c r="C55" s="9"/>
      <c r="D55" s="70"/>
      <c r="E55" s="18"/>
      <c r="F55" s="67"/>
      <c r="G55" s="18"/>
    </row>
    <row r="56" spans="1:7" ht="14.4">
      <c r="A56" s="50"/>
      <c r="B56" s="9"/>
      <c r="C56" s="9"/>
      <c r="D56" s="65"/>
      <c r="E56" s="18"/>
      <c r="F56" s="67"/>
      <c r="G56" s="18"/>
    </row>
    <row r="57" spans="1:7" ht="54.75" customHeight="1">
      <c r="A57" s="50"/>
      <c r="B57" s="9"/>
      <c r="C57" s="9"/>
      <c r="D57" s="65"/>
      <c r="E57" s="18"/>
      <c r="F57" s="67"/>
      <c r="G57" s="18"/>
    </row>
    <row r="58" spans="1:7" ht="14.4">
      <c r="A58" s="50"/>
      <c r="B58" s="9"/>
      <c r="C58" s="9"/>
      <c r="D58" s="65"/>
      <c r="E58" s="18"/>
      <c r="F58" s="67"/>
      <c r="G58" s="18"/>
    </row>
    <row r="59" spans="1:7" ht="72.75" customHeight="1">
      <c r="A59" s="50"/>
      <c r="B59" s="9"/>
      <c r="C59" s="9"/>
      <c r="D59" s="70"/>
      <c r="E59" s="74"/>
      <c r="F59" s="67"/>
      <c r="G59" s="18"/>
    </row>
    <row r="60" spans="1:7" ht="57" customHeight="1">
      <c r="A60" s="50"/>
      <c r="B60" s="9"/>
      <c r="C60" s="9"/>
      <c r="D60" s="65"/>
      <c r="E60" s="66"/>
      <c r="F60" s="67"/>
      <c r="G60" s="18"/>
    </row>
    <row r="61" spans="1:7" ht="71.25" customHeight="1">
      <c r="A61" s="50"/>
      <c r="B61" s="9"/>
      <c r="C61" s="9"/>
      <c r="D61" s="65"/>
      <c r="E61" s="18"/>
      <c r="F61" s="67"/>
      <c r="G61" s="18"/>
    </row>
    <row r="62" spans="1:7" ht="66.75" customHeight="1">
      <c r="A62" s="50"/>
      <c r="B62" s="9"/>
      <c r="C62" s="9"/>
      <c r="D62" s="65"/>
      <c r="E62" s="18"/>
      <c r="F62" s="67"/>
      <c r="G62" s="18"/>
    </row>
    <row r="63" spans="1:7" ht="63.75" customHeight="1">
      <c r="A63" s="50"/>
      <c r="B63" s="9"/>
      <c r="C63" s="9"/>
      <c r="D63" s="65"/>
      <c r="E63" s="66"/>
      <c r="F63" s="67"/>
      <c r="G63" s="18"/>
    </row>
    <row r="64" spans="1:7" ht="60" customHeight="1">
      <c r="A64" s="50"/>
      <c r="B64" s="9"/>
      <c r="C64" s="9"/>
      <c r="D64" s="65"/>
      <c r="E64" s="9"/>
      <c r="F64" s="67"/>
      <c r="G64" s="18"/>
    </row>
    <row r="65" spans="1:7" ht="27.75" customHeight="1">
      <c r="A65" s="50"/>
      <c r="B65" s="9"/>
      <c r="C65" s="9"/>
      <c r="D65" s="65"/>
      <c r="E65" s="9"/>
      <c r="F65" s="67"/>
      <c r="G65" s="18"/>
    </row>
    <row r="66" spans="1:7" ht="15.75" customHeight="1">
      <c r="A66" s="50"/>
      <c r="B66" s="9"/>
      <c r="C66" s="9"/>
      <c r="D66" s="65"/>
      <c r="E66" s="66"/>
      <c r="F66" s="67"/>
      <c r="G66" s="18"/>
    </row>
    <row r="67" spans="1:7" ht="41.25" customHeight="1">
      <c r="A67" s="50"/>
      <c r="B67" s="9"/>
      <c r="C67" s="9"/>
      <c r="D67" s="65"/>
      <c r="E67" s="66"/>
      <c r="F67" s="67"/>
      <c r="G67" s="18"/>
    </row>
    <row r="68" spans="1:7" ht="46.5" customHeight="1">
      <c r="A68" s="50"/>
      <c r="B68" s="9"/>
      <c r="C68" s="9"/>
      <c r="D68" s="65"/>
      <c r="E68" s="18"/>
      <c r="F68" s="67"/>
      <c r="G68" s="18"/>
    </row>
    <row r="69" spans="1:7" ht="42" customHeight="1">
      <c r="A69" s="50"/>
      <c r="B69" s="9"/>
      <c r="C69" s="9"/>
      <c r="D69" s="65"/>
      <c r="E69" s="66"/>
      <c r="F69" s="67"/>
      <c r="G69" s="18"/>
    </row>
    <row r="70" spans="1:7" ht="59.25" customHeight="1">
      <c r="A70" s="50"/>
      <c r="B70" s="9"/>
      <c r="C70" s="9"/>
      <c r="D70" s="65"/>
      <c r="E70" s="66"/>
      <c r="F70" s="67"/>
      <c r="G70" s="18"/>
    </row>
    <row r="71" spans="1:7" ht="62.25" customHeight="1">
      <c r="A71" s="50"/>
      <c r="B71" s="9"/>
      <c r="C71" s="9"/>
      <c r="D71" s="65"/>
      <c r="E71" s="9"/>
      <c r="F71" s="67"/>
      <c r="G71" s="18"/>
    </row>
    <row r="72" spans="1:7" ht="47.25" customHeight="1">
      <c r="A72" s="50"/>
      <c r="B72" s="9"/>
      <c r="C72" s="9"/>
      <c r="D72" s="65"/>
      <c r="E72" s="66"/>
      <c r="F72" s="67"/>
      <c r="G72" s="18"/>
    </row>
    <row r="73" spans="1:7" ht="30" customHeight="1">
      <c r="A73" s="50"/>
      <c r="B73" s="9"/>
      <c r="C73" s="9"/>
      <c r="D73" s="65"/>
      <c r="E73" s="18"/>
      <c r="F73" s="67"/>
      <c r="G73" s="18"/>
    </row>
    <row r="74" spans="1:7" ht="45" customHeight="1">
      <c r="A74" s="50"/>
      <c r="B74" s="9"/>
      <c r="C74" s="9"/>
      <c r="D74" s="65"/>
      <c r="E74" s="18"/>
      <c r="F74" s="67"/>
      <c r="G74" s="18"/>
    </row>
    <row r="75" spans="1:7" ht="57" customHeight="1">
      <c r="A75" s="50"/>
      <c r="B75" s="9"/>
      <c r="C75" s="9"/>
      <c r="D75" s="65"/>
      <c r="E75" s="66"/>
      <c r="F75" s="67"/>
      <c r="G75" s="18"/>
    </row>
    <row r="76" spans="1:7" ht="47.25" customHeight="1">
      <c r="A76" s="50"/>
      <c r="B76" s="9"/>
      <c r="C76" s="9"/>
      <c r="D76" s="65"/>
      <c r="E76" s="9"/>
      <c r="F76" s="67"/>
      <c r="G76" s="18"/>
    </row>
    <row r="77" spans="1:7" ht="30" customHeight="1">
      <c r="A77" s="50"/>
      <c r="B77" s="9"/>
      <c r="C77" s="9"/>
      <c r="D77" s="65"/>
      <c r="E77" s="18"/>
      <c r="F77" s="67"/>
      <c r="G77" s="18"/>
    </row>
    <row r="78" spans="1:7" ht="15.75" customHeight="1">
      <c r="A78" s="50"/>
      <c r="B78" s="9"/>
      <c r="C78" s="9"/>
      <c r="D78" s="65"/>
      <c r="E78" s="66"/>
      <c r="F78" s="67"/>
      <c r="G78" s="18"/>
    </row>
    <row r="79" spans="1:7" ht="57" customHeight="1">
      <c r="A79" s="50"/>
      <c r="B79" s="9"/>
      <c r="C79" s="9"/>
      <c r="D79" s="67"/>
      <c r="E79" s="18"/>
      <c r="F79" s="67"/>
      <c r="G79" s="18"/>
    </row>
    <row r="80" spans="1:7" ht="59.25" customHeight="1">
      <c r="A80" s="50"/>
      <c r="B80" s="9"/>
      <c r="C80" s="9"/>
      <c r="D80" s="67"/>
      <c r="E80" s="18"/>
      <c r="F80" s="67"/>
      <c r="G80" s="18"/>
    </row>
    <row r="81" spans="1:27" ht="45" customHeight="1">
      <c r="A81" s="50"/>
      <c r="B81" s="9"/>
      <c r="C81" s="9"/>
      <c r="D81" s="65"/>
      <c r="E81" s="66"/>
      <c r="F81" s="67"/>
      <c r="G81" s="18"/>
    </row>
    <row r="82" spans="1:27" ht="57.75" customHeight="1">
      <c r="A82" s="50"/>
      <c r="B82" s="9"/>
      <c r="C82" s="9"/>
      <c r="D82" s="65"/>
      <c r="E82" s="66"/>
      <c r="F82" s="67"/>
      <c r="G82" s="18"/>
    </row>
    <row r="83" spans="1:27" ht="57" customHeight="1">
      <c r="A83" s="50"/>
      <c r="B83" s="9"/>
      <c r="C83" s="9"/>
      <c r="D83" s="65"/>
      <c r="E83" s="18"/>
      <c r="F83" s="67"/>
      <c r="G83" s="18"/>
    </row>
    <row r="84" spans="1:27" ht="59.25" customHeight="1">
      <c r="A84" s="50"/>
      <c r="B84" s="9"/>
      <c r="C84" s="9"/>
      <c r="D84" s="65"/>
      <c r="E84" s="18"/>
      <c r="F84" s="67"/>
      <c r="G84" s="18"/>
    </row>
    <row r="85" spans="1:27" ht="60.75" customHeight="1">
      <c r="A85" s="50"/>
      <c r="B85" s="9"/>
      <c r="C85" s="9"/>
      <c r="D85" s="65"/>
      <c r="E85" s="18"/>
      <c r="F85" s="67"/>
      <c r="G85" s="18"/>
    </row>
    <row r="86" spans="1:27" ht="15.75" customHeight="1">
      <c r="A86" s="50"/>
      <c r="B86" s="9"/>
      <c r="C86" s="9"/>
      <c r="D86" s="65"/>
      <c r="E86" s="66"/>
      <c r="F86" s="67"/>
      <c r="G86" s="18"/>
    </row>
    <row r="87" spans="1:27" ht="29.25" customHeight="1">
      <c r="A87" s="50"/>
      <c r="B87" s="9"/>
      <c r="C87" s="9"/>
      <c r="D87" s="65"/>
      <c r="E87" s="66"/>
      <c r="F87" s="67"/>
      <c r="G87" s="18"/>
    </row>
    <row r="88" spans="1:27" ht="15.75" customHeight="1">
      <c r="A88" s="50"/>
      <c r="B88" s="9"/>
      <c r="C88" s="9"/>
      <c r="D88" s="82"/>
      <c r="E88" s="9"/>
      <c r="F88" s="70"/>
    </row>
    <row r="89" spans="1:27" ht="39.75" customHeight="1">
      <c r="A89" s="50"/>
      <c r="B89" s="9"/>
      <c r="C89" s="9"/>
      <c r="D89" s="65"/>
      <c r="E89" s="9"/>
      <c r="F89" s="70"/>
    </row>
    <row r="90" spans="1:27" ht="57" customHeight="1">
      <c r="A90" s="50"/>
      <c r="B90" s="9"/>
      <c r="C90" s="9"/>
      <c r="D90" s="65"/>
      <c r="E90" s="66"/>
      <c r="F90" s="6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60" customHeight="1">
      <c r="A91" s="50"/>
      <c r="B91" s="9"/>
      <c r="C91" s="9"/>
      <c r="D91" s="65"/>
      <c r="E91" s="18"/>
      <c r="F91" s="70"/>
    </row>
    <row r="92" spans="1:27" ht="15.75" customHeight="1">
      <c r="B92" s="9"/>
      <c r="D92" s="82"/>
      <c r="E92" s="18"/>
      <c r="F92" s="70"/>
    </row>
    <row r="93" spans="1:27" ht="15.75" customHeight="1">
      <c r="B93" s="9"/>
      <c r="D93" s="77"/>
      <c r="E93" s="18"/>
      <c r="F93" s="70"/>
    </row>
    <row r="94" spans="1:27" ht="15.75" customHeight="1">
      <c r="B94" s="9"/>
      <c r="D94" s="77"/>
      <c r="E94" s="18"/>
      <c r="F94" s="70"/>
    </row>
    <row r="95" spans="1:27" ht="15.75" customHeight="1">
      <c r="B95" s="9"/>
      <c r="D95" s="77"/>
      <c r="E95" s="18"/>
      <c r="F95" s="70"/>
    </row>
    <row r="96" spans="1:27" ht="15.75" customHeight="1">
      <c r="B96" s="9"/>
      <c r="D96" s="77"/>
      <c r="E96" s="18"/>
      <c r="F96" s="70"/>
    </row>
    <row r="97" spans="2:6" ht="15.75" customHeight="1">
      <c r="B97" s="9"/>
      <c r="D97" s="77"/>
      <c r="E97" s="18"/>
      <c r="F97" s="70"/>
    </row>
    <row r="98" spans="2:6" ht="15.75" customHeight="1">
      <c r="B98" s="9"/>
      <c r="D98" s="77"/>
      <c r="E98" s="18"/>
      <c r="F98" s="70"/>
    </row>
    <row r="99" spans="2:6" ht="15.75" customHeight="1">
      <c r="B99" s="9"/>
      <c r="D99" s="77"/>
      <c r="E99" s="18"/>
      <c r="F99" s="70"/>
    </row>
    <row r="100" spans="2:6" ht="15.75" customHeight="1">
      <c r="B100" s="9"/>
      <c r="D100" s="77"/>
      <c r="E100" s="18"/>
      <c r="F100" s="70"/>
    </row>
    <row r="101" spans="2:6" ht="15.75" customHeight="1">
      <c r="B101" s="9"/>
      <c r="D101" s="77"/>
      <c r="E101" s="18"/>
      <c r="F101" s="70"/>
    </row>
    <row r="102" spans="2:6" ht="15.75" customHeight="1">
      <c r="B102" s="9"/>
      <c r="D102" s="77"/>
      <c r="E102" s="18"/>
      <c r="F102" s="70"/>
    </row>
    <row r="103" spans="2:6" ht="15.75" customHeight="1">
      <c r="B103" s="9"/>
      <c r="D103" s="77"/>
      <c r="E103" s="18"/>
      <c r="F103" s="70"/>
    </row>
    <row r="104" spans="2:6" ht="15.75" customHeight="1">
      <c r="B104" s="9"/>
      <c r="D104" s="77"/>
      <c r="E104" s="18"/>
      <c r="F104" s="70"/>
    </row>
    <row r="105" spans="2:6" ht="15.75" customHeight="1">
      <c r="B105" s="9"/>
      <c r="D105" s="77"/>
      <c r="E105" s="18"/>
      <c r="F105" s="70"/>
    </row>
    <row r="106" spans="2:6" ht="15.75" customHeight="1">
      <c r="B106" s="9"/>
      <c r="D106" s="77"/>
      <c r="E106" s="18"/>
      <c r="F106" s="70"/>
    </row>
    <row r="107" spans="2:6" ht="15.75" customHeight="1">
      <c r="B107" s="9"/>
      <c r="D107" s="77"/>
      <c r="E107" s="18"/>
      <c r="F107" s="70"/>
    </row>
    <row r="108" spans="2:6" ht="15.75" customHeight="1">
      <c r="B108" s="9"/>
      <c r="D108" s="77"/>
      <c r="E108" s="18"/>
      <c r="F108" s="70"/>
    </row>
    <row r="109" spans="2:6" ht="15.75" customHeight="1">
      <c r="B109" s="9"/>
      <c r="D109" s="77"/>
      <c r="E109" s="18"/>
      <c r="F109" s="70"/>
    </row>
    <row r="110" spans="2:6" ht="15.75" customHeight="1">
      <c r="B110" s="9"/>
      <c r="D110" s="77"/>
      <c r="E110" s="18"/>
      <c r="F110" s="70"/>
    </row>
    <row r="111" spans="2:6" ht="15.75" customHeight="1">
      <c r="B111" s="9"/>
      <c r="D111" s="77"/>
      <c r="E111" s="18"/>
      <c r="F111" s="70"/>
    </row>
    <row r="112" spans="2:6" ht="15.75" customHeight="1">
      <c r="B112" s="9"/>
      <c r="D112" s="77"/>
      <c r="E112" s="18"/>
      <c r="F112" s="70"/>
    </row>
    <row r="113" spans="2:6" ht="15.75" customHeight="1">
      <c r="B113" s="9"/>
      <c r="D113" s="77"/>
      <c r="E113" s="18"/>
      <c r="F113" s="70"/>
    </row>
    <row r="114" spans="2:6" ht="15.75" customHeight="1">
      <c r="B114" s="9"/>
      <c r="D114" s="77"/>
      <c r="E114" s="18"/>
      <c r="F114" s="70"/>
    </row>
    <row r="115" spans="2:6" ht="15.75" customHeight="1">
      <c r="B115" s="9"/>
      <c r="D115" s="77"/>
      <c r="E115" s="18"/>
      <c r="F115" s="70"/>
    </row>
    <row r="116" spans="2:6" ht="15.75" customHeight="1">
      <c r="B116" s="9"/>
      <c r="D116" s="77"/>
      <c r="E116" s="18"/>
      <c r="F116" s="70"/>
    </row>
    <row r="117" spans="2:6" ht="15.75" customHeight="1">
      <c r="B117" s="9"/>
      <c r="D117" s="77"/>
      <c r="E117" s="18"/>
      <c r="F117" s="70"/>
    </row>
    <row r="118" spans="2:6" ht="15.75" customHeight="1">
      <c r="B118" s="9"/>
      <c r="D118" s="77"/>
      <c r="E118" s="18"/>
      <c r="F118" s="70"/>
    </row>
    <row r="119" spans="2:6" ht="15.75" customHeight="1">
      <c r="B119" s="9"/>
      <c r="D119" s="77"/>
      <c r="E119" s="18"/>
      <c r="F119" s="70"/>
    </row>
    <row r="120" spans="2:6" ht="15.75" customHeight="1">
      <c r="B120" s="9"/>
      <c r="D120" s="77"/>
      <c r="E120" s="18"/>
      <c r="F120" s="70"/>
    </row>
    <row r="121" spans="2:6" ht="15.75" customHeight="1">
      <c r="B121" s="9"/>
      <c r="D121" s="77"/>
      <c r="E121" s="18"/>
      <c r="F121" s="70"/>
    </row>
    <row r="122" spans="2:6" ht="15.75" customHeight="1">
      <c r="B122" s="9"/>
      <c r="D122" s="77"/>
      <c r="E122" s="18"/>
      <c r="F122" s="70"/>
    </row>
    <row r="123" spans="2:6" ht="15.75" customHeight="1">
      <c r="B123" s="9"/>
      <c r="D123" s="77"/>
      <c r="E123" s="18"/>
      <c r="F123" s="70"/>
    </row>
    <row r="124" spans="2:6" ht="15.75" customHeight="1">
      <c r="B124" s="9"/>
      <c r="D124" s="77"/>
      <c r="E124" s="18"/>
      <c r="F124" s="70"/>
    </row>
    <row r="125" spans="2:6" ht="15.75" customHeight="1">
      <c r="B125" s="9"/>
      <c r="D125" s="77"/>
      <c r="E125" s="18"/>
      <c r="F125" s="70"/>
    </row>
    <row r="126" spans="2:6" ht="15.75" customHeight="1">
      <c r="B126" s="9"/>
      <c r="D126" s="77"/>
      <c r="E126" s="18"/>
      <c r="F126" s="70"/>
    </row>
    <row r="127" spans="2:6" ht="15.75" customHeight="1">
      <c r="B127" s="9"/>
      <c r="D127" s="77"/>
      <c r="E127" s="18"/>
      <c r="F127" s="70"/>
    </row>
    <row r="128" spans="2:6" ht="15.75" customHeight="1">
      <c r="B128" s="9"/>
      <c r="D128" s="77"/>
      <c r="E128" s="18"/>
      <c r="F128" s="70"/>
    </row>
    <row r="129" spans="2:6" ht="15.75" customHeight="1">
      <c r="B129" s="9"/>
      <c r="D129" s="77"/>
      <c r="E129" s="18"/>
      <c r="F129" s="70"/>
    </row>
    <row r="130" spans="2:6" ht="15.75" customHeight="1">
      <c r="B130" s="9"/>
      <c r="D130" s="77"/>
      <c r="E130" s="18"/>
      <c r="F130" s="70"/>
    </row>
    <row r="131" spans="2:6" ht="15.75" customHeight="1">
      <c r="B131" s="9"/>
      <c r="D131" s="77"/>
      <c r="E131" s="18"/>
      <c r="F131" s="70"/>
    </row>
    <row r="132" spans="2:6" ht="15.75" customHeight="1">
      <c r="B132" s="9"/>
      <c r="D132" s="77"/>
      <c r="E132" s="18"/>
      <c r="F132" s="70"/>
    </row>
    <row r="133" spans="2:6" ht="15.75" customHeight="1">
      <c r="B133" s="9"/>
      <c r="D133" s="77"/>
      <c r="E133" s="18"/>
      <c r="F133" s="70"/>
    </row>
    <row r="134" spans="2:6" ht="15.75" customHeight="1">
      <c r="B134" s="9"/>
      <c r="D134" s="77"/>
      <c r="E134" s="18"/>
      <c r="F134" s="70"/>
    </row>
    <row r="135" spans="2:6" ht="15.75" customHeight="1">
      <c r="B135" s="9"/>
      <c r="D135" s="77"/>
      <c r="E135" s="18"/>
      <c r="F135" s="70"/>
    </row>
    <row r="136" spans="2:6" ht="15.75" customHeight="1">
      <c r="B136" s="9"/>
      <c r="D136" s="77"/>
      <c r="E136" s="18"/>
      <c r="F136" s="70"/>
    </row>
    <row r="137" spans="2:6" ht="15.75" customHeight="1">
      <c r="B137" s="9"/>
      <c r="D137" s="77"/>
      <c r="E137" s="18"/>
      <c r="F137" s="70"/>
    </row>
    <row r="138" spans="2:6" ht="15.75" customHeight="1">
      <c r="B138" s="9"/>
      <c r="D138" s="77"/>
      <c r="E138" s="18"/>
      <c r="F138" s="70"/>
    </row>
    <row r="139" spans="2:6" ht="15.75" customHeight="1">
      <c r="B139" s="9"/>
      <c r="D139" s="77"/>
      <c r="E139" s="18"/>
      <c r="F139" s="70"/>
    </row>
    <row r="140" spans="2:6" ht="15.75" customHeight="1">
      <c r="B140" s="9"/>
      <c r="D140" s="77"/>
      <c r="E140" s="18"/>
      <c r="F140" s="70"/>
    </row>
    <row r="141" spans="2:6" ht="15.75" customHeight="1">
      <c r="B141" s="9"/>
      <c r="D141" s="77"/>
      <c r="E141" s="18"/>
      <c r="F141" s="70"/>
    </row>
    <row r="142" spans="2:6" ht="15.75" customHeight="1">
      <c r="B142" s="9"/>
      <c r="D142" s="77"/>
      <c r="E142" s="18"/>
      <c r="F142" s="70"/>
    </row>
    <row r="143" spans="2:6" ht="15.75" customHeight="1">
      <c r="B143" s="9"/>
      <c r="D143" s="77"/>
      <c r="E143" s="18"/>
      <c r="F143" s="70"/>
    </row>
    <row r="144" spans="2:6" ht="15.75" customHeight="1">
      <c r="B144" s="9"/>
      <c r="D144" s="77"/>
      <c r="E144" s="18"/>
      <c r="F144" s="70"/>
    </row>
    <row r="145" spans="2:6" ht="15.75" customHeight="1">
      <c r="B145" s="9"/>
      <c r="D145" s="77"/>
      <c r="E145" s="18"/>
      <c r="F145" s="70"/>
    </row>
    <row r="146" spans="2:6" ht="15.75" customHeight="1">
      <c r="B146" s="9"/>
      <c r="D146" s="77"/>
      <c r="E146" s="18"/>
      <c r="F146" s="70"/>
    </row>
    <row r="147" spans="2:6" ht="15.75" customHeight="1">
      <c r="B147" s="9"/>
      <c r="D147" s="77"/>
      <c r="E147" s="18"/>
      <c r="F147" s="70"/>
    </row>
    <row r="148" spans="2:6" ht="15.75" customHeight="1">
      <c r="B148" s="9"/>
      <c r="D148" s="77"/>
      <c r="E148" s="18"/>
      <c r="F148" s="70"/>
    </row>
    <row r="149" spans="2:6" ht="15.75" customHeight="1">
      <c r="B149" s="9"/>
      <c r="D149" s="77"/>
      <c r="E149" s="18"/>
      <c r="F149" s="70"/>
    </row>
    <row r="150" spans="2:6" ht="15.75" customHeight="1">
      <c r="B150" s="9"/>
      <c r="D150" s="77"/>
      <c r="E150" s="18"/>
      <c r="F150" s="70"/>
    </row>
    <row r="151" spans="2:6" ht="15.75" customHeight="1">
      <c r="B151" s="9"/>
      <c r="D151" s="77"/>
      <c r="E151" s="18"/>
      <c r="F151" s="70"/>
    </row>
    <row r="152" spans="2:6" ht="15.75" customHeight="1">
      <c r="B152" s="9"/>
      <c r="D152" s="77"/>
      <c r="E152" s="18"/>
      <c r="F152" s="70"/>
    </row>
    <row r="153" spans="2:6" ht="15.75" customHeight="1">
      <c r="B153" s="9"/>
      <c r="D153" s="77"/>
      <c r="E153" s="18"/>
      <c r="F153" s="70"/>
    </row>
    <row r="154" spans="2:6" ht="15.75" customHeight="1">
      <c r="B154" s="9"/>
      <c r="D154" s="77"/>
      <c r="E154" s="18"/>
      <c r="F154" s="70"/>
    </row>
    <row r="155" spans="2:6" ht="15.75" customHeight="1">
      <c r="B155" s="9"/>
      <c r="D155" s="77"/>
      <c r="E155" s="18"/>
      <c r="F155" s="70"/>
    </row>
    <row r="156" spans="2:6" ht="15.75" customHeight="1">
      <c r="B156" s="9"/>
      <c r="D156" s="77"/>
      <c r="E156" s="18"/>
      <c r="F156" s="70"/>
    </row>
    <row r="157" spans="2:6" ht="15.75" customHeight="1">
      <c r="B157" s="9"/>
      <c r="D157" s="77"/>
      <c r="E157" s="18"/>
      <c r="F157" s="70"/>
    </row>
    <row r="158" spans="2:6" ht="15.75" customHeight="1">
      <c r="B158" s="9"/>
      <c r="D158" s="77"/>
      <c r="E158" s="18"/>
      <c r="F158" s="70"/>
    </row>
    <row r="159" spans="2:6" ht="15.75" customHeight="1">
      <c r="B159" s="9"/>
      <c r="D159" s="77"/>
      <c r="E159" s="18"/>
      <c r="F159" s="70"/>
    </row>
    <row r="160" spans="2:6" ht="15.75" customHeight="1">
      <c r="B160" s="9"/>
      <c r="D160" s="77"/>
      <c r="E160" s="18"/>
      <c r="F160" s="70"/>
    </row>
    <row r="161" spans="2:6" ht="15.75" customHeight="1">
      <c r="B161" s="9"/>
      <c r="D161" s="77"/>
      <c r="E161" s="18"/>
      <c r="F161" s="70"/>
    </row>
    <row r="162" spans="2:6" ht="15.75" customHeight="1">
      <c r="B162" s="9"/>
      <c r="D162" s="77"/>
      <c r="E162" s="18"/>
      <c r="F162" s="70"/>
    </row>
    <row r="163" spans="2:6" ht="15.75" customHeight="1">
      <c r="B163" s="9"/>
      <c r="D163" s="77"/>
      <c r="E163" s="18"/>
      <c r="F163" s="70"/>
    </row>
    <row r="164" spans="2:6" ht="15.75" customHeight="1">
      <c r="B164" s="9"/>
      <c r="D164" s="77"/>
      <c r="E164" s="18"/>
      <c r="F164" s="70"/>
    </row>
    <row r="165" spans="2:6" ht="15.75" customHeight="1">
      <c r="B165" s="9"/>
      <c r="D165" s="77"/>
      <c r="E165" s="18"/>
      <c r="F165" s="70"/>
    </row>
    <row r="166" spans="2:6" ht="15.75" customHeight="1">
      <c r="B166" s="9"/>
      <c r="D166" s="77"/>
      <c r="E166" s="18"/>
      <c r="F166" s="70"/>
    </row>
    <row r="167" spans="2:6" ht="15.75" customHeight="1">
      <c r="B167" s="9"/>
      <c r="D167" s="77"/>
      <c r="E167" s="18"/>
      <c r="F167" s="70"/>
    </row>
    <row r="168" spans="2:6" ht="15.75" customHeight="1">
      <c r="B168" s="9"/>
      <c r="D168" s="77"/>
      <c r="E168" s="18"/>
      <c r="F168" s="70"/>
    </row>
    <row r="169" spans="2:6" ht="15.75" customHeight="1">
      <c r="B169" s="9"/>
      <c r="D169" s="77"/>
      <c r="E169" s="18"/>
      <c r="F169" s="70"/>
    </row>
    <row r="170" spans="2:6" ht="15.75" customHeight="1">
      <c r="B170" s="9"/>
      <c r="D170" s="77"/>
      <c r="E170" s="18"/>
      <c r="F170" s="70"/>
    </row>
    <row r="171" spans="2:6" ht="15.75" customHeight="1">
      <c r="B171" s="9"/>
      <c r="D171" s="77"/>
      <c r="E171" s="18"/>
      <c r="F171" s="70"/>
    </row>
    <row r="172" spans="2:6" ht="15.75" customHeight="1">
      <c r="B172" s="9"/>
      <c r="D172" s="77"/>
      <c r="E172" s="18"/>
      <c r="F172" s="70"/>
    </row>
    <row r="173" spans="2:6" ht="15.75" customHeight="1">
      <c r="B173" s="9"/>
      <c r="D173" s="77"/>
      <c r="E173" s="18"/>
      <c r="F173" s="70"/>
    </row>
    <row r="174" spans="2:6" ht="15.75" customHeight="1">
      <c r="B174" s="9"/>
      <c r="D174" s="77"/>
      <c r="E174" s="18"/>
      <c r="F174" s="70"/>
    </row>
    <row r="175" spans="2:6" ht="15.75" customHeight="1">
      <c r="B175" s="9"/>
      <c r="D175" s="77"/>
      <c r="E175" s="18"/>
      <c r="F175" s="70"/>
    </row>
    <row r="176" spans="2:6" ht="15.75" customHeight="1">
      <c r="B176" s="9"/>
      <c r="D176" s="77"/>
      <c r="E176" s="18"/>
      <c r="F176" s="70"/>
    </row>
    <row r="177" spans="2:6" ht="15.75" customHeight="1">
      <c r="B177" s="9"/>
      <c r="D177" s="77"/>
      <c r="E177" s="18"/>
      <c r="F177" s="70"/>
    </row>
    <row r="178" spans="2:6" ht="15.75" customHeight="1">
      <c r="B178" s="9"/>
      <c r="D178" s="77"/>
      <c r="E178" s="18"/>
      <c r="F178" s="70"/>
    </row>
    <row r="179" spans="2:6" ht="15.75" customHeight="1">
      <c r="B179" s="9"/>
      <c r="D179" s="77"/>
      <c r="E179" s="18"/>
      <c r="F179" s="70"/>
    </row>
    <row r="180" spans="2:6" ht="15.75" customHeight="1">
      <c r="B180" s="9"/>
      <c r="D180" s="77"/>
      <c r="E180" s="18"/>
      <c r="F180" s="70"/>
    </row>
    <row r="181" spans="2:6" ht="15.75" customHeight="1">
      <c r="B181" s="9"/>
      <c r="D181" s="77"/>
      <c r="E181" s="18"/>
      <c r="F181" s="70"/>
    </row>
    <row r="182" spans="2:6" ht="15.75" customHeight="1">
      <c r="B182" s="9"/>
      <c r="D182" s="77"/>
      <c r="E182" s="18"/>
      <c r="F182" s="70"/>
    </row>
    <row r="183" spans="2:6" ht="15.75" customHeight="1">
      <c r="B183" s="9"/>
      <c r="D183" s="77"/>
      <c r="E183" s="18"/>
      <c r="F183" s="70"/>
    </row>
    <row r="184" spans="2:6" ht="15.75" customHeight="1">
      <c r="B184" s="9"/>
      <c r="D184" s="77"/>
      <c r="E184" s="18"/>
      <c r="F184" s="70"/>
    </row>
    <row r="185" spans="2:6" ht="15.75" customHeight="1">
      <c r="B185" s="9"/>
      <c r="D185" s="77"/>
      <c r="E185" s="18"/>
      <c r="F185" s="70"/>
    </row>
    <row r="186" spans="2:6" ht="15.75" customHeight="1">
      <c r="B186" s="9"/>
      <c r="D186" s="77"/>
      <c r="E186" s="18"/>
      <c r="F186" s="70"/>
    </row>
    <row r="187" spans="2:6" ht="15.75" customHeight="1">
      <c r="B187" s="9"/>
      <c r="D187" s="77"/>
      <c r="E187" s="18"/>
      <c r="F187" s="70"/>
    </row>
    <row r="188" spans="2:6" ht="15.75" customHeight="1">
      <c r="B188" s="9"/>
      <c r="D188" s="77"/>
      <c r="E188" s="18"/>
      <c r="F188" s="70"/>
    </row>
    <row r="189" spans="2:6" ht="15.75" customHeight="1">
      <c r="B189" s="9"/>
      <c r="D189" s="77"/>
      <c r="E189" s="18"/>
      <c r="F189" s="70"/>
    </row>
    <row r="190" spans="2:6" ht="15.75" customHeight="1">
      <c r="B190" s="9"/>
      <c r="D190" s="77"/>
      <c r="E190" s="18"/>
      <c r="F190" s="70"/>
    </row>
    <row r="191" spans="2:6" ht="15.75" customHeight="1">
      <c r="B191" s="9"/>
      <c r="D191" s="77"/>
      <c r="E191" s="18"/>
      <c r="F191" s="70"/>
    </row>
    <row r="192" spans="2:6" ht="15.75" customHeight="1">
      <c r="B192" s="9"/>
      <c r="D192" s="77"/>
      <c r="E192" s="18"/>
      <c r="F192" s="70"/>
    </row>
    <row r="193" spans="2:6" ht="15.75" customHeight="1">
      <c r="B193" s="9"/>
      <c r="D193" s="77"/>
      <c r="E193" s="18"/>
      <c r="F193" s="70"/>
    </row>
    <row r="194" spans="2:6" ht="15.75" customHeight="1">
      <c r="B194" s="9"/>
      <c r="D194" s="77"/>
      <c r="E194" s="18"/>
      <c r="F194" s="70"/>
    </row>
    <row r="195" spans="2:6" ht="15.75" customHeight="1">
      <c r="B195" s="9"/>
      <c r="D195" s="77"/>
      <c r="E195" s="18"/>
      <c r="F195" s="70"/>
    </row>
    <row r="196" spans="2:6" ht="15.75" customHeight="1">
      <c r="B196" s="9"/>
      <c r="D196" s="77"/>
      <c r="E196" s="18"/>
      <c r="F196" s="70"/>
    </row>
    <row r="197" spans="2:6" ht="15.75" customHeight="1">
      <c r="B197" s="9"/>
      <c r="D197" s="77"/>
      <c r="E197" s="18"/>
      <c r="F197" s="70"/>
    </row>
    <row r="198" spans="2:6" ht="15.75" customHeight="1">
      <c r="B198" s="9"/>
      <c r="D198" s="77"/>
      <c r="E198" s="18"/>
      <c r="F198" s="70"/>
    </row>
    <row r="199" spans="2:6" ht="15.75" customHeight="1">
      <c r="B199" s="9"/>
      <c r="D199" s="77"/>
      <c r="E199" s="18"/>
      <c r="F199" s="70"/>
    </row>
    <row r="200" spans="2:6" ht="15.75" customHeight="1">
      <c r="B200" s="9"/>
      <c r="D200" s="77"/>
      <c r="E200" s="18"/>
      <c r="F200" s="70"/>
    </row>
    <row r="201" spans="2:6" ht="15.75" customHeight="1">
      <c r="B201" s="9"/>
      <c r="D201" s="77"/>
      <c r="E201" s="18"/>
      <c r="F201" s="70"/>
    </row>
    <row r="202" spans="2:6" ht="15.75" customHeight="1">
      <c r="B202" s="9"/>
      <c r="D202" s="77"/>
      <c r="E202" s="18"/>
      <c r="F202" s="70"/>
    </row>
    <row r="203" spans="2:6" ht="15.75" customHeight="1">
      <c r="B203" s="9"/>
      <c r="D203" s="77"/>
      <c r="E203" s="18"/>
      <c r="F203" s="70"/>
    </row>
    <row r="204" spans="2:6" ht="15.75" customHeight="1">
      <c r="B204" s="9"/>
      <c r="D204" s="77"/>
      <c r="E204" s="18"/>
      <c r="F204" s="70"/>
    </row>
    <row r="205" spans="2:6" ht="15.75" customHeight="1">
      <c r="B205" s="9"/>
      <c r="D205" s="77"/>
      <c r="E205" s="18"/>
      <c r="F205" s="70"/>
    </row>
    <row r="206" spans="2:6" ht="15.75" customHeight="1">
      <c r="B206" s="9"/>
      <c r="D206" s="77"/>
      <c r="E206" s="18"/>
      <c r="F206" s="70"/>
    </row>
    <row r="207" spans="2:6" ht="15.75" customHeight="1">
      <c r="B207" s="9"/>
      <c r="D207" s="77"/>
      <c r="E207" s="18"/>
      <c r="F207" s="70"/>
    </row>
    <row r="208" spans="2:6" ht="15.75" customHeight="1">
      <c r="B208" s="9"/>
      <c r="D208" s="77"/>
      <c r="E208" s="18"/>
      <c r="F208" s="70"/>
    </row>
    <row r="209" spans="2:6" ht="15.75" customHeight="1">
      <c r="B209" s="9"/>
      <c r="D209" s="77"/>
      <c r="E209" s="18"/>
      <c r="F209" s="70"/>
    </row>
    <row r="210" spans="2:6" ht="15.75" customHeight="1">
      <c r="B210" s="9"/>
      <c r="D210" s="77"/>
      <c r="E210" s="18"/>
      <c r="F210" s="70"/>
    </row>
    <row r="211" spans="2:6" ht="15.75" customHeight="1">
      <c r="B211" s="9"/>
      <c r="D211" s="77"/>
      <c r="E211" s="18"/>
      <c r="F211" s="70"/>
    </row>
    <row r="212" spans="2:6" ht="15.75" customHeight="1">
      <c r="B212" s="9"/>
      <c r="D212" s="77"/>
      <c r="E212" s="18"/>
      <c r="F212" s="70"/>
    </row>
    <row r="213" spans="2:6" ht="15.75" customHeight="1">
      <c r="B213" s="9"/>
      <c r="D213" s="77"/>
      <c r="E213" s="18"/>
      <c r="F213" s="70"/>
    </row>
    <row r="214" spans="2:6" ht="15.75" customHeight="1">
      <c r="B214" s="9"/>
      <c r="D214" s="77"/>
      <c r="E214" s="18"/>
      <c r="F214" s="70"/>
    </row>
    <row r="215" spans="2:6" ht="15.75" customHeight="1">
      <c r="B215" s="9"/>
      <c r="D215" s="77"/>
      <c r="E215" s="18"/>
      <c r="F215" s="70"/>
    </row>
    <row r="216" spans="2:6" ht="15.75" customHeight="1">
      <c r="B216" s="9"/>
      <c r="D216" s="77"/>
      <c r="E216" s="18"/>
      <c r="F216" s="70"/>
    </row>
    <row r="217" spans="2:6" ht="15.75" customHeight="1">
      <c r="B217" s="9"/>
      <c r="D217" s="77"/>
      <c r="E217" s="18"/>
      <c r="F217" s="70"/>
    </row>
    <row r="218" spans="2:6" ht="15.75" customHeight="1">
      <c r="B218" s="9"/>
      <c r="D218" s="77"/>
      <c r="E218" s="18"/>
      <c r="F218" s="70"/>
    </row>
    <row r="219" spans="2:6" ht="15.75" customHeight="1">
      <c r="B219" s="9"/>
      <c r="D219" s="77"/>
      <c r="E219" s="18"/>
      <c r="F219" s="70"/>
    </row>
    <row r="220" spans="2:6" ht="15.75" customHeight="1">
      <c r="B220" s="9"/>
      <c r="D220" s="77"/>
      <c r="E220" s="18"/>
      <c r="F220" s="70"/>
    </row>
    <row r="221" spans="2:6" ht="15.75" customHeight="1">
      <c r="B221" s="9"/>
      <c r="D221" s="77"/>
      <c r="E221" s="18"/>
      <c r="F221" s="70"/>
    </row>
    <row r="222" spans="2:6" ht="15.75" customHeight="1">
      <c r="B222" s="9"/>
      <c r="D222" s="77"/>
      <c r="E222" s="18"/>
      <c r="F222" s="70"/>
    </row>
    <row r="223" spans="2:6" ht="15.75" customHeight="1">
      <c r="B223" s="9"/>
      <c r="D223" s="77"/>
      <c r="E223" s="18"/>
      <c r="F223" s="70"/>
    </row>
    <row r="224" spans="2:6" ht="15.75" customHeight="1">
      <c r="B224" s="9"/>
      <c r="D224" s="77"/>
      <c r="E224" s="18"/>
      <c r="F224" s="70"/>
    </row>
    <row r="225" spans="2:6" ht="15.75" customHeight="1">
      <c r="B225" s="9"/>
      <c r="D225" s="77"/>
      <c r="E225" s="18"/>
      <c r="F225" s="70"/>
    </row>
    <row r="226" spans="2:6" ht="15.75" customHeight="1">
      <c r="B226" s="9"/>
      <c r="D226" s="77"/>
      <c r="E226" s="18"/>
      <c r="F226" s="70"/>
    </row>
    <row r="227" spans="2:6" ht="15.75" customHeight="1">
      <c r="B227" s="9"/>
      <c r="D227" s="77"/>
      <c r="E227" s="18"/>
      <c r="F227" s="70"/>
    </row>
    <row r="228" spans="2:6" ht="15.75" customHeight="1">
      <c r="B228" s="9"/>
      <c r="D228" s="77"/>
      <c r="E228" s="18"/>
      <c r="F228" s="70"/>
    </row>
    <row r="229" spans="2:6" ht="15.75" customHeight="1">
      <c r="B229" s="9"/>
      <c r="D229" s="77"/>
      <c r="E229" s="18"/>
      <c r="F229" s="70"/>
    </row>
    <row r="230" spans="2:6" ht="15.75" customHeight="1">
      <c r="B230" s="9"/>
      <c r="D230" s="77"/>
      <c r="E230" s="18"/>
      <c r="F230" s="70"/>
    </row>
    <row r="231" spans="2:6" ht="15.75" customHeight="1">
      <c r="B231" s="9"/>
      <c r="D231" s="77"/>
      <c r="E231" s="18"/>
      <c r="F231" s="70"/>
    </row>
    <row r="232" spans="2:6" ht="15.75" customHeight="1">
      <c r="B232" s="9"/>
      <c r="D232" s="77"/>
      <c r="E232" s="18"/>
      <c r="F232" s="70"/>
    </row>
    <row r="233" spans="2:6" ht="15.75" customHeight="1">
      <c r="B233" s="9"/>
      <c r="D233" s="77"/>
      <c r="E233" s="18"/>
      <c r="F233" s="70"/>
    </row>
    <row r="234" spans="2:6" ht="15.75" customHeight="1">
      <c r="B234" s="9"/>
      <c r="D234" s="77"/>
      <c r="E234" s="18"/>
      <c r="F234" s="70"/>
    </row>
    <row r="235" spans="2:6" ht="15.75" customHeight="1">
      <c r="B235" s="9"/>
      <c r="D235" s="77"/>
      <c r="E235" s="18"/>
      <c r="F235" s="70"/>
    </row>
    <row r="236" spans="2:6" ht="15.75" customHeight="1">
      <c r="B236" s="9"/>
      <c r="D236" s="77"/>
      <c r="E236" s="18"/>
      <c r="F236" s="70"/>
    </row>
    <row r="237" spans="2:6" ht="15.75" customHeight="1">
      <c r="B237" s="9"/>
      <c r="D237" s="77"/>
      <c r="E237" s="18"/>
      <c r="F237" s="70"/>
    </row>
    <row r="238" spans="2:6" ht="15.75" customHeight="1">
      <c r="B238" s="9"/>
      <c r="D238" s="77"/>
      <c r="E238" s="18"/>
      <c r="F238" s="70"/>
    </row>
    <row r="239" spans="2:6" ht="15.75" customHeight="1">
      <c r="B239" s="9"/>
      <c r="D239" s="77"/>
      <c r="E239" s="18"/>
      <c r="F239" s="70"/>
    </row>
    <row r="240" spans="2:6" ht="15.75" customHeight="1">
      <c r="B240" s="9"/>
      <c r="D240" s="77"/>
      <c r="E240" s="18"/>
      <c r="F240" s="70"/>
    </row>
    <row r="241" spans="2:6" ht="15.75" customHeight="1">
      <c r="B241" s="9"/>
      <c r="D241" s="77"/>
      <c r="E241" s="18"/>
      <c r="F241" s="70"/>
    </row>
    <row r="242" spans="2:6" ht="15.75" customHeight="1">
      <c r="B242" s="9"/>
      <c r="D242" s="77"/>
      <c r="E242" s="18"/>
      <c r="F242" s="70"/>
    </row>
    <row r="243" spans="2:6" ht="15.75" customHeight="1">
      <c r="B243" s="9"/>
      <c r="D243" s="77"/>
      <c r="E243" s="18"/>
      <c r="F243" s="70"/>
    </row>
    <row r="244" spans="2:6" ht="15.75" customHeight="1">
      <c r="B244" s="9"/>
      <c r="D244" s="77"/>
      <c r="E244" s="18"/>
      <c r="F244" s="70"/>
    </row>
    <row r="245" spans="2:6" ht="15.75" customHeight="1">
      <c r="B245" s="9"/>
      <c r="D245" s="77"/>
      <c r="E245" s="18"/>
      <c r="F245" s="70"/>
    </row>
    <row r="246" spans="2:6" ht="15.75" customHeight="1">
      <c r="B246" s="9"/>
      <c r="D246" s="77"/>
      <c r="E246" s="18"/>
      <c r="F246" s="70"/>
    </row>
    <row r="247" spans="2:6" ht="15.75" customHeight="1">
      <c r="B247" s="9"/>
      <c r="D247" s="77"/>
      <c r="E247" s="18"/>
      <c r="F247" s="70"/>
    </row>
    <row r="248" spans="2:6" ht="15.75" customHeight="1">
      <c r="B248" s="9"/>
      <c r="D248" s="77"/>
      <c r="E248" s="18"/>
      <c r="F248" s="70"/>
    </row>
    <row r="249" spans="2:6" ht="15.75" customHeight="1">
      <c r="B249" s="9"/>
      <c r="D249" s="77"/>
      <c r="E249" s="18"/>
      <c r="F249" s="70"/>
    </row>
    <row r="250" spans="2:6" ht="15.75" customHeight="1">
      <c r="B250" s="9"/>
      <c r="D250" s="77"/>
      <c r="E250" s="18"/>
      <c r="F250" s="70"/>
    </row>
    <row r="251" spans="2:6" ht="15.75" customHeight="1">
      <c r="B251" s="9"/>
      <c r="D251" s="77"/>
      <c r="E251" s="18"/>
      <c r="F251" s="70"/>
    </row>
    <row r="252" spans="2:6" ht="15.75" customHeight="1">
      <c r="B252" s="9"/>
      <c r="D252" s="77"/>
      <c r="E252" s="18"/>
      <c r="F252" s="70"/>
    </row>
    <row r="253" spans="2:6" ht="15.75" customHeight="1">
      <c r="B253" s="9"/>
      <c r="D253" s="77"/>
      <c r="E253" s="18"/>
      <c r="F253" s="70"/>
    </row>
    <row r="254" spans="2:6" ht="15.75" customHeight="1">
      <c r="B254" s="9"/>
      <c r="D254" s="77"/>
      <c r="E254" s="18"/>
      <c r="F254" s="70"/>
    </row>
    <row r="255" spans="2:6" ht="15.75" customHeight="1">
      <c r="B255" s="9"/>
      <c r="D255" s="77"/>
      <c r="E255" s="18"/>
      <c r="F255" s="70"/>
    </row>
    <row r="256" spans="2:6" ht="15.75" customHeight="1">
      <c r="B256" s="9"/>
      <c r="D256" s="77"/>
      <c r="E256" s="18"/>
      <c r="F256" s="70"/>
    </row>
    <row r="257" spans="2:6" ht="15.75" customHeight="1">
      <c r="B257" s="9"/>
      <c r="D257" s="77"/>
      <c r="E257" s="18"/>
      <c r="F257" s="70"/>
    </row>
    <row r="258" spans="2:6" ht="15.75" customHeight="1">
      <c r="B258" s="9"/>
      <c r="D258" s="77"/>
      <c r="E258" s="18"/>
      <c r="F258" s="70"/>
    </row>
    <row r="259" spans="2:6" ht="15.75" customHeight="1">
      <c r="B259" s="9"/>
      <c r="D259" s="77"/>
      <c r="E259" s="18"/>
      <c r="F259" s="70"/>
    </row>
    <row r="260" spans="2:6" ht="15.75" customHeight="1">
      <c r="B260" s="9"/>
      <c r="D260" s="77"/>
      <c r="E260" s="18"/>
      <c r="F260" s="70"/>
    </row>
    <row r="261" spans="2:6" ht="15.75" customHeight="1">
      <c r="B261" s="9"/>
      <c r="D261" s="77"/>
      <c r="E261" s="18"/>
      <c r="F261" s="70"/>
    </row>
    <row r="262" spans="2:6" ht="15.75" customHeight="1">
      <c r="B262" s="9"/>
      <c r="D262" s="77"/>
      <c r="E262" s="18"/>
      <c r="F262" s="70"/>
    </row>
    <row r="263" spans="2:6" ht="15.75" customHeight="1">
      <c r="B263" s="9"/>
      <c r="D263" s="77"/>
      <c r="E263" s="18"/>
      <c r="F263" s="70"/>
    </row>
    <row r="264" spans="2:6" ht="15.75" customHeight="1">
      <c r="B264" s="9"/>
      <c r="D264" s="77"/>
      <c r="E264" s="18"/>
      <c r="F264" s="70"/>
    </row>
    <row r="265" spans="2:6" ht="15.75" customHeight="1">
      <c r="B265" s="9"/>
      <c r="D265" s="77"/>
      <c r="E265" s="18"/>
      <c r="F265" s="70"/>
    </row>
    <row r="266" spans="2:6" ht="15.75" customHeight="1">
      <c r="B266" s="9"/>
      <c r="D266" s="77"/>
      <c r="E266" s="18"/>
      <c r="F266" s="70"/>
    </row>
    <row r="267" spans="2:6" ht="15.75" customHeight="1">
      <c r="B267" s="9"/>
      <c r="D267" s="77"/>
      <c r="E267" s="18"/>
      <c r="F267" s="70"/>
    </row>
    <row r="268" spans="2:6" ht="15.75" customHeight="1">
      <c r="B268" s="9"/>
      <c r="D268" s="77"/>
      <c r="E268" s="18"/>
      <c r="F268" s="70"/>
    </row>
    <row r="269" spans="2:6" ht="15.75" customHeight="1">
      <c r="B269" s="9"/>
      <c r="D269" s="77"/>
      <c r="E269" s="18"/>
      <c r="F269" s="70"/>
    </row>
    <row r="270" spans="2:6" ht="15.75" customHeight="1">
      <c r="B270" s="9"/>
      <c r="D270" s="77"/>
      <c r="E270" s="18"/>
      <c r="F270" s="70"/>
    </row>
    <row r="271" spans="2:6" ht="15.75" customHeight="1">
      <c r="B271" s="9"/>
      <c r="D271" s="77"/>
      <c r="E271" s="18"/>
      <c r="F271" s="70"/>
    </row>
    <row r="272" spans="2:6" ht="15.75" customHeight="1">
      <c r="B272" s="9"/>
      <c r="D272" s="77"/>
      <c r="E272" s="18"/>
      <c r="F272" s="70"/>
    </row>
    <row r="273" spans="2:6" ht="15.75" customHeight="1">
      <c r="B273" s="9"/>
      <c r="D273" s="77"/>
      <c r="E273" s="18"/>
      <c r="F273" s="70"/>
    </row>
    <row r="274" spans="2:6" ht="15.75" customHeight="1">
      <c r="B274" s="9"/>
      <c r="D274" s="77"/>
      <c r="E274" s="18"/>
      <c r="F274" s="70"/>
    </row>
    <row r="275" spans="2:6" ht="15.75" customHeight="1">
      <c r="B275" s="9"/>
      <c r="D275" s="77"/>
      <c r="E275" s="18"/>
      <c r="F275" s="70"/>
    </row>
    <row r="276" spans="2:6" ht="15.75" customHeight="1">
      <c r="B276" s="9"/>
      <c r="D276" s="77"/>
      <c r="E276" s="18"/>
      <c r="F276" s="70"/>
    </row>
    <row r="277" spans="2:6" ht="15.75" customHeight="1">
      <c r="B277" s="9"/>
      <c r="D277" s="77"/>
      <c r="E277" s="18"/>
      <c r="F277" s="70"/>
    </row>
    <row r="278" spans="2:6" ht="15.75" customHeight="1">
      <c r="B278" s="9"/>
      <c r="D278" s="77"/>
      <c r="E278" s="18"/>
      <c r="F278" s="70"/>
    </row>
    <row r="279" spans="2:6" ht="15.75" customHeight="1">
      <c r="B279" s="9"/>
      <c r="D279" s="77"/>
      <c r="E279" s="18"/>
      <c r="F279" s="70"/>
    </row>
    <row r="280" spans="2:6" ht="15.75" customHeight="1">
      <c r="B280" s="9"/>
      <c r="D280" s="77"/>
      <c r="E280" s="18"/>
      <c r="F280" s="70"/>
    </row>
    <row r="281" spans="2:6" ht="15.75" customHeight="1">
      <c r="B281" s="9"/>
      <c r="D281" s="77"/>
      <c r="E281" s="18"/>
      <c r="F281" s="70"/>
    </row>
    <row r="282" spans="2:6" ht="15.75" customHeight="1">
      <c r="B282" s="9"/>
      <c r="D282" s="77"/>
      <c r="E282" s="18"/>
      <c r="F282" s="70"/>
    </row>
    <row r="283" spans="2:6" ht="15.75" customHeight="1">
      <c r="B283" s="9"/>
      <c r="D283" s="77"/>
      <c r="E283" s="18"/>
      <c r="F283" s="70"/>
    </row>
    <row r="284" spans="2:6" ht="15.75" customHeight="1">
      <c r="B284" s="9"/>
      <c r="D284" s="77"/>
      <c r="E284" s="18"/>
      <c r="F284" s="70"/>
    </row>
    <row r="285" spans="2:6" ht="15.75" customHeight="1">
      <c r="B285" s="9"/>
      <c r="D285" s="77"/>
      <c r="E285" s="18"/>
      <c r="F285" s="70"/>
    </row>
    <row r="286" spans="2:6" ht="15.75" customHeight="1">
      <c r="B286" s="9"/>
      <c r="D286" s="77"/>
      <c r="E286" s="18"/>
      <c r="F286" s="70"/>
    </row>
    <row r="287" spans="2:6" ht="15.75" customHeight="1">
      <c r="B287" s="9"/>
      <c r="D287" s="77"/>
      <c r="E287" s="18"/>
      <c r="F287" s="70"/>
    </row>
    <row r="288" spans="2:6" ht="15.75" customHeight="1">
      <c r="B288" s="9"/>
      <c r="D288" s="77"/>
      <c r="E288" s="18"/>
      <c r="F288" s="70"/>
    </row>
    <row r="289" spans="2:6" ht="15.75" customHeight="1">
      <c r="B289" s="9"/>
      <c r="D289" s="77"/>
      <c r="E289" s="18"/>
      <c r="F289" s="70"/>
    </row>
    <row r="290" spans="2:6" ht="15.75" customHeight="1">
      <c r="B290" s="9"/>
      <c r="D290" s="77"/>
      <c r="E290" s="18"/>
      <c r="F290" s="70"/>
    </row>
    <row r="291" spans="2:6" ht="15.75" customHeight="1">
      <c r="B291" s="9"/>
      <c r="D291" s="77"/>
      <c r="E291" s="18"/>
      <c r="F291" s="70"/>
    </row>
    <row r="292" spans="2:6" ht="15.75" customHeight="1">
      <c r="B292" s="9"/>
      <c r="D292" s="77"/>
      <c r="E292" s="18"/>
      <c r="F292" s="70"/>
    </row>
    <row r="293" spans="2:6" ht="15.75" customHeight="1">
      <c r="B293" s="9"/>
      <c r="D293" s="77"/>
      <c r="E293" s="18"/>
      <c r="F293" s="70"/>
    </row>
    <row r="294" spans="2:6" ht="15.75" customHeight="1">
      <c r="B294" s="9"/>
      <c r="D294" s="77"/>
      <c r="E294" s="18"/>
      <c r="F294" s="70"/>
    </row>
    <row r="295" spans="2:6" ht="15.75" customHeight="1">
      <c r="B295" s="9"/>
      <c r="D295" s="77"/>
      <c r="E295" s="18"/>
      <c r="F295" s="70"/>
    </row>
    <row r="296" spans="2:6" ht="15.75" customHeight="1">
      <c r="B296" s="9"/>
      <c r="D296" s="77"/>
      <c r="E296" s="18"/>
      <c r="F296" s="70"/>
    </row>
    <row r="297" spans="2:6" ht="15.75" customHeight="1">
      <c r="B297" s="9"/>
      <c r="D297" s="77"/>
      <c r="E297" s="18"/>
      <c r="F297" s="70"/>
    </row>
    <row r="298" spans="2:6" ht="15.75" customHeight="1">
      <c r="B298" s="9"/>
      <c r="D298" s="77"/>
      <c r="E298" s="18"/>
      <c r="F298" s="70"/>
    </row>
    <row r="299" spans="2:6" ht="15.75" customHeight="1">
      <c r="B299" s="9"/>
      <c r="D299" s="77"/>
      <c r="E299" s="18"/>
      <c r="F299" s="70"/>
    </row>
    <row r="300" spans="2:6" ht="15.75" customHeight="1">
      <c r="B300" s="9"/>
      <c r="D300" s="77"/>
      <c r="E300" s="18"/>
      <c r="F300" s="70"/>
    </row>
    <row r="301" spans="2:6" ht="15.75" customHeight="1">
      <c r="B301" s="9"/>
      <c r="D301" s="77"/>
      <c r="E301" s="18"/>
      <c r="F301" s="70"/>
    </row>
    <row r="302" spans="2:6" ht="15.75" customHeight="1">
      <c r="B302" s="9"/>
      <c r="D302" s="77"/>
      <c r="E302" s="18"/>
      <c r="F302" s="70"/>
    </row>
    <row r="303" spans="2:6" ht="15.75" customHeight="1">
      <c r="B303" s="9"/>
      <c r="D303" s="77"/>
      <c r="E303" s="18"/>
      <c r="F303" s="70"/>
    </row>
    <row r="304" spans="2:6" ht="15.75" customHeight="1">
      <c r="B304" s="9"/>
      <c r="D304" s="77"/>
      <c r="E304" s="18"/>
      <c r="F304" s="70"/>
    </row>
    <row r="305" spans="2:6" ht="15.75" customHeight="1">
      <c r="B305" s="9"/>
      <c r="D305" s="77"/>
      <c r="E305" s="18"/>
      <c r="F305" s="70"/>
    </row>
    <row r="306" spans="2:6" ht="15.75" customHeight="1">
      <c r="B306" s="9"/>
      <c r="D306" s="77"/>
      <c r="E306" s="18"/>
      <c r="F306" s="70"/>
    </row>
    <row r="307" spans="2:6" ht="15.75" customHeight="1">
      <c r="B307" s="9"/>
      <c r="D307" s="77"/>
      <c r="E307" s="18"/>
      <c r="F307" s="70"/>
    </row>
    <row r="308" spans="2:6" ht="15.75" customHeight="1">
      <c r="B308" s="9"/>
      <c r="D308" s="77"/>
      <c r="E308" s="18"/>
      <c r="F308" s="70"/>
    </row>
    <row r="309" spans="2:6" ht="15.75" customHeight="1">
      <c r="B309" s="9"/>
      <c r="D309" s="77"/>
      <c r="E309" s="18"/>
      <c r="F309" s="70"/>
    </row>
    <row r="310" spans="2:6" ht="15.75" customHeight="1">
      <c r="B310" s="9"/>
      <c r="D310" s="77"/>
      <c r="E310" s="18"/>
      <c r="F310" s="70"/>
    </row>
    <row r="311" spans="2:6" ht="15.75" customHeight="1">
      <c r="B311" s="9"/>
      <c r="D311" s="77"/>
      <c r="E311" s="18"/>
      <c r="F311" s="70"/>
    </row>
    <row r="312" spans="2:6" ht="15.75" customHeight="1">
      <c r="B312" s="9"/>
      <c r="D312" s="77"/>
      <c r="E312" s="18"/>
      <c r="F312" s="70"/>
    </row>
    <row r="313" spans="2:6" ht="15.75" customHeight="1">
      <c r="B313" s="9"/>
      <c r="D313" s="77"/>
      <c r="E313" s="18"/>
      <c r="F313" s="70"/>
    </row>
    <row r="314" spans="2:6" ht="15.75" customHeight="1">
      <c r="B314" s="9"/>
      <c r="D314" s="77"/>
      <c r="E314" s="18"/>
      <c r="F314" s="70"/>
    </row>
    <row r="315" spans="2:6" ht="15.75" customHeight="1">
      <c r="B315" s="9"/>
      <c r="D315" s="77"/>
      <c r="E315" s="18"/>
      <c r="F315" s="70"/>
    </row>
    <row r="316" spans="2:6" ht="15.75" customHeight="1">
      <c r="B316" s="9"/>
      <c r="D316" s="77"/>
      <c r="E316" s="18"/>
      <c r="F316" s="70"/>
    </row>
    <row r="317" spans="2:6" ht="15.75" customHeight="1">
      <c r="B317" s="9"/>
      <c r="D317" s="77"/>
      <c r="E317" s="18"/>
      <c r="F317" s="70"/>
    </row>
    <row r="318" spans="2:6" ht="15.75" customHeight="1">
      <c r="B318" s="9"/>
      <c r="D318" s="77"/>
      <c r="E318" s="18"/>
      <c r="F318" s="70"/>
    </row>
    <row r="319" spans="2:6" ht="15.75" customHeight="1">
      <c r="B319" s="9"/>
      <c r="D319" s="77"/>
      <c r="E319" s="18"/>
      <c r="F319" s="70"/>
    </row>
    <row r="320" spans="2:6" ht="15.75" customHeight="1">
      <c r="B320" s="9"/>
      <c r="D320" s="77"/>
      <c r="E320" s="18"/>
      <c r="F320" s="70"/>
    </row>
    <row r="321" spans="2:6" ht="15.75" customHeight="1">
      <c r="B321" s="9"/>
      <c r="D321" s="77"/>
      <c r="E321" s="18"/>
      <c r="F321" s="70"/>
    </row>
    <row r="322" spans="2:6" ht="15.75" customHeight="1">
      <c r="B322" s="9"/>
      <c r="D322" s="77"/>
      <c r="E322" s="18"/>
      <c r="F322" s="70"/>
    </row>
    <row r="323" spans="2:6" ht="15.75" customHeight="1">
      <c r="B323" s="9"/>
      <c r="D323" s="77"/>
      <c r="E323" s="18"/>
      <c r="F323" s="70"/>
    </row>
    <row r="324" spans="2:6" ht="15.75" customHeight="1">
      <c r="B324" s="9"/>
      <c r="D324" s="77"/>
      <c r="E324" s="18"/>
      <c r="F324" s="70"/>
    </row>
    <row r="325" spans="2:6" ht="15.75" customHeight="1">
      <c r="B325" s="9"/>
      <c r="D325" s="77"/>
      <c r="E325" s="18"/>
      <c r="F325" s="70"/>
    </row>
    <row r="326" spans="2:6" ht="15.75" customHeight="1">
      <c r="B326" s="9"/>
      <c r="D326" s="77"/>
      <c r="E326" s="18"/>
      <c r="F326" s="70"/>
    </row>
    <row r="327" spans="2:6" ht="15.75" customHeight="1">
      <c r="B327" s="9"/>
      <c r="D327" s="77"/>
      <c r="E327" s="18"/>
      <c r="F327" s="70"/>
    </row>
    <row r="328" spans="2:6" ht="15.75" customHeight="1">
      <c r="B328" s="9"/>
      <c r="D328" s="77"/>
      <c r="E328" s="18"/>
      <c r="F328" s="70"/>
    </row>
    <row r="329" spans="2:6" ht="15.75" customHeight="1">
      <c r="B329" s="9"/>
      <c r="D329" s="77"/>
      <c r="E329" s="18"/>
      <c r="F329" s="70"/>
    </row>
    <row r="330" spans="2:6" ht="15.75" customHeight="1">
      <c r="B330" s="9"/>
      <c r="D330" s="77"/>
      <c r="E330" s="18"/>
      <c r="F330" s="70"/>
    </row>
    <row r="331" spans="2:6" ht="15.75" customHeight="1">
      <c r="B331" s="9"/>
      <c r="D331" s="77"/>
      <c r="E331" s="18"/>
      <c r="F331" s="70"/>
    </row>
    <row r="332" spans="2:6" ht="15.75" customHeight="1">
      <c r="B332" s="9"/>
      <c r="D332" s="77"/>
      <c r="E332" s="18"/>
      <c r="F332" s="70"/>
    </row>
    <row r="333" spans="2:6" ht="15.75" customHeight="1">
      <c r="B333" s="9"/>
      <c r="D333" s="77"/>
      <c r="E333" s="18"/>
      <c r="F333" s="70"/>
    </row>
    <row r="334" spans="2:6" ht="15.75" customHeight="1">
      <c r="B334" s="9"/>
      <c r="D334" s="77"/>
      <c r="E334" s="18"/>
      <c r="F334" s="70"/>
    </row>
    <row r="335" spans="2:6" ht="15.75" customHeight="1">
      <c r="B335" s="9"/>
      <c r="D335" s="77"/>
      <c r="E335" s="18"/>
      <c r="F335" s="70"/>
    </row>
    <row r="336" spans="2:6" ht="15.75" customHeight="1">
      <c r="B336" s="9"/>
      <c r="D336" s="77"/>
      <c r="E336" s="18"/>
      <c r="F336" s="70"/>
    </row>
    <row r="337" spans="2:6" ht="15.75" customHeight="1">
      <c r="B337" s="9"/>
      <c r="D337" s="77"/>
      <c r="E337" s="18"/>
      <c r="F337" s="70"/>
    </row>
    <row r="338" spans="2:6" ht="15.75" customHeight="1">
      <c r="B338" s="9"/>
      <c r="D338" s="77"/>
      <c r="E338" s="18"/>
      <c r="F338" s="70"/>
    </row>
    <row r="339" spans="2:6" ht="15.75" customHeight="1">
      <c r="B339" s="9"/>
      <c r="D339" s="77"/>
      <c r="E339" s="18"/>
      <c r="F339" s="70"/>
    </row>
    <row r="340" spans="2:6" ht="15.75" customHeight="1">
      <c r="B340" s="9"/>
      <c r="D340" s="77"/>
      <c r="E340" s="18"/>
      <c r="F340" s="70"/>
    </row>
    <row r="341" spans="2:6" ht="15.75" customHeight="1">
      <c r="B341" s="9"/>
      <c r="D341" s="77"/>
      <c r="E341" s="18"/>
      <c r="F341" s="70"/>
    </row>
    <row r="342" spans="2:6" ht="15.75" customHeight="1">
      <c r="B342" s="9"/>
      <c r="D342" s="77"/>
      <c r="E342" s="18"/>
      <c r="F342" s="70"/>
    </row>
    <row r="343" spans="2:6" ht="15.75" customHeight="1">
      <c r="B343" s="9"/>
      <c r="D343" s="77"/>
      <c r="E343" s="18"/>
      <c r="F343" s="70"/>
    </row>
    <row r="344" spans="2:6" ht="15.75" customHeight="1">
      <c r="B344" s="9"/>
      <c r="D344" s="77"/>
      <c r="E344" s="18"/>
      <c r="F344" s="70"/>
    </row>
    <row r="345" spans="2:6" ht="15.75" customHeight="1">
      <c r="B345" s="9"/>
      <c r="D345" s="77"/>
      <c r="E345" s="18"/>
      <c r="F345" s="70"/>
    </row>
    <row r="346" spans="2:6" ht="15.75" customHeight="1">
      <c r="B346" s="9"/>
      <c r="D346" s="77"/>
      <c r="E346" s="18"/>
      <c r="F346" s="70"/>
    </row>
    <row r="347" spans="2:6" ht="15.75" customHeight="1">
      <c r="B347" s="9"/>
      <c r="D347" s="77"/>
      <c r="E347" s="18"/>
      <c r="F347" s="70"/>
    </row>
    <row r="348" spans="2:6" ht="15.75" customHeight="1">
      <c r="B348" s="9"/>
      <c r="D348" s="77"/>
      <c r="E348" s="18"/>
      <c r="F348" s="70"/>
    </row>
    <row r="349" spans="2:6" ht="15.75" customHeight="1">
      <c r="B349" s="9"/>
      <c r="D349" s="77"/>
      <c r="E349" s="18"/>
      <c r="F349" s="70"/>
    </row>
    <row r="350" spans="2:6" ht="15.75" customHeight="1">
      <c r="B350" s="9"/>
      <c r="D350" s="77"/>
      <c r="E350" s="18"/>
      <c r="F350" s="70"/>
    </row>
    <row r="351" spans="2:6" ht="15.75" customHeight="1">
      <c r="B351" s="9"/>
      <c r="D351" s="77"/>
      <c r="E351" s="18"/>
      <c r="F351" s="70"/>
    </row>
    <row r="352" spans="2:6" ht="15.75" customHeight="1">
      <c r="B352" s="9"/>
      <c r="D352" s="77"/>
      <c r="E352" s="18"/>
      <c r="F352" s="70"/>
    </row>
    <row r="353" spans="2:6" ht="15.75" customHeight="1">
      <c r="B353" s="9"/>
      <c r="D353" s="77"/>
      <c r="E353" s="18"/>
      <c r="F353" s="70"/>
    </row>
    <row r="354" spans="2:6" ht="15.75" customHeight="1">
      <c r="B354" s="9"/>
      <c r="D354" s="77"/>
      <c r="E354" s="18"/>
      <c r="F354" s="70"/>
    </row>
    <row r="355" spans="2:6" ht="15.75" customHeight="1">
      <c r="B355" s="9"/>
      <c r="D355" s="77"/>
      <c r="E355" s="18"/>
      <c r="F355" s="70"/>
    </row>
    <row r="356" spans="2:6" ht="15.75" customHeight="1">
      <c r="B356" s="9"/>
      <c r="D356" s="77"/>
      <c r="E356" s="18"/>
      <c r="F356" s="70"/>
    </row>
    <row r="357" spans="2:6" ht="15.75" customHeight="1">
      <c r="B357" s="9"/>
      <c r="D357" s="77"/>
      <c r="E357" s="18"/>
      <c r="F357" s="70"/>
    </row>
    <row r="358" spans="2:6" ht="15.75" customHeight="1">
      <c r="B358" s="9"/>
      <c r="D358" s="77"/>
      <c r="E358" s="18"/>
      <c r="F358" s="70"/>
    </row>
    <row r="359" spans="2:6" ht="15.75" customHeight="1">
      <c r="B359" s="9"/>
      <c r="D359" s="77"/>
      <c r="E359" s="18"/>
      <c r="F359" s="70"/>
    </row>
    <row r="360" spans="2:6" ht="15.75" customHeight="1">
      <c r="B360" s="9"/>
      <c r="D360" s="77"/>
      <c r="E360" s="18"/>
      <c r="F360" s="70"/>
    </row>
    <row r="361" spans="2:6" ht="15.75" customHeight="1">
      <c r="B361" s="9"/>
      <c r="D361" s="77"/>
      <c r="E361" s="18"/>
      <c r="F361" s="70"/>
    </row>
    <row r="362" spans="2:6" ht="15.75" customHeight="1">
      <c r="B362" s="9"/>
      <c r="D362" s="77"/>
      <c r="E362" s="18"/>
      <c r="F362" s="70"/>
    </row>
    <row r="363" spans="2:6" ht="15.75" customHeight="1">
      <c r="B363" s="9"/>
      <c r="D363" s="77"/>
      <c r="E363" s="18"/>
      <c r="F363" s="70"/>
    </row>
    <row r="364" spans="2:6" ht="15.75" customHeight="1">
      <c r="B364" s="9"/>
      <c r="D364" s="77"/>
      <c r="E364" s="18"/>
      <c r="F364" s="70"/>
    </row>
    <row r="365" spans="2:6" ht="15.75" customHeight="1">
      <c r="B365" s="9"/>
      <c r="D365" s="77"/>
      <c r="E365" s="18"/>
      <c r="F365" s="70"/>
    </row>
    <row r="366" spans="2:6" ht="15.75" customHeight="1">
      <c r="B366" s="9"/>
      <c r="D366" s="77"/>
      <c r="E366" s="18"/>
      <c r="F366" s="70"/>
    </row>
    <row r="367" spans="2:6" ht="15.75" customHeight="1">
      <c r="B367" s="9"/>
      <c r="D367" s="77"/>
      <c r="E367" s="18"/>
      <c r="F367" s="70"/>
    </row>
    <row r="368" spans="2:6" ht="15.75" customHeight="1">
      <c r="B368" s="9"/>
      <c r="D368" s="77"/>
      <c r="E368" s="18"/>
      <c r="F368" s="70"/>
    </row>
    <row r="369" spans="2:6" ht="15.75" customHeight="1">
      <c r="B369" s="9"/>
      <c r="D369" s="77"/>
      <c r="E369" s="18"/>
      <c r="F369" s="70"/>
    </row>
    <row r="370" spans="2:6" ht="15.75" customHeight="1">
      <c r="B370" s="9"/>
      <c r="D370" s="77"/>
      <c r="E370" s="18"/>
      <c r="F370" s="70"/>
    </row>
    <row r="371" spans="2:6" ht="15.75" customHeight="1">
      <c r="B371" s="9"/>
      <c r="D371" s="77"/>
      <c r="E371" s="18"/>
      <c r="F371" s="70"/>
    </row>
    <row r="372" spans="2:6" ht="15.75" customHeight="1">
      <c r="B372" s="9"/>
      <c r="D372" s="77"/>
      <c r="E372" s="18"/>
      <c r="F372" s="70"/>
    </row>
    <row r="373" spans="2:6" ht="15.75" customHeight="1">
      <c r="B373" s="9"/>
      <c r="D373" s="77"/>
      <c r="E373" s="18"/>
      <c r="F373" s="70"/>
    </row>
    <row r="374" spans="2:6" ht="15.75" customHeight="1">
      <c r="B374" s="9"/>
      <c r="D374" s="77"/>
      <c r="E374" s="18"/>
      <c r="F374" s="70"/>
    </row>
    <row r="375" spans="2:6" ht="15.75" customHeight="1">
      <c r="B375" s="9"/>
      <c r="D375" s="77"/>
      <c r="E375" s="18"/>
      <c r="F375" s="70"/>
    </row>
    <row r="376" spans="2:6" ht="15.75" customHeight="1">
      <c r="B376" s="9"/>
      <c r="D376" s="77"/>
      <c r="E376" s="18"/>
      <c r="F376" s="70"/>
    </row>
    <row r="377" spans="2:6" ht="15.75" customHeight="1">
      <c r="B377" s="9"/>
      <c r="D377" s="77"/>
      <c r="E377" s="18"/>
      <c r="F377" s="70"/>
    </row>
    <row r="378" spans="2:6" ht="15.75" customHeight="1">
      <c r="B378" s="9"/>
      <c r="D378" s="77"/>
      <c r="E378" s="18"/>
      <c r="F378" s="70"/>
    </row>
    <row r="379" spans="2:6" ht="15.75" customHeight="1">
      <c r="B379" s="9"/>
      <c r="D379" s="77"/>
      <c r="E379" s="18"/>
      <c r="F379" s="70"/>
    </row>
    <row r="380" spans="2:6" ht="15.75" customHeight="1">
      <c r="B380" s="9"/>
      <c r="D380" s="77"/>
      <c r="E380" s="18"/>
      <c r="F380" s="70"/>
    </row>
    <row r="381" spans="2:6" ht="15.75" customHeight="1">
      <c r="B381" s="9"/>
      <c r="D381" s="77"/>
      <c r="E381" s="18"/>
      <c r="F381" s="70"/>
    </row>
    <row r="382" spans="2:6" ht="15.75" customHeight="1">
      <c r="B382" s="9"/>
      <c r="D382" s="77"/>
      <c r="E382" s="18"/>
      <c r="F382" s="70"/>
    </row>
    <row r="383" spans="2:6" ht="15.75" customHeight="1">
      <c r="B383" s="9"/>
      <c r="D383" s="77"/>
      <c r="E383" s="18"/>
      <c r="F383" s="70"/>
    </row>
    <row r="384" spans="2:6" ht="15.75" customHeight="1">
      <c r="B384" s="9"/>
      <c r="D384" s="77"/>
      <c r="E384" s="18"/>
      <c r="F384" s="70"/>
    </row>
    <row r="385" spans="2:6" ht="15.75" customHeight="1">
      <c r="B385" s="9"/>
      <c r="D385" s="77"/>
      <c r="E385" s="18"/>
      <c r="F385" s="70"/>
    </row>
    <row r="386" spans="2:6" ht="15.75" customHeight="1">
      <c r="B386" s="9"/>
      <c r="D386" s="77"/>
      <c r="E386" s="18"/>
      <c r="F386" s="70"/>
    </row>
    <row r="387" spans="2:6" ht="15.75" customHeight="1">
      <c r="B387" s="9"/>
      <c r="D387" s="77"/>
      <c r="E387" s="18"/>
      <c r="F387" s="70"/>
    </row>
    <row r="388" spans="2:6" ht="15.75" customHeight="1">
      <c r="B388" s="9"/>
      <c r="D388" s="77"/>
      <c r="E388" s="18"/>
      <c r="F388" s="70"/>
    </row>
    <row r="389" spans="2:6" ht="15.75" customHeight="1">
      <c r="B389" s="9"/>
      <c r="D389" s="77"/>
      <c r="E389" s="18"/>
      <c r="F389" s="70"/>
    </row>
    <row r="390" spans="2:6" ht="15.75" customHeight="1">
      <c r="B390" s="9"/>
      <c r="D390" s="77"/>
      <c r="E390" s="18"/>
      <c r="F390" s="70"/>
    </row>
    <row r="391" spans="2:6" ht="15.75" customHeight="1">
      <c r="B391" s="9"/>
      <c r="D391" s="77"/>
      <c r="E391" s="18"/>
      <c r="F391" s="70"/>
    </row>
    <row r="392" spans="2:6" ht="15.75" customHeight="1">
      <c r="B392" s="9"/>
      <c r="D392" s="77"/>
      <c r="E392" s="18"/>
      <c r="F392" s="70"/>
    </row>
    <row r="393" spans="2:6" ht="15.75" customHeight="1">
      <c r="B393" s="9"/>
      <c r="D393" s="77"/>
      <c r="E393" s="18"/>
      <c r="F393" s="70"/>
    </row>
    <row r="394" spans="2:6" ht="15.75" customHeight="1">
      <c r="B394" s="9"/>
      <c r="D394" s="77"/>
      <c r="E394" s="18"/>
      <c r="F394" s="70"/>
    </row>
    <row r="395" spans="2:6" ht="15.75" customHeight="1">
      <c r="B395" s="9"/>
      <c r="D395" s="77"/>
      <c r="E395" s="18"/>
      <c r="F395" s="70"/>
    </row>
    <row r="396" spans="2:6" ht="15.75" customHeight="1">
      <c r="B396" s="9"/>
      <c r="D396" s="77"/>
      <c r="E396" s="18"/>
      <c r="F396" s="70"/>
    </row>
    <row r="397" spans="2:6" ht="15.75" customHeight="1">
      <c r="B397" s="9"/>
      <c r="D397" s="77"/>
      <c r="E397" s="18"/>
      <c r="F397" s="70"/>
    </row>
    <row r="398" spans="2:6" ht="15.75" customHeight="1">
      <c r="B398" s="9"/>
      <c r="D398" s="77"/>
      <c r="E398" s="18"/>
      <c r="F398" s="70"/>
    </row>
    <row r="399" spans="2:6" ht="15.75" customHeight="1">
      <c r="B399" s="9"/>
      <c r="D399" s="77"/>
      <c r="E399" s="18"/>
      <c r="F399" s="70"/>
    </row>
    <row r="400" spans="2:6" ht="15.75" customHeight="1">
      <c r="B400" s="9"/>
      <c r="D400" s="77"/>
      <c r="E400" s="18"/>
      <c r="F400" s="70"/>
    </row>
    <row r="401" spans="2:6" ht="15.75" customHeight="1">
      <c r="B401" s="9"/>
      <c r="D401" s="77"/>
      <c r="E401" s="18"/>
      <c r="F401" s="70"/>
    </row>
    <row r="402" spans="2:6" ht="15.75" customHeight="1">
      <c r="B402" s="9"/>
      <c r="D402" s="77"/>
      <c r="E402" s="18"/>
      <c r="F402" s="70"/>
    </row>
    <row r="403" spans="2:6" ht="15.75" customHeight="1">
      <c r="B403" s="9"/>
      <c r="D403" s="77"/>
      <c r="E403" s="18"/>
      <c r="F403" s="70"/>
    </row>
    <row r="404" spans="2:6" ht="15.75" customHeight="1">
      <c r="B404" s="9"/>
      <c r="D404" s="77"/>
      <c r="E404" s="18"/>
      <c r="F404" s="70"/>
    </row>
    <row r="405" spans="2:6" ht="15.75" customHeight="1">
      <c r="B405" s="9"/>
      <c r="D405" s="77"/>
      <c r="E405" s="18"/>
      <c r="F405" s="70"/>
    </row>
    <row r="406" spans="2:6" ht="15.75" customHeight="1">
      <c r="B406" s="9"/>
      <c r="D406" s="77"/>
      <c r="E406" s="18"/>
      <c r="F406" s="70"/>
    </row>
    <row r="407" spans="2:6" ht="15.75" customHeight="1">
      <c r="B407" s="9"/>
      <c r="D407" s="77"/>
      <c r="E407" s="18"/>
      <c r="F407" s="70"/>
    </row>
    <row r="408" spans="2:6" ht="15.75" customHeight="1">
      <c r="B408" s="9"/>
      <c r="D408" s="77"/>
      <c r="E408" s="18"/>
      <c r="F408" s="70"/>
    </row>
    <row r="409" spans="2:6" ht="15.75" customHeight="1">
      <c r="B409" s="9"/>
      <c r="D409" s="77"/>
      <c r="E409" s="18"/>
      <c r="F409" s="70"/>
    </row>
    <row r="410" spans="2:6" ht="15.75" customHeight="1">
      <c r="B410" s="9"/>
      <c r="D410" s="77"/>
      <c r="E410" s="18"/>
      <c r="F410" s="70"/>
    </row>
    <row r="411" spans="2:6" ht="15.75" customHeight="1">
      <c r="B411" s="9"/>
      <c r="D411" s="77"/>
      <c r="E411" s="18"/>
      <c r="F411" s="70"/>
    </row>
    <row r="412" spans="2:6" ht="15.75" customHeight="1">
      <c r="B412" s="9"/>
      <c r="D412" s="77"/>
      <c r="E412" s="18"/>
      <c r="F412" s="70"/>
    </row>
    <row r="413" spans="2:6" ht="15.75" customHeight="1">
      <c r="B413" s="9"/>
      <c r="D413" s="77"/>
      <c r="E413" s="18"/>
      <c r="F413" s="70"/>
    </row>
    <row r="414" spans="2:6" ht="15.75" customHeight="1">
      <c r="B414" s="9"/>
      <c r="D414" s="77"/>
      <c r="E414" s="18"/>
      <c r="F414" s="70"/>
    </row>
    <row r="415" spans="2:6" ht="15.75" customHeight="1">
      <c r="B415" s="9"/>
      <c r="D415" s="77"/>
      <c r="E415" s="18"/>
      <c r="F415" s="70"/>
    </row>
    <row r="416" spans="2:6" ht="15.75" customHeight="1">
      <c r="B416" s="9"/>
      <c r="D416" s="77"/>
      <c r="E416" s="18"/>
      <c r="F416" s="70"/>
    </row>
    <row r="417" spans="2:6" ht="15.75" customHeight="1">
      <c r="B417" s="9"/>
      <c r="D417" s="77"/>
      <c r="E417" s="18"/>
      <c r="F417" s="70"/>
    </row>
    <row r="418" spans="2:6" ht="15.75" customHeight="1">
      <c r="B418" s="9"/>
      <c r="D418" s="77"/>
      <c r="E418" s="18"/>
      <c r="F418" s="70"/>
    </row>
    <row r="419" spans="2:6" ht="15.75" customHeight="1">
      <c r="B419" s="9"/>
      <c r="D419" s="77"/>
      <c r="E419" s="18"/>
      <c r="F419" s="70"/>
    </row>
    <row r="420" spans="2:6" ht="15.75" customHeight="1">
      <c r="B420" s="9"/>
      <c r="D420" s="77"/>
      <c r="E420" s="18"/>
      <c r="F420" s="70"/>
    </row>
    <row r="421" spans="2:6" ht="15.75" customHeight="1">
      <c r="B421" s="9"/>
      <c r="D421" s="77"/>
      <c r="E421" s="18"/>
      <c r="F421" s="70"/>
    </row>
    <row r="422" spans="2:6" ht="15.75" customHeight="1">
      <c r="B422" s="9"/>
      <c r="D422" s="77"/>
      <c r="E422" s="18"/>
      <c r="F422" s="70"/>
    </row>
    <row r="423" spans="2:6" ht="15.75" customHeight="1">
      <c r="B423" s="9"/>
      <c r="D423" s="77"/>
      <c r="E423" s="18"/>
      <c r="F423" s="70"/>
    </row>
    <row r="424" spans="2:6" ht="15.75" customHeight="1">
      <c r="B424" s="9"/>
      <c r="D424" s="77"/>
      <c r="E424" s="18"/>
      <c r="F424" s="70"/>
    </row>
    <row r="425" spans="2:6" ht="15.75" customHeight="1">
      <c r="B425" s="9"/>
      <c r="D425" s="77"/>
      <c r="E425" s="18"/>
      <c r="F425" s="70"/>
    </row>
    <row r="426" spans="2:6" ht="15.75" customHeight="1">
      <c r="B426" s="9"/>
      <c r="D426" s="77"/>
      <c r="E426" s="18"/>
      <c r="F426" s="70"/>
    </row>
    <row r="427" spans="2:6" ht="15.75" customHeight="1">
      <c r="B427" s="9"/>
      <c r="D427" s="77"/>
      <c r="E427" s="18"/>
      <c r="F427" s="70"/>
    </row>
    <row r="428" spans="2:6" ht="15.75" customHeight="1">
      <c r="B428" s="9"/>
      <c r="D428" s="77"/>
      <c r="E428" s="18"/>
      <c r="F428" s="70"/>
    </row>
    <row r="429" spans="2:6" ht="15.75" customHeight="1">
      <c r="B429" s="9"/>
      <c r="D429" s="77"/>
      <c r="E429" s="18"/>
      <c r="F429" s="70"/>
    </row>
    <row r="430" spans="2:6" ht="15.75" customHeight="1">
      <c r="B430" s="9"/>
      <c r="D430" s="77"/>
      <c r="E430" s="18"/>
      <c r="F430" s="70"/>
    </row>
    <row r="431" spans="2:6" ht="15.75" customHeight="1">
      <c r="B431" s="9"/>
      <c r="D431" s="77"/>
      <c r="E431" s="18"/>
      <c r="F431" s="70"/>
    </row>
    <row r="432" spans="2:6" ht="15.75" customHeight="1">
      <c r="B432" s="9"/>
      <c r="D432" s="77"/>
      <c r="E432" s="18"/>
      <c r="F432" s="70"/>
    </row>
    <row r="433" spans="2:6" ht="15.75" customHeight="1">
      <c r="B433" s="9"/>
      <c r="D433" s="77"/>
      <c r="E433" s="18"/>
      <c r="F433" s="70"/>
    </row>
    <row r="434" spans="2:6" ht="15.75" customHeight="1">
      <c r="B434" s="9"/>
      <c r="D434" s="77"/>
      <c r="E434" s="18"/>
      <c r="F434" s="70"/>
    </row>
    <row r="435" spans="2:6" ht="15.75" customHeight="1">
      <c r="B435" s="9"/>
      <c r="D435" s="77"/>
      <c r="E435" s="18"/>
      <c r="F435" s="70"/>
    </row>
    <row r="436" spans="2:6" ht="15.75" customHeight="1">
      <c r="B436" s="9"/>
      <c r="D436" s="77"/>
      <c r="E436" s="18"/>
      <c r="F436" s="70"/>
    </row>
    <row r="437" spans="2:6" ht="15.75" customHeight="1">
      <c r="B437" s="9"/>
      <c r="D437" s="77"/>
      <c r="E437" s="18"/>
      <c r="F437" s="70"/>
    </row>
    <row r="438" spans="2:6" ht="15.75" customHeight="1">
      <c r="B438" s="9"/>
      <c r="D438" s="77"/>
      <c r="E438" s="18"/>
      <c r="F438" s="70"/>
    </row>
    <row r="439" spans="2:6" ht="15.75" customHeight="1">
      <c r="B439" s="9"/>
      <c r="D439" s="77"/>
      <c r="E439" s="18"/>
      <c r="F439" s="70"/>
    </row>
    <row r="440" spans="2:6" ht="15.75" customHeight="1">
      <c r="B440" s="9"/>
      <c r="D440" s="77"/>
      <c r="E440" s="18"/>
      <c r="F440" s="70"/>
    </row>
    <row r="441" spans="2:6" ht="15.75" customHeight="1">
      <c r="B441" s="9"/>
      <c r="D441" s="77"/>
      <c r="E441" s="18"/>
      <c r="F441" s="70"/>
    </row>
    <row r="442" spans="2:6" ht="15.75" customHeight="1">
      <c r="B442" s="9"/>
      <c r="D442" s="77"/>
      <c r="E442" s="18"/>
      <c r="F442" s="70"/>
    </row>
    <row r="443" spans="2:6" ht="15.75" customHeight="1">
      <c r="B443" s="9"/>
      <c r="D443" s="77"/>
      <c r="E443" s="18"/>
      <c r="F443" s="70"/>
    </row>
    <row r="444" spans="2:6" ht="15.75" customHeight="1">
      <c r="B444" s="9"/>
      <c r="D444" s="77"/>
      <c r="E444" s="18"/>
      <c r="F444" s="70"/>
    </row>
    <row r="445" spans="2:6" ht="15.75" customHeight="1">
      <c r="B445" s="9"/>
      <c r="D445" s="77"/>
      <c r="E445" s="18"/>
      <c r="F445" s="70"/>
    </row>
    <row r="446" spans="2:6" ht="15.75" customHeight="1">
      <c r="B446" s="9"/>
      <c r="D446" s="77"/>
      <c r="E446" s="18"/>
      <c r="F446" s="70"/>
    </row>
    <row r="447" spans="2:6" ht="15.75" customHeight="1">
      <c r="B447" s="9"/>
      <c r="D447" s="77"/>
      <c r="E447" s="18"/>
      <c r="F447" s="70"/>
    </row>
    <row r="448" spans="2:6" ht="15.75" customHeight="1">
      <c r="B448" s="9"/>
      <c r="D448" s="77"/>
      <c r="E448" s="18"/>
      <c r="F448" s="70"/>
    </row>
    <row r="449" spans="2:6" ht="15.75" customHeight="1">
      <c r="B449" s="9"/>
      <c r="D449" s="77"/>
      <c r="E449" s="18"/>
      <c r="F449" s="70"/>
    </row>
    <row r="450" spans="2:6" ht="15.75" customHeight="1">
      <c r="B450" s="9"/>
      <c r="D450" s="77"/>
      <c r="E450" s="18"/>
      <c r="F450" s="70"/>
    </row>
    <row r="451" spans="2:6" ht="15.75" customHeight="1">
      <c r="B451" s="9"/>
      <c r="D451" s="77"/>
      <c r="E451" s="18"/>
      <c r="F451" s="70"/>
    </row>
    <row r="452" spans="2:6" ht="15.75" customHeight="1">
      <c r="B452" s="9"/>
      <c r="D452" s="77"/>
      <c r="E452" s="18"/>
      <c r="F452" s="70"/>
    </row>
    <row r="453" spans="2:6" ht="15.75" customHeight="1">
      <c r="B453" s="9"/>
      <c r="D453" s="77"/>
      <c r="E453" s="18"/>
      <c r="F453" s="70"/>
    </row>
    <row r="454" spans="2:6" ht="15.75" customHeight="1">
      <c r="B454" s="9"/>
      <c r="D454" s="77"/>
      <c r="E454" s="18"/>
      <c r="F454" s="70"/>
    </row>
    <row r="455" spans="2:6" ht="15.75" customHeight="1">
      <c r="B455" s="9"/>
      <c r="D455" s="77"/>
      <c r="E455" s="18"/>
      <c r="F455" s="70"/>
    </row>
    <row r="456" spans="2:6" ht="15.75" customHeight="1">
      <c r="B456" s="9"/>
      <c r="D456" s="77"/>
      <c r="E456" s="18"/>
      <c r="F456" s="70"/>
    </row>
    <row r="457" spans="2:6" ht="15.75" customHeight="1">
      <c r="B457" s="9"/>
      <c r="D457" s="77"/>
      <c r="E457" s="18"/>
      <c r="F457" s="70"/>
    </row>
    <row r="458" spans="2:6" ht="15.75" customHeight="1">
      <c r="B458" s="9"/>
      <c r="D458" s="77"/>
      <c r="E458" s="18"/>
      <c r="F458" s="70"/>
    </row>
    <row r="459" spans="2:6" ht="15.75" customHeight="1">
      <c r="B459" s="9"/>
      <c r="D459" s="77"/>
      <c r="E459" s="18"/>
      <c r="F459" s="70"/>
    </row>
    <row r="460" spans="2:6" ht="15.75" customHeight="1">
      <c r="B460" s="9"/>
      <c r="D460" s="77"/>
      <c r="E460" s="18"/>
      <c r="F460" s="70"/>
    </row>
    <row r="461" spans="2:6" ht="15.75" customHeight="1">
      <c r="B461" s="9"/>
      <c r="D461" s="77"/>
      <c r="E461" s="18"/>
      <c r="F461" s="70"/>
    </row>
    <row r="462" spans="2:6" ht="15.75" customHeight="1">
      <c r="B462" s="9"/>
      <c r="D462" s="77"/>
      <c r="E462" s="18"/>
      <c r="F462" s="70"/>
    </row>
    <row r="463" spans="2:6" ht="15.75" customHeight="1">
      <c r="B463" s="9"/>
      <c r="D463" s="77"/>
      <c r="E463" s="18"/>
      <c r="F463" s="70"/>
    </row>
    <row r="464" spans="2:6" ht="15.75" customHeight="1">
      <c r="B464" s="9"/>
      <c r="D464" s="77"/>
      <c r="E464" s="18"/>
      <c r="F464" s="70"/>
    </row>
    <row r="465" spans="2:6" ht="15.75" customHeight="1">
      <c r="B465" s="9"/>
      <c r="D465" s="77"/>
      <c r="E465" s="18"/>
      <c r="F465" s="70"/>
    </row>
    <row r="466" spans="2:6" ht="15.75" customHeight="1">
      <c r="B466" s="9"/>
      <c r="D466" s="77"/>
      <c r="E466" s="18"/>
      <c r="F466" s="70"/>
    </row>
    <row r="467" spans="2:6" ht="15.75" customHeight="1">
      <c r="B467" s="9"/>
      <c r="D467" s="77"/>
      <c r="E467" s="18"/>
      <c r="F467" s="70"/>
    </row>
    <row r="468" spans="2:6" ht="15.75" customHeight="1">
      <c r="B468" s="9"/>
      <c r="D468" s="77"/>
      <c r="E468" s="18"/>
      <c r="F468" s="70"/>
    </row>
    <row r="469" spans="2:6" ht="15.75" customHeight="1">
      <c r="B469" s="9"/>
      <c r="D469" s="77"/>
      <c r="E469" s="18"/>
      <c r="F469" s="70"/>
    </row>
    <row r="470" spans="2:6" ht="15.75" customHeight="1">
      <c r="B470" s="9"/>
      <c r="D470" s="77"/>
      <c r="E470" s="18"/>
      <c r="F470" s="70"/>
    </row>
    <row r="471" spans="2:6" ht="15.75" customHeight="1">
      <c r="B471" s="9"/>
      <c r="D471" s="77"/>
      <c r="E471" s="18"/>
      <c r="F471" s="70"/>
    </row>
    <row r="472" spans="2:6" ht="15.75" customHeight="1">
      <c r="B472" s="9"/>
      <c r="D472" s="77"/>
      <c r="E472" s="18"/>
      <c r="F472" s="70"/>
    </row>
    <row r="473" spans="2:6" ht="15.75" customHeight="1">
      <c r="B473" s="9"/>
      <c r="D473" s="77"/>
      <c r="E473" s="18"/>
      <c r="F473" s="70"/>
    </row>
    <row r="474" spans="2:6" ht="15.75" customHeight="1">
      <c r="B474" s="9"/>
      <c r="D474" s="77"/>
      <c r="E474" s="18"/>
      <c r="F474" s="70"/>
    </row>
    <row r="475" spans="2:6" ht="15.75" customHeight="1">
      <c r="B475" s="9"/>
      <c r="D475" s="77"/>
      <c r="E475" s="18"/>
      <c r="F475" s="70"/>
    </row>
    <row r="476" spans="2:6" ht="15.75" customHeight="1">
      <c r="B476" s="9"/>
      <c r="D476" s="77"/>
      <c r="E476" s="18"/>
      <c r="F476" s="70"/>
    </row>
    <row r="477" spans="2:6" ht="15.75" customHeight="1">
      <c r="B477" s="9"/>
      <c r="D477" s="77"/>
      <c r="E477" s="18"/>
      <c r="F477" s="70"/>
    </row>
    <row r="478" spans="2:6" ht="15.75" customHeight="1">
      <c r="B478" s="9"/>
      <c r="D478" s="77"/>
      <c r="E478" s="18"/>
      <c r="F478" s="70"/>
    </row>
    <row r="479" spans="2:6" ht="15.75" customHeight="1">
      <c r="B479" s="9"/>
      <c r="D479" s="77"/>
      <c r="E479" s="18"/>
      <c r="F479" s="70"/>
    </row>
    <row r="480" spans="2:6" ht="15.75" customHeight="1">
      <c r="B480" s="9"/>
      <c r="D480" s="77"/>
      <c r="E480" s="18"/>
      <c r="F480" s="70"/>
    </row>
    <row r="481" spans="2:6" ht="15.75" customHeight="1">
      <c r="B481" s="9"/>
      <c r="D481" s="77"/>
      <c r="E481" s="18"/>
      <c r="F481" s="70"/>
    </row>
    <row r="482" spans="2:6" ht="15.75" customHeight="1">
      <c r="B482" s="9"/>
      <c r="D482" s="77"/>
      <c r="E482" s="18"/>
      <c r="F482" s="70"/>
    </row>
    <row r="483" spans="2:6" ht="15.75" customHeight="1">
      <c r="B483" s="9"/>
      <c r="D483" s="77"/>
      <c r="E483" s="18"/>
      <c r="F483" s="70"/>
    </row>
    <row r="484" spans="2:6" ht="15.75" customHeight="1">
      <c r="B484" s="9"/>
      <c r="D484" s="77"/>
      <c r="E484" s="18"/>
      <c r="F484" s="70"/>
    </row>
    <row r="485" spans="2:6" ht="15.75" customHeight="1">
      <c r="B485" s="9"/>
      <c r="D485" s="77"/>
      <c r="E485" s="18"/>
      <c r="F485" s="70"/>
    </row>
    <row r="486" spans="2:6" ht="15.75" customHeight="1">
      <c r="B486" s="9"/>
      <c r="D486" s="77"/>
      <c r="E486" s="18"/>
      <c r="F486" s="70"/>
    </row>
    <row r="487" spans="2:6" ht="15.75" customHeight="1">
      <c r="B487" s="9"/>
      <c r="D487" s="77"/>
      <c r="E487" s="18"/>
      <c r="F487" s="70"/>
    </row>
    <row r="488" spans="2:6" ht="15.75" customHeight="1">
      <c r="B488" s="9"/>
      <c r="D488" s="77"/>
      <c r="E488" s="18"/>
      <c r="F488" s="70"/>
    </row>
    <row r="489" spans="2:6" ht="15.75" customHeight="1">
      <c r="B489" s="9"/>
      <c r="D489" s="77"/>
      <c r="E489" s="18"/>
      <c r="F489" s="70"/>
    </row>
    <row r="490" spans="2:6" ht="15.75" customHeight="1">
      <c r="B490" s="9"/>
      <c r="D490" s="77"/>
      <c r="E490" s="18"/>
      <c r="F490" s="70"/>
    </row>
    <row r="491" spans="2:6" ht="15.75" customHeight="1">
      <c r="B491" s="9"/>
      <c r="D491" s="77"/>
      <c r="E491" s="18"/>
      <c r="F491" s="70"/>
    </row>
    <row r="492" spans="2:6" ht="15.75" customHeight="1">
      <c r="B492" s="9"/>
      <c r="D492" s="77"/>
      <c r="E492" s="18"/>
      <c r="F492" s="70"/>
    </row>
    <row r="493" spans="2:6" ht="15.75" customHeight="1">
      <c r="B493" s="9"/>
      <c r="D493" s="77"/>
      <c r="E493" s="18"/>
      <c r="F493" s="70"/>
    </row>
    <row r="494" spans="2:6" ht="15.75" customHeight="1">
      <c r="B494" s="9"/>
      <c r="D494" s="77"/>
      <c r="E494" s="18"/>
      <c r="F494" s="70"/>
    </row>
    <row r="495" spans="2:6" ht="15.75" customHeight="1">
      <c r="B495" s="9"/>
      <c r="D495" s="77"/>
      <c r="E495" s="18"/>
      <c r="F495" s="70"/>
    </row>
    <row r="496" spans="2:6" ht="15.75" customHeight="1">
      <c r="B496" s="9"/>
      <c r="D496" s="77"/>
      <c r="E496" s="18"/>
      <c r="F496" s="70"/>
    </row>
    <row r="497" spans="2:6" ht="15.75" customHeight="1">
      <c r="B497" s="9"/>
      <c r="D497" s="77"/>
      <c r="E497" s="18"/>
      <c r="F497" s="70"/>
    </row>
    <row r="498" spans="2:6" ht="15.75" customHeight="1">
      <c r="B498" s="9"/>
      <c r="D498" s="77"/>
      <c r="E498" s="18"/>
      <c r="F498" s="70"/>
    </row>
    <row r="499" spans="2:6" ht="15.75" customHeight="1">
      <c r="B499" s="9"/>
      <c r="D499" s="77"/>
      <c r="E499" s="18"/>
      <c r="F499" s="70"/>
    </row>
    <row r="500" spans="2:6" ht="15.75" customHeight="1">
      <c r="B500" s="9"/>
      <c r="D500" s="77"/>
      <c r="E500" s="18"/>
      <c r="F500" s="70"/>
    </row>
    <row r="501" spans="2:6" ht="15.75" customHeight="1">
      <c r="B501" s="9"/>
      <c r="D501" s="77"/>
      <c r="E501" s="18"/>
      <c r="F501" s="70"/>
    </row>
    <row r="502" spans="2:6" ht="15.75" customHeight="1">
      <c r="B502" s="9"/>
      <c r="D502" s="77"/>
      <c r="E502" s="18"/>
      <c r="F502" s="70"/>
    </row>
    <row r="503" spans="2:6" ht="15.75" customHeight="1">
      <c r="B503" s="9"/>
      <c r="D503" s="77"/>
      <c r="E503" s="18"/>
      <c r="F503" s="70"/>
    </row>
    <row r="504" spans="2:6" ht="15.75" customHeight="1">
      <c r="B504" s="9"/>
      <c r="D504" s="77"/>
      <c r="E504" s="18"/>
      <c r="F504" s="70"/>
    </row>
    <row r="505" spans="2:6" ht="15.75" customHeight="1">
      <c r="B505" s="9"/>
      <c r="D505" s="77"/>
      <c r="E505" s="18"/>
      <c r="F505" s="70"/>
    </row>
    <row r="506" spans="2:6" ht="15.75" customHeight="1">
      <c r="B506" s="9"/>
      <c r="D506" s="77"/>
      <c r="E506" s="18"/>
      <c r="F506" s="70"/>
    </row>
    <row r="507" spans="2:6" ht="15.75" customHeight="1">
      <c r="B507" s="9"/>
      <c r="D507" s="77"/>
      <c r="E507" s="18"/>
      <c r="F507" s="70"/>
    </row>
    <row r="508" spans="2:6" ht="15.75" customHeight="1">
      <c r="B508" s="9"/>
      <c r="D508" s="77"/>
      <c r="E508" s="18"/>
      <c r="F508" s="70"/>
    </row>
    <row r="509" spans="2:6" ht="15.75" customHeight="1">
      <c r="B509" s="9"/>
      <c r="D509" s="77"/>
      <c r="E509" s="18"/>
      <c r="F509" s="70"/>
    </row>
    <row r="510" spans="2:6" ht="15.75" customHeight="1">
      <c r="B510" s="9"/>
      <c r="D510" s="77"/>
      <c r="E510" s="18"/>
      <c r="F510" s="70"/>
    </row>
    <row r="511" spans="2:6" ht="15.75" customHeight="1">
      <c r="B511" s="9"/>
      <c r="D511" s="77"/>
      <c r="E511" s="18"/>
      <c r="F511" s="70"/>
    </row>
    <row r="512" spans="2:6" ht="15.75" customHeight="1">
      <c r="B512" s="9"/>
      <c r="D512" s="77"/>
      <c r="E512" s="18"/>
      <c r="F512" s="70"/>
    </row>
    <row r="513" spans="2:6" ht="15.75" customHeight="1">
      <c r="B513" s="9"/>
      <c r="D513" s="77"/>
      <c r="E513" s="18"/>
      <c r="F513" s="70"/>
    </row>
    <row r="514" spans="2:6" ht="15.75" customHeight="1">
      <c r="B514" s="9"/>
      <c r="D514" s="77"/>
      <c r="E514" s="18"/>
      <c r="F514" s="70"/>
    </row>
    <row r="515" spans="2:6" ht="15.75" customHeight="1">
      <c r="B515" s="9"/>
      <c r="D515" s="77"/>
      <c r="E515" s="18"/>
      <c r="F515" s="70"/>
    </row>
    <row r="516" spans="2:6" ht="15.75" customHeight="1">
      <c r="B516" s="9"/>
      <c r="D516" s="77"/>
      <c r="E516" s="18"/>
      <c r="F516" s="70"/>
    </row>
    <row r="517" spans="2:6" ht="15.75" customHeight="1">
      <c r="B517" s="9"/>
      <c r="D517" s="77"/>
      <c r="E517" s="18"/>
      <c r="F517" s="70"/>
    </row>
    <row r="518" spans="2:6" ht="15.75" customHeight="1">
      <c r="B518" s="9"/>
      <c r="D518" s="77"/>
      <c r="E518" s="18"/>
      <c r="F518" s="70"/>
    </row>
    <row r="519" spans="2:6" ht="15.75" customHeight="1">
      <c r="B519" s="9"/>
      <c r="D519" s="77"/>
      <c r="E519" s="18"/>
      <c r="F519" s="70"/>
    </row>
    <row r="520" spans="2:6" ht="15.75" customHeight="1">
      <c r="B520" s="9"/>
      <c r="D520" s="77"/>
      <c r="E520" s="18"/>
      <c r="F520" s="70"/>
    </row>
    <row r="521" spans="2:6" ht="15.75" customHeight="1">
      <c r="B521" s="9"/>
      <c r="D521" s="77"/>
      <c r="E521" s="18"/>
      <c r="F521" s="70"/>
    </row>
    <row r="522" spans="2:6" ht="15.75" customHeight="1">
      <c r="B522" s="9"/>
      <c r="D522" s="77"/>
      <c r="E522" s="18"/>
      <c r="F522" s="70"/>
    </row>
    <row r="523" spans="2:6" ht="15.75" customHeight="1">
      <c r="B523" s="9"/>
      <c r="D523" s="77"/>
      <c r="E523" s="18"/>
      <c r="F523" s="70"/>
    </row>
    <row r="524" spans="2:6" ht="15.75" customHeight="1">
      <c r="B524" s="9"/>
      <c r="D524" s="77"/>
      <c r="E524" s="18"/>
      <c r="F524" s="70"/>
    </row>
    <row r="525" spans="2:6" ht="15.75" customHeight="1">
      <c r="B525" s="9"/>
      <c r="D525" s="77"/>
      <c r="E525" s="18"/>
      <c r="F525" s="70"/>
    </row>
    <row r="526" spans="2:6" ht="15.75" customHeight="1">
      <c r="B526" s="9"/>
      <c r="D526" s="77"/>
      <c r="E526" s="18"/>
      <c r="F526" s="70"/>
    </row>
    <row r="527" spans="2:6" ht="15.75" customHeight="1">
      <c r="B527" s="9"/>
      <c r="D527" s="77"/>
      <c r="E527" s="18"/>
      <c r="F527" s="70"/>
    </row>
    <row r="528" spans="2:6" ht="15.75" customHeight="1">
      <c r="B528" s="9"/>
      <c r="D528" s="77"/>
      <c r="E528" s="18"/>
      <c r="F528" s="70"/>
    </row>
    <row r="529" spans="2:6" ht="15.75" customHeight="1">
      <c r="B529" s="9"/>
      <c r="D529" s="77"/>
      <c r="E529" s="18"/>
      <c r="F529" s="70"/>
    </row>
    <row r="530" spans="2:6" ht="15.75" customHeight="1">
      <c r="B530" s="9"/>
      <c r="D530" s="77"/>
      <c r="E530" s="18"/>
      <c r="F530" s="70"/>
    </row>
    <row r="531" spans="2:6" ht="15.75" customHeight="1">
      <c r="B531" s="9"/>
      <c r="D531" s="77"/>
      <c r="E531" s="18"/>
      <c r="F531" s="70"/>
    </row>
    <row r="532" spans="2:6" ht="15.75" customHeight="1">
      <c r="B532" s="9"/>
      <c r="D532" s="77"/>
      <c r="E532" s="18"/>
      <c r="F532" s="70"/>
    </row>
    <row r="533" spans="2:6" ht="15.75" customHeight="1">
      <c r="B533" s="9"/>
      <c r="D533" s="77"/>
      <c r="E533" s="18"/>
      <c r="F533" s="70"/>
    </row>
    <row r="534" spans="2:6" ht="15.75" customHeight="1">
      <c r="B534" s="9"/>
      <c r="D534" s="77"/>
      <c r="E534" s="18"/>
      <c r="F534" s="70"/>
    </row>
    <row r="535" spans="2:6" ht="15.75" customHeight="1">
      <c r="B535" s="9"/>
      <c r="D535" s="77"/>
      <c r="E535" s="18"/>
      <c r="F535" s="70"/>
    </row>
    <row r="536" spans="2:6" ht="15.75" customHeight="1">
      <c r="B536" s="9"/>
      <c r="D536" s="77"/>
      <c r="E536" s="18"/>
      <c r="F536" s="70"/>
    </row>
    <row r="537" spans="2:6" ht="15.75" customHeight="1">
      <c r="B537" s="9"/>
      <c r="D537" s="77"/>
      <c r="E537" s="18"/>
      <c r="F537" s="70"/>
    </row>
    <row r="538" spans="2:6" ht="15.75" customHeight="1">
      <c r="B538" s="9"/>
      <c r="D538" s="77"/>
      <c r="E538" s="18"/>
      <c r="F538" s="70"/>
    </row>
    <row r="539" spans="2:6" ht="15.75" customHeight="1">
      <c r="B539" s="9"/>
      <c r="D539" s="77"/>
      <c r="E539" s="18"/>
      <c r="F539" s="70"/>
    </row>
    <row r="540" spans="2:6" ht="15.75" customHeight="1">
      <c r="B540" s="9"/>
      <c r="D540" s="77"/>
      <c r="E540" s="18"/>
      <c r="F540" s="70"/>
    </row>
    <row r="541" spans="2:6" ht="15.75" customHeight="1">
      <c r="B541" s="9"/>
      <c r="D541" s="77"/>
      <c r="E541" s="18"/>
      <c r="F541" s="70"/>
    </row>
    <row r="542" spans="2:6" ht="15.75" customHeight="1">
      <c r="B542" s="9"/>
      <c r="D542" s="77"/>
      <c r="E542" s="18"/>
      <c r="F542" s="70"/>
    </row>
    <row r="543" spans="2:6" ht="15.75" customHeight="1">
      <c r="B543" s="9"/>
      <c r="D543" s="77"/>
      <c r="E543" s="18"/>
      <c r="F543" s="70"/>
    </row>
    <row r="544" spans="2:6" ht="15.75" customHeight="1">
      <c r="B544" s="9"/>
      <c r="D544" s="77"/>
      <c r="E544" s="18"/>
      <c r="F544" s="70"/>
    </row>
    <row r="545" spans="2:6" ht="15.75" customHeight="1">
      <c r="B545" s="9"/>
      <c r="D545" s="77"/>
      <c r="E545" s="18"/>
      <c r="F545" s="70"/>
    </row>
    <row r="546" spans="2:6" ht="15.75" customHeight="1">
      <c r="B546" s="9"/>
      <c r="D546" s="77"/>
      <c r="E546" s="18"/>
      <c r="F546" s="70"/>
    </row>
    <row r="547" spans="2:6" ht="15.75" customHeight="1">
      <c r="B547" s="9"/>
      <c r="D547" s="77"/>
      <c r="E547" s="18"/>
      <c r="F547" s="70"/>
    </row>
    <row r="548" spans="2:6" ht="15.75" customHeight="1">
      <c r="B548" s="9"/>
      <c r="D548" s="77"/>
      <c r="E548" s="18"/>
      <c r="F548" s="70"/>
    </row>
    <row r="549" spans="2:6" ht="15.75" customHeight="1">
      <c r="B549" s="9"/>
      <c r="D549" s="77"/>
      <c r="E549" s="18"/>
      <c r="F549" s="70"/>
    </row>
    <row r="550" spans="2:6" ht="15.75" customHeight="1">
      <c r="B550" s="9"/>
      <c r="D550" s="77"/>
      <c r="E550" s="18"/>
      <c r="F550" s="70"/>
    </row>
    <row r="551" spans="2:6" ht="15.75" customHeight="1">
      <c r="B551" s="9"/>
      <c r="D551" s="77"/>
      <c r="E551" s="18"/>
      <c r="F551" s="70"/>
    </row>
    <row r="552" spans="2:6" ht="15.75" customHeight="1">
      <c r="B552" s="9"/>
      <c r="D552" s="77"/>
      <c r="E552" s="18"/>
      <c r="F552" s="70"/>
    </row>
    <row r="553" spans="2:6" ht="15.75" customHeight="1">
      <c r="B553" s="9"/>
      <c r="D553" s="77"/>
      <c r="E553" s="18"/>
      <c r="F553" s="70"/>
    </row>
    <row r="554" spans="2:6" ht="15.75" customHeight="1">
      <c r="B554" s="9"/>
      <c r="D554" s="77"/>
      <c r="E554" s="18"/>
      <c r="F554" s="70"/>
    </row>
    <row r="555" spans="2:6" ht="15.75" customHeight="1">
      <c r="B555" s="9"/>
      <c r="D555" s="77"/>
      <c r="E555" s="18"/>
      <c r="F555" s="70"/>
    </row>
    <row r="556" spans="2:6" ht="15.75" customHeight="1">
      <c r="B556" s="9"/>
      <c r="D556" s="77"/>
      <c r="E556" s="18"/>
      <c r="F556" s="70"/>
    </row>
    <row r="557" spans="2:6" ht="15.75" customHeight="1">
      <c r="B557" s="9"/>
      <c r="D557" s="77"/>
      <c r="E557" s="18"/>
      <c r="F557" s="70"/>
    </row>
    <row r="558" spans="2:6" ht="15.75" customHeight="1">
      <c r="B558" s="9"/>
      <c r="D558" s="77"/>
      <c r="E558" s="18"/>
      <c r="F558" s="70"/>
    </row>
    <row r="559" spans="2:6" ht="15.75" customHeight="1">
      <c r="B559" s="9"/>
      <c r="D559" s="77"/>
      <c r="E559" s="18"/>
      <c r="F559" s="70"/>
    </row>
    <row r="560" spans="2:6" ht="15.75" customHeight="1">
      <c r="B560" s="9"/>
      <c r="D560" s="77"/>
      <c r="E560" s="18"/>
      <c r="F560" s="70"/>
    </row>
    <row r="561" spans="2:6" ht="15.75" customHeight="1">
      <c r="B561" s="9"/>
      <c r="D561" s="77"/>
      <c r="E561" s="18"/>
      <c r="F561" s="70"/>
    </row>
    <row r="562" spans="2:6" ht="15.75" customHeight="1">
      <c r="B562" s="9"/>
      <c r="D562" s="77"/>
      <c r="E562" s="18"/>
      <c r="F562" s="70"/>
    </row>
    <row r="563" spans="2:6" ht="15.75" customHeight="1">
      <c r="B563" s="9"/>
      <c r="D563" s="77"/>
      <c r="E563" s="18"/>
      <c r="F563" s="70"/>
    </row>
    <row r="564" spans="2:6" ht="15.75" customHeight="1">
      <c r="B564" s="9"/>
      <c r="D564" s="77"/>
      <c r="E564" s="18"/>
      <c r="F564" s="70"/>
    </row>
    <row r="565" spans="2:6" ht="15.75" customHeight="1">
      <c r="B565" s="9"/>
      <c r="D565" s="77"/>
      <c r="E565" s="18"/>
      <c r="F565" s="70"/>
    </row>
    <row r="566" spans="2:6" ht="15.75" customHeight="1">
      <c r="B566" s="9"/>
      <c r="D566" s="77"/>
      <c r="E566" s="18"/>
      <c r="F566" s="70"/>
    </row>
    <row r="567" spans="2:6" ht="15.75" customHeight="1">
      <c r="B567" s="9"/>
      <c r="D567" s="77"/>
      <c r="E567" s="18"/>
      <c r="F567" s="70"/>
    </row>
    <row r="568" spans="2:6" ht="15.75" customHeight="1">
      <c r="B568" s="9"/>
      <c r="D568" s="77"/>
      <c r="E568" s="18"/>
      <c r="F568" s="70"/>
    </row>
    <row r="569" spans="2:6" ht="15.75" customHeight="1">
      <c r="B569" s="9"/>
      <c r="D569" s="77"/>
      <c r="E569" s="18"/>
      <c r="F569" s="70"/>
    </row>
    <row r="570" spans="2:6" ht="15.75" customHeight="1">
      <c r="B570" s="9"/>
      <c r="D570" s="77"/>
      <c r="E570" s="18"/>
      <c r="F570" s="70"/>
    </row>
    <row r="571" spans="2:6" ht="15.75" customHeight="1">
      <c r="B571" s="9"/>
      <c r="D571" s="77"/>
      <c r="E571" s="18"/>
      <c r="F571" s="70"/>
    </row>
    <row r="572" spans="2:6" ht="15.75" customHeight="1">
      <c r="B572" s="9"/>
      <c r="D572" s="77"/>
      <c r="E572" s="18"/>
      <c r="F572" s="70"/>
    </row>
    <row r="573" spans="2:6" ht="15.75" customHeight="1">
      <c r="B573" s="9"/>
      <c r="D573" s="77"/>
      <c r="E573" s="18"/>
      <c r="F573" s="70"/>
    </row>
    <row r="574" spans="2:6" ht="15.75" customHeight="1">
      <c r="B574" s="9"/>
      <c r="D574" s="77"/>
      <c r="E574" s="18"/>
      <c r="F574" s="70"/>
    </row>
    <row r="575" spans="2:6" ht="15.75" customHeight="1">
      <c r="B575" s="9"/>
      <c r="D575" s="77"/>
      <c r="E575" s="18"/>
      <c r="F575" s="70"/>
    </row>
    <row r="576" spans="2:6" ht="15.75" customHeight="1">
      <c r="B576" s="9"/>
      <c r="D576" s="77"/>
      <c r="E576" s="18"/>
      <c r="F576" s="70"/>
    </row>
    <row r="577" spans="2:6" ht="15.75" customHeight="1">
      <c r="B577" s="9"/>
      <c r="D577" s="77"/>
      <c r="E577" s="18"/>
      <c r="F577" s="70"/>
    </row>
    <row r="578" spans="2:6" ht="15.75" customHeight="1">
      <c r="B578" s="9"/>
      <c r="D578" s="77"/>
      <c r="E578" s="18"/>
      <c r="F578" s="70"/>
    </row>
    <row r="579" spans="2:6" ht="15.75" customHeight="1">
      <c r="B579" s="9"/>
      <c r="D579" s="77"/>
      <c r="E579" s="18"/>
      <c r="F579" s="70"/>
    </row>
    <row r="580" spans="2:6" ht="15.75" customHeight="1">
      <c r="B580" s="9"/>
      <c r="D580" s="77"/>
      <c r="E580" s="18"/>
      <c r="F580" s="70"/>
    </row>
    <row r="581" spans="2:6" ht="15.75" customHeight="1">
      <c r="B581" s="9"/>
      <c r="D581" s="77"/>
      <c r="E581" s="18"/>
      <c r="F581" s="70"/>
    </row>
    <row r="582" spans="2:6" ht="15.75" customHeight="1">
      <c r="B582" s="9"/>
      <c r="D582" s="77"/>
      <c r="E582" s="18"/>
      <c r="F582" s="70"/>
    </row>
    <row r="583" spans="2:6" ht="15.75" customHeight="1">
      <c r="B583" s="9"/>
      <c r="D583" s="77"/>
      <c r="E583" s="18"/>
      <c r="F583" s="70"/>
    </row>
    <row r="584" spans="2:6" ht="15.75" customHeight="1">
      <c r="B584" s="9"/>
      <c r="D584" s="77"/>
      <c r="E584" s="18"/>
      <c r="F584" s="70"/>
    </row>
    <row r="585" spans="2:6" ht="15.75" customHeight="1">
      <c r="B585" s="9"/>
      <c r="D585" s="77"/>
      <c r="E585" s="18"/>
      <c r="F585" s="70"/>
    </row>
    <row r="586" spans="2:6" ht="15.75" customHeight="1">
      <c r="B586" s="9"/>
      <c r="D586" s="77"/>
      <c r="E586" s="18"/>
      <c r="F586" s="70"/>
    </row>
    <row r="587" spans="2:6" ht="15.75" customHeight="1">
      <c r="B587" s="9"/>
      <c r="D587" s="77"/>
      <c r="E587" s="18"/>
      <c r="F587" s="70"/>
    </row>
    <row r="588" spans="2:6" ht="15.75" customHeight="1">
      <c r="B588" s="9"/>
      <c r="D588" s="77"/>
      <c r="E588" s="18"/>
      <c r="F588" s="70"/>
    </row>
    <row r="589" spans="2:6" ht="15.75" customHeight="1">
      <c r="B589" s="9"/>
      <c r="D589" s="77"/>
      <c r="E589" s="18"/>
      <c r="F589" s="70"/>
    </row>
    <row r="590" spans="2:6" ht="15.75" customHeight="1">
      <c r="B590" s="9"/>
      <c r="D590" s="77"/>
      <c r="E590" s="18"/>
      <c r="F590" s="70"/>
    </row>
    <row r="591" spans="2:6" ht="15.75" customHeight="1">
      <c r="B591" s="9"/>
      <c r="D591" s="77"/>
      <c r="E591" s="18"/>
      <c r="F591" s="70"/>
    </row>
    <row r="592" spans="2:6" ht="15.75" customHeight="1">
      <c r="B592" s="9"/>
      <c r="D592" s="77"/>
      <c r="E592" s="18"/>
      <c r="F592" s="70"/>
    </row>
    <row r="593" spans="2:6" ht="15.75" customHeight="1">
      <c r="B593" s="9"/>
      <c r="D593" s="77"/>
      <c r="E593" s="18"/>
      <c r="F593" s="70"/>
    </row>
    <row r="594" spans="2:6" ht="15.75" customHeight="1">
      <c r="B594" s="9"/>
      <c r="D594" s="77"/>
      <c r="E594" s="18"/>
      <c r="F594" s="70"/>
    </row>
    <row r="595" spans="2:6" ht="15.75" customHeight="1">
      <c r="B595" s="9"/>
      <c r="D595" s="77"/>
      <c r="E595" s="18"/>
      <c r="F595" s="70"/>
    </row>
    <row r="596" spans="2:6" ht="15.75" customHeight="1">
      <c r="B596" s="9"/>
      <c r="D596" s="77"/>
      <c r="E596" s="18"/>
      <c r="F596" s="70"/>
    </row>
    <row r="597" spans="2:6" ht="15.75" customHeight="1">
      <c r="B597" s="9"/>
      <c r="D597" s="77"/>
      <c r="E597" s="18"/>
      <c r="F597" s="70"/>
    </row>
    <row r="598" spans="2:6" ht="15.75" customHeight="1">
      <c r="B598" s="9"/>
      <c r="D598" s="77"/>
      <c r="E598" s="18"/>
      <c r="F598" s="70"/>
    </row>
    <row r="599" spans="2:6" ht="15.75" customHeight="1">
      <c r="B599" s="9"/>
      <c r="D599" s="77"/>
      <c r="E599" s="18"/>
      <c r="F599" s="70"/>
    </row>
    <row r="600" spans="2:6" ht="15.75" customHeight="1">
      <c r="B600" s="9"/>
      <c r="D600" s="77"/>
      <c r="E600" s="18"/>
      <c r="F600" s="70"/>
    </row>
    <row r="601" spans="2:6" ht="15.75" customHeight="1">
      <c r="B601" s="9"/>
      <c r="D601" s="77"/>
      <c r="E601" s="18"/>
      <c r="F601" s="70"/>
    </row>
    <row r="602" spans="2:6" ht="15.75" customHeight="1">
      <c r="B602" s="9"/>
      <c r="D602" s="77"/>
      <c r="E602" s="18"/>
      <c r="F602" s="70"/>
    </row>
    <row r="603" spans="2:6" ht="15.75" customHeight="1">
      <c r="B603" s="9"/>
      <c r="D603" s="77"/>
      <c r="E603" s="18"/>
      <c r="F603" s="70"/>
    </row>
    <row r="604" spans="2:6" ht="15.75" customHeight="1">
      <c r="B604" s="9"/>
      <c r="D604" s="77"/>
      <c r="E604" s="18"/>
      <c r="F604" s="70"/>
    </row>
    <row r="605" spans="2:6" ht="15.75" customHeight="1">
      <c r="B605" s="9"/>
      <c r="D605" s="77"/>
      <c r="E605" s="18"/>
      <c r="F605" s="70"/>
    </row>
    <row r="606" spans="2:6" ht="15.75" customHeight="1">
      <c r="B606" s="9"/>
      <c r="D606" s="77"/>
      <c r="E606" s="18"/>
      <c r="F606" s="70"/>
    </row>
    <row r="607" spans="2:6" ht="15.75" customHeight="1">
      <c r="B607" s="9"/>
      <c r="D607" s="77"/>
      <c r="E607" s="18"/>
      <c r="F607" s="70"/>
    </row>
    <row r="608" spans="2:6" ht="15.75" customHeight="1">
      <c r="B608" s="9"/>
      <c r="D608" s="77"/>
      <c r="E608" s="18"/>
      <c r="F608" s="70"/>
    </row>
    <row r="609" spans="2:6" ht="15.75" customHeight="1">
      <c r="B609" s="9"/>
      <c r="D609" s="77"/>
      <c r="E609" s="18"/>
      <c r="F609" s="70"/>
    </row>
    <row r="610" spans="2:6" ht="15.75" customHeight="1">
      <c r="B610" s="9"/>
      <c r="D610" s="77"/>
      <c r="E610" s="18"/>
      <c r="F610" s="70"/>
    </row>
    <row r="611" spans="2:6" ht="15.75" customHeight="1">
      <c r="B611" s="9"/>
      <c r="D611" s="77"/>
      <c r="E611" s="18"/>
      <c r="F611" s="70"/>
    </row>
    <row r="612" spans="2:6" ht="15.75" customHeight="1">
      <c r="B612" s="9"/>
      <c r="D612" s="77"/>
      <c r="E612" s="18"/>
      <c r="F612" s="70"/>
    </row>
    <row r="613" spans="2:6" ht="15.75" customHeight="1">
      <c r="B613" s="9"/>
      <c r="D613" s="77"/>
      <c r="E613" s="18"/>
      <c r="F613" s="70"/>
    </row>
    <row r="614" spans="2:6" ht="15.75" customHeight="1">
      <c r="B614" s="9"/>
      <c r="D614" s="77"/>
      <c r="E614" s="18"/>
      <c r="F614" s="70"/>
    </row>
    <row r="615" spans="2:6" ht="15.75" customHeight="1">
      <c r="B615" s="9"/>
      <c r="D615" s="77"/>
      <c r="E615" s="18"/>
      <c r="F615" s="70"/>
    </row>
    <row r="616" spans="2:6" ht="15.75" customHeight="1">
      <c r="B616" s="9"/>
      <c r="D616" s="77"/>
      <c r="E616" s="18"/>
      <c r="F616" s="70"/>
    </row>
    <row r="617" spans="2:6" ht="15.75" customHeight="1">
      <c r="B617" s="9"/>
      <c r="D617" s="77"/>
      <c r="E617" s="18"/>
      <c r="F617" s="70"/>
    </row>
    <row r="618" spans="2:6" ht="15.75" customHeight="1">
      <c r="B618" s="9"/>
      <c r="D618" s="77"/>
      <c r="E618" s="18"/>
      <c r="F618" s="70"/>
    </row>
    <row r="619" spans="2:6" ht="15.75" customHeight="1">
      <c r="B619" s="9"/>
      <c r="D619" s="77"/>
      <c r="E619" s="18"/>
      <c r="F619" s="70"/>
    </row>
    <row r="620" spans="2:6" ht="15.75" customHeight="1">
      <c r="B620" s="9"/>
      <c r="D620" s="77"/>
      <c r="E620" s="18"/>
      <c r="F620" s="70"/>
    </row>
    <row r="621" spans="2:6" ht="15.75" customHeight="1">
      <c r="B621" s="9"/>
      <c r="D621" s="77"/>
      <c r="E621" s="18"/>
      <c r="F621" s="70"/>
    </row>
    <row r="622" spans="2:6" ht="15.75" customHeight="1">
      <c r="B622" s="9"/>
      <c r="D622" s="77"/>
      <c r="E622" s="18"/>
      <c r="F622" s="70"/>
    </row>
    <row r="623" spans="2:6" ht="15.75" customHeight="1">
      <c r="B623" s="9"/>
      <c r="D623" s="77"/>
      <c r="E623" s="18"/>
      <c r="F623" s="70"/>
    </row>
    <row r="624" spans="2:6" ht="15.75" customHeight="1">
      <c r="B624" s="9"/>
      <c r="D624" s="77"/>
      <c r="E624" s="18"/>
      <c r="F624" s="70"/>
    </row>
    <row r="625" spans="2:6" ht="15.75" customHeight="1">
      <c r="B625" s="9"/>
      <c r="D625" s="77"/>
      <c r="E625" s="18"/>
      <c r="F625" s="70"/>
    </row>
    <row r="626" spans="2:6" ht="15.75" customHeight="1">
      <c r="B626" s="9"/>
      <c r="D626" s="77"/>
      <c r="E626" s="18"/>
      <c r="F626" s="70"/>
    </row>
    <row r="627" spans="2:6" ht="15.75" customHeight="1">
      <c r="B627" s="9"/>
      <c r="D627" s="77"/>
      <c r="E627" s="18"/>
      <c r="F627" s="70"/>
    </row>
    <row r="628" spans="2:6" ht="15.75" customHeight="1">
      <c r="B628" s="9"/>
      <c r="D628" s="77"/>
      <c r="E628" s="18"/>
      <c r="F628" s="70"/>
    </row>
    <row r="629" spans="2:6" ht="15.75" customHeight="1">
      <c r="B629" s="9"/>
      <c r="D629" s="77"/>
      <c r="E629" s="18"/>
      <c r="F629" s="70"/>
    </row>
    <row r="630" spans="2:6" ht="15.75" customHeight="1">
      <c r="B630" s="9"/>
      <c r="D630" s="77"/>
      <c r="E630" s="18"/>
      <c r="F630" s="70"/>
    </row>
    <row r="631" spans="2:6" ht="15.75" customHeight="1">
      <c r="B631" s="9"/>
      <c r="D631" s="77"/>
      <c r="E631" s="18"/>
      <c r="F631" s="70"/>
    </row>
    <row r="632" spans="2:6" ht="15.75" customHeight="1">
      <c r="B632" s="9"/>
      <c r="D632" s="77"/>
      <c r="E632" s="18"/>
      <c r="F632" s="70"/>
    </row>
    <row r="633" spans="2:6" ht="15.75" customHeight="1">
      <c r="B633" s="9"/>
      <c r="D633" s="77"/>
      <c r="E633" s="18"/>
      <c r="F633" s="70"/>
    </row>
    <row r="634" spans="2:6" ht="15.75" customHeight="1">
      <c r="B634" s="9"/>
      <c r="D634" s="77"/>
      <c r="E634" s="18"/>
      <c r="F634" s="70"/>
    </row>
    <row r="635" spans="2:6" ht="15.75" customHeight="1">
      <c r="B635" s="9"/>
      <c r="D635" s="77"/>
      <c r="E635" s="18"/>
      <c r="F635" s="70"/>
    </row>
    <row r="636" spans="2:6" ht="15.75" customHeight="1">
      <c r="B636" s="9"/>
      <c r="D636" s="77"/>
      <c r="E636" s="18"/>
      <c r="F636" s="70"/>
    </row>
    <row r="637" spans="2:6" ht="15.75" customHeight="1">
      <c r="B637" s="9"/>
      <c r="D637" s="77"/>
      <c r="E637" s="18"/>
      <c r="F637" s="70"/>
    </row>
    <row r="638" spans="2:6" ht="15.75" customHeight="1">
      <c r="B638" s="9"/>
      <c r="D638" s="77"/>
      <c r="E638" s="18"/>
      <c r="F638" s="70"/>
    </row>
    <row r="639" spans="2:6" ht="15.75" customHeight="1">
      <c r="B639" s="9"/>
      <c r="D639" s="77"/>
      <c r="E639" s="18"/>
      <c r="F639" s="70"/>
    </row>
    <row r="640" spans="2:6" ht="15.75" customHeight="1">
      <c r="B640" s="9"/>
      <c r="D640" s="77"/>
      <c r="E640" s="18"/>
      <c r="F640" s="70"/>
    </row>
    <row r="641" spans="2:6" ht="15.75" customHeight="1">
      <c r="B641" s="9"/>
      <c r="D641" s="77"/>
      <c r="E641" s="18"/>
      <c r="F641" s="70"/>
    </row>
    <row r="642" spans="2:6" ht="15.75" customHeight="1">
      <c r="B642" s="9"/>
      <c r="D642" s="77"/>
      <c r="E642" s="18"/>
      <c r="F642" s="70"/>
    </row>
    <row r="643" spans="2:6" ht="15.75" customHeight="1">
      <c r="B643" s="9"/>
      <c r="D643" s="77"/>
      <c r="E643" s="18"/>
      <c r="F643" s="70"/>
    </row>
    <row r="644" spans="2:6" ht="15.75" customHeight="1">
      <c r="B644" s="9"/>
      <c r="D644" s="77"/>
      <c r="E644" s="18"/>
      <c r="F644" s="70"/>
    </row>
    <row r="645" spans="2:6" ht="15.75" customHeight="1">
      <c r="B645" s="9"/>
      <c r="D645" s="77"/>
      <c r="E645" s="18"/>
      <c r="F645" s="70"/>
    </row>
    <row r="646" spans="2:6" ht="15.75" customHeight="1">
      <c r="B646" s="9"/>
      <c r="D646" s="77"/>
      <c r="E646" s="18"/>
      <c r="F646" s="70"/>
    </row>
    <row r="647" spans="2:6" ht="15.75" customHeight="1">
      <c r="B647" s="9"/>
      <c r="D647" s="77"/>
      <c r="E647" s="18"/>
      <c r="F647" s="70"/>
    </row>
    <row r="648" spans="2:6" ht="15.75" customHeight="1">
      <c r="B648" s="9"/>
      <c r="D648" s="77"/>
      <c r="E648" s="18"/>
      <c r="F648" s="70"/>
    </row>
    <row r="649" spans="2:6" ht="15.75" customHeight="1">
      <c r="B649" s="9"/>
      <c r="D649" s="77"/>
      <c r="E649" s="18"/>
      <c r="F649" s="70"/>
    </row>
    <row r="650" spans="2:6" ht="15.75" customHeight="1">
      <c r="B650" s="9"/>
      <c r="D650" s="77"/>
      <c r="E650" s="18"/>
      <c r="F650" s="70"/>
    </row>
    <row r="651" spans="2:6" ht="15.75" customHeight="1">
      <c r="B651" s="9"/>
      <c r="D651" s="77"/>
      <c r="E651" s="18"/>
      <c r="F651" s="70"/>
    </row>
    <row r="652" spans="2:6" ht="15.75" customHeight="1">
      <c r="B652" s="9"/>
      <c r="D652" s="77"/>
      <c r="E652" s="18"/>
      <c r="F652" s="70"/>
    </row>
    <row r="653" spans="2:6" ht="15.75" customHeight="1">
      <c r="B653" s="9"/>
      <c r="D653" s="77"/>
      <c r="E653" s="18"/>
      <c r="F653" s="70"/>
    </row>
    <row r="654" spans="2:6" ht="15.75" customHeight="1">
      <c r="B654" s="9"/>
      <c r="D654" s="77"/>
      <c r="E654" s="18"/>
      <c r="F654" s="70"/>
    </row>
    <row r="655" spans="2:6" ht="15.75" customHeight="1">
      <c r="B655" s="9"/>
      <c r="D655" s="77"/>
      <c r="E655" s="18"/>
      <c r="F655" s="70"/>
    </row>
    <row r="656" spans="2:6" ht="15.75" customHeight="1">
      <c r="B656" s="9"/>
      <c r="D656" s="77"/>
      <c r="E656" s="18"/>
      <c r="F656" s="70"/>
    </row>
    <row r="657" spans="2:6" ht="15.75" customHeight="1">
      <c r="B657" s="9"/>
      <c r="D657" s="77"/>
      <c r="E657" s="18"/>
      <c r="F657" s="70"/>
    </row>
    <row r="658" spans="2:6" ht="15.75" customHeight="1">
      <c r="B658" s="9"/>
      <c r="D658" s="77"/>
      <c r="E658" s="18"/>
      <c r="F658" s="70"/>
    </row>
    <row r="659" spans="2:6" ht="15.75" customHeight="1">
      <c r="B659" s="9"/>
      <c r="D659" s="77"/>
      <c r="E659" s="18"/>
      <c r="F659" s="70"/>
    </row>
    <row r="660" spans="2:6" ht="15.75" customHeight="1">
      <c r="B660" s="9"/>
      <c r="D660" s="77"/>
      <c r="E660" s="18"/>
      <c r="F660" s="70"/>
    </row>
    <row r="661" spans="2:6" ht="15.75" customHeight="1">
      <c r="B661" s="9"/>
      <c r="D661" s="77"/>
      <c r="E661" s="18"/>
      <c r="F661" s="70"/>
    </row>
    <row r="662" spans="2:6" ht="15.75" customHeight="1">
      <c r="B662" s="9"/>
      <c r="D662" s="77"/>
      <c r="E662" s="18"/>
      <c r="F662" s="70"/>
    </row>
    <row r="663" spans="2:6" ht="15.75" customHeight="1">
      <c r="B663" s="9"/>
      <c r="D663" s="77"/>
      <c r="E663" s="18"/>
      <c r="F663" s="70"/>
    </row>
    <row r="664" spans="2:6" ht="15.75" customHeight="1">
      <c r="B664" s="9"/>
      <c r="D664" s="77"/>
      <c r="E664" s="18"/>
      <c r="F664" s="70"/>
    </row>
    <row r="665" spans="2:6" ht="15.75" customHeight="1">
      <c r="B665" s="9"/>
      <c r="D665" s="77"/>
      <c r="E665" s="18"/>
      <c r="F665" s="70"/>
    </row>
    <row r="666" spans="2:6" ht="15.75" customHeight="1">
      <c r="B666" s="9"/>
      <c r="D666" s="77"/>
      <c r="E666" s="18"/>
      <c r="F666" s="70"/>
    </row>
    <row r="667" spans="2:6" ht="15.75" customHeight="1">
      <c r="B667" s="9"/>
      <c r="D667" s="77"/>
      <c r="E667" s="18"/>
      <c r="F667" s="70"/>
    </row>
    <row r="668" spans="2:6" ht="15.75" customHeight="1">
      <c r="B668" s="9"/>
      <c r="D668" s="77"/>
      <c r="E668" s="18"/>
      <c r="F668" s="70"/>
    </row>
    <row r="669" spans="2:6" ht="15.75" customHeight="1">
      <c r="B669" s="9"/>
      <c r="D669" s="77"/>
      <c r="E669" s="18"/>
      <c r="F669" s="70"/>
    </row>
    <row r="670" spans="2:6" ht="15.75" customHeight="1">
      <c r="B670" s="9"/>
      <c r="D670" s="77"/>
      <c r="E670" s="18"/>
      <c r="F670" s="70"/>
    </row>
    <row r="671" spans="2:6" ht="15.75" customHeight="1">
      <c r="B671" s="9"/>
      <c r="D671" s="77"/>
      <c r="E671" s="18"/>
      <c r="F671" s="70"/>
    </row>
    <row r="672" spans="2:6" ht="15.75" customHeight="1">
      <c r="B672" s="9"/>
      <c r="D672" s="77"/>
      <c r="E672" s="18"/>
      <c r="F672" s="70"/>
    </row>
    <row r="673" spans="2:6" ht="15.75" customHeight="1">
      <c r="B673" s="9"/>
      <c r="D673" s="77"/>
      <c r="E673" s="18"/>
      <c r="F673" s="70"/>
    </row>
    <row r="674" spans="2:6" ht="15.75" customHeight="1">
      <c r="B674" s="9"/>
      <c r="D674" s="77"/>
      <c r="E674" s="18"/>
      <c r="F674" s="70"/>
    </row>
    <row r="675" spans="2:6" ht="15.75" customHeight="1">
      <c r="B675" s="9"/>
      <c r="D675" s="77"/>
      <c r="E675" s="18"/>
      <c r="F675" s="70"/>
    </row>
    <row r="676" spans="2:6" ht="15.75" customHeight="1">
      <c r="B676" s="9"/>
      <c r="D676" s="77"/>
      <c r="E676" s="18"/>
      <c r="F676" s="70"/>
    </row>
    <row r="677" spans="2:6" ht="15.75" customHeight="1">
      <c r="B677" s="9"/>
      <c r="D677" s="77"/>
      <c r="E677" s="18"/>
      <c r="F677" s="70"/>
    </row>
    <row r="678" spans="2:6" ht="15.75" customHeight="1">
      <c r="B678" s="9"/>
      <c r="D678" s="77"/>
      <c r="E678" s="18"/>
      <c r="F678" s="70"/>
    </row>
    <row r="679" spans="2:6" ht="15.75" customHeight="1">
      <c r="B679" s="9"/>
      <c r="D679" s="77"/>
      <c r="E679" s="18"/>
      <c r="F679" s="70"/>
    </row>
    <row r="680" spans="2:6" ht="15.75" customHeight="1">
      <c r="B680" s="9"/>
      <c r="D680" s="77"/>
      <c r="E680" s="18"/>
      <c r="F680" s="70"/>
    </row>
    <row r="681" spans="2:6" ht="15.75" customHeight="1">
      <c r="B681" s="9"/>
      <c r="D681" s="77"/>
      <c r="E681" s="18"/>
      <c r="F681" s="70"/>
    </row>
    <row r="682" spans="2:6" ht="15.75" customHeight="1">
      <c r="B682" s="9"/>
      <c r="D682" s="77"/>
      <c r="E682" s="18"/>
      <c r="F682" s="70"/>
    </row>
    <row r="683" spans="2:6" ht="15.75" customHeight="1">
      <c r="B683" s="9"/>
      <c r="D683" s="77"/>
      <c r="E683" s="18"/>
      <c r="F683" s="70"/>
    </row>
    <row r="684" spans="2:6" ht="15.75" customHeight="1">
      <c r="B684" s="9"/>
      <c r="D684" s="77"/>
      <c r="E684" s="18"/>
      <c r="F684" s="70"/>
    </row>
    <row r="685" spans="2:6" ht="15.75" customHeight="1">
      <c r="B685" s="9"/>
      <c r="D685" s="77"/>
      <c r="E685" s="18"/>
      <c r="F685" s="70"/>
    </row>
    <row r="686" spans="2:6" ht="15.75" customHeight="1">
      <c r="B686" s="9"/>
      <c r="D686" s="77"/>
      <c r="E686" s="18"/>
      <c r="F686" s="70"/>
    </row>
    <row r="687" spans="2:6" ht="15.75" customHeight="1">
      <c r="B687" s="9"/>
      <c r="D687" s="77"/>
      <c r="E687" s="18"/>
      <c r="F687" s="70"/>
    </row>
    <row r="688" spans="2:6" ht="15.75" customHeight="1">
      <c r="B688" s="9"/>
      <c r="D688" s="77"/>
      <c r="E688" s="18"/>
      <c r="F688" s="70"/>
    </row>
    <row r="689" spans="2:6" ht="15.75" customHeight="1">
      <c r="B689" s="9"/>
      <c r="D689" s="77"/>
      <c r="E689" s="18"/>
      <c r="F689" s="70"/>
    </row>
    <row r="690" spans="2:6" ht="15.75" customHeight="1">
      <c r="B690" s="9"/>
      <c r="D690" s="77"/>
      <c r="E690" s="18"/>
      <c r="F690" s="70"/>
    </row>
    <row r="691" spans="2:6" ht="15.75" customHeight="1">
      <c r="B691" s="9"/>
      <c r="D691" s="77"/>
      <c r="E691" s="18"/>
      <c r="F691" s="70"/>
    </row>
    <row r="692" spans="2:6" ht="15.75" customHeight="1">
      <c r="B692" s="9"/>
      <c r="D692" s="77"/>
      <c r="E692" s="18"/>
      <c r="F692" s="70"/>
    </row>
    <row r="693" spans="2:6" ht="15.75" customHeight="1">
      <c r="B693" s="9"/>
      <c r="D693" s="77"/>
      <c r="E693" s="18"/>
      <c r="F693" s="70"/>
    </row>
    <row r="694" spans="2:6" ht="15.75" customHeight="1">
      <c r="B694" s="9"/>
      <c r="D694" s="77"/>
      <c r="E694" s="18"/>
      <c r="F694" s="70"/>
    </row>
    <row r="695" spans="2:6" ht="15.75" customHeight="1">
      <c r="B695" s="9"/>
      <c r="D695" s="77"/>
      <c r="E695" s="18"/>
      <c r="F695" s="70"/>
    </row>
    <row r="696" spans="2:6" ht="15.75" customHeight="1">
      <c r="B696" s="9"/>
      <c r="D696" s="77"/>
      <c r="E696" s="18"/>
      <c r="F696" s="70"/>
    </row>
    <row r="697" spans="2:6" ht="15.75" customHeight="1">
      <c r="B697" s="9"/>
      <c r="D697" s="77"/>
      <c r="E697" s="18"/>
      <c r="F697" s="70"/>
    </row>
    <row r="698" spans="2:6" ht="15.75" customHeight="1">
      <c r="B698" s="9"/>
      <c r="D698" s="77"/>
      <c r="E698" s="18"/>
      <c r="F698" s="70"/>
    </row>
    <row r="699" spans="2:6" ht="15.75" customHeight="1">
      <c r="B699" s="9"/>
      <c r="D699" s="77"/>
      <c r="E699" s="18"/>
      <c r="F699" s="70"/>
    </row>
    <row r="700" spans="2:6" ht="15.75" customHeight="1">
      <c r="B700" s="9"/>
      <c r="D700" s="77"/>
      <c r="E700" s="18"/>
      <c r="F700" s="70"/>
    </row>
    <row r="701" spans="2:6" ht="15.75" customHeight="1">
      <c r="B701" s="9"/>
      <c r="D701" s="77"/>
      <c r="E701" s="18"/>
      <c r="F701" s="70"/>
    </row>
    <row r="702" spans="2:6" ht="15.75" customHeight="1">
      <c r="B702" s="9"/>
      <c r="D702" s="77"/>
      <c r="E702" s="18"/>
      <c r="F702" s="70"/>
    </row>
    <row r="703" spans="2:6" ht="15.75" customHeight="1">
      <c r="B703" s="9"/>
      <c r="D703" s="77"/>
      <c r="E703" s="18"/>
      <c r="F703" s="70"/>
    </row>
    <row r="704" spans="2:6" ht="15.75" customHeight="1">
      <c r="B704" s="9"/>
      <c r="D704" s="77"/>
      <c r="E704" s="18"/>
      <c r="F704" s="70"/>
    </row>
    <row r="705" spans="2:6" ht="15.75" customHeight="1">
      <c r="B705" s="9"/>
      <c r="D705" s="77"/>
      <c r="E705" s="18"/>
      <c r="F705" s="70"/>
    </row>
    <row r="706" spans="2:6" ht="15.75" customHeight="1">
      <c r="B706" s="9"/>
      <c r="D706" s="77"/>
      <c r="E706" s="18"/>
      <c r="F706" s="70"/>
    </row>
    <row r="707" spans="2:6" ht="15.75" customHeight="1">
      <c r="B707" s="9"/>
      <c r="D707" s="77"/>
      <c r="E707" s="18"/>
      <c r="F707" s="70"/>
    </row>
    <row r="708" spans="2:6" ht="15.75" customHeight="1">
      <c r="B708" s="9"/>
      <c r="D708" s="77"/>
      <c r="E708" s="18"/>
      <c r="F708" s="70"/>
    </row>
    <row r="709" spans="2:6" ht="15.75" customHeight="1">
      <c r="B709" s="9"/>
      <c r="D709" s="77"/>
      <c r="E709" s="18"/>
      <c r="F709" s="70"/>
    </row>
    <row r="710" spans="2:6" ht="15.75" customHeight="1">
      <c r="B710" s="9"/>
      <c r="D710" s="77"/>
      <c r="E710" s="18"/>
      <c r="F710" s="70"/>
    </row>
    <row r="711" spans="2:6" ht="15.75" customHeight="1">
      <c r="B711" s="9"/>
      <c r="D711" s="77"/>
      <c r="E711" s="18"/>
      <c r="F711" s="70"/>
    </row>
    <row r="712" spans="2:6" ht="15.75" customHeight="1">
      <c r="B712" s="9"/>
      <c r="D712" s="77"/>
      <c r="E712" s="18"/>
      <c r="F712" s="70"/>
    </row>
    <row r="713" spans="2:6" ht="15.75" customHeight="1">
      <c r="B713" s="9"/>
      <c r="D713" s="77"/>
      <c r="E713" s="18"/>
      <c r="F713" s="70"/>
    </row>
    <row r="714" spans="2:6" ht="15.75" customHeight="1">
      <c r="B714" s="9"/>
      <c r="D714" s="77"/>
      <c r="E714" s="18"/>
      <c r="F714" s="70"/>
    </row>
    <row r="715" spans="2:6" ht="15.75" customHeight="1">
      <c r="B715" s="9"/>
      <c r="D715" s="77"/>
      <c r="E715" s="18"/>
      <c r="F715" s="70"/>
    </row>
    <row r="716" spans="2:6" ht="15.75" customHeight="1">
      <c r="B716" s="9"/>
      <c r="D716" s="77"/>
      <c r="E716" s="18"/>
      <c r="F716" s="70"/>
    </row>
    <row r="717" spans="2:6" ht="15.75" customHeight="1">
      <c r="B717" s="9"/>
      <c r="D717" s="77"/>
      <c r="E717" s="18"/>
      <c r="F717" s="70"/>
    </row>
    <row r="718" spans="2:6" ht="15.75" customHeight="1">
      <c r="B718" s="9"/>
      <c r="D718" s="77"/>
      <c r="E718" s="18"/>
      <c r="F718" s="70"/>
    </row>
    <row r="719" spans="2:6" ht="15.75" customHeight="1">
      <c r="B719" s="9"/>
      <c r="D719" s="77"/>
      <c r="E719" s="18"/>
      <c r="F719" s="70"/>
    </row>
    <row r="720" spans="2:6" ht="15.75" customHeight="1">
      <c r="B720" s="9"/>
      <c r="D720" s="77"/>
      <c r="E720" s="18"/>
      <c r="F720" s="70"/>
    </row>
    <row r="721" spans="2:6" ht="15.75" customHeight="1">
      <c r="B721" s="9"/>
      <c r="D721" s="77"/>
      <c r="E721" s="18"/>
      <c r="F721" s="70"/>
    </row>
    <row r="722" spans="2:6" ht="15.75" customHeight="1">
      <c r="B722" s="9"/>
      <c r="D722" s="77"/>
      <c r="E722" s="18"/>
      <c r="F722" s="70"/>
    </row>
    <row r="723" spans="2:6" ht="15.75" customHeight="1">
      <c r="B723" s="9"/>
      <c r="D723" s="77"/>
      <c r="E723" s="18"/>
      <c r="F723" s="70"/>
    </row>
    <row r="724" spans="2:6" ht="15.75" customHeight="1">
      <c r="B724" s="9"/>
      <c r="D724" s="77"/>
      <c r="E724" s="18"/>
      <c r="F724" s="70"/>
    </row>
    <row r="725" spans="2:6" ht="15.75" customHeight="1">
      <c r="B725" s="9"/>
      <c r="D725" s="77"/>
      <c r="E725" s="18"/>
      <c r="F725" s="70"/>
    </row>
    <row r="726" spans="2:6" ht="15.75" customHeight="1">
      <c r="B726" s="9"/>
      <c r="D726" s="77"/>
      <c r="E726" s="18"/>
      <c r="F726" s="70"/>
    </row>
    <row r="727" spans="2:6" ht="15.75" customHeight="1">
      <c r="B727" s="9"/>
      <c r="D727" s="77"/>
      <c r="E727" s="18"/>
      <c r="F727" s="70"/>
    </row>
    <row r="728" spans="2:6" ht="15.75" customHeight="1">
      <c r="B728" s="9"/>
      <c r="D728" s="77"/>
      <c r="E728" s="18"/>
      <c r="F728" s="70"/>
    </row>
    <row r="729" spans="2:6" ht="15.75" customHeight="1">
      <c r="B729" s="9"/>
      <c r="D729" s="77"/>
      <c r="E729" s="18"/>
      <c r="F729" s="70"/>
    </row>
    <row r="730" spans="2:6" ht="15.75" customHeight="1">
      <c r="B730" s="9"/>
      <c r="D730" s="77"/>
      <c r="E730" s="18"/>
      <c r="F730" s="70"/>
    </row>
    <row r="731" spans="2:6" ht="15.75" customHeight="1">
      <c r="B731" s="9"/>
      <c r="D731" s="77"/>
      <c r="E731" s="18"/>
      <c r="F731" s="70"/>
    </row>
    <row r="732" spans="2:6" ht="15.75" customHeight="1">
      <c r="B732" s="9"/>
      <c r="D732" s="77"/>
      <c r="E732" s="18"/>
      <c r="F732" s="70"/>
    </row>
    <row r="733" spans="2:6" ht="15.75" customHeight="1">
      <c r="B733" s="9"/>
      <c r="D733" s="77"/>
      <c r="E733" s="18"/>
      <c r="F733" s="70"/>
    </row>
    <row r="734" spans="2:6" ht="15.75" customHeight="1">
      <c r="B734" s="9"/>
      <c r="D734" s="77"/>
      <c r="E734" s="18"/>
      <c r="F734" s="70"/>
    </row>
    <row r="735" spans="2:6" ht="15.75" customHeight="1">
      <c r="B735" s="9"/>
      <c r="D735" s="77"/>
      <c r="E735" s="18"/>
      <c r="F735" s="70"/>
    </row>
    <row r="736" spans="2:6" ht="15.75" customHeight="1">
      <c r="B736" s="9"/>
      <c r="D736" s="77"/>
      <c r="E736" s="18"/>
      <c r="F736" s="70"/>
    </row>
    <row r="737" spans="2:6" ht="15.75" customHeight="1">
      <c r="B737" s="9"/>
      <c r="D737" s="77"/>
      <c r="E737" s="18"/>
      <c r="F737" s="70"/>
    </row>
    <row r="738" spans="2:6" ht="15.75" customHeight="1">
      <c r="B738" s="9"/>
      <c r="D738" s="77"/>
      <c r="E738" s="18"/>
      <c r="F738" s="70"/>
    </row>
    <row r="739" spans="2:6" ht="15.75" customHeight="1">
      <c r="B739" s="9"/>
      <c r="D739" s="77"/>
      <c r="E739" s="18"/>
      <c r="F739" s="70"/>
    </row>
    <row r="740" spans="2:6" ht="15.75" customHeight="1">
      <c r="B740" s="9"/>
      <c r="D740" s="77"/>
      <c r="E740" s="18"/>
      <c r="F740" s="70"/>
    </row>
    <row r="741" spans="2:6" ht="15.75" customHeight="1">
      <c r="B741" s="9"/>
      <c r="D741" s="77"/>
      <c r="E741" s="18"/>
      <c r="F741" s="70"/>
    </row>
    <row r="742" spans="2:6" ht="15.75" customHeight="1">
      <c r="B742" s="9"/>
      <c r="D742" s="77"/>
      <c r="E742" s="18"/>
      <c r="F742" s="70"/>
    </row>
    <row r="743" spans="2:6" ht="15.75" customHeight="1">
      <c r="B743" s="9"/>
      <c r="D743" s="77"/>
      <c r="E743" s="18"/>
      <c r="F743" s="70"/>
    </row>
    <row r="744" spans="2:6" ht="15.75" customHeight="1">
      <c r="B744" s="9"/>
      <c r="D744" s="77"/>
      <c r="E744" s="18"/>
      <c r="F744" s="70"/>
    </row>
    <row r="745" spans="2:6" ht="15.75" customHeight="1">
      <c r="B745" s="9"/>
      <c r="D745" s="77"/>
      <c r="E745" s="18"/>
      <c r="F745" s="70"/>
    </row>
    <row r="746" spans="2:6" ht="15.75" customHeight="1">
      <c r="B746" s="9"/>
      <c r="D746" s="77"/>
      <c r="E746" s="18"/>
      <c r="F746" s="70"/>
    </row>
    <row r="747" spans="2:6" ht="15.75" customHeight="1">
      <c r="B747" s="9"/>
      <c r="D747" s="77"/>
      <c r="E747" s="18"/>
      <c r="F747" s="70"/>
    </row>
    <row r="748" spans="2:6" ht="15.75" customHeight="1">
      <c r="B748" s="9"/>
      <c r="D748" s="77"/>
      <c r="E748" s="18"/>
      <c r="F748" s="70"/>
    </row>
    <row r="749" spans="2:6" ht="15.75" customHeight="1">
      <c r="B749" s="9"/>
      <c r="D749" s="77"/>
      <c r="E749" s="18"/>
      <c r="F749" s="70"/>
    </row>
    <row r="750" spans="2:6" ht="15.75" customHeight="1">
      <c r="B750" s="9"/>
      <c r="D750" s="77"/>
      <c r="E750" s="18"/>
      <c r="F750" s="70"/>
    </row>
    <row r="751" spans="2:6" ht="15.75" customHeight="1">
      <c r="B751" s="9"/>
      <c r="D751" s="77"/>
      <c r="E751" s="18"/>
      <c r="F751" s="70"/>
    </row>
    <row r="752" spans="2:6" ht="15.75" customHeight="1">
      <c r="B752" s="9"/>
      <c r="D752" s="77"/>
      <c r="E752" s="18"/>
      <c r="F752" s="70"/>
    </row>
    <row r="753" spans="2:6" ht="15.75" customHeight="1">
      <c r="B753" s="9"/>
      <c r="D753" s="77"/>
      <c r="E753" s="18"/>
      <c r="F753" s="70"/>
    </row>
    <row r="754" spans="2:6" ht="15.75" customHeight="1">
      <c r="B754" s="9"/>
      <c r="D754" s="77"/>
      <c r="E754" s="18"/>
      <c r="F754" s="70"/>
    </row>
    <row r="755" spans="2:6" ht="15.75" customHeight="1">
      <c r="B755" s="9"/>
      <c r="D755" s="77"/>
      <c r="E755" s="18"/>
      <c r="F755" s="70"/>
    </row>
    <row r="756" spans="2:6" ht="15.75" customHeight="1">
      <c r="B756" s="9"/>
      <c r="D756" s="77"/>
      <c r="E756" s="18"/>
      <c r="F756" s="70"/>
    </row>
    <row r="757" spans="2:6" ht="15.75" customHeight="1">
      <c r="B757" s="9"/>
      <c r="D757" s="77"/>
      <c r="E757" s="18"/>
      <c r="F757" s="70"/>
    </row>
    <row r="758" spans="2:6" ht="15.75" customHeight="1">
      <c r="B758" s="9"/>
      <c r="D758" s="77"/>
      <c r="E758" s="18"/>
      <c r="F758" s="70"/>
    </row>
    <row r="759" spans="2:6" ht="15.75" customHeight="1">
      <c r="B759" s="9"/>
      <c r="D759" s="77"/>
      <c r="E759" s="18"/>
      <c r="F759" s="70"/>
    </row>
    <row r="760" spans="2:6" ht="15.75" customHeight="1">
      <c r="B760" s="9"/>
      <c r="D760" s="77"/>
      <c r="E760" s="18"/>
      <c r="F760" s="70"/>
    </row>
    <row r="761" spans="2:6" ht="15.75" customHeight="1">
      <c r="B761" s="9"/>
      <c r="D761" s="77"/>
      <c r="E761" s="18"/>
      <c r="F761" s="70"/>
    </row>
    <row r="762" spans="2:6" ht="15.75" customHeight="1">
      <c r="B762" s="9"/>
      <c r="D762" s="77"/>
      <c r="E762" s="18"/>
      <c r="F762" s="70"/>
    </row>
    <row r="763" spans="2:6" ht="15.75" customHeight="1">
      <c r="B763" s="9"/>
      <c r="D763" s="77"/>
      <c r="E763" s="18"/>
      <c r="F763" s="70"/>
    </row>
    <row r="764" spans="2:6" ht="15.75" customHeight="1">
      <c r="B764" s="9"/>
      <c r="D764" s="77"/>
      <c r="E764" s="18"/>
      <c r="F764" s="70"/>
    </row>
    <row r="765" spans="2:6" ht="15.75" customHeight="1">
      <c r="B765" s="9"/>
      <c r="D765" s="77"/>
      <c r="E765" s="18"/>
      <c r="F765" s="70"/>
    </row>
    <row r="766" spans="2:6" ht="15.75" customHeight="1">
      <c r="B766" s="9"/>
      <c r="D766" s="77"/>
      <c r="E766" s="18"/>
      <c r="F766" s="70"/>
    </row>
    <row r="767" spans="2:6" ht="15.75" customHeight="1">
      <c r="B767" s="9"/>
      <c r="D767" s="77"/>
      <c r="E767" s="18"/>
      <c r="F767" s="70"/>
    </row>
    <row r="768" spans="2:6" ht="15.75" customHeight="1">
      <c r="B768" s="9"/>
      <c r="D768" s="77"/>
      <c r="E768" s="18"/>
      <c r="F768" s="70"/>
    </row>
    <row r="769" spans="2:6" ht="15.75" customHeight="1">
      <c r="B769" s="9"/>
      <c r="D769" s="77"/>
      <c r="E769" s="18"/>
      <c r="F769" s="70"/>
    </row>
    <row r="770" spans="2:6" ht="15.75" customHeight="1">
      <c r="B770" s="9"/>
      <c r="D770" s="77"/>
      <c r="E770" s="18"/>
      <c r="F770" s="70"/>
    </row>
    <row r="771" spans="2:6" ht="15.75" customHeight="1">
      <c r="B771" s="9"/>
      <c r="D771" s="77"/>
      <c r="E771" s="18"/>
      <c r="F771" s="70"/>
    </row>
    <row r="772" spans="2:6" ht="15.75" customHeight="1">
      <c r="B772" s="9"/>
      <c r="D772" s="77"/>
      <c r="E772" s="18"/>
      <c r="F772" s="70"/>
    </row>
    <row r="773" spans="2:6" ht="15.75" customHeight="1">
      <c r="B773" s="9"/>
      <c r="D773" s="77"/>
      <c r="E773" s="18"/>
      <c r="F773" s="70"/>
    </row>
    <row r="774" spans="2:6" ht="15.75" customHeight="1">
      <c r="B774" s="9"/>
      <c r="D774" s="77"/>
      <c r="E774" s="18"/>
      <c r="F774" s="70"/>
    </row>
    <row r="775" spans="2:6" ht="15.75" customHeight="1">
      <c r="B775" s="9"/>
      <c r="D775" s="77"/>
      <c r="E775" s="18"/>
      <c r="F775" s="70"/>
    </row>
    <row r="776" spans="2:6" ht="15.75" customHeight="1">
      <c r="B776" s="9"/>
      <c r="D776" s="77"/>
      <c r="E776" s="18"/>
      <c r="F776" s="70"/>
    </row>
    <row r="777" spans="2:6" ht="15.75" customHeight="1">
      <c r="B777" s="9"/>
      <c r="D777" s="77"/>
      <c r="E777" s="18"/>
      <c r="F777" s="70"/>
    </row>
    <row r="778" spans="2:6" ht="15.75" customHeight="1">
      <c r="B778" s="9"/>
      <c r="D778" s="77"/>
      <c r="E778" s="18"/>
      <c r="F778" s="70"/>
    </row>
    <row r="779" spans="2:6" ht="15.75" customHeight="1">
      <c r="B779" s="9"/>
      <c r="D779" s="77"/>
      <c r="E779" s="18"/>
      <c r="F779" s="70"/>
    </row>
    <row r="780" spans="2:6" ht="15.75" customHeight="1">
      <c r="B780" s="9"/>
      <c r="D780" s="77"/>
      <c r="E780" s="18"/>
      <c r="F780" s="70"/>
    </row>
    <row r="781" spans="2:6" ht="15.75" customHeight="1">
      <c r="B781" s="9"/>
      <c r="D781" s="77"/>
      <c r="E781" s="18"/>
      <c r="F781" s="70"/>
    </row>
    <row r="782" spans="2:6" ht="15.75" customHeight="1">
      <c r="B782" s="9"/>
      <c r="D782" s="77"/>
      <c r="E782" s="18"/>
      <c r="F782" s="70"/>
    </row>
    <row r="783" spans="2:6" ht="15.75" customHeight="1">
      <c r="B783" s="9"/>
      <c r="D783" s="77"/>
      <c r="E783" s="18"/>
      <c r="F783" s="70"/>
    </row>
    <row r="784" spans="2:6" ht="15.75" customHeight="1">
      <c r="B784" s="9"/>
      <c r="D784" s="77"/>
      <c r="E784" s="18"/>
      <c r="F784" s="70"/>
    </row>
    <row r="785" spans="2:6" ht="15.75" customHeight="1">
      <c r="B785" s="9"/>
      <c r="D785" s="77"/>
      <c r="E785" s="18"/>
      <c r="F785" s="70"/>
    </row>
    <row r="786" spans="2:6" ht="15.75" customHeight="1">
      <c r="B786" s="9"/>
      <c r="D786" s="77"/>
      <c r="E786" s="18"/>
      <c r="F786" s="70"/>
    </row>
    <row r="787" spans="2:6" ht="15.75" customHeight="1">
      <c r="B787" s="9"/>
      <c r="D787" s="77"/>
      <c r="E787" s="18"/>
      <c r="F787" s="70"/>
    </row>
    <row r="788" spans="2:6" ht="15.75" customHeight="1">
      <c r="B788" s="9"/>
      <c r="D788" s="77"/>
      <c r="E788" s="18"/>
      <c r="F788" s="70"/>
    </row>
    <row r="789" spans="2:6" ht="15.75" customHeight="1">
      <c r="B789" s="9"/>
      <c r="D789" s="77"/>
      <c r="E789" s="18"/>
      <c r="F789" s="70"/>
    </row>
    <row r="790" spans="2:6" ht="15.75" customHeight="1">
      <c r="B790" s="9"/>
      <c r="D790" s="77"/>
      <c r="E790" s="18"/>
      <c r="F790" s="70"/>
    </row>
    <row r="791" spans="2:6" ht="15.75" customHeight="1">
      <c r="B791" s="9"/>
      <c r="D791" s="77"/>
      <c r="E791" s="18"/>
      <c r="F791" s="70"/>
    </row>
    <row r="792" spans="2:6" ht="15.75" customHeight="1">
      <c r="B792" s="9"/>
      <c r="D792" s="77"/>
      <c r="E792" s="18"/>
      <c r="F792" s="70"/>
    </row>
    <row r="793" spans="2:6" ht="15.75" customHeight="1">
      <c r="B793" s="9"/>
      <c r="D793" s="77"/>
      <c r="E793" s="18"/>
      <c r="F793" s="70"/>
    </row>
    <row r="794" spans="2:6" ht="15.75" customHeight="1">
      <c r="B794" s="9"/>
      <c r="D794" s="77"/>
      <c r="E794" s="18"/>
      <c r="F794" s="70"/>
    </row>
    <row r="795" spans="2:6" ht="15.75" customHeight="1">
      <c r="B795" s="9"/>
      <c r="D795" s="77"/>
      <c r="E795" s="18"/>
      <c r="F795" s="70"/>
    </row>
    <row r="796" spans="2:6" ht="15.75" customHeight="1">
      <c r="B796" s="9"/>
      <c r="D796" s="77"/>
      <c r="E796" s="18"/>
      <c r="F796" s="70"/>
    </row>
    <row r="797" spans="2:6" ht="15.75" customHeight="1">
      <c r="B797" s="9"/>
      <c r="D797" s="77"/>
      <c r="E797" s="18"/>
      <c r="F797" s="70"/>
    </row>
    <row r="798" spans="2:6" ht="15.75" customHeight="1">
      <c r="B798" s="9"/>
      <c r="D798" s="77"/>
      <c r="E798" s="18"/>
      <c r="F798" s="70"/>
    </row>
    <row r="799" spans="2:6" ht="15.75" customHeight="1">
      <c r="B799" s="9"/>
      <c r="D799" s="77"/>
      <c r="E799" s="18"/>
      <c r="F799" s="70"/>
    </row>
    <row r="800" spans="2:6" ht="15.75" customHeight="1">
      <c r="B800" s="9"/>
      <c r="D800" s="77"/>
      <c r="E800" s="18"/>
      <c r="F800" s="70"/>
    </row>
    <row r="801" spans="2:6" ht="15.75" customHeight="1">
      <c r="B801" s="9"/>
      <c r="D801" s="77"/>
      <c r="E801" s="18"/>
      <c r="F801" s="70"/>
    </row>
    <row r="802" spans="2:6" ht="15.75" customHeight="1">
      <c r="B802" s="9"/>
      <c r="D802" s="77"/>
      <c r="E802" s="18"/>
      <c r="F802" s="70"/>
    </row>
    <row r="803" spans="2:6" ht="15.75" customHeight="1">
      <c r="B803" s="9"/>
      <c r="D803" s="77"/>
      <c r="E803" s="18"/>
      <c r="F803" s="70"/>
    </row>
    <row r="804" spans="2:6" ht="15.75" customHeight="1">
      <c r="B804" s="9"/>
      <c r="D804" s="77"/>
      <c r="E804" s="18"/>
      <c r="F804" s="70"/>
    </row>
    <row r="805" spans="2:6" ht="15.75" customHeight="1">
      <c r="B805" s="9"/>
      <c r="D805" s="77"/>
      <c r="E805" s="18"/>
      <c r="F805" s="70"/>
    </row>
    <row r="806" spans="2:6" ht="15.75" customHeight="1">
      <c r="B806" s="9"/>
      <c r="D806" s="77"/>
      <c r="E806" s="18"/>
      <c r="F806" s="70"/>
    </row>
    <row r="807" spans="2:6" ht="15.75" customHeight="1">
      <c r="B807" s="9"/>
      <c r="D807" s="77"/>
      <c r="E807" s="18"/>
      <c r="F807" s="70"/>
    </row>
    <row r="808" spans="2:6" ht="15.75" customHeight="1">
      <c r="B808" s="9"/>
      <c r="D808" s="77"/>
      <c r="E808" s="18"/>
      <c r="F808" s="70"/>
    </row>
    <row r="809" spans="2:6" ht="15.75" customHeight="1">
      <c r="B809" s="9"/>
      <c r="D809" s="77"/>
      <c r="E809" s="18"/>
      <c r="F809" s="70"/>
    </row>
    <row r="810" spans="2:6" ht="15.75" customHeight="1">
      <c r="B810" s="9"/>
      <c r="D810" s="77"/>
      <c r="E810" s="18"/>
      <c r="F810" s="70"/>
    </row>
    <row r="811" spans="2:6" ht="15.75" customHeight="1">
      <c r="B811" s="9"/>
      <c r="D811" s="77"/>
      <c r="E811" s="18"/>
      <c r="F811" s="70"/>
    </row>
    <row r="812" spans="2:6" ht="15.75" customHeight="1">
      <c r="B812" s="9"/>
      <c r="D812" s="77"/>
      <c r="E812" s="18"/>
      <c r="F812" s="70"/>
    </row>
    <row r="813" spans="2:6" ht="15.75" customHeight="1">
      <c r="B813" s="9"/>
      <c r="D813" s="77"/>
      <c r="E813" s="18"/>
      <c r="F813" s="70"/>
    </row>
    <row r="814" spans="2:6" ht="15.75" customHeight="1">
      <c r="B814" s="9"/>
      <c r="D814" s="77"/>
      <c r="E814" s="18"/>
      <c r="F814" s="70"/>
    </row>
    <row r="815" spans="2:6" ht="15.75" customHeight="1">
      <c r="B815" s="9"/>
      <c r="D815" s="77"/>
      <c r="E815" s="18"/>
      <c r="F815" s="70"/>
    </row>
    <row r="816" spans="2:6" ht="15.75" customHeight="1">
      <c r="B816" s="9"/>
      <c r="D816" s="77"/>
      <c r="E816" s="18"/>
      <c r="F816" s="70"/>
    </row>
    <row r="817" spans="2:6" ht="15.75" customHeight="1">
      <c r="B817" s="9"/>
      <c r="D817" s="77"/>
      <c r="E817" s="18"/>
      <c r="F817" s="70"/>
    </row>
    <row r="818" spans="2:6" ht="15.75" customHeight="1">
      <c r="B818" s="9"/>
      <c r="D818" s="77"/>
      <c r="E818" s="18"/>
      <c r="F818" s="70"/>
    </row>
    <row r="819" spans="2:6" ht="15.75" customHeight="1">
      <c r="B819" s="9"/>
      <c r="D819" s="77"/>
      <c r="E819" s="18"/>
      <c r="F819" s="70"/>
    </row>
    <row r="820" spans="2:6" ht="15.75" customHeight="1">
      <c r="B820" s="9"/>
      <c r="D820" s="77"/>
      <c r="E820" s="18"/>
      <c r="F820" s="70"/>
    </row>
    <row r="821" spans="2:6" ht="15.75" customHeight="1">
      <c r="B821" s="9"/>
      <c r="D821" s="77"/>
      <c r="E821" s="18"/>
      <c r="F821" s="70"/>
    </row>
    <row r="822" spans="2:6" ht="15.75" customHeight="1">
      <c r="B822" s="9"/>
      <c r="D822" s="77"/>
      <c r="E822" s="18"/>
      <c r="F822" s="70"/>
    </row>
    <row r="823" spans="2:6" ht="15.75" customHeight="1">
      <c r="B823" s="9"/>
      <c r="D823" s="77"/>
      <c r="E823" s="18"/>
      <c r="F823" s="70"/>
    </row>
    <row r="824" spans="2:6" ht="15.75" customHeight="1">
      <c r="B824" s="9"/>
      <c r="D824" s="77"/>
      <c r="E824" s="18"/>
      <c r="F824" s="70"/>
    </row>
    <row r="825" spans="2:6" ht="15.75" customHeight="1">
      <c r="B825" s="9"/>
      <c r="D825" s="77"/>
      <c r="E825" s="18"/>
      <c r="F825" s="70"/>
    </row>
    <row r="826" spans="2:6" ht="15.75" customHeight="1">
      <c r="B826" s="9"/>
      <c r="D826" s="77"/>
      <c r="E826" s="18"/>
      <c r="F826" s="70"/>
    </row>
    <row r="827" spans="2:6" ht="15.75" customHeight="1">
      <c r="B827" s="9"/>
      <c r="D827" s="77"/>
      <c r="E827" s="18"/>
      <c r="F827" s="70"/>
    </row>
    <row r="828" spans="2:6" ht="15.75" customHeight="1">
      <c r="B828" s="9"/>
      <c r="D828" s="77"/>
      <c r="E828" s="18"/>
      <c r="F828" s="70"/>
    </row>
    <row r="829" spans="2:6" ht="15.75" customHeight="1">
      <c r="B829" s="9"/>
      <c r="D829" s="77"/>
      <c r="E829" s="18"/>
      <c r="F829" s="70"/>
    </row>
    <row r="830" spans="2:6" ht="15.75" customHeight="1">
      <c r="B830" s="9"/>
      <c r="D830" s="77"/>
      <c r="E830" s="18"/>
      <c r="F830" s="70"/>
    </row>
    <row r="831" spans="2:6" ht="15.75" customHeight="1">
      <c r="B831" s="9"/>
      <c r="D831" s="77"/>
      <c r="E831" s="18"/>
      <c r="F831" s="70"/>
    </row>
    <row r="832" spans="2:6" ht="15.75" customHeight="1">
      <c r="B832" s="9"/>
      <c r="D832" s="77"/>
      <c r="E832" s="18"/>
      <c r="F832" s="70"/>
    </row>
    <row r="833" spans="2:6" ht="15.75" customHeight="1">
      <c r="B833" s="9"/>
      <c r="D833" s="77"/>
      <c r="E833" s="18"/>
      <c r="F833" s="70"/>
    </row>
    <row r="834" spans="2:6" ht="15.75" customHeight="1">
      <c r="B834" s="9"/>
      <c r="D834" s="77"/>
      <c r="E834" s="18"/>
      <c r="F834" s="70"/>
    </row>
    <row r="835" spans="2:6" ht="15.75" customHeight="1">
      <c r="B835" s="9"/>
      <c r="D835" s="77"/>
      <c r="E835" s="18"/>
      <c r="F835" s="70"/>
    </row>
    <row r="836" spans="2:6" ht="15.75" customHeight="1">
      <c r="B836" s="9"/>
      <c r="D836" s="77"/>
      <c r="E836" s="18"/>
      <c r="F836" s="70"/>
    </row>
    <row r="837" spans="2:6" ht="15.75" customHeight="1">
      <c r="B837" s="9"/>
      <c r="D837" s="77"/>
      <c r="E837" s="18"/>
      <c r="F837" s="70"/>
    </row>
    <row r="838" spans="2:6" ht="15.75" customHeight="1">
      <c r="B838" s="9"/>
      <c r="D838" s="77"/>
      <c r="E838" s="18"/>
      <c r="F838" s="70"/>
    </row>
    <row r="839" spans="2:6" ht="15.75" customHeight="1">
      <c r="B839" s="9"/>
      <c r="D839" s="77"/>
      <c r="E839" s="18"/>
      <c r="F839" s="70"/>
    </row>
    <row r="840" spans="2:6" ht="15.75" customHeight="1">
      <c r="B840" s="9"/>
      <c r="D840" s="77"/>
      <c r="E840" s="18"/>
      <c r="F840" s="70"/>
    </row>
    <row r="841" spans="2:6" ht="15.75" customHeight="1">
      <c r="B841" s="9"/>
      <c r="D841" s="77"/>
      <c r="E841" s="18"/>
      <c r="F841" s="70"/>
    </row>
    <row r="842" spans="2:6" ht="15.75" customHeight="1">
      <c r="B842" s="9"/>
      <c r="D842" s="77"/>
      <c r="E842" s="18"/>
      <c r="F842" s="70"/>
    </row>
    <row r="843" spans="2:6" ht="15.75" customHeight="1">
      <c r="B843" s="9"/>
      <c r="D843" s="77"/>
      <c r="E843" s="18"/>
      <c r="F843" s="70"/>
    </row>
    <row r="844" spans="2:6" ht="15.75" customHeight="1">
      <c r="B844" s="9"/>
      <c r="D844" s="77"/>
      <c r="E844" s="18"/>
      <c r="F844" s="70"/>
    </row>
    <row r="845" spans="2:6" ht="15.75" customHeight="1">
      <c r="B845" s="9"/>
      <c r="D845" s="77"/>
      <c r="E845" s="18"/>
      <c r="F845" s="70"/>
    </row>
    <row r="846" spans="2:6" ht="15.75" customHeight="1">
      <c r="B846" s="9"/>
      <c r="D846" s="77"/>
      <c r="E846" s="18"/>
      <c r="F846" s="70"/>
    </row>
    <row r="847" spans="2:6" ht="15.75" customHeight="1">
      <c r="B847" s="9"/>
      <c r="D847" s="77"/>
      <c r="E847" s="18"/>
      <c r="F847" s="70"/>
    </row>
    <row r="848" spans="2:6" ht="15.75" customHeight="1">
      <c r="B848" s="9"/>
      <c r="D848" s="77"/>
      <c r="E848" s="18"/>
      <c r="F848" s="70"/>
    </row>
    <row r="849" spans="2:6" ht="15.75" customHeight="1">
      <c r="B849" s="9"/>
      <c r="D849" s="77"/>
      <c r="E849" s="18"/>
      <c r="F849" s="70"/>
    </row>
    <row r="850" spans="2:6" ht="15.75" customHeight="1">
      <c r="B850" s="9"/>
      <c r="D850" s="77"/>
      <c r="E850" s="18"/>
      <c r="F850" s="70"/>
    </row>
    <row r="851" spans="2:6" ht="15.75" customHeight="1">
      <c r="B851" s="9"/>
      <c r="D851" s="77"/>
      <c r="E851" s="18"/>
      <c r="F851" s="70"/>
    </row>
    <row r="852" spans="2:6" ht="15.75" customHeight="1">
      <c r="B852" s="9"/>
      <c r="D852" s="77"/>
      <c r="E852" s="18"/>
      <c r="F852" s="70"/>
    </row>
    <row r="853" spans="2:6" ht="15.75" customHeight="1">
      <c r="B853" s="9"/>
      <c r="D853" s="77"/>
      <c r="E853" s="18"/>
      <c r="F853" s="70"/>
    </row>
    <row r="854" spans="2:6" ht="15.75" customHeight="1">
      <c r="B854" s="9"/>
      <c r="D854" s="77"/>
      <c r="E854" s="18"/>
      <c r="F854" s="70"/>
    </row>
    <row r="855" spans="2:6" ht="15.75" customHeight="1">
      <c r="B855" s="9"/>
      <c r="D855" s="77"/>
      <c r="E855" s="18"/>
      <c r="F855" s="70"/>
    </row>
    <row r="856" spans="2:6" ht="15.75" customHeight="1">
      <c r="B856" s="9"/>
      <c r="D856" s="77"/>
      <c r="E856" s="18"/>
      <c r="F856" s="70"/>
    </row>
    <row r="857" spans="2:6" ht="15.75" customHeight="1">
      <c r="B857" s="9"/>
      <c r="D857" s="77"/>
      <c r="E857" s="18"/>
      <c r="F857" s="70"/>
    </row>
    <row r="858" spans="2:6" ht="15.75" customHeight="1">
      <c r="B858" s="9"/>
      <c r="D858" s="77"/>
      <c r="E858" s="18"/>
      <c r="F858" s="70"/>
    </row>
    <row r="859" spans="2:6" ht="15.75" customHeight="1">
      <c r="B859" s="9"/>
      <c r="D859" s="77"/>
      <c r="E859" s="18"/>
      <c r="F859" s="70"/>
    </row>
    <row r="860" spans="2:6" ht="15.75" customHeight="1">
      <c r="B860" s="9"/>
      <c r="D860" s="77"/>
      <c r="E860" s="18"/>
      <c r="F860" s="70"/>
    </row>
    <row r="861" spans="2:6" ht="15.75" customHeight="1">
      <c r="B861" s="9"/>
      <c r="D861" s="77"/>
      <c r="E861" s="18"/>
      <c r="F861" s="70"/>
    </row>
    <row r="862" spans="2:6" ht="15.75" customHeight="1">
      <c r="B862" s="9"/>
      <c r="D862" s="77"/>
      <c r="E862" s="18"/>
      <c r="F862" s="70"/>
    </row>
    <row r="863" spans="2:6" ht="15.75" customHeight="1">
      <c r="B863" s="9"/>
      <c r="D863" s="77"/>
      <c r="E863" s="18"/>
      <c r="F863" s="70"/>
    </row>
    <row r="864" spans="2:6" ht="15.75" customHeight="1">
      <c r="B864" s="9"/>
      <c r="D864" s="77"/>
      <c r="E864" s="18"/>
      <c r="F864" s="70"/>
    </row>
    <row r="865" spans="2:6" ht="15.75" customHeight="1">
      <c r="B865" s="9"/>
      <c r="D865" s="77"/>
      <c r="E865" s="18"/>
      <c r="F865" s="70"/>
    </row>
    <row r="866" spans="2:6" ht="15.75" customHeight="1">
      <c r="B866" s="9"/>
      <c r="D866" s="77"/>
      <c r="E866" s="18"/>
      <c r="F866" s="70"/>
    </row>
    <row r="867" spans="2:6" ht="15.75" customHeight="1">
      <c r="B867" s="9"/>
      <c r="D867" s="77"/>
      <c r="E867" s="18"/>
      <c r="F867" s="70"/>
    </row>
    <row r="868" spans="2:6" ht="15.75" customHeight="1">
      <c r="B868" s="9"/>
      <c r="D868" s="77"/>
      <c r="E868" s="18"/>
      <c r="F868" s="70"/>
    </row>
    <row r="869" spans="2:6" ht="15.75" customHeight="1">
      <c r="B869" s="9"/>
      <c r="D869" s="77"/>
      <c r="E869" s="18"/>
      <c r="F869" s="70"/>
    </row>
    <row r="870" spans="2:6" ht="15.75" customHeight="1">
      <c r="B870" s="9"/>
      <c r="D870" s="77"/>
      <c r="E870" s="18"/>
      <c r="F870" s="70"/>
    </row>
    <row r="871" spans="2:6" ht="15.75" customHeight="1">
      <c r="B871" s="9"/>
      <c r="D871" s="77"/>
      <c r="E871" s="18"/>
      <c r="F871" s="70"/>
    </row>
    <row r="872" spans="2:6" ht="15.75" customHeight="1">
      <c r="B872" s="9"/>
      <c r="D872" s="77"/>
      <c r="E872" s="18"/>
      <c r="F872" s="70"/>
    </row>
    <row r="873" spans="2:6" ht="15.75" customHeight="1">
      <c r="B873" s="9"/>
      <c r="D873" s="77"/>
      <c r="E873" s="18"/>
      <c r="F873" s="70"/>
    </row>
    <row r="874" spans="2:6" ht="15.75" customHeight="1">
      <c r="B874" s="9"/>
      <c r="D874" s="77"/>
      <c r="E874" s="18"/>
      <c r="F874" s="70"/>
    </row>
    <row r="875" spans="2:6" ht="15.75" customHeight="1">
      <c r="B875" s="9"/>
      <c r="D875" s="77"/>
      <c r="E875" s="18"/>
      <c r="F875" s="70"/>
    </row>
    <row r="876" spans="2:6" ht="15.75" customHeight="1">
      <c r="B876" s="9"/>
      <c r="D876" s="77"/>
      <c r="E876" s="18"/>
      <c r="F876" s="70"/>
    </row>
    <row r="877" spans="2:6" ht="15.75" customHeight="1">
      <c r="B877" s="9"/>
      <c r="D877" s="77"/>
      <c r="E877" s="18"/>
      <c r="F877" s="70"/>
    </row>
    <row r="878" spans="2:6" ht="15.75" customHeight="1">
      <c r="B878" s="9"/>
      <c r="D878" s="77"/>
      <c r="E878" s="18"/>
      <c r="F878" s="70"/>
    </row>
    <row r="879" spans="2:6" ht="15.75" customHeight="1">
      <c r="B879" s="9"/>
      <c r="D879" s="77"/>
      <c r="E879" s="18"/>
      <c r="F879" s="70"/>
    </row>
    <row r="880" spans="2:6" ht="15.75" customHeight="1">
      <c r="B880" s="9"/>
      <c r="D880" s="77"/>
      <c r="E880" s="18"/>
      <c r="F880" s="70"/>
    </row>
    <row r="881" spans="2:6" ht="15.75" customHeight="1">
      <c r="B881" s="9"/>
      <c r="D881" s="77"/>
      <c r="E881" s="18"/>
      <c r="F881" s="70"/>
    </row>
    <row r="882" spans="2:6" ht="15.75" customHeight="1">
      <c r="B882" s="9"/>
      <c r="D882" s="77"/>
      <c r="E882" s="18"/>
      <c r="F882" s="70"/>
    </row>
    <row r="883" spans="2:6" ht="15.75" customHeight="1">
      <c r="B883" s="9"/>
      <c r="D883" s="77"/>
      <c r="E883" s="18"/>
      <c r="F883" s="70"/>
    </row>
    <row r="884" spans="2:6" ht="15.75" customHeight="1">
      <c r="B884" s="9"/>
      <c r="D884" s="77"/>
      <c r="E884" s="18"/>
      <c r="F884" s="70"/>
    </row>
    <row r="885" spans="2:6" ht="15.75" customHeight="1">
      <c r="B885" s="9"/>
      <c r="D885" s="77"/>
      <c r="E885" s="18"/>
      <c r="F885" s="70"/>
    </row>
    <row r="886" spans="2:6" ht="15.75" customHeight="1">
      <c r="B886" s="9"/>
      <c r="D886" s="77"/>
      <c r="E886" s="18"/>
      <c r="F886" s="70"/>
    </row>
    <row r="887" spans="2:6" ht="15.75" customHeight="1">
      <c r="B887" s="9"/>
      <c r="D887" s="77"/>
      <c r="E887" s="18"/>
      <c r="F887" s="70"/>
    </row>
    <row r="888" spans="2:6" ht="15.75" customHeight="1">
      <c r="B888" s="9"/>
      <c r="D888" s="77"/>
      <c r="E888" s="18"/>
      <c r="F888" s="70"/>
    </row>
    <row r="889" spans="2:6" ht="15.75" customHeight="1">
      <c r="B889" s="9"/>
      <c r="D889" s="77"/>
      <c r="E889" s="18"/>
      <c r="F889" s="70"/>
    </row>
    <row r="890" spans="2:6" ht="15.75" customHeight="1">
      <c r="B890" s="9"/>
      <c r="D890" s="77"/>
      <c r="E890" s="18"/>
      <c r="F890" s="70"/>
    </row>
    <row r="891" spans="2:6" ht="15.75" customHeight="1">
      <c r="B891" s="9"/>
      <c r="D891" s="77"/>
      <c r="E891" s="18"/>
      <c r="F891" s="70"/>
    </row>
    <row r="892" spans="2:6" ht="15.75" customHeight="1">
      <c r="B892" s="9"/>
      <c r="D892" s="77"/>
      <c r="E892" s="18"/>
      <c r="F892" s="70"/>
    </row>
    <row r="893" spans="2:6" ht="15.75" customHeight="1">
      <c r="B893" s="9"/>
      <c r="D893" s="77"/>
      <c r="E893" s="18"/>
      <c r="F893" s="70"/>
    </row>
    <row r="894" spans="2:6" ht="15.75" customHeight="1">
      <c r="B894" s="9"/>
      <c r="D894" s="77"/>
      <c r="E894" s="18"/>
      <c r="F894" s="70"/>
    </row>
    <row r="895" spans="2:6" ht="15.75" customHeight="1">
      <c r="B895" s="9"/>
      <c r="D895" s="77"/>
      <c r="E895" s="18"/>
      <c r="F895" s="70"/>
    </row>
    <row r="896" spans="2:6" ht="15.75" customHeight="1">
      <c r="B896" s="9"/>
      <c r="D896" s="77"/>
      <c r="E896" s="18"/>
      <c r="F896" s="70"/>
    </row>
    <row r="897" spans="2:6" ht="15.75" customHeight="1">
      <c r="B897" s="9"/>
      <c r="D897" s="77"/>
      <c r="E897" s="18"/>
      <c r="F897" s="70"/>
    </row>
    <row r="898" spans="2:6" ht="15.75" customHeight="1">
      <c r="B898" s="9"/>
      <c r="D898" s="77"/>
      <c r="E898" s="18"/>
      <c r="F898" s="70"/>
    </row>
    <row r="899" spans="2:6" ht="15.75" customHeight="1">
      <c r="B899" s="9"/>
      <c r="D899" s="77"/>
      <c r="E899" s="18"/>
      <c r="F899" s="70"/>
    </row>
    <row r="900" spans="2:6" ht="15.75" customHeight="1">
      <c r="B900" s="9"/>
      <c r="D900" s="77"/>
      <c r="E900" s="18"/>
      <c r="F900" s="70"/>
    </row>
    <row r="901" spans="2:6" ht="15.75" customHeight="1">
      <c r="B901" s="9"/>
      <c r="D901" s="77"/>
      <c r="E901" s="18"/>
      <c r="F901" s="70"/>
    </row>
    <row r="902" spans="2:6" ht="15.75" customHeight="1">
      <c r="B902" s="9"/>
      <c r="D902" s="77"/>
      <c r="E902" s="18"/>
      <c r="F902" s="70"/>
    </row>
    <row r="903" spans="2:6" ht="15.75" customHeight="1">
      <c r="B903" s="9"/>
      <c r="D903" s="77"/>
      <c r="E903" s="18"/>
      <c r="F903" s="70"/>
    </row>
    <row r="904" spans="2:6" ht="15.75" customHeight="1">
      <c r="B904" s="9"/>
      <c r="D904" s="77"/>
      <c r="E904" s="18"/>
      <c r="F904" s="70"/>
    </row>
    <row r="905" spans="2:6" ht="15.75" customHeight="1">
      <c r="B905" s="9"/>
      <c r="D905" s="77"/>
      <c r="E905" s="18"/>
      <c r="F905" s="70"/>
    </row>
    <row r="906" spans="2:6" ht="15.75" customHeight="1">
      <c r="B906" s="9"/>
      <c r="D906" s="77"/>
      <c r="E906" s="18"/>
      <c r="F906" s="70"/>
    </row>
    <row r="907" spans="2:6" ht="15.75" customHeight="1">
      <c r="B907" s="9"/>
      <c r="D907" s="77"/>
      <c r="E907" s="18"/>
      <c r="F907" s="70"/>
    </row>
    <row r="908" spans="2:6" ht="15.75" customHeight="1">
      <c r="B908" s="9"/>
      <c r="D908" s="77"/>
      <c r="E908" s="18"/>
      <c r="F908" s="70"/>
    </row>
    <row r="909" spans="2:6" ht="15.75" customHeight="1">
      <c r="B909" s="9"/>
      <c r="D909" s="77"/>
      <c r="E909" s="18"/>
      <c r="F909" s="70"/>
    </row>
    <row r="910" spans="2:6" ht="15.75" customHeight="1">
      <c r="B910" s="9"/>
      <c r="D910" s="77"/>
      <c r="E910" s="18"/>
      <c r="F910" s="70"/>
    </row>
    <row r="911" spans="2:6" ht="15.75" customHeight="1">
      <c r="B911" s="9"/>
      <c r="D911" s="77"/>
      <c r="E911" s="18"/>
      <c r="F911" s="70"/>
    </row>
    <row r="912" spans="2:6" ht="15.75" customHeight="1">
      <c r="B912" s="9"/>
      <c r="D912" s="77"/>
      <c r="E912" s="18"/>
      <c r="F912" s="70"/>
    </row>
    <row r="913" spans="2:6" ht="15.75" customHeight="1">
      <c r="B913" s="9"/>
      <c r="D913" s="77"/>
      <c r="E913" s="18"/>
      <c r="F913" s="70"/>
    </row>
    <row r="914" spans="2:6" ht="15.75" customHeight="1">
      <c r="B914" s="9"/>
      <c r="D914" s="77"/>
      <c r="E914" s="18"/>
      <c r="F914" s="70"/>
    </row>
    <row r="915" spans="2:6" ht="15.75" customHeight="1">
      <c r="B915" s="9"/>
      <c r="D915" s="77"/>
      <c r="E915" s="18"/>
      <c r="F915" s="70"/>
    </row>
    <row r="916" spans="2:6" ht="15.75" customHeight="1">
      <c r="B916" s="9"/>
      <c r="D916" s="77"/>
      <c r="E916" s="18"/>
      <c r="F916" s="70"/>
    </row>
    <row r="917" spans="2:6" ht="15.75" customHeight="1">
      <c r="B917" s="9"/>
      <c r="D917" s="77"/>
      <c r="E917" s="18"/>
      <c r="F917" s="70"/>
    </row>
    <row r="918" spans="2:6" ht="15.75" customHeight="1">
      <c r="B918" s="9"/>
      <c r="D918" s="77"/>
      <c r="E918" s="18"/>
      <c r="F918" s="70"/>
    </row>
    <row r="919" spans="2:6" ht="15.75" customHeight="1">
      <c r="B919" s="9"/>
      <c r="D919" s="77"/>
      <c r="E919" s="18"/>
      <c r="F919" s="70"/>
    </row>
    <row r="920" spans="2:6" ht="15.75" customHeight="1">
      <c r="B920" s="9"/>
      <c r="D920" s="77"/>
      <c r="E920" s="18"/>
      <c r="F920" s="70"/>
    </row>
    <row r="921" spans="2:6" ht="15.75" customHeight="1">
      <c r="B921" s="9"/>
      <c r="D921" s="77"/>
      <c r="E921" s="18"/>
      <c r="F921" s="70"/>
    </row>
    <row r="922" spans="2:6" ht="15.75" customHeight="1">
      <c r="B922" s="9"/>
      <c r="D922" s="77"/>
      <c r="E922" s="18"/>
      <c r="F922" s="70"/>
    </row>
    <row r="923" spans="2:6" ht="15.75" customHeight="1">
      <c r="B923" s="9"/>
      <c r="D923" s="77"/>
      <c r="E923" s="18"/>
      <c r="F923" s="70"/>
    </row>
    <row r="924" spans="2:6" ht="15.75" customHeight="1">
      <c r="B924" s="9"/>
      <c r="D924" s="77"/>
      <c r="E924" s="18"/>
      <c r="F924" s="70"/>
    </row>
    <row r="925" spans="2:6" ht="15.75" customHeight="1">
      <c r="B925" s="9"/>
      <c r="D925" s="77"/>
      <c r="E925" s="18"/>
      <c r="F925" s="70"/>
    </row>
    <row r="926" spans="2:6" ht="15.75" customHeight="1">
      <c r="B926" s="9"/>
      <c r="D926" s="77"/>
      <c r="E926" s="18"/>
      <c r="F926" s="70"/>
    </row>
    <row r="927" spans="2:6" ht="15.75" customHeight="1">
      <c r="B927" s="9"/>
      <c r="D927" s="77"/>
      <c r="E927" s="18"/>
      <c r="F927" s="70"/>
    </row>
    <row r="928" spans="2:6" ht="15.75" customHeight="1">
      <c r="B928" s="9"/>
      <c r="D928" s="77"/>
      <c r="E928" s="18"/>
      <c r="F928" s="70"/>
    </row>
    <row r="929" spans="2:6" ht="15.75" customHeight="1">
      <c r="B929" s="9"/>
      <c r="D929" s="77"/>
      <c r="E929" s="18"/>
      <c r="F929" s="70"/>
    </row>
    <row r="930" spans="2:6" ht="15.75" customHeight="1">
      <c r="B930" s="9"/>
      <c r="D930" s="77"/>
      <c r="E930" s="18"/>
      <c r="F930" s="70"/>
    </row>
    <row r="931" spans="2:6" ht="15.75" customHeight="1">
      <c r="B931" s="9"/>
      <c r="D931" s="77"/>
      <c r="E931" s="18"/>
      <c r="F931" s="70"/>
    </row>
    <row r="932" spans="2:6" ht="15.75" customHeight="1">
      <c r="B932" s="9"/>
      <c r="D932" s="77"/>
      <c r="E932" s="18"/>
      <c r="F932" s="70"/>
    </row>
    <row r="933" spans="2:6" ht="15.75" customHeight="1">
      <c r="B933" s="9"/>
      <c r="D933" s="77"/>
      <c r="E933" s="18"/>
      <c r="F933" s="70"/>
    </row>
    <row r="934" spans="2:6" ht="15.75" customHeight="1">
      <c r="B934" s="9"/>
      <c r="D934" s="77"/>
      <c r="E934" s="18"/>
      <c r="F934" s="70"/>
    </row>
    <row r="935" spans="2:6" ht="15.75" customHeight="1">
      <c r="B935" s="9"/>
      <c r="D935" s="77"/>
      <c r="E935" s="18"/>
      <c r="F935" s="70"/>
    </row>
    <row r="936" spans="2:6" ht="15.75" customHeight="1">
      <c r="B936" s="9"/>
      <c r="D936" s="77"/>
      <c r="E936" s="18"/>
      <c r="F936" s="70"/>
    </row>
    <row r="937" spans="2:6" ht="15.75" customHeight="1">
      <c r="B937" s="9"/>
      <c r="D937" s="77"/>
      <c r="E937" s="18"/>
      <c r="F937" s="70"/>
    </row>
    <row r="938" spans="2:6" ht="15.75" customHeight="1">
      <c r="B938" s="9"/>
      <c r="D938" s="77"/>
      <c r="E938" s="18"/>
      <c r="F938" s="70"/>
    </row>
    <row r="939" spans="2:6" ht="15.75" customHeight="1">
      <c r="B939" s="9"/>
      <c r="D939" s="77"/>
      <c r="E939" s="18"/>
      <c r="F939" s="70"/>
    </row>
    <row r="940" spans="2:6" ht="15.75" customHeight="1">
      <c r="B940" s="9"/>
      <c r="D940" s="77"/>
      <c r="E940" s="18"/>
      <c r="F940" s="70"/>
    </row>
    <row r="941" spans="2:6" ht="15.75" customHeight="1">
      <c r="B941" s="9"/>
      <c r="D941" s="77"/>
      <c r="E941" s="18"/>
      <c r="F941" s="70"/>
    </row>
    <row r="942" spans="2:6" ht="15.75" customHeight="1">
      <c r="B942" s="9"/>
      <c r="D942" s="77"/>
      <c r="E942" s="18"/>
      <c r="F942" s="70"/>
    </row>
    <row r="943" spans="2:6" ht="15.75" customHeight="1">
      <c r="B943" s="9"/>
      <c r="D943" s="77"/>
      <c r="E943" s="18"/>
      <c r="F943" s="70"/>
    </row>
    <row r="944" spans="2:6" ht="15.75" customHeight="1">
      <c r="B944" s="9"/>
      <c r="D944" s="77"/>
      <c r="E944" s="18"/>
      <c r="F944" s="70"/>
    </row>
    <row r="945" spans="2:6" ht="15.75" customHeight="1">
      <c r="B945" s="9"/>
      <c r="D945" s="77"/>
      <c r="E945" s="18"/>
      <c r="F945" s="70"/>
    </row>
    <row r="946" spans="2:6" ht="15.75" customHeight="1">
      <c r="B946" s="9"/>
      <c r="D946" s="77"/>
      <c r="E946" s="18"/>
      <c r="F946" s="70"/>
    </row>
    <row r="947" spans="2:6" ht="15.75" customHeight="1">
      <c r="B947" s="9"/>
      <c r="D947" s="77"/>
      <c r="E947" s="18"/>
      <c r="F947" s="70"/>
    </row>
    <row r="948" spans="2:6" ht="15.75" customHeight="1">
      <c r="B948" s="9"/>
      <c r="D948" s="77"/>
      <c r="E948" s="18"/>
      <c r="F948" s="70"/>
    </row>
    <row r="949" spans="2:6" ht="15.75" customHeight="1">
      <c r="B949" s="9"/>
      <c r="D949" s="77"/>
      <c r="E949" s="18"/>
      <c r="F949" s="70"/>
    </row>
    <row r="950" spans="2:6" ht="15.75" customHeight="1">
      <c r="B950" s="9"/>
      <c r="D950" s="77"/>
      <c r="E950" s="18"/>
      <c r="F950" s="70"/>
    </row>
    <row r="951" spans="2:6" ht="15.75" customHeight="1">
      <c r="B951" s="9"/>
      <c r="D951" s="77"/>
      <c r="E951" s="18"/>
      <c r="F951" s="70"/>
    </row>
    <row r="952" spans="2:6" ht="15.75" customHeight="1">
      <c r="B952" s="9"/>
      <c r="D952" s="77"/>
      <c r="E952" s="18"/>
      <c r="F952" s="70"/>
    </row>
    <row r="953" spans="2:6" ht="15.75" customHeight="1">
      <c r="B953" s="9"/>
      <c r="D953" s="77"/>
      <c r="E953" s="18"/>
      <c r="F953" s="70"/>
    </row>
    <row r="954" spans="2:6" ht="15.75" customHeight="1">
      <c r="B954" s="9"/>
      <c r="D954" s="77"/>
      <c r="E954" s="18"/>
      <c r="F954" s="70"/>
    </row>
    <row r="955" spans="2:6" ht="15.75" customHeight="1">
      <c r="B955" s="9"/>
      <c r="D955" s="77"/>
      <c r="E955" s="18"/>
      <c r="F955" s="70"/>
    </row>
    <row r="956" spans="2:6" ht="15.75" customHeight="1">
      <c r="B956" s="9"/>
      <c r="D956" s="77"/>
      <c r="E956" s="18"/>
      <c r="F956" s="70"/>
    </row>
    <row r="957" spans="2:6" ht="15.75" customHeight="1">
      <c r="B957" s="9"/>
      <c r="D957" s="77"/>
      <c r="E957" s="18"/>
      <c r="F957" s="70"/>
    </row>
    <row r="958" spans="2:6" ht="15.75" customHeight="1">
      <c r="B958" s="9"/>
      <c r="D958" s="77"/>
      <c r="E958" s="18"/>
      <c r="F958" s="70"/>
    </row>
    <row r="959" spans="2:6" ht="15.75" customHeight="1">
      <c r="B959" s="9"/>
      <c r="D959" s="77"/>
      <c r="E959" s="18"/>
      <c r="F959" s="70"/>
    </row>
    <row r="960" spans="2:6" ht="15.75" customHeight="1">
      <c r="B960" s="9"/>
      <c r="D960" s="77"/>
      <c r="E960" s="18"/>
      <c r="F960" s="70"/>
    </row>
    <row r="961" spans="2:6" ht="15.75" customHeight="1">
      <c r="B961" s="9"/>
      <c r="D961" s="77"/>
      <c r="E961" s="18"/>
      <c r="F961" s="70"/>
    </row>
    <row r="962" spans="2:6" ht="15.75" customHeight="1">
      <c r="B962" s="9"/>
      <c r="D962" s="77"/>
      <c r="E962" s="18"/>
      <c r="F962" s="70"/>
    </row>
    <row r="963" spans="2:6" ht="15.75" customHeight="1">
      <c r="B963" s="9"/>
      <c r="D963" s="77"/>
      <c r="E963" s="18"/>
      <c r="F963" s="70"/>
    </row>
    <row r="964" spans="2:6" ht="15.75" customHeight="1">
      <c r="B964" s="9"/>
      <c r="D964" s="77"/>
      <c r="E964" s="18"/>
      <c r="F964" s="70"/>
    </row>
    <row r="965" spans="2:6" ht="15.75" customHeight="1">
      <c r="B965" s="9"/>
      <c r="D965" s="77"/>
      <c r="E965" s="18"/>
      <c r="F965" s="70"/>
    </row>
    <row r="966" spans="2:6" ht="15.75" customHeight="1">
      <c r="B966" s="9"/>
      <c r="D966" s="77"/>
      <c r="E966" s="18"/>
      <c r="F966" s="70"/>
    </row>
    <row r="967" spans="2:6" ht="15.75" customHeight="1">
      <c r="B967" s="9"/>
      <c r="D967" s="77"/>
      <c r="E967" s="18"/>
      <c r="F967" s="70"/>
    </row>
    <row r="968" spans="2:6" ht="15.75" customHeight="1">
      <c r="B968" s="9"/>
      <c r="D968" s="77"/>
      <c r="E968" s="18"/>
      <c r="F968" s="70"/>
    </row>
    <row r="969" spans="2:6" ht="15.75" customHeight="1">
      <c r="B969" s="9"/>
      <c r="D969" s="77"/>
      <c r="E969" s="18"/>
      <c r="F969" s="70"/>
    </row>
    <row r="970" spans="2:6" ht="15.75" customHeight="1">
      <c r="B970" s="9"/>
      <c r="D970" s="77"/>
      <c r="E970" s="18"/>
      <c r="F970" s="70"/>
    </row>
    <row r="971" spans="2:6" ht="15.75" customHeight="1">
      <c r="B971" s="9"/>
      <c r="D971" s="77"/>
      <c r="E971" s="18"/>
      <c r="F971" s="70"/>
    </row>
    <row r="972" spans="2:6" ht="15.75" customHeight="1">
      <c r="B972" s="9"/>
      <c r="D972" s="77"/>
      <c r="E972" s="18"/>
      <c r="F972" s="70"/>
    </row>
    <row r="973" spans="2:6" ht="15.75" customHeight="1">
      <c r="B973" s="9"/>
      <c r="D973" s="77"/>
      <c r="E973" s="18"/>
      <c r="F973" s="70"/>
    </row>
    <row r="974" spans="2:6" ht="15.75" customHeight="1">
      <c r="B974" s="9"/>
      <c r="D974" s="77"/>
      <c r="E974" s="18"/>
      <c r="F974" s="70"/>
    </row>
    <row r="975" spans="2:6" ht="15.75" customHeight="1">
      <c r="B975" s="9"/>
      <c r="D975" s="77"/>
      <c r="E975" s="18"/>
      <c r="F975" s="70"/>
    </row>
    <row r="976" spans="2:6" ht="15.75" customHeight="1">
      <c r="B976" s="9"/>
      <c r="D976" s="77"/>
      <c r="E976" s="18"/>
      <c r="F976" s="70"/>
    </row>
    <row r="977" spans="2:6" ht="15.75" customHeight="1">
      <c r="B977" s="9"/>
      <c r="D977" s="77"/>
      <c r="E977" s="18"/>
      <c r="F977" s="70"/>
    </row>
    <row r="978" spans="2:6" ht="15.75" customHeight="1">
      <c r="B978" s="9"/>
      <c r="D978" s="77"/>
      <c r="E978" s="18"/>
      <c r="F978" s="70"/>
    </row>
    <row r="979" spans="2:6" ht="15.75" customHeight="1">
      <c r="B979" s="9"/>
      <c r="D979" s="77"/>
      <c r="E979" s="18"/>
      <c r="F979" s="70"/>
    </row>
    <row r="980" spans="2:6" ht="15.75" customHeight="1">
      <c r="B980" s="9"/>
      <c r="D980" s="77"/>
      <c r="E980" s="18"/>
      <c r="F980" s="70"/>
    </row>
    <row r="981" spans="2:6" ht="15.75" customHeight="1">
      <c r="B981" s="9"/>
      <c r="D981" s="77"/>
      <c r="E981" s="18"/>
      <c r="F981" s="70"/>
    </row>
    <row r="982" spans="2:6" ht="15.75" customHeight="1">
      <c r="B982" s="9"/>
      <c r="D982" s="77"/>
      <c r="E982" s="18"/>
      <c r="F982" s="70"/>
    </row>
    <row r="983" spans="2:6" ht="15.75" customHeight="1">
      <c r="B983" s="9"/>
      <c r="D983" s="77"/>
      <c r="E983" s="18"/>
      <c r="F983" s="70"/>
    </row>
    <row r="984" spans="2:6" ht="15.75" customHeight="1">
      <c r="B984" s="9"/>
      <c r="D984" s="77"/>
      <c r="E984" s="18"/>
      <c r="F984" s="70"/>
    </row>
    <row r="985" spans="2:6" ht="15.75" customHeight="1">
      <c r="B985" s="9"/>
      <c r="D985" s="77"/>
      <c r="E985" s="18"/>
      <c r="F985" s="70"/>
    </row>
    <row r="986" spans="2:6" ht="15.75" customHeight="1">
      <c r="B986" s="9"/>
      <c r="D986" s="77"/>
      <c r="E986" s="18"/>
      <c r="F986" s="70"/>
    </row>
    <row r="987" spans="2:6" ht="15.75" customHeight="1">
      <c r="B987" s="9"/>
      <c r="D987" s="77"/>
      <c r="E987" s="18"/>
      <c r="F987" s="70"/>
    </row>
    <row r="988" spans="2:6" ht="15.75" customHeight="1">
      <c r="B988" s="9"/>
      <c r="D988" s="77"/>
      <c r="E988" s="18"/>
      <c r="F988" s="70"/>
    </row>
    <row r="989" spans="2:6" ht="15.75" customHeight="1">
      <c r="B989" s="9"/>
      <c r="D989" s="77"/>
      <c r="E989" s="18"/>
      <c r="F989" s="70"/>
    </row>
    <row r="990" spans="2:6" ht="15.75" customHeight="1">
      <c r="B990" s="9"/>
      <c r="D990" s="77"/>
      <c r="E990" s="18"/>
      <c r="F990" s="70"/>
    </row>
    <row r="991" spans="2:6" ht="15.75" customHeight="1">
      <c r="B991" s="9"/>
      <c r="D991" s="77"/>
      <c r="E991" s="18"/>
      <c r="F991" s="70"/>
    </row>
    <row r="992" spans="2:6" ht="15.75" customHeight="1">
      <c r="B992" s="9"/>
      <c r="D992" s="77"/>
      <c r="E992" s="18"/>
      <c r="F992" s="70"/>
    </row>
    <row r="993" spans="2:6" ht="15.75" customHeight="1">
      <c r="B993" s="9"/>
      <c r="D993" s="77"/>
      <c r="E993" s="18"/>
      <c r="F993" s="70"/>
    </row>
    <row r="994" spans="2:6" ht="15.75" customHeight="1">
      <c r="B994" s="9"/>
      <c r="D994" s="77"/>
      <c r="E994" s="18"/>
      <c r="F994" s="70"/>
    </row>
    <row r="995" spans="2:6" ht="15.75" customHeight="1">
      <c r="B995" s="9"/>
      <c r="D995" s="77"/>
      <c r="E995" s="18"/>
      <c r="F995" s="70"/>
    </row>
    <row r="996" spans="2:6" ht="15.75" customHeight="1">
      <c r="B996" s="9"/>
      <c r="D996" s="77"/>
      <c r="E996" s="18"/>
      <c r="F996" s="70"/>
    </row>
    <row r="997" spans="2:6" ht="14.4">
      <c r="B997" s="9"/>
      <c r="E997" s="18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3"/>
  <sheetViews>
    <sheetView workbookViewId="0">
      <selection activeCell="B10" sqref="B10"/>
    </sheetView>
  </sheetViews>
  <sheetFormatPr defaultColWidth="12.5546875" defaultRowHeight="15" customHeight="1"/>
  <cols>
    <col min="1" max="1" width="15" customWidth="1"/>
    <col min="2" max="2" width="52.33203125" customWidth="1"/>
  </cols>
  <sheetData>
    <row r="1" spans="1:2" ht="15.6">
      <c r="A1" s="1" t="s">
        <v>0</v>
      </c>
      <c r="B1" s="2"/>
    </row>
    <row r="2" spans="1:2" ht="14.4">
      <c r="A2" s="3" t="s">
        <v>1</v>
      </c>
      <c r="B2" s="4" t="s">
        <v>2</v>
      </c>
    </row>
    <row r="3" spans="1:2" ht="14.4">
      <c r="A3" s="3" t="s">
        <v>3</v>
      </c>
      <c r="B3" s="3" t="s">
        <v>4</v>
      </c>
    </row>
    <row r="4" spans="1:2" ht="14.4">
      <c r="A4" s="3" t="s">
        <v>5</v>
      </c>
      <c r="B4" s="3" t="s">
        <v>6</v>
      </c>
    </row>
    <row r="5" spans="1:2" ht="14.4">
      <c r="A5" s="3" t="s">
        <v>7</v>
      </c>
      <c r="B5" s="3" t="s">
        <v>8</v>
      </c>
    </row>
    <row r="6" spans="1:2" ht="14.4">
      <c r="A6" s="3"/>
      <c r="B6" s="3"/>
    </row>
    <row r="7" spans="1:2" ht="14.4">
      <c r="A7" s="3"/>
      <c r="B7" s="3"/>
    </row>
    <row r="8" spans="1:2" ht="14.4">
      <c r="A8" s="3"/>
      <c r="B8" s="4"/>
    </row>
    <row r="9" spans="1:2" ht="14.4">
      <c r="A9" s="3"/>
      <c r="B9" s="3"/>
    </row>
    <row r="10" spans="1:2" ht="14.4">
      <c r="A10" s="3"/>
      <c r="B10" s="3"/>
    </row>
    <row r="11" spans="1:2" ht="14.4">
      <c r="A11" s="3"/>
      <c r="B11" s="3"/>
    </row>
    <row r="12" spans="1:2" ht="14.4">
      <c r="A12" s="3"/>
      <c r="B12" s="3"/>
    </row>
    <row r="13" spans="1:2" ht="14.4">
      <c r="A13" s="3"/>
      <c r="B13" s="4"/>
    </row>
    <row r="14" spans="1:2" ht="14.4">
      <c r="A14" s="3"/>
      <c r="B14" s="4"/>
    </row>
    <row r="15" spans="1:2" ht="14.4">
      <c r="A15" s="3"/>
      <c r="B15" s="4"/>
    </row>
    <row r="16" spans="1:2" ht="14.4">
      <c r="A16" s="3"/>
      <c r="B16" s="4"/>
    </row>
    <row r="17" spans="1:5" ht="14.4">
      <c r="A17" s="3"/>
      <c r="B17" s="4"/>
    </row>
    <row r="18" spans="1:5" ht="14.4">
      <c r="A18" s="3"/>
      <c r="B18" s="3"/>
    </row>
    <row r="19" spans="1:5" ht="14.4">
      <c r="A19" s="3"/>
      <c r="B19" s="3"/>
    </row>
    <row r="20" spans="1:5" ht="14.4">
      <c r="A20" s="3"/>
      <c r="B20" s="3"/>
    </row>
    <row r="21" spans="1:5" ht="14.4">
      <c r="A21" s="3"/>
      <c r="B21" s="3"/>
    </row>
    <row r="22" spans="1:5" ht="14.4">
      <c r="A22" s="3"/>
      <c r="B22" s="3"/>
    </row>
    <row r="23" spans="1:5" ht="14.4">
      <c r="A23" s="3"/>
      <c r="B23" s="3"/>
    </row>
    <row r="24" spans="1:5" ht="14.4">
      <c r="A24" s="3"/>
      <c r="B24" s="3"/>
    </row>
    <row r="25" spans="1:5" ht="14.4">
      <c r="A25" s="3"/>
      <c r="B25" s="3"/>
    </row>
    <row r="26" spans="1:5" ht="14.4">
      <c r="A26" s="3"/>
      <c r="B26" s="3"/>
    </row>
    <row r="27" spans="1:5" ht="14.4">
      <c r="A27" s="3"/>
      <c r="B27" s="3"/>
    </row>
    <row r="28" spans="1:5" ht="14.4">
      <c r="A28" s="3"/>
      <c r="B28" s="3"/>
    </row>
    <row r="29" spans="1:5" ht="14.4">
      <c r="A29" s="89"/>
      <c r="B29" s="89"/>
      <c r="C29" s="90"/>
      <c r="D29" s="90"/>
    </row>
    <row r="30" spans="1:5" ht="14.4">
      <c r="A30" s="89"/>
      <c r="B30" s="89"/>
      <c r="C30" s="90"/>
      <c r="D30" s="90"/>
      <c r="E30" s="90"/>
    </row>
    <row r="31" spans="1:5" ht="14.4">
      <c r="A31" s="89"/>
      <c r="B31" s="89"/>
      <c r="C31" s="90"/>
      <c r="D31" s="90"/>
      <c r="E31" s="90"/>
    </row>
    <row r="32" spans="1:5" ht="14.4">
      <c r="A32" s="89"/>
      <c r="B32" s="91"/>
      <c r="C32" s="89"/>
      <c r="D32" s="90"/>
      <c r="E32" s="90"/>
    </row>
    <row r="33" spans="1:5" ht="14.4">
      <c r="A33" s="89"/>
      <c r="B33" s="91"/>
      <c r="C33" s="89"/>
      <c r="D33" s="90"/>
      <c r="E33" s="90"/>
    </row>
    <row r="34" spans="1:5" ht="14.4">
      <c r="A34" s="89"/>
      <c r="B34" s="91"/>
      <c r="C34" s="91"/>
      <c r="D34" s="90"/>
      <c r="E34" s="90"/>
    </row>
    <row r="35" spans="1:5" ht="14.4">
      <c r="A35" s="89"/>
      <c r="B35" s="89"/>
      <c r="C35" s="90"/>
      <c r="D35" s="90"/>
      <c r="E35" s="90"/>
    </row>
    <row r="36" spans="1:5" ht="14.4">
      <c r="A36" s="89"/>
      <c r="B36" s="89"/>
      <c r="C36" s="90"/>
      <c r="D36" s="90"/>
    </row>
    <row r="37" spans="1:5" ht="14.4">
      <c r="A37" s="3"/>
      <c r="B37" s="3"/>
    </row>
    <row r="38" spans="1:5" ht="14.4">
      <c r="A38" s="3"/>
      <c r="B38" s="3"/>
    </row>
    <row r="39" spans="1:5" ht="14.4">
      <c r="A39" s="3"/>
      <c r="B39" s="3"/>
    </row>
    <row r="40" spans="1:5" ht="14.4">
      <c r="A40" s="3"/>
      <c r="B40" s="3"/>
    </row>
    <row r="41" spans="1:5" ht="14.4">
      <c r="A41" s="3"/>
      <c r="B41" s="3"/>
    </row>
    <row r="42" spans="1:5" ht="14.4">
      <c r="A42" s="3"/>
      <c r="B42" s="3"/>
    </row>
    <row r="43" spans="1:5" ht="14.4">
      <c r="A43" s="3"/>
      <c r="B43" s="3"/>
    </row>
    <row r="44" spans="1:5" ht="14.4">
      <c r="A44" s="3"/>
      <c r="B44" s="3"/>
    </row>
    <row r="45" spans="1:5" ht="14.4">
      <c r="A45" s="3"/>
      <c r="B45" s="3"/>
      <c r="C45" s="4"/>
    </row>
    <row r="46" spans="1:5" ht="14.4">
      <c r="A46" s="3"/>
      <c r="B46" s="3"/>
      <c r="C46" s="4"/>
    </row>
    <row r="47" spans="1:5" ht="14.4">
      <c r="A47" s="3"/>
      <c r="B47" s="3"/>
      <c r="C47" s="4"/>
    </row>
    <row r="48" spans="1:5" ht="14.4">
      <c r="A48" s="3"/>
      <c r="B48" s="3"/>
      <c r="C48" s="4"/>
    </row>
    <row r="49" spans="1:3" ht="14.4">
      <c r="A49" s="3"/>
      <c r="B49" s="3"/>
      <c r="C49" s="4"/>
    </row>
    <row r="50" spans="1:3" ht="14.4">
      <c r="A50" s="3"/>
      <c r="B50" s="3"/>
      <c r="C50" s="4"/>
    </row>
    <row r="51" spans="1:3" ht="14.4">
      <c r="A51" s="3"/>
      <c r="B51" s="3"/>
      <c r="C51" s="4"/>
    </row>
    <row r="52" spans="1:3" ht="14.4">
      <c r="A52" s="3"/>
      <c r="B52" s="3"/>
      <c r="C52" s="4"/>
    </row>
    <row r="53" spans="1:3" ht="14.4">
      <c r="A53" s="3"/>
      <c r="B53" s="3"/>
    </row>
    <row r="54" spans="1:3" ht="14.4">
      <c r="A54" s="3"/>
      <c r="B54" s="3"/>
    </row>
    <row r="55" spans="1:3" ht="14.4">
      <c r="A55" s="3"/>
      <c r="B55" s="4"/>
    </row>
    <row r="56" spans="1:3" ht="14.4">
      <c r="A56" s="3"/>
      <c r="B56" s="4"/>
    </row>
    <row r="57" spans="1:3" ht="14.4">
      <c r="A57" s="3"/>
      <c r="B57" s="4"/>
    </row>
    <row r="58" spans="1:3" ht="14.4">
      <c r="A58" s="3"/>
      <c r="B58" s="4"/>
    </row>
    <row r="59" spans="1:3" ht="14.4">
      <c r="A59" s="3"/>
      <c r="B59" s="4"/>
    </row>
    <row r="60" spans="1:3" ht="14.4">
      <c r="A60" s="3"/>
      <c r="B60" s="3"/>
    </row>
    <row r="61" spans="1:3" ht="14.4">
      <c r="A61" s="3"/>
      <c r="B61" s="3"/>
    </row>
    <row r="62" spans="1:3" ht="14.4">
      <c r="A62" s="3"/>
      <c r="B62" s="3"/>
    </row>
    <row r="63" spans="1:3" ht="14.4">
      <c r="A63" s="3"/>
      <c r="B63" s="3"/>
    </row>
    <row r="64" spans="1:3" ht="14.4">
      <c r="A64" s="3"/>
      <c r="B64" s="3"/>
    </row>
    <row r="65" spans="1:2" ht="14.4">
      <c r="A65" s="3"/>
      <c r="B65" s="3"/>
    </row>
    <row r="66" spans="1:2" ht="14.4">
      <c r="A66" s="3"/>
      <c r="B66" s="3"/>
    </row>
    <row r="67" spans="1:2" ht="14.4">
      <c r="A67" s="3"/>
      <c r="B67" s="3"/>
    </row>
    <row r="68" spans="1:2" ht="14.4">
      <c r="A68" s="3"/>
      <c r="B68" s="3"/>
    </row>
    <row r="69" spans="1:2" ht="15" customHeight="1">
      <c r="A69" s="5"/>
      <c r="B69" s="5"/>
    </row>
    <row r="70" spans="1:2" ht="15" customHeight="1">
      <c r="A70" s="5"/>
      <c r="B70" s="5"/>
    </row>
    <row r="71" spans="1:2" ht="15" customHeight="1">
      <c r="A71" s="5"/>
      <c r="B71" s="5"/>
    </row>
    <row r="72" spans="1:2" ht="15" customHeight="1">
      <c r="A72" s="5"/>
      <c r="B72" s="5"/>
    </row>
    <row r="73" spans="1:2" ht="15" customHeight="1">
      <c r="A73" s="5"/>
      <c r="B73" s="5"/>
    </row>
    <row r="74" spans="1:2" ht="15" customHeight="1">
      <c r="A74" s="5"/>
      <c r="B74" s="5"/>
    </row>
    <row r="75" spans="1:2" ht="15" customHeight="1">
      <c r="A75" s="3"/>
      <c r="B75" s="6"/>
    </row>
    <row r="76" spans="1:2" ht="15" customHeight="1">
      <c r="A76" s="5"/>
      <c r="B76" s="5"/>
    </row>
    <row r="77" spans="1:2" ht="15" customHeight="1">
      <c r="A77" s="5"/>
      <c r="B77" s="5"/>
    </row>
    <row r="78" spans="1:2" ht="15" customHeight="1">
      <c r="A78" s="7"/>
      <c r="B78" s="5"/>
    </row>
    <row r="79" spans="1:2" ht="15" customHeight="1">
      <c r="A79" s="7"/>
      <c r="B79" s="5"/>
    </row>
    <row r="80" spans="1:2" ht="15" customHeight="1">
      <c r="A80" s="7"/>
      <c r="B80" s="5"/>
    </row>
    <row r="81" spans="1:2" ht="15" customHeight="1">
      <c r="A81" s="5"/>
      <c r="B81" s="5"/>
    </row>
    <row r="82" spans="1:2" ht="15" customHeight="1">
      <c r="A82" s="5"/>
      <c r="B82" s="5"/>
    </row>
    <row r="83" spans="1:2" ht="15" customHeight="1">
      <c r="A83" s="5"/>
      <c r="B83" s="5"/>
    </row>
    <row r="84" spans="1:2" ht="15" customHeight="1">
      <c r="A84" s="5"/>
      <c r="B84" s="5"/>
    </row>
    <row r="85" spans="1:2" ht="15" customHeight="1">
      <c r="A85" s="5"/>
      <c r="B85" s="5"/>
    </row>
    <row r="86" spans="1:2" ht="15" customHeight="1">
      <c r="A86" s="5"/>
      <c r="B86" s="5"/>
    </row>
    <row r="87" spans="1:2" ht="15" customHeight="1">
      <c r="A87" s="5"/>
      <c r="B87" s="5"/>
    </row>
    <row r="88" spans="1:2" ht="15" customHeight="1">
      <c r="A88" s="5"/>
      <c r="B88" s="5"/>
    </row>
    <row r="89" spans="1:2" ht="15" customHeight="1">
      <c r="A89" s="8"/>
      <c r="B89" s="5"/>
    </row>
    <row r="90" spans="1:2" ht="15" customHeight="1">
      <c r="A90" s="8"/>
      <c r="B90" s="5"/>
    </row>
    <row r="91" spans="1:2" ht="15" customHeight="1">
      <c r="A91" s="5"/>
      <c r="B91" s="5"/>
    </row>
    <row r="92" spans="1:2" ht="15" customHeight="1">
      <c r="A92" s="5"/>
      <c r="B92" s="5"/>
    </row>
    <row r="93" spans="1:2" ht="15" customHeight="1">
      <c r="A93" s="5"/>
      <c r="B93" s="5"/>
    </row>
    <row r="94" spans="1:2" ht="15" customHeight="1">
      <c r="A94" s="5"/>
      <c r="B94" s="5"/>
    </row>
    <row r="95" spans="1:2" ht="15" customHeight="1">
      <c r="A95" s="5"/>
      <c r="B95" s="5"/>
    </row>
    <row r="96" spans="1:2" ht="15" customHeight="1">
      <c r="A96" s="5"/>
      <c r="B96" s="5"/>
    </row>
    <row r="97" spans="1:2" ht="15" customHeight="1">
      <c r="A97" s="9"/>
      <c r="B97" s="5"/>
    </row>
    <row r="98" spans="1:2" ht="15" customHeight="1">
      <c r="A98" s="5"/>
      <c r="B98" s="5"/>
    </row>
    <row r="99" spans="1:2" ht="15" customHeight="1">
      <c r="A99" s="5"/>
      <c r="B99" s="5"/>
    </row>
    <row r="100" spans="1:2" ht="15" customHeight="1">
      <c r="A100" s="5"/>
      <c r="B100" s="5"/>
    </row>
    <row r="101" spans="1:2" ht="15" customHeight="1">
      <c r="A101" s="5"/>
      <c r="B101" s="10"/>
    </row>
    <row r="102" spans="1:2" ht="15" customHeight="1">
      <c r="A102" s="5"/>
      <c r="B102" s="10"/>
    </row>
    <row r="103" spans="1:2" ht="15" customHeight="1">
      <c r="A103" s="7"/>
      <c r="B103" s="5"/>
    </row>
    <row r="104" spans="1:2" ht="15" customHeight="1">
      <c r="A104" s="7"/>
      <c r="B104" s="8"/>
    </row>
    <row r="105" spans="1:2" ht="15" customHeight="1">
      <c r="A105" s="7"/>
      <c r="B105" s="8"/>
    </row>
    <row r="106" spans="1:2" ht="15" customHeight="1">
      <c r="A106" s="7"/>
      <c r="B106" s="5"/>
    </row>
    <row r="107" spans="1:2" ht="15" customHeight="1">
      <c r="A107" s="5"/>
      <c r="B107" s="5"/>
    </row>
    <row r="108" spans="1:2" ht="15" customHeight="1">
      <c r="A108" s="7"/>
      <c r="B108" s="5"/>
    </row>
    <row r="109" spans="1:2" ht="15" customHeight="1">
      <c r="A109" s="7"/>
      <c r="B109" s="5"/>
    </row>
    <row r="110" spans="1:2" ht="15" customHeight="1">
      <c r="A110" s="5"/>
      <c r="B110" s="5"/>
    </row>
    <row r="111" spans="1:2" ht="15" customHeight="1">
      <c r="A111" s="5"/>
      <c r="B111" s="5"/>
    </row>
    <row r="112" spans="1:2" ht="15" customHeight="1">
      <c r="A112" s="5"/>
      <c r="B112" s="5"/>
    </row>
    <row r="113" spans="1:2" ht="15" customHeight="1">
      <c r="A113" s="5"/>
      <c r="B113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15</vt:i4>
      </vt:variant>
    </vt:vector>
  </HeadingPairs>
  <TitlesOfParts>
    <vt:vector size="15" baseType="lpstr">
      <vt:lpstr>Physchem_properties</vt:lpstr>
      <vt:lpstr>Thermal_properties</vt:lpstr>
      <vt:lpstr>Rheological_experimental_detail</vt:lpstr>
      <vt:lpstr>Storage_modulus_G</vt:lpstr>
      <vt:lpstr>converted_MPa_Storage_modulus_G</vt:lpstr>
      <vt:lpstr>Loss_modulus_G</vt:lpstr>
      <vt:lpstr>converted_MPa_Loss_modulus_G</vt:lpstr>
      <vt:lpstr>Angular_frequency</vt:lpstr>
      <vt:lpstr>Ang_freq_converted(rad.s-1)</vt:lpstr>
      <vt:lpstr>Temperature(°C)</vt:lpstr>
      <vt:lpstr>Complex_viscosity</vt:lpstr>
      <vt:lpstr>Tandelta</vt:lpstr>
      <vt:lpstr>Time(sec)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TSIGKAS</dc:creator>
  <cp:keywords/>
  <dc:description/>
  <cp:lastModifiedBy>Leonidas Mindrinos</cp:lastModifiedBy>
  <cp:revision/>
  <dcterms:created xsi:type="dcterms:W3CDTF">2025-01-26T20:45:12Z</dcterms:created>
  <dcterms:modified xsi:type="dcterms:W3CDTF">2026-05-24T10:14:45Z</dcterms:modified>
  <cp:category/>
  <cp:contentStatus/>
</cp:coreProperties>
</file>