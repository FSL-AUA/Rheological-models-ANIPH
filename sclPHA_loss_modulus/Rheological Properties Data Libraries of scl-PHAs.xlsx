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4" ContentType="application/binary"/>
  <Override PartName="/xl/commentsmeta5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uagpa-my.sharepoint.com/personal/leonidas_mindrinos_aua_gr/Documents/Επιφάνεια εργασίας/maraveas/Rheological_model/final/"/>
    </mc:Choice>
  </mc:AlternateContent>
  <xr:revisionPtr revIDLastSave="534" documentId="13_ncr:1_{438C0DB4-8E15-4807-84A0-7F73690C741C}" xr6:coauthVersionLast="47" xr6:coauthVersionMax="47" xr10:uidLastSave="{901D5852-8A75-4886-B307-0C1E26722964}"/>
  <bookViews>
    <workbookView xWindow="28710" yWindow="195" windowWidth="25380" windowHeight="15270" tabRatio="806" activeTab="4" xr2:uid="{00000000-000D-0000-FFFF-FFFF00000000}"/>
  </bookViews>
  <sheets>
    <sheet name="Ang_freq_converted_f2" sheetId="19" r:id="rId1"/>
    <sheet name="Physchem_properties" sheetId="4" r:id="rId2"/>
    <sheet name="Thermal_properties" sheetId="5" r:id="rId3"/>
    <sheet name="Rheological_experimental_detail" sheetId="7" r:id="rId4"/>
    <sheet name="Φύλλο2" sheetId="20" r:id="rId5"/>
    <sheet name="Storage_modulus_G" sheetId="12" r:id="rId6"/>
    <sheet name="converted_MPa_Storage_modulus_G" sheetId="9" r:id="rId7"/>
    <sheet name="Loss_modulus_G" sheetId="13" r:id="rId8"/>
    <sheet name="converted_MPa_Loss_modulus_G" sheetId="10" r:id="rId9"/>
    <sheet name="converted_MPa_Loss_modulus_fill" sheetId="17" r:id="rId10"/>
    <sheet name="converted_MPa_Loss_modulus_f2" sheetId="18" r:id="rId11"/>
    <sheet name="Angular_frequency" sheetId="11" r:id="rId12"/>
    <sheet name="Ang_freq_converted(rad.s-1)" sheetId="8" r:id="rId13"/>
    <sheet name="Temperature" sheetId="2" r:id="rId14"/>
    <sheet name="Complex_viscosity" sheetId="6" r:id="rId15"/>
    <sheet name="Tandelta" sheetId="14" r:id="rId16"/>
    <sheet name="Metadata" sheetId="15" r:id="rId17"/>
    <sheet name="Info" sheetId="1" r:id="rId18"/>
  </sheets>
  <definedNames>
    <definedName name="_xlnm._FilterDatabase" localSheetId="1" hidden="1">Physchem_properties!$A$1:$Y$349</definedName>
    <definedName name="_xlnm._FilterDatabase" localSheetId="3" hidden="1">Rheological_experimental_detail!$A$1:$AK$780</definedName>
    <definedName name="_xlnm._FilterDatabase" localSheetId="4" hidden="1">Φύλλο2!$A$1:$G$349</definedName>
  </definedNames>
  <calcPr calcId="191028"/>
  <pivotCaches>
    <pivotCache cacheId="0" r:id="rId19"/>
    <pivotCache cacheId="1" r:id="rId20"/>
    <pivotCache cacheId="6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2" roundtripDataChecksum="VW3Ri4mZMo6OGRK2TzbCjhrdlLNyeZtBSg7wdwIDVRo="/>
    </ext>
  </extLst>
</workbook>
</file>

<file path=xl/calcChain.xml><?xml version="1.0" encoding="utf-8"?>
<calcChain xmlns="http://schemas.openxmlformats.org/spreadsheetml/2006/main">
  <c r="Q22" i="20" l="1"/>
  <c r="Q21" i="20"/>
  <c r="Q20" i="20"/>
  <c r="Q19" i="20"/>
  <c r="Q18" i="20"/>
  <c r="Q17" i="20"/>
  <c r="Q16" i="20"/>
  <c r="M17" i="20"/>
  <c r="N17" i="20"/>
  <c r="L17" i="20"/>
  <c r="J12" i="20" a="1"/>
  <c r="J12" i="20" s="1"/>
  <c r="F39" i="9"/>
  <c r="S292" i="19"/>
  <c r="R292" i="19"/>
  <c r="Q292" i="19"/>
  <c r="P292" i="19"/>
  <c r="O292" i="19"/>
  <c r="N292" i="19"/>
  <c r="M292" i="19"/>
  <c r="L292" i="19"/>
  <c r="K292" i="19"/>
  <c r="J292" i="19"/>
  <c r="I292" i="19"/>
  <c r="H292" i="19"/>
  <c r="G292" i="19"/>
  <c r="F292" i="19"/>
  <c r="E292" i="19"/>
  <c r="D292" i="19"/>
  <c r="S291" i="19"/>
  <c r="R291" i="19"/>
  <c r="Q291" i="19"/>
  <c r="P291" i="19"/>
  <c r="O291" i="19"/>
  <c r="N291" i="19"/>
  <c r="M291" i="19"/>
  <c r="L291" i="19"/>
  <c r="K291" i="19"/>
  <c r="J291" i="19"/>
  <c r="I291" i="19"/>
  <c r="H291" i="19"/>
  <c r="G291" i="19"/>
  <c r="F291" i="19"/>
  <c r="E291" i="19"/>
  <c r="D291" i="19"/>
  <c r="S290" i="19"/>
  <c r="R290" i="19"/>
  <c r="Q290" i="19"/>
  <c r="P290" i="19"/>
  <c r="O290" i="19"/>
  <c r="N290" i="19"/>
  <c r="M290" i="19"/>
  <c r="L290" i="19"/>
  <c r="K290" i="19"/>
  <c r="J290" i="19"/>
  <c r="I290" i="19"/>
  <c r="H290" i="19"/>
  <c r="G290" i="19"/>
  <c r="F290" i="19"/>
  <c r="E290" i="19"/>
  <c r="D290" i="19"/>
  <c r="S289" i="19"/>
  <c r="R289" i="19"/>
  <c r="Q289" i="19"/>
  <c r="P289" i="19"/>
  <c r="O289" i="19"/>
  <c r="N289" i="19"/>
  <c r="M289" i="19"/>
  <c r="L289" i="19"/>
  <c r="K289" i="19"/>
  <c r="J289" i="19"/>
  <c r="I289" i="19"/>
  <c r="H289" i="19"/>
  <c r="G289" i="19"/>
  <c r="F289" i="19"/>
  <c r="E289" i="19"/>
  <c r="D289" i="19"/>
  <c r="AB274" i="19"/>
  <c r="AA274" i="19"/>
  <c r="Z274" i="19"/>
  <c r="Y274" i="19"/>
  <c r="X274" i="19"/>
  <c r="W274" i="19"/>
  <c r="V274" i="19"/>
  <c r="U274" i="19"/>
  <c r="T274" i="19"/>
  <c r="S274" i="19"/>
  <c r="R274" i="19"/>
  <c r="Q274" i="19"/>
  <c r="P274" i="19"/>
  <c r="O274" i="19"/>
  <c r="N274" i="19"/>
  <c r="M274" i="19"/>
  <c r="L274" i="19"/>
  <c r="K274" i="19"/>
  <c r="J274" i="19"/>
  <c r="I274" i="19"/>
  <c r="H274" i="19"/>
  <c r="G274" i="19"/>
  <c r="F274" i="19"/>
  <c r="E274" i="19"/>
  <c r="D274" i="19"/>
  <c r="Y273" i="19"/>
  <c r="X273" i="19"/>
  <c r="W273" i="19"/>
  <c r="V273" i="19"/>
  <c r="U273" i="19"/>
  <c r="T273" i="19"/>
  <c r="S273" i="19"/>
  <c r="R273" i="19"/>
  <c r="Q273" i="19"/>
  <c r="P273" i="19"/>
  <c r="O273" i="19"/>
  <c r="N273" i="19"/>
  <c r="M273" i="19"/>
  <c r="L273" i="19"/>
  <c r="K273" i="19"/>
  <c r="J273" i="19"/>
  <c r="I273" i="19"/>
  <c r="H273" i="19"/>
  <c r="G273" i="19"/>
  <c r="F273" i="19"/>
  <c r="E273" i="19"/>
  <c r="D273" i="19"/>
  <c r="AB272" i="19"/>
  <c r="AA272" i="19"/>
  <c r="Z272" i="19"/>
  <c r="Y272" i="19"/>
  <c r="X272" i="19"/>
  <c r="W272" i="19"/>
  <c r="V272" i="19"/>
  <c r="U272" i="19"/>
  <c r="T272" i="19"/>
  <c r="S272" i="19"/>
  <c r="R272" i="19"/>
  <c r="Q272" i="19"/>
  <c r="P272" i="19"/>
  <c r="O272" i="19"/>
  <c r="N272" i="19"/>
  <c r="M272" i="19"/>
  <c r="L272" i="19"/>
  <c r="K272" i="19"/>
  <c r="J272" i="19"/>
  <c r="I272" i="19"/>
  <c r="H272" i="19"/>
  <c r="G272" i="19"/>
  <c r="F272" i="19"/>
  <c r="E272" i="19"/>
  <c r="D272" i="19"/>
  <c r="AB271" i="19"/>
  <c r="AA271" i="19"/>
  <c r="Z271" i="19"/>
  <c r="Y271" i="19"/>
  <c r="X271" i="19"/>
  <c r="W271" i="19"/>
  <c r="V271" i="19"/>
  <c r="U271" i="19"/>
  <c r="T271" i="19"/>
  <c r="S271" i="19"/>
  <c r="R271" i="19"/>
  <c r="Q271" i="19"/>
  <c r="P271" i="19"/>
  <c r="O271" i="19"/>
  <c r="N271" i="19"/>
  <c r="M271" i="19"/>
  <c r="L271" i="19"/>
  <c r="K271" i="19"/>
  <c r="J271" i="19"/>
  <c r="I271" i="19"/>
  <c r="H271" i="19"/>
  <c r="G271" i="19"/>
  <c r="F271" i="19"/>
  <c r="E271" i="19"/>
  <c r="D271" i="19"/>
  <c r="Y270" i="19"/>
  <c r="X270" i="19"/>
  <c r="W270" i="19"/>
  <c r="V270" i="19"/>
  <c r="U270" i="19"/>
  <c r="T270" i="19"/>
  <c r="S270" i="19"/>
  <c r="R270" i="19"/>
  <c r="Q270" i="19"/>
  <c r="P270" i="19"/>
  <c r="O270" i="19"/>
  <c r="N270" i="19"/>
  <c r="M270" i="19"/>
  <c r="L270" i="19"/>
  <c r="K270" i="19"/>
  <c r="J270" i="19"/>
  <c r="I270" i="19"/>
  <c r="H270" i="19"/>
  <c r="G270" i="19"/>
  <c r="F270" i="19"/>
  <c r="E270" i="19"/>
  <c r="D270" i="19"/>
  <c r="X239" i="19"/>
  <c r="W239" i="19"/>
  <c r="V239" i="19"/>
  <c r="U239" i="19"/>
  <c r="T239" i="19"/>
  <c r="S239" i="19"/>
  <c r="R239" i="19"/>
  <c r="Q239" i="19"/>
  <c r="P239" i="19"/>
  <c r="O239" i="19"/>
  <c r="N239" i="19"/>
  <c r="M239" i="19"/>
  <c r="L239" i="19"/>
  <c r="K239" i="19"/>
  <c r="J239" i="19"/>
  <c r="I239" i="19"/>
  <c r="H239" i="19"/>
  <c r="G239" i="19"/>
  <c r="F239" i="19"/>
  <c r="E239" i="19"/>
  <c r="D239" i="19"/>
  <c r="X238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X237" i="19"/>
  <c r="W237" i="19"/>
  <c r="V237" i="19"/>
  <c r="U237" i="19"/>
  <c r="T237" i="19"/>
  <c r="S237" i="19"/>
  <c r="R237" i="19"/>
  <c r="Q237" i="19"/>
  <c r="P237" i="19"/>
  <c r="O237" i="19"/>
  <c r="N237" i="19"/>
  <c r="M237" i="19"/>
  <c r="L237" i="19"/>
  <c r="K237" i="19"/>
  <c r="J237" i="19"/>
  <c r="I237" i="19"/>
  <c r="H237" i="19"/>
  <c r="G237" i="19"/>
  <c r="F237" i="19"/>
  <c r="E237" i="19"/>
  <c r="D237" i="19"/>
  <c r="X217" i="19"/>
  <c r="W217" i="19"/>
  <c r="V217" i="19"/>
  <c r="U217" i="19"/>
  <c r="T217" i="19"/>
  <c r="S217" i="19"/>
  <c r="R217" i="19"/>
  <c r="Q217" i="19"/>
  <c r="P217" i="19"/>
  <c r="O217" i="19"/>
  <c r="N217" i="19"/>
  <c r="M217" i="19"/>
  <c r="L217" i="19"/>
  <c r="K217" i="19"/>
  <c r="J217" i="19"/>
  <c r="I217" i="19"/>
  <c r="H217" i="19"/>
  <c r="G217" i="19"/>
  <c r="F217" i="19"/>
  <c r="E217" i="19"/>
  <c r="D217" i="19"/>
  <c r="X216" i="19"/>
  <c r="W216" i="19"/>
  <c r="V216" i="19"/>
  <c r="U216" i="19"/>
  <c r="T216" i="19"/>
  <c r="S216" i="19"/>
  <c r="R216" i="19"/>
  <c r="Q216" i="19"/>
  <c r="P216" i="19"/>
  <c r="O216" i="19"/>
  <c r="N216" i="19"/>
  <c r="M216" i="19"/>
  <c r="L216" i="19"/>
  <c r="K216" i="19"/>
  <c r="J216" i="19"/>
  <c r="I216" i="19"/>
  <c r="H216" i="19"/>
  <c r="G216" i="19"/>
  <c r="F216" i="19"/>
  <c r="E216" i="19"/>
  <c r="D216" i="19"/>
  <c r="X215" i="19"/>
  <c r="W215" i="19"/>
  <c r="V215" i="19"/>
  <c r="U215" i="19"/>
  <c r="T215" i="19"/>
  <c r="S215" i="19"/>
  <c r="R215" i="19"/>
  <c r="Q215" i="19"/>
  <c r="P215" i="19"/>
  <c r="O215" i="19"/>
  <c r="N215" i="19"/>
  <c r="M215" i="19"/>
  <c r="L215" i="19"/>
  <c r="K215" i="19"/>
  <c r="J215" i="19"/>
  <c r="I215" i="19"/>
  <c r="H215" i="19"/>
  <c r="G215" i="19"/>
  <c r="F215" i="19"/>
  <c r="E215" i="19"/>
  <c r="D215" i="19"/>
  <c r="X214" i="19"/>
  <c r="W214" i="19"/>
  <c r="V214" i="19"/>
  <c r="U214" i="19"/>
  <c r="T214" i="19"/>
  <c r="S214" i="19"/>
  <c r="R214" i="19"/>
  <c r="Q214" i="19"/>
  <c r="P214" i="19"/>
  <c r="O214" i="19"/>
  <c r="N214" i="19"/>
  <c r="M214" i="19"/>
  <c r="L214" i="19"/>
  <c r="K214" i="19"/>
  <c r="J214" i="19"/>
  <c r="I214" i="19"/>
  <c r="H214" i="19"/>
  <c r="G214" i="19"/>
  <c r="F214" i="19"/>
  <c r="E214" i="19"/>
  <c r="D214" i="19"/>
  <c r="X213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X212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W196" i="19"/>
  <c r="V196" i="19"/>
  <c r="U196" i="19"/>
  <c r="T196" i="19"/>
  <c r="S196" i="19"/>
  <c r="R196" i="19"/>
  <c r="Q196" i="19"/>
  <c r="P196" i="19"/>
  <c r="O196" i="19"/>
  <c r="N196" i="19"/>
  <c r="M196" i="19"/>
  <c r="L196" i="19"/>
  <c r="K196" i="19"/>
  <c r="J196" i="19"/>
  <c r="I196" i="19"/>
  <c r="H196" i="19"/>
  <c r="G196" i="19"/>
  <c r="F196" i="19"/>
  <c r="E196" i="19"/>
  <c r="D196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AB192" i="19"/>
  <c r="AA192" i="19"/>
  <c r="Z192" i="19"/>
  <c r="Y192" i="19"/>
  <c r="X192" i="19"/>
  <c r="W192" i="19"/>
  <c r="V192" i="19"/>
  <c r="U192" i="19"/>
  <c r="T192" i="19"/>
  <c r="S192" i="19"/>
  <c r="R192" i="19"/>
  <c r="Q192" i="19"/>
  <c r="P192" i="19"/>
  <c r="O192" i="19"/>
  <c r="N192" i="19"/>
  <c r="M192" i="19"/>
  <c r="L192" i="19"/>
  <c r="K192" i="19"/>
  <c r="J192" i="19"/>
  <c r="I192" i="19"/>
  <c r="H192" i="19"/>
  <c r="G192" i="19"/>
  <c r="F192" i="19"/>
  <c r="E192" i="19"/>
  <c r="D192" i="19"/>
  <c r="AB191" i="19"/>
  <c r="AA191" i="19"/>
  <c r="Z191" i="19"/>
  <c r="Y191" i="19"/>
  <c r="X191" i="19"/>
  <c r="W191" i="19"/>
  <c r="V191" i="19"/>
  <c r="U191" i="19"/>
  <c r="T191" i="19"/>
  <c r="S191" i="19"/>
  <c r="R191" i="19"/>
  <c r="Q191" i="19"/>
  <c r="P191" i="19"/>
  <c r="O191" i="19"/>
  <c r="N191" i="19"/>
  <c r="M191" i="19"/>
  <c r="L191" i="19"/>
  <c r="K191" i="19"/>
  <c r="J191" i="19"/>
  <c r="I191" i="19"/>
  <c r="H191" i="19"/>
  <c r="G191" i="19"/>
  <c r="F191" i="19"/>
  <c r="E191" i="19"/>
  <c r="D191" i="19"/>
  <c r="AB190" i="19"/>
  <c r="AA190" i="19"/>
  <c r="Z190" i="19"/>
  <c r="Y190" i="19"/>
  <c r="X190" i="19"/>
  <c r="W190" i="19"/>
  <c r="V190" i="19"/>
  <c r="U190" i="19"/>
  <c r="T190" i="19"/>
  <c r="S190" i="19"/>
  <c r="R190" i="19"/>
  <c r="Q190" i="19"/>
  <c r="P190" i="19"/>
  <c r="O190" i="19"/>
  <c r="N190" i="19"/>
  <c r="M190" i="19"/>
  <c r="L190" i="19"/>
  <c r="K190" i="19"/>
  <c r="J190" i="19"/>
  <c r="I190" i="19"/>
  <c r="H190" i="19"/>
  <c r="G190" i="19"/>
  <c r="F190" i="19"/>
  <c r="E190" i="19"/>
  <c r="D190" i="19"/>
  <c r="AB189" i="19"/>
  <c r="AA189" i="19"/>
  <c r="Z189" i="19"/>
  <c r="Y189" i="19"/>
  <c r="X189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AB48" i="19"/>
  <c r="AA48" i="19"/>
  <c r="Z48" i="19"/>
  <c r="Y48" i="19"/>
  <c r="X48" i="19"/>
  <c r="W48" i="19"/>
  <c r="V48" i="19"/>
  <c r="U48" i="19"/>
  <c r="T48" i="19"/>
  <c r="S48" i="19"/>
  <c r="R48" i="19"/>
  <c r="Q48" i="19"/>
  <c r="P48" i="19"/>
  <c r="O48" i="19"/>
  <c r="N48" i="19"/>
  <c r="M48" i="19"/>
  <c r="L48" i="19"/>
  <c r="K48" i="19"/>
  <c r="J48" i="19"/>
  <c r="I48" i="19"/>
  <c r="H48" i="19"/>
  <c r="G48" i="19"/>
  <c r="F48" i="19"/>
  <c r="E48" i="19"/>
  <c r="D48" i="19"/>
  <c r="AB47" i="19"/>
  <c r="AA47" i="19"/>
  <c r="Z47" i="19"/>
  <c r="Y47" i="19"/>
  <c r="X47" i="19"/>
  <c r="W47" i="19"/>
  <c r="V47" i="19"/>
  <c r="U47" i="19"/>
  <c r="T47" i="19"/>
  <c r="S47" i="19"/>
  <c r="R47" i="19"/>
  <c r="Q47" i="19"/>
  <c r="P47" i="19"/>
  <c r="O47" i="19"/>
  <c r="N47" i="19"/>
  <c r="M47" i="19"/>
  <c r="L47" i="19"/>
  <c r="K47" i="19"/>
  <c r="J47" i="19"/>
  <c r="I47" i="19"/>
  <c r="H47" i="19"/>
  <c r="G47" i="19"/>
  <c r="F47" i="19"/>
  <c r="E47" i="19"/>
  <c r="D47" i="19"/>
  <c r="AB46" i="19"/>
  <c r="AA46" i="19"/>
  <c r="Z46" i="19"/>
  <c r="Y46" i="19"/>
  <c r="X46" i="19"/>
  <c r="W46" i="19"/>
  <c r="V46" i="19"/>
  <c r="U46" i="19"/>
  <c r="T46" i="19"/>
  <c r="S46" i="19"/>
  <c r="R46" i="19"/>
  <c r="Q46" i="19"/>
  <c r="P46" i="19"/>
  <c r="O46" i="19"/>
  <c r="N46" i="19"/>
  <c r="M46" i="19"/>
  <c r="L46" i="19"/>
  <c r="K46" i="19"/>
  <c r="J46" i="19"/>
  <c r="I46" i="19"/>
  <c r="H46" i="19"/>
  <c r="G46" i="19"/>
  <c r="F46" i="19"/>
  <c r="E46" i="19"/>
  <c r="D46" i="19"/>
  <c r="N41" i="19"/>
  <c r="M41" i="19"/>
  <c r="L41" i="19"/>
  <c r="K41" i="19"/>
  <c r="J41" i="19"/>
  <c r="I41" i="19"/>
  <c r="H41" i="19"/>
  <c r="G41" i="19"/>
  <c r="F41" i="19"/>
  <c r="E41" i="19"/>
  <c r="D41" i="19"/>
  <c r="N40" i="19"/>
  <c r="M40" i="19"/>
  <c r="L40" i="19"/>
  <c r="K40" i="19"/>
  <c r="J40" i="19"/>
  <c r="I40" i="19"/>
  <c r="H40" i="19"/>
  <c r="G40" i="19"/>
  <c r="F40" i="19"/>
  <c r="E40" i="19"/>
  <c r="D40" i="19"/>
  <c r="N39" i="19"/>
  <c r="M39" i="19"/>
  <c r="L39" i="19"/>
  <c r="K39" i="19"/>
  <c r="J39" i="19"/>
  <c r="I39" i="19"/>
  <c r="H39" i="19"/>
  <c r="G39" i="19"/>
  <c r="F39" i="19"/>
  <c r="E39" i="19"/>
  <c r="D39" i="19"/>
  <c r="N38" i="19"/>
  <c r="M38" i="19"/>
  <c r="L38" i="19"/>
  <c r="K38" i="19"/>
  <c r="J38" i="19"/>
  <c r="I38" i="19"/>
  <c r="H38" i="19"/>
  <c r="G38" i="19"/>
  <c r="F38" i="19"/>
  <c r="E38" i="19"/>
  <c r="D38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X15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G15" i="19"/>
  <c r="F15" i="19"/>
  <c r="E15" i="19"/>
  <c r="D15" i="19"/>
  <c r="C260" i="9"/>
  <c r="C261" i="9"/>
  <c r="D261" i="9"/>
  <c r="E261" i="9"/>
  <c r="F261" i="9"/>
  <c r="G261" i="9"/>
  <c r="H261" i="9"/>
  <c r="I261" i="9"/>
  <c r="J261" i="9"/>
  <c r="K261" i="9"/>
  <c r="L261" i="9"/>
  <c r="M261" i="9"/>
  <c r="N261" i="9"/>
  <c r="O261" i="9"/>
  <c r="P261" i="9"/>
  <c r="Q261" i="9"/>
  <c r="C262" i="9"/>
  <c r="D262" i="9"/>
  <c r="E262" i="9"/>
  <c r="F262" i="9"/>
  <c r="G262" i="9"/>
  <c r="H262" i="9"/>
  <c r="I262" i="9"/>
  <c r="J262" i="9"/>
  <c r="K262" i="9"/>
  <c r="L262" i="9"/>
  <c r="M262" i="9"/>
  <c r="N262" i="9"/>
  <c r="O262" i="9"/>
  <c r="P262" i="9"/>
  <c r="Q262" i="9"/>
  <c r="C263" i="9"/>
  <c r="D263" i="9"/>
  <c r="E263" i="9"/>
  <c r="F263" i="9"/>
  <c r="G263" i="9"/>
  <c r="H263" i="9"/>
  <c r="I263" i="9"/>
  <c r="J263" i="9"/>
  <c r="K263" i="9"/>
  <c r="L263" i="9"/>
  <c r="M263" i="9"/>
  <c r="N263" i="9"/>
  <c r="O263" i="9"/>
  <c r="P263" i="9"/>
  <c r="Q263" i="9"/>
  <c r="N260" i="9"/>
  <c r="O260" i="9"/>
  <c r="P260" i="9"/>
  <c r="Q260" i="9"/>
  <c r="D260" i="9"/>
  <c r="E260" i="9"/>
  <c r="F260" i="9"/>
  <c r="G260" i="9"/>
  <c r="H260" i="9"/>
  <c r="I260" i="9"/>
  <c r="J260" i="9"/>
  <c r="K260" i="9"/>
  <c r="L260" i="9"/>
  <c r="M260" i="9"/>
  <c r="M39" i="8"/>
  <c r="M40" i="8"/>
  <c r="M41" i="8"/>
  <c r="M38" i="8"/>
  <c r="M334" i="10"/>
  <c r="L334" i="10"/>
  <c r="K334" i="10"/>
  <c r="J334" i="10"/>
  <c r="I334" i="10"/>
  <c r="H334" i="10"/>
  <c r="G334" i="10"/>
  <c r="F334" i="10"/>
  <c r="E334" i="10"/>
  <c r="D334" i="10"/>
  <c r="C334" i="10"/>
  <c r="M333" i="10"/>
  <c r="L333" i="10"/>
  <c r="K333" i="10"/>
  <c r="J333" i="10"/>
  <c r="I333" i="10"/>
  <c r="H333" i="10"/>
  <c r="G333" i="10"/>
  <c r="F333" i="10"/>
  <c r="E333" i="10"/>
  <c r="D333" i="10"/>
  <c r="C333" i="10"/>
  <c r="M332" i="10"/>
  <c r="L332" i="10"/>
  <c r="K332" i="10"/>
  <c r="J332" i="10"/>
  <c r="I332" i="10"/>
  <c r="H332" i="10"/>
  <c r="G332" i="10"/>
  <c r="F332" i="10"/>
  <c r="E332" i="10"/>
  <c r="D332" i="10"/>
  <c r="C332" i="10"/>
  <c r="M331" i="10"/>
  <c r="L331" i="10"/>
  <c r="K331" i="10"/>
  <c r="J331" i="10"/>
  <c r="I331" i="10"/>
  <c r="H331" i="10"/>
  <c r="G331" i="10"/>
  <c r="F331" i="10"/>
  <c r="E331" i="10"/>
  <c r="D331" i="10"/>
  <c r="C331" i="10"/>
  <c r="M330" i="10"/>
  <c r="L330" i="10"/>
  <c r="K330" i="10"/>
  <c r="J330" i="10"/>
  <c r="I330" i="10"/>
  <c r="H330" i="10"/>
  <c r="G330" i="10"/>
  <c r="F330" i="10"/>
  <c r="E330" i="10"/>
  <c r="D330" i="10"/>
  <c r="C330" i="10"/>
  <c r="L259" i="10"/>
  <c r="K259" i="10"/>
  <c r="J259" i="10"/>
  <c r="I259" i="10"/>
  <c r="H259" i="10"/>
  <c r="G259" i="10"/>
  <c r="F259" i="10"/>
  <c r="E259" i="10"/>
  <c r="D259" i="10"/>
  <c r="C259" i="10"/>
  <c r="L258" i="10"/>
  <c r="K258" i="10"/>
  <c r="J258" i="10"/>
  <c r="I258" i="10"/>
  <c r="H258" i="10"/>
  <c r="G258" i="10"/>
  <c r="F258" i="10"/>
  <c r="E258" i="10"/>
  <c r="D258" i="10"/>
  <c r="C258" i="10"/>
  <c r="L257" i="10"/>
  <c r="K257" i="10"/>
  <c r="J257" i="10"/>
  <c r="I257" i="10"/>
  <c r="H257" i="10"/>
  <c r="G257" i="10"/>
  <c r="F257" i="10"/>
  <c r="E257" i="10"/>
  <c r="D257" i="10"/>
  <c r="C257" i="10"/>
  <c r="L256" i="10"/>
  <c r="K256" i="10"/>
  <c r="J256" i="10"/>
  <c r="I256" i="10"/>
  <c r="H256" i="10"/>
  <c r="G256" i="10"/>
  <c r="F256" i="10"/>
  <c r="E256" i="10"/>
  <c r="D256" i="10"/>
  <c r="C256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I142" i="10"/>
  <c r="H142" i="10"/>
  <c r="G142" i="10"/>
  <c r="F142" i="10"/>
  <c r="E142" i="10"/>
  <c r="D142" i="10"/>
  <c r="C142" i="10"/>
  <c r="I141" i="10"/>
  <c r="H141" i="10"/>
  <c r="G141" i="10"/>
  <c r="F141" i="10"/>
  <c r="E141" i="10"/>
  <c r="D141" i="10"/>
  <c r="C141" i="10"/>
  <c r="I140" i="10"/>
  <c r="H140" i="10"/>
  <c r="G140" i="10"/>
  <c r="F140" i="10"/>
  <c r="E140" i="10"/>
  <c r="D140" i="10"/>
  <c r="C140" i="10"/>
  <c r="I139" i="10"/>
  <c r="H139" i="10"/>
  <c r="G139" i="10"/>
  <c r="F139" i="10"/>
  <c r="E139" i="10"/>
  <c r="D139" i="10"/>
  <c r="C139" i="10"/>
  <c r="I138" i="10"/>
  <c r="H138" i="10"/>
  <c r="G138" i="10"/>
  <c r="F138" i="10"/>
  <c r="E138" i="10"/>
  <c r="D138" i="10"/>
  <c r="C13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M29" i="10"/>
  <c r="L29" i="10"/>
  <c r="K29" i="10"/>
  <c r="J29" i="10"/>
  <c r="I29" i="10"/>
  <c r="H29" i="10"/>
  <c r="G29" i="10"/>
  <c r="F29" i="10"/>
  <c r="E29" i="10"/>
  <c r="D29" i="10"/>
  <c r="C29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AS23" i="10"/>
  <c r="AR23" i="10"/>
  <c r="AQ23" i="10"/>
  <c r="AP23" i="10"/>
  <c r="AO23" i="10"/>
  <c r="AN23" i="10"/>
  <c r="AM23" i="10"/>
  <c r="AL23" i="10"/>
  <c r="AK23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AS22" i="10"/>
  <c r="AR22" i="10"/>
  <c r="AQ22" i="10"/>
  <c r="AP22" i="10"/>
  <c r="AO22" i="10"/>
  <c r="AN22" i="10"/>
  <c r="AM22" i="10"/>
  <c r="AL22" i="10"/>
  <c r="AK22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AS21" i="10"/>
  <c r="AR21" i="10"/>
  <c r="AQ21" i="10"/>
  <c r="AP21" i="10"/>
  <c r="AO21" i="10"/>
  <c r="AN21" i="10"/>
  <c r="AM21" i="10"/>
  <c r="AL21" i="10"/>
  <c r="AK21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AS19" i="10"/>
  <c r="AR19" i="10"/>
  <c r="AQ19" i="10"/>
  <c r="AP19" i="10"/>
  <c r="AO19" i="10"/>
  <c r="AN19" i="10"/>
  <c r="AM19" i="10"/>
  <c r="AL19" i="10"/>
  <c r="AK19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AS18" i="10"/>
  <c r="AR18" i="10"/>
  <c r="AQ18" i="10"/>
  <c r="AP18" i="10"/>
  <c r="AO18" i="10"/>
  <c r="AN18" i="10"/>
  <c r="AM18" i="10"/>
  <c r="AL18" i="10"/>
  <c r="AK18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M10" i="10"/>
  <c r="L10" i="10"/>
  <c r="K10" i="10"/>
  <c r="J10" i="10"/>
  <c r="I10" i="10"/>
  <c r="H10" i="10"/>
  <c r="G10" i="10"/>
  <c r="F10" i="10"/>
  <c r="E10" i="10"/>
  <c r="D10" i="10"/>
  <c r="C10" i="10"/>
  <c r="M9" i="10"/>
  <c r="L9" i="10"/>
  <c r="K9" i="10"/>
  <c r="J9" i="10"/>
  <c r="I9" i="10"/>
  <c r="H9" i="10"/>
  <c r="G9" i="10"/>
  <c r="F9" i="10"/>
  <c r="E9" i="10"/>
  <c r="D9" i="10"/>
  <c r="C9" i="10"/>
  <c r="M8" i="10"/>
  <c r="L8" i="10"/>
  <c r="K8" i="10"/>
  <c r="J8" i="10"/>
  <c r="I8" i="10"/>
  <c r="H8" i="10"/>
  <c r="G8" i="10"/>
  <c r="F8" i="10"/>
  <c r="E8" i="10"/>
  <c r="D8" i="10"/>
  <c r="C8" i="10"/>
  <c r="M7" i="10"/>
  <c r="L7" i="10"/>
  <c r="K7" i="10"/>
  <c r="J7" i="10"/>
  <c r="I7" i="10"/>
  <c r="H7" i="10"/>
  <c r="G7" i="10"/>
  <c r="F7" i="10"/>
  <c r="E7" i="10"/>
  <c r="D7" i="10"/>
  <c r="C7" i="10"/>
  <c r="M334" i="9"/>
  <c r="L334" i="9"/>
  <c r="K334" i="9"/>
  <c r="J334" i="9"/>
  <c r="I334" i="9"/>
  <c r="H334" i="9"/>
  <c r="G334" i="9"/>
  <c r="F334" i="9"/>
  <c r="E334" i="9"/>
  <c r="D334" i="9"/>
  <c r="C334" i="9"/>
  <c r="M333" i="9"/>
  <c r="L333" i="9"/>
  <c r="K333" i="9"/>
  <c r="J333" i="9"/>
  <c r="I333" i="9"/>
  <c r="H333" i="9"/>
  <c r="G333" i="9"/>
  <c r="F333" i="9"/>
  <c r="E333" i="9"/>
  <c r="D333" i="9"/>
  <c r="C333" i="9"/>
  <c r="M332" i="9"/>
  <c r="L332" i="9"/>
  <c r="K332" i="9"/>
  <c r="J332" i="9"/>
  <c r="I332" i="9"/>
  <c r="H332" i="9"/>
  <c r="G332" i="9"/>
  <c r="F332" i="9"/>
  <c r="E332" i="9"/>
  <c r="D332" i="9"/>
  <c r="C332" i="9"/>
  <c r="M331" i="9"/>
  <c r="L331" i="9"/>
  <c r="K331" i="9"/>
  <c r="J331" i="9"/>
  <c r="I331" i="9"/>
  <c r="H331" i="9"/>
  <c r="G331" i="9"/>
  <c r="F331" i="9"/>
  <c r="E331" i="9"/>
  <c r="D331" i="9"/>
  <c r="C331" i="9"/>
  <c r="M330" i="9"/>
  <c r="L330" i="9"/>
  <c r="K330" i="9"/>
  <c r="J330" i="9"/>
  <c r="I330" i="9"/>
  <c r="H330" i="9"/>
  <c r="G330" i="9"/>
  <c r="F330" i="9"/>
  <c r="E330" i="9"/>
  <c r="D330" i="9"/>
  <c r="C330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R291" i="9"/>
  <c r="Q291" i="9"/>
  <c r="P291" i="9"/>
  <c r="O291" i="9"/>
  <c r="N291" i="9"/>
  <c r="M291" i="9"/>
  <c r="L291" i="9"/>
  <c r="K291" i="9"/>
  <c r="J291" i="9"/>
  <c r="I291" i="9"/>
  <c r="H291" i="9"/>
  <c r="G291" i="9"/>
  <c r="F291" i="9"/>
  <c r="E291" i="9"/>
  <c r="D291" i="9"/>
  <c r="C291" i="9"/>
  <c r="R290" i="9"/>
  <c r="Q290" i="9"/>
  <c r="P290" i="9"/>
  <c r="O290" i="9"/>
  <c r="N290" i="9"/>
  <c r="M290" i="9"/>
  <c r="L290" i="9"/>
  <c r="K290" i="9"/>
  <c r="J290" i="9"/>
  <c r="I290" i="9"/>
  <c r="H290" i="9"/>
  <c r="G290" i="9"/>
  <c r="F290" i="9"/>
  <c r="E290" i="9"/>
  <c r="D290" i="9"/>
  <c r="C290" i="9"/>
  <c r="O276" i="9"/>
  <c r="N276" i="9"/>
  <c r="M276" i="9"/>
  <c r="L276" i="9"/>
  <c r="K276" i="9"/>
  <c r="J276" i="9"/>
  <c r="I276" i="9"/>
  <c r="H276" i="9"/>
  <c r="G276" i="9"/>
  <c r="F276" i="9"/>
  <c r="E276" i="9"/>
  <c r="D276" i="9"/>
  <c r="C276" i="9"/>
  <c r="O275" i="9"/>
  <c r="N275" i="9"/>
  <c r="M275" i="9"/>
  <c r="L275" i="9"/>
  <c r="K275" i="9"/>
  <c r="J275" i="9"/>
  <c r="I275" i="9"/>
  <c r="H275" i="9"/>
  <c r="G275" i="9"/>
  <c r="F275" i="9"/>
  <c r="E275" i="9"/>
  <c r="D275" i="9"/>
  <c r="C275" i="9"/>
  <c r="AA274" i="9"/>
  <c r="Z274" i="9"/>
  <c r="Y274" i="9"/>
  <c r="X274" i="9"/>
  <c r="W274" i="9"/>
  <c r="V274" i="9"/>
  <c r="U274" i="9"/>
  <c r="T274" i="9"/>
  <c r="S274" i="9"/>
  <c r="R274" i="9"/>
  <c r="Q274" i="9"/>
  <c r="P274" i="9"/>
  <c r="O274" i="9"/>
  <c r="N274" i="9"/>
  <c r="M274" i="9"/>
  <c r="L274" i="9"/>
  <c r="K274" i="9"/>
  <c r="J274" i="9"/>
  <c r="I274" i="9"/>
  <c r="H274" i="9"/>
  <c r="G274" i="9"/>
  <c r="F274" i="9"/>
  <c r="E274" i="9"/>
  <c r="D274" i="9"/>
  <c r="C274" i="9"/>
  <c r="X273" i="9"/>
  <c r="W273" i="9"/>
  <c r="V273" i="9"/>
  <c r="U273" i="9"/>
  <c r="T273" i="9"/>
  <c r="S273" i="9"/>
  <c r="R273" i="9"/>
  <c r="Q273" i="9"/>
  <c r="P273" i="9"/>
  <c r="O273" i="9"/>
  <c r="N273" i="9"/>
  <c r="M273" i="9"/>
  <c r="L273" i="9"/>
  <c r="K273" i="9"/>
  <c r="J273" i="9"/>
  <c r="I273" i="9"/>
  <c r="H273" i="9"/>
  <c r="G273" i="9"/>
  <c r="F273" i="9"/>
  <c r="E273" i="9"/>
  <c r="D273" i="9"/>
  <c r="C273" i="9"/>
  <c r="AA272" i="9"/>
  <c r="Z272" i="9"/>
  <c r="Y272" i="9"/>
  <c r="X272" i="9"/>
  <c r="W272" i="9"/>
  <c r="V272" i="9"/>
  <c r="U272" i="9"/>
  <c r="T272" i="9"/>
  <c r="S272" i="9"/>
  <c r="R272" i="9"/>
  <c r="Q272" i="9"/>
  <c r="P272" i="9"/>
  <c r="O272" i="9"/>
  <c r="N272" i="9"/>
  <c r="M272" i="9"/>
  <c r="L272" i="9"/>
  <c r="K272" i="9"/>
  <c r="J272" i="9"/>
  <c r="I272" i="9"/>
  <c r="H272" i="9"/>
  <c r="G272" i="9"/>
  <c r="F272" i="9"/>
  <c r="E272" i="9"/>
  <c r="D272" i="9"/>
  <c r="C272" i="9"/>
  <c r="AA271" i="9"/>
  <c r="Z271" i="9"/>
  <c r="Y271" i="9"/>
  <c r="X271" i="9"/>
  <c r="W271" i="9"/>
  <c r="V271" i="9"/>
  <c r="U271" i="9"/>
  <c r="T271" i="9"/>
  <c r="S271" i="9"/>
  <c r="R271" i="9"/>
  <c r="Q271" i="9"/>
  <c r="P271" i="9"/>
  <c r="O271" i="9"/>
  <c r="N271" i="9"/>
  <c r="M271" i="9"/>
  <c r="L271" i="9"/>
  <c r="K271" i="9"/>
  <c r="J271" i="9"/>
  <c r="I271" i="9"/>
  <c r="H271" i="9"/>
  <c r="G271" i="9"/>
  <c r="F271" i="9"/>
  <c r="E271" i="9"/>
  <c r="D271" i="9"/>
  <c r="C271" i="9"/>
  <c r="X270" i="9"/>
  <c r="W270" i="9"/>
  <c r="V270" i="9"/>
  <c r="U270" i="9"/>
  <c r="T270" i="9"/>
  <c r="S270" i="9"/>
  <c r="R270" i="9"/>
  <c r="Q270" i="9"/>
  <c r="P270" i="9"/>
  <c r="O270" i="9"/>
  <c r="N270" i="9"/>
  <c r="M270" i="9"/>
  <c r="L270" i="9"/>
  <c r="K270" i="9"/>
  <c r="J270" i="9"/>
  <c r="I270" i="9"/>
  <c r="H270" i="9"/>
  <c r="G270" i="9"/>
  <c r="F270" i="9"/>
  <c r="E270" i="9"/>
  <c r="D270" i="9"/>
  <c r="C270" i="9"/>
  <c r="U269" i="9"/>
  <c r="T269" i="9"/>
  <c r="S269" i="9"/>
  <c r="R269" i="9"/>
  <c r="Q269" i="9"/>
  <c r="P269" i="9"/>
  <c r="O269" i="9"/>
  <c r="N269" i="9"/>
  <c r="M269" i="9"/>
  <c r="L269" i="9"/>
  <c r="K269" i="9"/>
  <c r="J269" i="9"/>
  <c r="I269" i="9"/>
  <c r="H269" i="9"/>
  <c r="G269" i="9"/>
  <c r="F269" i="9"/>
  <c r="E269" i="9"/>
  <c r="D269" i="9"/>
  <c r="C269" i="9"/>
  <c r="U268" i="9"/>
  <c r="T268" i="9"/>
  <c r="S268" i="9"/>
  <c r="R268" i="9"/>
  <c r="Q268" i="9"/>
  <c r="P268" i="9"/>
  <c r="O268" i="9"/>
  <c r="N268" i="9"/>
  <c r="M268" i="9"/>
  <c r="L268" i="9"/>
  <c r="K268" i="9"/>
  <c r="J268" i="9"/>
  <c r="I268" i="9"/>
  <c r="H268" i="9"/>
  <c r="G268" i="9"/>
  <c r="F268" i="9"/>
  <c r="E268" i="9"/>
  <c r="D268" i="9"/>
  <c r="C268" i="9"/>
  <c r="U267" i="9"/>
  <c r="T267" i="9"/>
  <c r="S267" i="9"/>
  <c r="R267" i="9"/>
  <c r="Q267" i="9"/>
  <c r="P267" i="9"/>
  <c r="O267" i="9"/>
  <c r="N267" i="9"/>
  <c r="M267" i="9"/>
  <c r="L267" i="9"/>
  <c r="K267" i="9"/>
  <c r="J267" i="9"/>
  <c r="I267" i="9"/>
  <c r="H267" i="9"/>
  <c r="G267" i="9"/>
  <c r="F267" i="9"/>
  <c r="E267" i="9"/>
  <c r="D267" i="9"/>
  <c r="C267" i="9"/>
  <c r="U266" i="9"/>
  <c r="T266" i="9"/>
  <c r="S266" i="9"/>
  <c r="R266" i="9"/>
  <c r="Q266" i="9"/>
  <c r="P266" i="9"/>
  <c r="O266" i="9"/>
  <c r="N266" i="9"/>
  <c r="M266" i="9"/>
  <c r="L266" i="9"/>
  <c r="K266" i="9"/>
  <c r="J266" i="9"/>
  <c r="I266" i="9"/>
  <c r="H266" i="9"/>
  <c r="G266" i="9"/>
  <c r="F266" i="9"/>
  <c r="E266" i="9"/>
  <c r="D266" i="9"/>
  <c r="C266" i="9"/>
  <c r="U265" i="9"/>
  <c r="T265" i="9"/>
  <c r="S265" i="9"/>
  <c r="R265" i="9"/>
  <c r="Q265" i="9"/>
  <c r="P265" i="9"/>
  <c r="O265" i="9"/>
  <c r="N265" i="9"/>
  <c r="M265" i="9"/>
  <c r="L265" i="9"/>
  <c r="K265" i="9"/>
  <c r="J265" i="9"/>
  <c r="I265" i="9"/>
  <c r="H265" i="9"/>
  <c r="G265" i="9"/>
  <c r="F265" i="9"/>
  <c r="E265" i="9"/>
  <c r="D265" i="9"/>
  <c r="C265" i="9"/>
  <c r="U264" i="9"/>
  <c r="T264" i="9"/>
  <c r="S264" i="9"/>
  <c r="R264" i="9"/>
  <c r="Q264" i="9"/>
  <c r="P264" i="9"/>
  <c r="O264" i="9"/>
  <c r="N264" i="9"/>
  <c r="M264" i="9"/>
  <c r="L264" i="9"/>
  <c r="K264" i="9"/>
  <c r="J264" i="9"/>
  <c r="I264" i="9"/>
  <c r="H264" i="9"/>
  <c r="G264" i="9"/>
  <c r="F264" i="9"/>
  <c r="E264" i="9"/>
  <c r="D264" i="9"/>
  <c r="C264" i="9"/>
  <c r="L259" i="9"/>
  <c r="K259" i="9"/>
  <c r="J259" i="9"/>
  <c r="I259" i="9"/>
  <c r="H259" i="9"/>
  <c r="G259" i="9"/>
  <c r="F259" i="9"/>
  <c r="E259" i="9"/>
  <c r="D259" i="9"/>
  <c r="C259" i="9"/>
  <c r="L258" i="9"/>
  <c r="K258" i="9"/>
  <c r="J258" i="9"/>
  <c r="I258" i="9"/>
  <c r="H258" i="9"/>
  <c r="G258" i="9"/>
  <c r="F258" i="9"/>
  <c r="E258" i="9"/>
  <c r="D258" i="9"/>
  <c r="C258" i="9"/>
  <c r="L257" i="9"/>
  <c r="K257" i="9"/>
  <c r="J257" i="9"/>
  <c r="I257" i="9"/>
  <c r="H257" i="9"/>
  <c r="G257" i="9"/>
  <c r="F257" i="9"/>
  <c r="E257" i="9"/>
  <c r="D257" i="9"/>
  <c r="C257" i="9"/>
  <c r="L256" i="9"/>
  <c r="K256" i="9"/>
  <c r="J256" i="9"/>
  <c r="I256" i="9"/>
  <c r="H256" i="9"/>
  <c r="G256" i="9"/>
  <c r="F256" i="9"/>
  <c r="E256" i="9"/>
  <c r="D256" i="9"/>
  <c r="C256" i="9"/>
  <c r="R245" i="9"/>
  <c r="Q245" i="9"/>
  <c r="P245" i="9"/>
  <c r="O245" i="9"/>
  <c r="N245" i="9"/>
  <c r="M245" i="9"/>
  <c r="L245" i="9"/>
  <c r="K245" i="9"/>
  <c r="J245" i="9"/>
  <c r="I245" i="9"/>
  <c r="H245" i="9"/>
  <c r="G245" i="9"/>
  <c r="F245" i="9"/>
  <c r="E245" i="9"/>
  <c r="D245" i="9"/>
  <c r="C245" i="9"/>
  <c r="R244" i="9"/>
  <c r="Q244" i="9"/>
  <c r="P244" i="9"/>
  <c r="O244" i="9"/>
  <c r="N244" i="9"/>
  <c r="M244" i="9"/>
  <c r="L244" i="9"/>
  <c r="K244" i="9"/>
  <c r="J244" i="9"/>
  <c r="I244" i="9"/>
  <c r="H244" i="9"/>
  <c r="G244" i="9"/>
  <c r="F244" i="9"/>
  <c r="E244" i="9"/>
  <c r="D244" i="9"/>
  <c r="C244" i="9"/>
  <c r="R243" i="9"/>
  <c r="Q243" i="9"/>
  <c r="P243" i="9"/>
  <c r="O243" i="9"/>
  <c r="N243" i="9"/>
  <c r="M243" i="9"/>
  <c r="L243" i="9"/>
  <c r="K243" i="9"/>
  <c r="J243" i="9"/>
  <c r="I243" i="9"/>
  <c r="H243" i="9"/>
  <c r="G243" i="9"/>
  <c r="F243" i="9"/>
  <c r="E243" i="9"/>
  <c r="D243" i="9"/>
  <c r="C243" i="9"/>
  <c r="Q242" i="9"/>
  <c r="P242" i="9"/>
  <c r="O242" i="9"/>
  <c r="N242" i="9"/>
  <c r="M242" i="9"/>
  <c r="L242" i="9"/>
  <c r="K242" i="9"/>
  <c r="J242" i="9"/>
  <c r="I242" i="9"/>
  <c r="H242" i="9"/>
  <c r="G242" i="9"/>
  <c r="F242" i="9"/>
  <c r="E242" i="9"/>
  <c r="D242" i="9"/>
  <c r="C242" i="9"/>
  <c r="Q241" i="9"/>
  <c r="P241" i="9"/>
  <c r="O241" i="9"/>
  <c r="N241" i="9"/>
  <c r="M241" i="9"/>
  <c r="L241" i="9"/>
  <c r="K241" i="9"/>
  <c r="J241" i="9"/>
  <c r="I241" i="9"/>
  <c r="H241" i="9"/>
  <c r="G241" i="9"/>
  <c r="F241" i="9"/>
  <c r="E241" i="9"/>
  <c r="D241" i="9"/>
  <c r="C241" i="9"/>
  <c r="Q240" i="9"/>
  <c r="P240" i="9"/>
  <c r="O240" i="9"/>
  <c r="N240" i="9"/>
  <c r="M240" i="9"/>
  <c r="L240" i="9"/>
  <c r="K240" i="9"/>
  <c r="J240" i="9"/>
  <c r="I240" i="9"/>
  <c r="H240" i="9"/>
  <c r="G240" i="9"/>
  <c r="F240" i="9"/>
  <c r="E240" i="9"/>
  <c r="D240" i="9"/>
  <c r="C240" i="9"/>
  <c r="W239" i="9"/>
  <c r="V239" i="9"/>
  <c r="U239" i="9"/>
  <c r="T239" i="9"/>
  <c r="S239" i="9"/>
  <c r="R239" i="9"/>
  <c r="Q239" i="9"/>
  <c r="P239" i="9"/>
  <c r="O239" i="9"/>
  <c r="N239" i="9"/>
  <c r="M239" i="9"/>
  <c r="L239" i="9"/>
  <c r="K239" i="9"/>
  <c r="J239" i="9"/>
  <c r="I239" i="9"/>
  <c r="H239" i="9"/>
  <c r="G239" i="9"/>
  <c r="F239" i="9"/>
  <c r="E239" i="9"/>
  <c r="D239" i="9"/>
  <c r="C239" i="9"/>
  <c r="W238" i="9"/>
  <c r="V238" i="9"/>
  <c r="U238" i="9"/>
  <c r="T238" i="9"/>
  <c r="S238" i="9"/>
  <c r="R238" i="9"/>
  <c r="Q238" i="9"/>
  <c r="P238" i="9"/>
  <c r="O238" i="9"/>
  <c r="N238" i="9"/>
  <c r="M238" i="9"/>
  <c r="L238" i="9"/>
  <c r="K238" i="9"/>
  <c r="J238" i="9"/>
  <c r="I238" i="9"/>
  <c r="H238" i="9"/>
  <c r="G238" i="9"/>
  <c r="F238" i="9"/>
  <c r="E238" i="9"/>
  <c r="D238" i="9"/>
  <c r="C238" i="9"/>
  <c r="W237" i="9"/>
  <c r="V237" i="9"/>
  <c r="U237" i="9"/>
  <c r="T237" i="9"/>
  <c r="S237" i="9"/>
  <c r="R237" i="9"/>
  <c r="Q237" i="9"/>
  <c r="P237" i="9"/>
  <c r="O237" i="9"/>
  <c r="N237" i="9"/>
  <c r="M237" i="9"/>
  <c r="L237" i="9"/>
  <c r="K237" i="9"/>
  <c r="J237" i="9"/>
  <c r="I237" i="9"/>
  <c r="H237" i="9"/>
  <c r="G237" i="9"/>
  <c r="F237" i="9"/>
  <c r="E237" i="9"/>
  <c r="D237" i="9"/>
  <c r="C237" i="9"/>
  <c r="N204" i="9"/>
  <c r="M204" i="9"/>
  <c r="L204" i="9"/>
  <c r="K204" i="9"/>
  <c r="J204" i="9"/>
  <c r="I204" i="9"/>
  <c r="H204" i="9"/>
  <c r="G204" i="9"/>
  <c r="F204" i="9"/>
  <c r="E204" i="9"/>
  <c r="D204" i="9"/>
  <c r="C204" i="9"/>
  <c r="N203" i="9"/>
  <c r="M203" i="9"/>
  <c r="L203" i="9"/>
  <c r="K203" i="9"/>
  <c r="J203" i="9"/>
  <c r="I203" i="9"/>
  <c r="H203" i="9"/>
  <c r="G203" i="9"/>
  <c r="F203" i="9"/>
  <c r="E203" i="9"/>
  <c r="D203" i="9"/>
  <c r="C203" i="9"/>
  <c r="N202" i="9"/>
  <c r="M202" i="9"/>
  <c r="L202" i="9"/>
  <c r="K202" i="9"/>
  <c r="J202" i="9"/>
  <c r="I202" i="9"/>
  <c r="H202" i="9"/>
  <c r="G202" i="9"/>
  <c r="F202" i="9"/>
  <c r="E202" i="9"/>
  <c r="D202" i="9"/>
  <c r="C202" i="9"/>
  <c r="N201" i="9"/>
  <c r="M201" i="9"/>
  <c r="L201" i="9"/>
  <c r="K201" i="9"/>
  <c r="J201" i="9"/>
  <c r="I201" i="9"/>
  <c r="H201" i="9"/>
  <c r="G201" i="9"/>
  <c r="F201" i="9"/>
  <c r="E201" i="9"/>
  <c r="D201" i="9"/>
  <c r="C201" i="9"/>
  <c r="AH200" i="9"/>
  <c r="AG200" i="9"/>
  <c r="AF200" i="9"/>
  <c r="AE200" i="9"/>
  <c r="AD200" i="9"/>
  <c r="AC200" i="9"/>
  <c r="AB200" i="9"/>
  <c r="AA200" i="9"/>
  <c r="Z200" i="9"/>
  <c r="Y200" i="9"/>
  <c r="X200" i="9"/>
  <c r="W200" i="9"/>
  <c r="V200" i="9"/>
  <c r="U200" i="9"/>
  <c r="T200" i="9"/>
  <c r="S200" i="9"/>
  <c r="R200" i="9"/>
  <c r="Q200" i="9"/>
  <c r="P200" i="9"/>
  <c r="O200" i="9"/>
  <c r="N200" i="9"/>
  <c r="M200" i="9"/>
  <c r="L200" i="9"/>
  <c r="K200" i="9"/>
  <c r="J200" i="9"/>
  <c r="I200" i="9"/>
  <c r="H200" i="9"/>
  <c r="G200" i="9"/>
  <c r="F200" i="9"/>
  <c r="E200" i="9"/>
  <c r="D200" i="9"/>
  <c r="C200" i="9"/>
  <c r="AH199" i="9"/>
  <c r="AG199" i="9"/>
  <c r="AF199" i="9"/>
  <c r="AE199" i="9"/>
  <c r="AD199" i="9"/>
  <c r="AC199" i="9"/>
  <c r="AB199" i="9"/>
  <c r="AA199" i="9"/>
  <c r="Z199" i="9"/>
  <c r="Y199" i="9"/>
  <c r="X199" i="9"/>
  <c r="W199" i="9"/>
  <c r="V199" i="9"/>
  <c r="U199" i="9"/>
  <c r="T199" i="9"/>
  <c r="S199" i="9"/>
  <c r="R199" i="9"/>
  <c r="Q199" i="9"/>
  <c r="P199" i="9"/>
  <c r="O199" i="9"/>
  <c r="N199" i="9"/>
  <c r="M199" i="9"/>
  <c r="L199" i="9"/>
  <c r="K199" i="9"/>
  <c r="J199" i="9"/>
  <c r="I199" i="9"/>
  <c r="H199" i="9"/>
  <c r="G199" i="9"/>
  <c r="F199" i="9"/>
  <c r="E199" i="9"/>
  <c r="D199" i="9"/>
  <c r="C199" i="9"/>
  <c r="AH198" i="9"/>
  <c r="AG198" i="9"/>
  <c r="AF198" i="9"/>
  <c r="AE198" i="9"/>
  <c r="AD198" i="9"/>
  <c r="AC198" i="9"/>
  <c r="AB198" i="9"/>
  <c r="AA198" i="9"/>
  <c r="Z198" i="9"/>
  <c r="Y198" i="9"/>
  <c r="X198" i="9"/>
  <c r="W198" i="9"/>
  <c r="V198" i="9"/>
  <c r="U198" i="9"/>
  <c r="T198" i="9"/>
  <c r="S198" i="9"/>
  <c r="R198" i="9"/>
  <c r="Q198" i="9"/>
  <c r="P198" i="9"/>
  <c r="O198" i="9"/>
  <c r="N198" i="9"/>
  <c r="M198" i="9"/>
  <c r="L198" i="9"/>
  <c r="K198" i="9"/>
  <c r="J198" i="9"/>
  <c r="I198" i="9"/>
  <c r="H198" i="9"/>
  <c r="G198" i="9"/>
  <c r="F198" i="9"/>
  <c r="E198" i="9"/>
  <c r="D198" i="9"/>
  <c r="C198" i="9"/>
  <c r="AH197" i="9"/>
  <c r="AG197" i="9"/>
  <c r="AF197" i="9"/>
  <c r="AE197" i="9"/>
  <c r="AD197" i="9"/>
  <c r="AC197" i="9"/>
  <c r="AB197" i="9"/>
  <c r="AA197" i="9"/>
  <c r="Z197" i="9"/>
  <c r="Y197" i="9"/>
  <c r="X197" i="9"/>
  <c r="W197" i="9"/>
  <c r="V197" i="9"/>
  <c r="U197" i="9"/>
  <c r="T197" i="9"/>
  <c r="S197" i="9"/>
  <c r="R197" i="9"/>
  <c r="Q197" i="9"/>
  <c r="P197" i="9"/>
  <c r="O197" i="9"/>
  <c r="N197" i="9"/>
  <c r="M197" i="9"/>
  <c r="L197" i="9"/>
  <c r="K197" i="9"/>
  <c r="J197" i="9"/>
  <c r="I197" i="9"/>
  <c r="H197" i="9"/>
  <c r="G197" i="9"/>
  <c r="F197" i="9"/>
  <c r="E197" i="9"/>
  <c r="D197" i="9"/>
  <c r="C197" i="9"/>
  <c r="V196" i="9"/>
  <c r="U196" i="9"/>
  <c r="T196" i="9"/>
  <c r="S196" i="9"/>
  <c r="R196" i="9"/>
  <c r="Q196" i="9"/>
  <c r="P196" i="9"/>
  <c r="O196" i="9"/>
  <c r="N196" i="9"/>
  <c r="M196" i="9"/>
  <c r="L196" i="9"/>
  <c r="K196" i="9"/>
  <c r="J196" i="9"/>
  <c r="I196" i="9"/>
  <c r="H196" i="9"/>
  <c r="G196" i="9"/>
  <c r="F196" i="9"/>
  <c r="E196" i="9"/>
  <c r="D196" i="9"/>
  <c r="C196" i="9"/>
  <c r="U195" i="9"/>
  <c r="T195" i="9"/>
  <c r="S195" i="9"/>
  <c r="R195" i="9"/>
  <c r="Q195" i="9"/>
  <c r="P195" i="9"/>
  <c r="O195" i="9"/>
  <c r="N195" i="9"/>
  <c r="M195" i="9"/>
  <c r="L195" i="9"/>
  <c r="K195" i="9"/>
  <c r="J195" i="9"/>
  <c r="I195" i="9"/>
  <c r="H195" i="9"/>
  <c r="G195" i="9"/>
  <c r="F195" i="9"/>
  <c r="E195" i="9"/>
  <c r="D195" i="9"/>
  <c r="C195" i="9"/>
  <c r="V194" i="9"/>
  <c r="U194" i="9"/>
  <c r="T194" i="9"/>
  <c r="S194" i="9"/>
  <c r="R194" i="9"/>
  <c r="Q194" i="9"/>
  <c r="P194" i="9"/>
  <c r="O194" i="9"/>
  <c r="N194" i="9"/>
  <c r="M194" i="9"/>
  <c r="L194" i="9"/>
  <c r="K194" i="9"/>
  <c r="J194" i="9"/>
  <c r="I194" i="9"/>
  <c r="H194" i="9"/>
  <c r="G194" i="9"/>
  <c r="F194" i="9"/>
  <c r="E194" i="9"/>
  <c r="D194" i="9"/>
  <c r="C194" i="9"/>
  <c r="V193" i="9"/>
  <c r="U193" i="9"/>
  <c r="T193" i="9"/>
  <c r="S193" i="9"/>
  <c r="R193" i="9"/>
  <c r="Q193" i="9"/>
  <c r="P193" i="9"/>
  <c r="O193" i="9"/>
  <c r="N193" i="9"/>
  <c r="M193" i="9"/>
  <c r="L193" i="9"/>
  <c r="K193" i="9"/>
  <c r="J193" i="9"/>
  <c r="I193" i="9"/>
  <c r="H193" i="9"/>
  <c r="G193" i="9"/>
  <c r="F193" i="9"/>
  <c r="E193" i="9"/>
  <c r="D193" i="9"/>
  <c r="C193" i="9"/>
  <c r="AA192" i="9"/>
  <c r="Z192" i="9"/>
  <c r="Y192" i="9"/>
  <c r="X192" i="9"/>
  <c r="W192" i="9"/>
  <c r="V192" i="9"/>
  <c r="U192" i="9"/>
  <c r="T192" i="9"/>
  <c r="S192" i="9"/>
  <c r="R192" i="9"/>
  <c r="Q192" i="9"/>
  <c r="P192" i="9"/>
  <c r="O192" i="9"/>
  <c r="N192" i="9"/>
  <c r="M192" i="9"/>
  <c r="L192" i="9"/>
  <c r="K192" i="9"/>
  <c r="J192" i="9"/>
  <c r="I192" i="9"/>
  <c r="H192" i="9"/>
  <c r="G192" i="9"/>
  <c r="F192" i="9"/>
  <c r="E192" i="9"/>
  <c r="D192" i="9"/>
  <c r="C192" i="9"/>
  <c r="AA191" i="9"/>
  <c r="Z191" i="9"/>
  <c r="Y191" i="9"/>
  <c r="X191" i="9"/>
  <c r="W191" i="9"/>
  <c r="V191" i="9"/>
  <c r="U191" i="9"/>
  <c r="T191" i="9"/>
  <c r="S191" i="9"/>
  <c r="R191" i="9"/>
  <c r="Q191" i="9"/>
  <c r="P191" i="9"/>
  <c r="O191" i="9"/>
  <c r="N191" i="9"/>
  <c r="M191" i="9"/>
  <c r="L191" i="9"/>
  <c r="K191" i="9"/>
  <c r="J191" i="9"/>
  <c r="I191" i="9"/>
  <c r="H191" i="9"/>
  <c r="G191" i="9"/>
  <c r="F191" i="9"/>
  <c r="E191" i="9"/>
  <c r="D191" i="9"/>
  <c r="C191" i="9"/>
  <c r="AA190" i="9"/>
  <c r="Z190" i="9"/>
  <c r="Y190" i="9"/>
  <c r="X190" i="9"/>
  <c r="W190" i="9"/>
  <c r="V190" i="9"/>
  <c r="U190" i="9"/>
  <c r="T190" i="9"/>
  <c r="S190" i="9"/>
  <c r="R190" i="9"/>
  <c r="Q190" i="9"/>
  <c r="P190" i="9"/>
  <c r="O190" i="9"/>
  <c r="N190" i="9"/>
  <c r="M190" i="9"/>
  <c r="L190" i="9"/>
  <c r="K190" i="9"/>
  <c r="J190" i="9"/>
  <c r="I190" i="9"/>
  <c r="H190" i="9"/>
  <c r="G190" i="9"/>
  <c r="F190" i="9"/>
  <c r="E190" i="9"/>
  <c r="D190" i="9"/>
  <c r="C190" i="9"/>
  <c r="AA189" i="9"/>
  <c r="Z189" i="9"/>
  <c r="Y189" i="9"/>
  <c r="X189" i="9"/>
  <c r="W189" i="9"/>
  <c r="V189" i="9"/>
  <c r="U189" i="9"/>
  <c r="T189" i="9"/>
  <c r="S189" i="9"/>
  <c r="R189" i="9"/>
  <c r="Q189" i="9"/>
  <c r="P189" i="9"/>
  <c r="O189" i="9"/>
  <c r="N189" i="9"/>
  <c r="M189" i="9"/>
  <c r="L189" i="9"/>
  <c r="K189" i="9"/>
  <c r="J189" i="9"/>
  <c r="I189" i="9"/>
  <c r="H189" i="9"/>
  <c r="G189" i="9"/>
  <c r="F189" i="9"/>
  <c r="E189" i="9"/>
  <c r="D189" i="9"/>
  <c r="C189" i="9"/>
  <c r="T178" i="9"/>
  <c r="S178" i="9"/>
  <c r="R178" i="9"/>
  <c r="Q178" i="9"/>
  <c r="P178" i="9"/>
  <c r="O178" i="9"/>
  <c r="N178" i="9"/>
  <c r="M178" i="9"/>
  <c r="L178" i="9"/>
  <c r="K178" i="9"/>
  <c r="J178" i="9"/>
  <c r="I178" i="9"/>
  <c r="H178" i="9"/>
  <c r="G178" i="9"/>
  <c r="F178" i="9"/>
  <c r="E178" i="9"/>
  <c r="D178" i="9"/>
  <c r="C178" i="9"/>
  <c r="T177" i="9"/>
  <c r="S177" i="9"/>
  <c r="R177" i="9"/>
  <c r="Q177" i="9"/>
  <c r="P177" i="9"/>
  <c r="O177" i="9"/>
  <c r="N177" i="9"/>
  <c r="M177" i="9"/>
  <c r="L177" i="9"/>
  <c r="K177" i="9"/>
  <c r="J177" i="9"/>
  <c r="I177" i="9"/>
  <c r="H177" i="9"/>
  <c r="G177" i="9"/>
  <c r="F177" i="9"/>
  <c r="E177" i="9"/>
  <c r="D177" i="9"/>
  <c r="C177" i="9"/>
  <c r="T176" i="9"/>
  <c r="S176" i="9"/>
  <c r="R176" i="9"/>
  <c r="Q176" i="9"/>
  <c r="P176" i="9"/>
  <c r="O176" i="9"/>
  <c r="N176" i="9"/>
  <c r="M176" i="9"/>
  <c r="L176" i="9"/>
  <c r="K176" i="9"/>
  <c r="J176" i="9"/>
  <c r="I176" i="9"/>
  <c r="H176" i="9"/>
  <c r="G176" i="9"/>
  <c r="F176" i="9"/>
  <c r="E176" i="9"/>
  <c r="D176" i="9"/>
  <c r="C176" i="9"/>
  <c r="T175" i="9"/>
  <c r="S175" i="9"/>
  <c r="R175" i="9"/>
  <c r="Q175" i="9"/>
  <c r="P175" i="9"/>
  <c r="O175" i="9"/>
  <c r="N175" i="9"/>
  <c r="M175" i="9"/>
  <c r="L175" i="9"/>
  <c r="K175" i="9"/>
  <c r="J175" i="9"/>
  <c r="I175" i="9"/>
  <c r="H175" i="9"/>
  <c r="G175" i="9"/>
  <c r="F175" i="9"/>
  <c r="E175" i="9"/>
  <c r="D175" i="9"/>
  <c r="C175" i="9"/>
  <c r="T174" i="9"/>
  <c r="S174" i="9"/>
  <c r="R174" i="9"/>
  <c r="Q174" i="9"/>
  <c r="P174" i="9"/>
  <c r="O174" i="9"/>
  <c r="N174" i="9"/>
  <c r="M174" i="9"/>
  <c r="L174" i="9"/>
  <c r="K174" i="9"/>
  <c r="J174" i="9"/>
  <c r="I174" i="9"/>
  <c r="H174" i="9"/>
  <c r="G174" i="9"/>
  <c r="F174" i="9"/>
  <c r="E174" i="9"/>
  <c r="D174" i="9"/>
  <c r="C174" i="9"/>
  <c r="U173" i="9"/>
  <c r="T173" i="9"/>
  <c r="S173" i="9"/>
  <c r="R173" i="9"/>
  <c r="Q173" i="9"/>
  <c r="P173" i="9"/>
  <c r="O173" i="9"/>
  <c r="N173" i="9"/>
  <c r="M173" i="9"/>
  <c r="L173" i="9"/>
  <c r="K173" i="9"/>
  <c r="J173" i="9"/>
  <c r="I173" i="9"/>
  <c r="H173" i="9"/>
  <c r="G173" i="9"/>
  <c r="F173" i="9"/>
  <c r="E173" i="9"/>
  <c r="D173" i="9"/>
  <c r="C173" i="9"/>
  <c r="U172" i="9"/>
  <c r="T172" i="9"/>
  <c r="S172" i="9"/>
  <c r="R172" i="9"/>
  <c r="Q172" i="9"/>
  <c r="P172" i="9"/>
  <c r="O172" i="9"/>
  <c r="N172" i="9"/>
  <c r="M172" i="9"/>
  <c r="L172" i="9"/>
  <c r="K172" i="9"/>
  <c r="J172" i="9"/>
  <c r="I172" i="9"/>
  <c r="H172" i="9"/>
  <c r="G172" i="9"/>
  <c r="F172" i="9"/>
  <c r="E172" i="9"/>
  <c r="D172" i="9"/>
  <c r="C172" i="9"/>
  <c r="U171" i="9"/>
  <c r="T171" i="9"/>
  <c r="S171" i="9"/>
  <c r="R171" i="9"/>
  <c r="Q171" i="9"/>
  <c r="P171" i="9"/>
  <c r="O171" i="9"/>
  <c r="N171" i="9"/>
  <c r="M171" i="9"/>
  <c r="L171" i="9"/>
  <c r="K171" i="9"/>
  <c r="J171" i="9"/>
  <c r="I171" i="9"/>
  <c r="H171" i="9"/>
  <c r="G171" i="9"/>
  <c r="F171" i="9"/>
  <c r="E171" i="9"/>
  <c r="D171" i="9"/>
  <c r="C171" i="9"/>
  <c r="U170" i="9"/>
  <c r="T170" i="9"/>
  <c r="S170" i="9"/>
  <c r="R170" i="9"/>
  <c r="Q170" i="9"/>
  <c r="P170" i="9"/>
  <c r="O170" i="9"/>
  <c r="N170" i="9"/>
  <c r="M170" i="9"/>
  <c r="L170" i="9"/>
  <c r="K170" i="9"/>
  <c r="J170" i="9"/>
  <c r="I170" i="9"/>
  <c r="H170" i="9"/>
  <c r="G170" i="9"/>
  <c r="F170" i="9"/>
  <c r="E170" i="9"/>
  <c r="D170" i="9"/>
  <c r="C170" i="9"/>
  <c r="U169" i="9"/>
  <c r="T169" i="9"/>
  <c r="S169" i="9"/>
  <c r="R169" i="9"/>
  <c r="Q169" i="9"/>
  <c r="P169" i="9"/>
  <c r="O169" i="9"/>
  <c r="N169" i="9"/>
  <c r="M169" i="9"/>
  <c r="L169" i="9"/>
  <c r="K169" i="9"/>
  <c r="J169" i="9"/>
  <c r="I169" i="9"/>
  <c r="H169" i="9"/>
  <c r="G169" i="9"/>
  <c r="F169" i="9"/>
  <c r="E169" i="9"/>
  <c r="D169" i="9"/>
  <c r="C169" i="9"/>
  <c r="U168" i="9"/>
  <c r="T168" i="9"/>
  <c r="S168" i="9"/>
  <c r="R168" i="9"/>
  <c r="Q168" i="9"/>
  <c r="P168" i="9"/>
  <c r="O168" i="9"/>
  <c r="N168" i="9"/>
  <c r="M168" i="9"/>
  <c r="L168" i="9"/>
  <c r="K168" i="9"/>
  <c r="J168" i="9"/>
  <c r="I168" i="9"/>
  <c r="H168" i="9"/>
  <c r="G168" i="9"/>
  <c r="F168" i="9"/>
  <c r="E168" i="9"/>
  <c r="D168" i="9"/>
  <c r="C168" i="9"/>
  <c r="U158" i="9"/>
  <c r="T158" i="9"/>
  <c r="S158" i="9"/>
  <c r="R158" i="9"/>
  <c r="Q158" i="9"/>
  <c r="P158" i="9"/>
  <c r="O158" i="9"/>
  <c r="N158" i="9"/>
  <c r="M158" i="9"/>
  <c r="L158" i="9"/>
  <c r="K158" i="9"/>
  <c r="J158" i="9"/>
  <c r="I158" i="9"/>
  <c r="H158" i="9"/>
  <c r="G158" i="9"/>
  <c r="F158" i="9"/>
  <c r="E158" i="9"/>
  <c r="D158" i="9"/>
  <c r="C158" i="9"/>
  <c r="U157" i="9"/>
  <c r="T157" i="9"/>
  <c r="S157" i="9"/>
  <c r="R157" i="9"/>
  <c r="Q157" i="9"/>
  <c r="P157" i="9"/>
  <c r="O157" i="9"/>
  <c r="N157" i="9"/>
  <c r="M157" i="9"/>
  <c r="L157" i="9"/>
  <c r="K157" i="9"/>
  <c r="J157" i="9"/>
  <c r="I157" i="9"/>
  <c r="H157" i="9"/>
  <c r="G157" i="9"/>
  <c r="F157" i="9"/>
  <c r="E157" i="9"/>
  <c r="D157" i="9"/>
  <c r="C157" i="9"/>
  <c r="U156" i="9"/>
  <c r="T156" i="9"/>
  <c r="S156" i="9"/>
  <c r="R156" i="9"/>
  <c r="Q156" i="9"/>
  <c r="P156" i="9"/>
  <c r="O156" i="9"/>
  <c r="N156" i="9"/>
  <c r="M156" i="9"/>
  <c r="L156" i="9"/>
  <c r="K156" i="9"/>
  <c r="J156" i="9"/>
  <c r="I156" i="9"/>
  <c r="H156" i="9"/>
  <c r="G156" i="9"/>
  <c r="F156" i="9"/>
  <c r="E156" i="9"/>
  <c r="D156" i="9"/>
  <c r="C156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AJ149" i="9"/>
  <c r="AI149" i="9"/>
  <c r="AH149" i="9"/>
  <c r="AG149" i="9"/>
  <c r="AF149" i="9"/>
  <c r="AE149" i="9"/>
  <c r="AD149" i="9"/>
  <c r="AC149" i="9"/>
  <c r="AB149" i="9"/>
  <c r="AA149" i="9"/>
  <c r="Z149" i="9"/>
  <c r="Y149" i="9"/>
  <c r="X149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AJ148" i="9"/>
  <c r="AI148" i="9"/>
  <c r="AH148" i="9"/>
  <c r="AG148" i="9"/>
  <c r="AF148" i="9"/>
  <c r="AE148" i="9"/>
  <c r="AD148" i="9"/>
  <c r="AC148" i="9"/>
  <c r="AB148" i="9"/>
  <c r="AA148" i="9"/>
  <c r="Z148" i="9"/>
  <c r="Y148" i="9"/>
  <c r="X148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AJ147" i="9"/>
  <c r="AI147" i="9"/>
  <c r="AH147" i="9"/>
  <c r="AG147" i="9"/>
  <c r="AF147" i="9"/>
  <c r="AE147" i="9"/>
  <c r="AD147" i="9"/>
  <c r="AC147" i="9"/>
  <c r="AB147" i="9"/>
  <c r="AA147" i="9"/>
  <c r="Z147" i="9"/>
  <c r="Y147" i="9"/>
  <c r="X147" i="9"/>
  <c r="W147" i="9"/>
  <c r="V147" i="9"/>
  <c r="U147" i="9"/>
  <c r="T147" i="9"/>
  <c r="S147" i="9"/>
  <c r="R147" i="9"/>
  <c r="Q147" i="9"/>
  <c r="P147" i="9"/>
  <c r="O147" i="9"/>
  <c r="N147" i="9"/>
  <c r="M147" i="9"/>
  <c r="L147" i="9"/>
  <c r="K147" i="9"/>
  <c r="J147" i="9"/>
  <c r="I147" i="9"/>
  <c r="H147" i="9"/>
  <c r="G147" i="9"/>
  <c r="F147" i="9"/>
  <c r="E147" i="9"/>
  <c r="D147" i="9"/>
  <c r="C147" i="9"/>
  <c r="AJ146" i="9"/>
  <c r="AI146" i="9"/>
  <c r="AH146" i="9"/>
  <c r="AG146" i="9"/>
  <c r="AF146" i="9"/>
  <c r="AE146" i="9"/>
  <c r="AD146" i="9"/>
  <c r="AC146" i="9"/>
  <c r="AB146" i="9"/>
  <c r="AA146" i="9"/>
  <c r="Z146" i="9"/>
  <c r="Y146" i="9"/>
  <c r="X146" i="9"/>
  <c r="W146" i="9"/>
  <c r="V146" i="9"/>
  <c r="U146" i="9"/>
  <c r="T146" i="9"/>
  <c r="S146" i="9"/>
  <c r="R146" i="9"/>
  <c r="Q146" i="9"/>
  <c r="P146" i="9"/>
  <c r="O146" i="9"/>
  <c r="N146" i="9"/>
  <c r="M146" i="9"/>
  <c r="L146" i="9"/>
  <c r="K146" i="9"/>
  <c r="J146" i="9"/>
  <c r="I146" i="9"/>
  <c r="H146" i="9"/>
  <c r="G146" i="9"/>
  <c r="F146" i="9"/>
  <c r="E146" i="9"/>
  <c r="D146" i="9"/>
  <c r="C146" i="9"/>
  <c r="AJ145" i="9"/>
  <c r="AI145" i="9"/>
  <c r="AH145" i="9"/>
  <c r="AG145" i="9"/>
  <c r="AF145" i="9"/>
  <c r="AE145" i="9"/>
  <c r="AD145" i="9"/>
  <c r="AC145" i="9"/>
  <c r="AB145" i="9"/>
  <c r="AA145" i="9"/>
  <c r="Z145" i="9"/>
  <c r="Y145" i="9"/>
  <c r="X145" i="9"/>
  <c r="W145" i="9"/>
  <c r="V145" i="9"/>
  <c r="U145" i="9"/>
  <c r="T145" i="9"/>
  <c r="S145" i="9"/>
  <c r="R145" i="9"/>
  <c r="Q145" i="9"/>
  <c r="P145" i="9"/>
  <c r="O145" i="9"/>
  <c r="N145" i="9"/>
  <c r="M145" i="9"/>
  <c r="L145" i="9"/>
  <c r="K145" i="9"/>
  <c r="J145" i="9"/>
  <c r="I145" i="9"/>
  <c r="H145" i="9"/>
  <c r="G145" i="9"/>
  <c r="F145" i="9"/>
  <c r="E145" i="9"/>
  <c r="D145" i="9"/>
  <c r="C145" i="9"/>
  <c r="AJ144" i="9"/>
  <c r="AI144" i="9"/>
  <c r="AH144" i="9"/>
  <c r="AG144" i="9"/>
  <c r="AF144" i="9"/>
  <c r="AE144" i="9"/>
  <c r="AD144" i="9"/>
  <c r="AC144" i="9"/>
  <c r="AB144" i="9"/>
  <c r="AA144" i="9"/>
  <c r="Z144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AJ143" i="9"/>
  <c r="AI143" i="9"/>
  <c r="AH143" i="9"/>
  <c r="AG143" i="9"/>
  <c r="AF143" i="9"/>
  <c r="AE143" i="9"/>
  <c r="AD143" i="9"/>
  <c r="AC143" i="9"/>
  <c r="AB143" i="9"/>
  <c r="AA143" i="9"/>
  <c r="Z143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K142" i="9"/>
  <c r="J142" i="9"/>
  <c r="I142" i="9"/>
  <c r="H142" i="9"/>
  <c r="G142" i="9"/>
  <c r="F142" i="9"/>
  <c r="E142" i="9"/>
  <c r="D142" i="9"/>
  <c r="C142" i="9"/>
  <c r="K141" i="9"/>
  <c r="J141" i="9"/>
  <c r="I141" i="9"/>
  <c r="H141" i="9"/>
  <c r="G141" i="9"/>
  <c r="F141" i="9"/>
  <c r="E141" i="9"/>
  <c r="D141" i="9"/>
  <c r="C141" i="9"/>
  <c r="K140" i="9"/>
  <c r="J140" i="9"/>
  <c r="I140" i="9"/>
  <c r="H140" i="9"/>
  <c r="G140" i="9"/>
  <c r="F140" i="9"/>
  <c r="E140" i="9"/>
  <c r="D140" i="9"/>
  <c r="C140" i="9"/>
  <c r="K139" i="9"/>
  <c r="J139" i="9"/>
  <c r="I139" i="9"/>
  <c r="H139" i="9"/>
  <c r="G139" i="9"/>
  <c r="F139" i="9"/>
  <c r="E139" i="9"/>
  <c r="D139" i="9"/>
  <c r="C139" i="9"/>
  <c r="K138" i="9"/>
  <c r="J138" i="9"/>
  <c r="I138" i="9"/>
  <c r="H138" i="9"/>
  <c r="G138" i="9"/>
  <c r="F138" i="9"/>
  <c r="E138" i="9"/>
  <c r="D138" i="9"/>
  <c r="C138" i="9"/>
  <c r="S88" i="9"/>
  <c r="R88" i="9"/>
  <c r="Q88" i="9"/>
  <c r="P88" i="9"/>
  <c r="O88" i="9"/>
  <c r="N88" i="9"/>
  <c r="M88" i="9"/>
  <c r="L88" i="9"/>
  <c r="K88" i="9"/>
  <c r="J88" i="9"/>
  <c r="I88" i="9"/>
  <c r="H88" i="9"/>
  <c r="G88" i="9"/>
  <c r="F88" i="9"/>
  <c r="E88" i="9"/>
  <c r="D88" i="9"/>
  <c r="C88" i="9"/>
  <c r="V87" i="9"/>
  <c r="U87" i="9"/>
  <c r="T87" i="9"/>
  <c r="S87" i="9"/>
  <c r="R87" i="9"/>
  <c r="Q87" i="9"/>
  <c r="P87" i="9"/>
  <c r="O87" i="9"/>
  <c r="N87" i="9"/>
  <c r="M87" i="9"/>
  <c r="L87" i="9"/>
  <c r="K87" i="9"/>
  <c r="J87" i="9"/>
  <c r="I87" i="9"/>
  <c r="H87" i="9"/>
  <c r="G87" i="9"/>
  <c r="F87" i="9"/>
  <c r="E87" i="9"/>
  <c r="D87" i="9"/>
  <c r="C87" i="9"/>
  <c r="M86" i="9"/>
  <c r="L86" i="9"/>
  <c r="K86" i="9"/>
  <c r="J86" i="9"/>
  <c r="I86" i="9"/>
  <c r="H86" i="9"/>
  <c r="G86" i="9"/>
  <c r="F86" i="9"/>
  <c r="E86" i="9"/>
  <c r="D86" i="9"/>
  <c r="C86" i="9"/>
  <c r="M85" i="9"/>
  <c r="L85" i="9"/>
  <c r="K85" i="9"/>
  <c r="J85" i="9"/>
  <c r="I85" i="9"/>
  <c r="H85" i="9"/>
  <c r="G85" i="9"/>
  <c r="F85" i="9"/>
  <c r="E85" i="9"/>
  <c r="D85" i="9"/>
  <c r="C85" i="9"/>
  <c r="M84" i="9"/>
  <c r="L84" i="9"/>
  <c r="K84" i="9"/>
  <c r="J84" i="9"/>
  <c r="I84" i="9"/>
  <c r="H84" i="9"/>
  <c r="G84" i="9"/>
  <c r="F84" i="9"/>
  <c r="E84" i="9"/>
  <c r="D84" i="9"/>
  <c r="C84" i="9"/>
  <c r="M83" i="9"/>
  <c r="L83" i="9"/>
  <c r="K83" i="9"/>
  <c r="J83" i="9"/>
  <c r="I83" i="9"/>
  <c r="H83" i="9"/>
  <c r="G83" i="9"/>
  <c r="F83" i="9"/>
  <c r="E83" i="9"/>
  <c r="D83" i="9"/>
  <c r="C83" i="9"/>
  <c r="L82" i="9"/>
  <c r="K82" i="9"/>
  <c r="J82" i="9"/>
  <c r="I82" i="9"/>
  <c r="H82" i="9"/>
  <c r="G82" i="9"/>
  <c r="F82" i="9"/>
  <c r="E82" i="9"/>
  <c r="D82" i="9"/>
  <c r="C82" i="9"/>
  <c r="L81" i="9"/>
  <c r="K81" i="9"/>
  <c r="J81" i="9"/>
  <c r="I81" i="9"/>
  <c r="H81" i="9"/>
  <c r="G81" i="9"/>
  <c r="F81" i="9"/>
  <c r="E81" i="9"/>
  <c r="D81" i="9"/>
  <c r="C81" i="9"/>
  <c r="L80" i="9"/>
  <c r="K80" i="9"/>
  <c r="J80" i="9"/>
  <c r="I80" i="9"/>
  <c r="H80" i="9"/>
  <c r="G80" i="9"/>
  <c r="F80" i="9"/>
  <c r="E80" i="9"/>
  <c r="D80" i="9"/>
  <c r="C80" i="9"/>
  <c r="O73" i="9"/>
  <c r="N73" i="9"/>
  <c r="M73" i="9"/>
  <c r="L73" i="9"/>
  <c r="K73" i="9"/>
  <c r="J73" i="9"/>
  <c r="I73" i="9"/>
  <c r="H73" i="9"/>
  <c r="G73" i="9"/>
  <c r="F73" i="9"/>
  <c r="E73" i="9"/>
  <c r="D73" i="9"/>
  <c r="C73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AA50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D46" i="9"/>
  <c r="C46" i="9"/>
  <c r="O45" i="9"/>
  <c r="N45" i="9"/>
  <c r="M45" i="9"/>
  <c r="L45" i="9"/>
  <c r="K45" i="9"/>
  <c r="J45" i="9"/>
  <c r="I45" i="9"/>
  <c r="H45" i="9"/>
  <c r="G45" i="9"/>
  <c r="F45" i="9"/>
  <c r="E45" i="9"/>
  <c r="D45" i="9"/>
  <c r="C45" i="9"/>
  <c r="O44" i="9"/>
  <c r="N44" i="9"/>
  <c r="M44" i="9"/>
  <c r="L44" i="9"/>
  <c r="K44" i="9"/>
  <c r="J44" i="9"/>
  <c r="I44" i="9"/>
  <c r="H44" i="9"/>
  <c r="G44" i="9"/>
  <c r="F44" i="9"/>
  <c r="E44" i="9"/>
  <c r="D44" i="9"/>
  <c r="C44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M29" i="9"/>
  <c r="L29" i="9"/>
  <c r="K29" i="9"/>
  <c r="J29" i="9"/>
  <c r="I29" i="9"/>
  <c r="H29" i="9"/>
  <c r="G29" i="9"/>
  <c r="F29" i="9"/>
  <c r="E29" i="9"/>
  <c r="D29" i="9"/>
  <c r="C29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S23" i="9"/>
  <c r="AR23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S22" i="9"/>
  <c r="AR22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S19" i="9"/>
  <c r="AR19" i="9"/>
  <c r="AQ19" i="9"/>
  <c r="AP19" i="9"/>
  <c r="AO19" i="9"/>
  <c r="AN19" i="9"/>
  <c r="AM19" i="9"/>
  <c r="AL19" i="9"/>
  <c r="AK19" i="9"/>
  <c r="AJ19" i="9"/>
  <c r="AI19" i="9"/>
  <c r="AH19" i="9"/>
  <c r="AG19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S18" i="9"/>
  <c r="AR18" i="9"/>
  <c r="AQ18" i="9"/>
  <c r="AP18" i="9"/>
  <c r="AO18" i="9"/>
  <c r="AN18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M10" i="9"/>
  <c r="L10" i="9"/>
  <c r="K10" i="9"/>
  <c r="J10" i="9"/>
  <c r="I10" i="9"/>
  <c r="H10" i="9"/>
  <c r="G10" i="9"/>
  <c r="F10" i="9"/>
  <c r="E10" i="9"/>
  <c r="D10" i="9"/>
  <c r="C10" i="9"/>
  <c r="M9" i="9"/>
  <c r="L9" i="9"/>
  <c r="K9" i="9"/>
  <c r="J9" i="9"/>
  <c r="I9" i="9"/>
  <c r="H9" i="9"/>
  <c r="G9" i="9"/>
  <c r="F9" i="9"/>
  <c r="E9" i="9"/>
  <c r="D9" i="9"/>
  <c r="C9" i="9"/>
  <c r="M8" i="9"/>
  <c r="L8" i="9"/>
  <c r="K8" i="9"/>
  <c r="J8" i="9"/>
  <c r="I8" i="9"/>
  <c r="H8" i="9"/>
  <c r="G8" i="9"/>
  <c r="F8" i="9"/>
  <c r="E8" i="9"/>
  <c r="D8" i="9"/>
  <c r="C8" i="9"/>
  <c r="M7" i="9"/>
  <c r="L7" i="9"/>
  <c r="K7" i="9"/>
  <c r="J7" i="9"/>
  <c r="I7" i="9"/>
  <c r="H7" i="9"/>
  <c r="G7" i="9"/>
  <c r="F7" i="9"/>
  <c r="E7" i="9"/>
  <c r="D7" i="9"/>
  <c r="C7" i="9"/>
  <c r="R292" i="8"/>
  <c r="Q292" i="8"/>
  <c r="P292" i="8"/>
  <c r="O292" i="8"/>
  <c r="N292" i="8"/>
  <c r="M292" i="8"/>
  <c r="L292" i="8"/>
  <c r="K292" i="8"/>
  <c r="J292" i="8"/>
  <c r="I292" i="8"/>
  <c r="H292" i="8"/>
  <c r="G292" i="8"/>
  <c r="F292" i="8"/>
  <c r="E292" i="8"/>
  <c r="D292" i="8"/>
  <c r="C292" i="8"/>
  <c r="R291" i="8"/>
  <c r="Q291" i="8"/>
  <c r="P291" i="8"/>
  <c r="O291" i="8"/>
  <c r="N291" i="8"/>
  <c r="M291" i="8"/>
  <c r="L291" i="8"/>
  <c r="K291" i="8"/>
  <c r="J291" i="8"/>
  <c r="I291" i="8"/>
  <c r="H291" i="8"/>
  <c r="G291" i="8"/>
  <c r="F291" i="8"/>
  <c r="E291" i="8"/>
  <c r="D291" i="8"/>
  <c r="C291" i="8"/>
  <c r="R290" i="8"/>
  <c r="Q290" i="8"/>
  <c r="P290" i="8"/>
  <c r="O290" i="8"/>
  <c r="N290" i="8"/>
  <c r="M290" i="8"/>
  <c r="L290" i="8"/>
  <c r="K290" i="8"/>
  <c r="J290" i="8"/>
  <c r="I290" i="8"/>
  <c r="H290" i="8"/>
  <c r="G290" i="8"/>
  <c r="F290" i="8"/>
  <c r="E290" i="8"/>
  <c r="D290" i="8"/>
  <c r="C290" i="8"/>
  <c r="R289" i="8"/>
  <c r="Q289" i="8"/>
  <c r="P289" i="8"/>
  <c r="O289" i="8"/>
  <c r="N289" i="8"/>
  <c r="M289" i="8"/>
  <c r="L289" i="8"/>
  <c r="K289" i="8"/>
  <c r="J289" i="8"/>
  <c r="I289" i="8"/>
  <c r="H289" i="8"/>
  <c r="G289" i="8"/>
  <c r="F289" i="8"/>
  <c r="E289" i="8"/>
  <c r="D289" i="8"/>
  <c r="C289" i="8"/>
  <c r="AA274" i="8"/>
  <c r="Z274" i="8"/>
  <c r="Y274" i="8"/>
  <c r="X274" i="8"/>
  <c r="W274" i="8"/>
  <c r="V274" i="8"/>
  <c r="U274" i="8"/>
  <c r="T274" i="8"/>
  <c r="S274" i="8"/>
  <c r="R274" i="8"/>
  <c r="Q274" i="8"/>
  <c r="P274" i="8"/>
  <c r="O274" i="8"/>
  <c r="N274" i="8"/>
  <c r="M274" i="8"/>
  <c r="L274" i="8"/>
  <c r="K274" i="8"/>
  <c r="J274" i="8"/>
  <c r="I274" i="8"/>
  <c r="H274" i="8"/>
  <c r="G274" i="8"/>
  <c r="F274" i="8"/>
  <c r="E274" i="8"/>
  <c r="D274" i="8"/>
  <c r="C274" i="8"/>
  <c r="X273" i="8"/>
  <c r="W273" i="8"/>
  <c r="V273" i="8"/>
  <c r="U273" i="8"/>
  <c r="T273" i="8"/>
  <c r="S273" i="8"/>
  <c r="R273" i="8"/>
  <c r="Q273" i="8"/>
  <c r="P273" i="8"/>
  <c r="O273" i="8"/>
  <c r="N273" i="8"/>
  <c r="M273" i="8"/>
  <c r="L273" i="8"/>
  <c r="K273" i="8"/>
  <c r="J273" i="8"/>
  <c r="I273" i="8"/>
  <c r="H273" i="8"/>
  <c r="G273" i="8"/>
  <c r="F273" i="8"/>
  <c r="E273" i="8"/>
  <c r="D273" i="8"/>
  <c r="C273" i="8"/>
  <c r="AA272" i="8"/>
  <c r="Z272" i="8"/>
  <c r="Y272" i="8"/>
  <c r="X272" i="8"/>
  <c r="W272" i="8"/>
  <c r="V272" i="8"/>
  <c r="U272" i="8"/>
  <c r="T272" i="8"/>
  <c r="S272" i="8"/>
  <c r="R272" i="8"/>
  <c r="Q272" i="8"/>
  <c r="P272" i="8"/>
  <c r="O272" i="8"/>
  <c r="N272" i="8"/>
  <c r="M272" i="8"/>
  <c r="L272" i="8"/>
  <c r="K272" i="8"/>
  <c r="J272" i="8"/>
  <c r="I272" i="8"/>
  <c r="H272" i="8"/>
  <c r="G272" i="8"/>
  <c r="F272" i="8"/>
  <c r="E272" i="8"/>
  <c r="D272" i="8"/>
  <c r="C272" i="8"/>
  <c r="AA271" i="8"/>
  <c r="Z271" i="8"/>
  <c r="Y271" i="8"/>
  <c r="X271" i="8"/>
  <c r="W271" i="8"/>
  <c r="V271" i="8"/>
  <c r="U271" i="8"/>
  <c r="T271" i="8"/>
  <c r="S271" i="8"/>
  <c r="R271" i="8"/>
  <c r="Q271" i="8"/>
  <c r="P271" i="8"/>
  <c r="O271" i="8"/>
  <c r="N271" i="8"/>
  <c r="M271" i="8"/>
  <c r="L271" i="8"/>
  <c r="K271" i="8"/>
  <c r="J271" i="8"/>
  <c r="I271" i="8"/>
  <c r="H271" i="8"/>
  <c r="G271" i="8"/>
  <c r="F271" i="8"/>
  <c r="E271" i="8"/>
  <c r="D271" i="8"/>
  <c r="C271" i="8"/>
  <c r="X270" i="8"/>
  <c r="W270" i="8"/>
  <c r="V270" i="8"/>
  <c r="U270" i="8"/>
  <c r="T270" i="8"/>
  <c r="S270" i="8"/>
  <c r="R270" i="8"/>
  <c r="Q270" i="8"/>
  <c r="P270" i="8"/>
  <c r="O270" i="8"/>
  <c r="N270" i="8"/>
  <c r="M270" i="8"/>
  <c r="L270" i="8"/>
  <c r="K270" i="8"/>
  <c r="J270" i="8"/>
  <c r="I270" i="8"/>
  <c r="H270" i="8"/>
  <c r="G270" i="8"/>
  <c r="F270" i="8"/>
  <c r="E270" i="8"/>
  <c r="D270" i="8"/>
  <c r="C270" i="8"/>
  <c r="W239" i="8"/>
  <c r="V239" i="8"/>
  <c r="U239" i="8"/>
  <c r="T239" i="8"/>
  <c r="S239" i="8"/>
  <c r="R239" i="8"/>
  <c r="Q239" i="8"/>
  <c r="P239" i="8"/>
  <c r="O239" i="8"/>
  <c r="N239" i="8"/>
  <c r="M239" i="8"/>
  <c r="L239" i="8"/>
  <c r="K239" i="8"/>
  <c r="J239" i="8"/>
  <c r="I239" i="8"/>
  <c r="H239" i="8"/>
  <c r="G239" i="8"/>
  <c r="F239" i="8"/>
  <c r="E239" i="8"/>
  <c r="D239" i="8"/>
  <c r="C239" i="8"/>
  <c r="W238" i="8"/>
  <c r="V238" i="8"/>
  <c r="U238" i="8"/>
  <c r="T238" i="8"/>
  <c r="S238" i="8"/>
  <c r="R238" i="8"/>
  <c r="Q238" i="8"/>
  <c r="P238" i="8"/>
  <c r="O238" i="8"/>
  <c r="N238" i="8"/>
  <c r="M238" i="8"/>
  <c r="L238" i="8"/>
  <c r="K238" i="8"/>
  <c r="J238" i="8"/>
  <c r="I238" i="8"/>
  <c r="H238" i="8"/>
  <c r="G238" i="8"/>
  <c r="F238" i="8"/>
  <c r="E238" i="8"/>
  <c r="D238" i="8"/>
  <c r="C238" i="8"/>
  <c r="W237" i="8"/>
  <c r="V237" i="8"/>
  <c r="U237" i="8"/>
  <c r="T237" i="8"/>
  <c r="S237" i="8"/>
  <c r="R237" i="8"/>
  <c r="Q237" i="8"/>
  <c r="P237" i="8"/>
  <c r="O237" i="8"/>
  <c r="N237" i="8"/>
  <c r="M237" i="8"/>
  <c r="L237" i="8"/>
  <c r="K237" i="8"/>
  <c r="J237" i="8"/>
  <c r="I237" i="8"/>
  <c r="H237" i="8"/>
  <c r="G237" i="8"/>
  <c r="F237" i="8"/>
  <c r="E237" i="8"/>
  <c r="D237" i="8"/>
  <c r="C237" i="8"/>
  <c r="W217" i="8"/>
  <c r="V217" i="8"/>
  <c r="U217" i="8"/>
  <c r="T217" i="8"/>
  <c r="S217" i="8"/>
  <c r="R217" i="8"/>
  <c r="Q217" i="8"/>
  <c r="P217" i="8"/>
  <c r="O217" i="8"/>
  <c r="N217" i="8"/>
  <c r="M217" i="8"/>
  <c r="L217" i="8"/>
  <c r="K217" i="8"/>
  <c r="J217" i="8"/>
  <c r="I217" i="8"/>
  <c r="H217" i="8"/>
  <c r="G217" i="8"/>
  <c r="F217" i="8"/>
  <c r="E217" i="8"/>
  <c r="D217" i="8"/>
  <c r="C217" i="8"/>
  <c r="W216" i="8"/>
  <c r="V216" i="8"/>
  <c r="U216" i="8"/>
  <c r="T216" i="8"/>
  <c r="S216" i="8"/>
  <c r="R216" i="8"/>
  <c r="Q216" i="8"/>
  <c r="P216" i="8"/>
  <c r="O216" i="8"/>
  <c r="N216" i="8"/>
  <c r="M216" i="8"/>
  <c r="L216" i="8"/>
  <c r="K216" i="8"/>
  <c r="J216" i="8"/>
  <c r="I216" i="8"/>
  <c r="H216" i="8"/>
  <c r="G216" i="8"/>
  <c r="F216" i="8"/>
  <c r="E216" i="8"/>
  <c r="D216" i="8"/>
  <c r="C216" i="8"/>
  <c r="W215" i="8"/>
  <c r="V215" i="8"/>
  <c r="U215" i="8"/>
  <c r="T215" i="8"/>
  <c r="S215" i="8"/>
  <c r="R215" i="8"/>
  <c r="Q215" i="8"/>
  <c r="P215" i="8"/>
  <c r="O215" i="8"/>
  <c r="N215" i="8"/>
  <c r="M215" i="8"/>
  <c r="L215" i="8"/>
  <c r="K215" i="8"/>
  <c r="J215" i="8"/>
  <c r="I215" i="8"/>
  <c r="H215" i="8"/>
  <c r="G215" i="8"/>
  <c r="F215" i="8"/>
  <c r="E215" i="8"/>
  <c r="D215" i="8"/>
  <c r="C215" i="8"/>
  <c r="W214" i="8"/>
  <c r="V214" i="8"/>
  <c r="U214" i="8"/>
  <c r="T214" i="8"/>
  <c r="S214" i="8"/>
  <c r="R214" i="8"/>
  <c r="Q214" i="8"/>
  <c r="P214" i="8"/>
  <c r="O214" i="8"/>
  <c r="N214" i="8"/>
  <c r="M214" i="8"/>
  <c r="L214" i="8"/>
  <c r="K214" i="8"/>
  <c r="J214" i="8"/>
  <c r="I214" i="8"/>
  <c r="H214" i="8"/>
  <c r="G214" i="8"/>
  <c r="F214" i="8"/>
  <c r="E214" i="8"/>
  <c r="D214" i="8"/>
  <c r="C214" i="8"/>
  <c r="W213" i="8"/>
  <c r="V213" i="8"/>
  <c r="U213" i="8"/>
  <c r="T213" i="8"/>
  <c r="S213" i="8"/>
  <c r="R213" i="8"/>
  <c r="Q213" i="8"/>
  <c r="P213" i="8"/>
  <c r="O213" i="8"/>
  <c r="N213" i="8"/>
  <c r="M213" i="8"/>
  <c r="L213" i="8"/>
  <c r="K213" i="8"/>
  <c r="J213" i="8"/>
  <c r="I213" i="8"/>
  <c r="H213" i="8"/>
  <c r="G213" i="8"/>
  <c r="F213" i="8"/>
  <c r="E213" i="8"/>
  <c r="D213" i="8"/>
  <c r="C213" i="8"/>
  <c r="W212" i="8"/>
  <c r="V212" i="8"/>
  <c r="U212" i="8"/>
  <c r="T212" i="8"/>
  <c r="S212" i="8"/>
  <c r="R212" i="8"/>
  <c r="Q212" i="8"/>
  <c r="P212" i="8"/>
  <c r="O212" i="8"/>
  <c r="N212" i="8"/>
  <c r="M212" i="8"/>
  <c r="L212" i="8"/>
  <c r="K212" i="8"/>
  <c r="J212" i="8"/>
  <c r="I212" i="8"/>
  <c r="H212" i="8"/>
  <c r="G212" i="8"/>
  <c r="F212" i="8"/>
  <c r="E212" i="8"/>
  <c r="D212" i="8"/>
  <c r="C212" i="8"/>
  <c r="V196" i="8"/>
  <c r="U196" i="8"/>
  <c r="T196" i="8"/>
  <c r="S196" i="8"/>
  <c r="R196" i="8"/>
  <c r="Q196" i="8"/>
  <c r="P196" i="8"/>
  <c r="O196" i="8"/>
  <c r="N196" i="8"/>
  <c r="M196" i="8"/>
  <c r="L196" i="8"/>
  <c r="K196" i="8"/>
  <c r="J196" i="8"/>
  <c r="I196" i="8"/>
  <c r="H196" i="8"/>
  <c r="G196" i="8"/>
  <c r="F196" i="8"/>
  <c r="E196" i="8"/>
  <c r="D196" i="8"/>
  <c r="C196" i="8"/>
  <c r="U195" i="8"/>
  <c r="T195" i="8"/>
  <c r="S195" i="8"/>
  <c r="R195" i="8"/>
  <c r="Q195" i="8"/>
  <c r="P195" i="8"/>
  <c r="O195" i="8"/>
  <c r="N195" i="8"/>
  <c r="M195" i="8"/>
  <c r="L195" i="8"/>
  <c r="K195" i="8"/>
  <c r="J195" i="8"/>
  <c r="I195" i="8"/>
  <c r="H195" i="8"/>
  <c r="G195" i="8"/>
  <c r="F195" i="8"/>
  <c r="E195" i="8"/>
  <c r="D195" i="8"/>
  <c r="C195" i="8"/>
  <c r="V194" i="8"/>
  <c r="U194" i="8"/>
  <c r="T194" i="8"/>
  <c r="S194" i="8"/>
  <c r="R194" i="8"/>
  <c r="Q194" i="8"/>
  <c r="P194" i="8"/>
  <c r="O194" i="8"/>
  <c r="N194" i="8"/>
  <c r="M194" i="8"/>
  <c r="L194" i="8"/>
  <c r="K194" i="8"/>
  <c r="J194" i="8"/>
  <c r="I194" i="8"/>
  <c r="H194" i="8"/>
  <c r="G194" i="8"/>
  <c r="F194" i="8"/>
  <c r="E194" i="8"/>
  <c r="D194" i="8"/>
  <c r="C194" i="8"/>
  <c r="V193" i="8"/>
  <c r="U193" i="8"/>
  <c r="T193" i="8"/>
  <c r="S193" i="8"/>
  <c r="R193" i="8"/>
  <c r="Q193" i="8"/>
  <c r="P193" i="8"/>
  <c r="O193" i="8"/>
  <c r="N193" i="8"/>
  <c r="M193" i="8"/>
  <c r="L193" i="8"/>
  <c r="K193" i="8"/>
  <c r="J193" i="8"/>
  <c r="I193" i="8"/>
  <c r="H193" i="8"/>
  <c r="G193" i="8"/>
  <c r="F193" i="8"/>
  <c r="E193" i="8"/>
  <c r="D193" i="8"/>
  <c r="C193" i="8"/>
  <c r="AA192" i="8"/>
  <c r="Z192" i="8"/>
  <c r="Y192" i="8"/>
  <c r="X192" i="8"/>
  <c r="W192" i="8"/>
  <c r="V192" i="8"/>
  <c r="U192" i="8"/>
  <c r="T192" i="8"/>
  <c r="S192" i="8"/>
  <c r="R192" i="8"/>
  <c r="Q192" i="8"/>
  <c r="P192" i="8"/>
  <c r="O192" i="8"/>
  <c r="N192" i="8"/>
  <c r="M192" i="8"/>
  <c r="L192" i="8"/>
  <c r="K192" i="8"/>
  <c r="J192" i="8"/>
  <c r="I192" i="8"/>
  <c r="H192" i="8"/>
  <c r="G192" i="8"/>
  <c r="F192" i="8"/>
  <c r="E192" i="8"/>
  <c r="D192" i="8"/>
  <c r="C192" i="8"/>
  <c r="AA191" i="8"/>
  <c r="Z191" i="8"/>
  <c r="Y191" i="8"/>
  <c r="X191" i="8"/>
  <c r="W191" i="8"/>
  <c r="V191" i="8"/>
  <c r="U191" i="8"/>
  <c r="T191" i="8"/>
  <c r="S191" i="8"/>
  <c r="R191" i="8"/>
  <c r="Q191" i="8"/>
  <c r="P191" i="8"/>
  <c r="O191" i="8"/>
  <c r="N191" i="8"/>
  <c r="M191" i="8"/>
  <c r="L191" i="8"/>
  <c r="K191" i="8"/>
  <c r="J191" i="8"/>
  <c r="I191" i="8"/>
  <c r="H191" i="8"/>
  <c r="G191" i="8"/>
  <c r="F191" i="8"/>
  <c r="E191" i="8"/>
  <c r="D191" i="8"/>
  <c r="C191" i="8"/>
  <c r="AA190" i="8"/>
  <c r="Z190" i="8"/>
  <c r="Y190" i="8"/>
  <c r="X190" i="8"/>
  <c r="W190" i="8"/>
  <c r="V190" i="8"/>
  <c r="U190" i="8"/>
  <c r="T190" i="8"/>
  <c r="S190" i="8"/>
  <c r="R190" i="8"/>
  <c r="Q190" i="8"/>
  <c r="P190" i="8"/>
  <c r="O190" i="8"/>
  <c r="N190" i="8"/>
  <c r="M190" i="8"/>
  <c r="L190" i="8"/>
  <c r="K190" i="8"/>
  <c r="J190" i="8"/>
  <c r="I190" i="8"/>
  <c r="H190" i="8"/>
  <c r="G190" i="8"/>
  <c r="F190" i="8"/>
  <c r="E190" i="8"/>
  <c r="D190" i="8"/>
  <c r="C190" i="8"/>
  <c r="AA189" i="8"/>
  <c r="Z189" i="8"/>
  <c r="Y189" i="8"/>
  <c r="X189" i="8"/>
  <c r="W189" i="8"/>
  <c r="V189" i="8"/>
  <c r="U189" i="8"/>
  <c r="T189" i="8"/>
  <c r="S189" i="8"/>
  <c r="R189" i="8"/>
  <c r="Q189" i="8"/>
  <c r="P189" i="8"/>
  <c r="O189" i="8"/>
  <c r="N189" i="8"/>
  <c r="M189" i="8"/>
  <c r="L189" i="8"/>
  <c r="K189" i="8"/>
  <c r="J189" i="8"/>
  <c r="I189" i="8"/>
  <c r="H189" i="8"/>
  <c r="G189" i="8"/>
  <c r="F189" i="8"/>
  <c r="E189" i="8"/>
  <c r="D189" i="8"/>
  <c r="C189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E50" i="8"/>
  <c r="D50" i="8"/>
  <c r="C50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L41" i="8"/>
  <c r="K41" i="8"/>
  <c r="J41" i="8"/>
  <c r="I41" i="8"/>
  <c r="H41" i="8"/>
  <c r="G41" i="8"/>
  <c r="F41" i="8"/>
  <c r="E41" i="8"/>
  <c r="D41" i="8"/>
  <c r="C41" i="8"/>
  <c r="L40" i="8"/>
  <c r="K40" i="8"/>
  <c r="J40" i="8"/>
  <c r="I40" i="8"/>
  <c r="H40" i="8"/>
  <c r="G40" i="8"/>
  <c r="F40" i="8"/>
  <c r="E40" i="8"/>
  <c r="D40" i="8"/>
  <c r="C40" i="8"/>
  <c r="L39" i="8"/>
  <c r="K39" i="8"/>
  <c r="J39" i="8"/>
  <c r="I39" i="8"/>
  <c r="H39" i="8"/>
  <c r="G39" i="8"/>
  <c r="F39" i="8"/>
  <c r="E39" i="8"/>
  <c r="D39" i="8"/>
  <c r="C39" i="8"/>
  <c r="L38" i="8"/>
  <c r="K38" i="8"/>
  <c r="J38" i="8"/>
  <c r="I38" i="8"/>
  <c r="H38" i="8"/>
  <c r="G38" i="8"/>
  <c r="F38" i="8"/>
  <c r="E38" i="8"/>
  <c r="D38" i="8"/>
  <c r="C38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T242" i="4"/>
  <c r="T241" i="4"/>
  <c r="T239" i="4"/>
  <c r="T238" i="4"/>
  <c r="AC349" i="2"/>
  <c r="AC348" i="2"/>
  <c r="AC347" i="2"/>
  <c r="AC346" i="2"/>
  <c r="AC345" i="2"/>
  <c r="AC344" i="2"/>
  <c r="AC343" i="2"/>
  <c r="AC342" i="2"/>
  <c r="AC341" i="2"/>
  <c r="AC340" i="2"/>
  <c r="AC339" i="2"/>
  <c r="AC338" i="2"/>
  <c r="AC337" i="2"/>
  <c r="AC336" i="2"/>
  <c r="AC335" i="2"/>
  <c r="AC334" i="2"/>
  <c r="AC333" i="2"/>
  <c r="AC332" i="2"/>
  <c r="AC331" i="2"/>
  <c r="AC330" i="2"/>
  <c r="AC329" i="2"/>
  <c r="AC328" i="2"/>
  <c r="AC327" i="2"/>
  <c r="AC326" i="2"/>
  <c r="AC325" i="2"/>
  <c r="AC324" i="2"/>
  <c r="AC323" i="2"/>
  <c r="AC322" i="2"/>
  <c r="AC321" i="2"/>
  <c r="AC320" i="2"/>
  <c r="AC319" i="2"/>
  <c r="AC318" i="2"/>
  <c r="AC317" i="2"/>
  <c r="AC316" i="2"/>
  <c r="AC315" i="2"/>
  <c r="AC314" i="2"/>
  <c r="AC313" i="2"/>
  <c r="AC312" i="2"/>
  <c r="AC311" i="2"/>
  <c r="AC310" i="2"/>
  <c r="AC309" i="2"/>
  <c r="AC308" i="2"/>
  <c r="AC307" i="2"/>
  <c r="AC306" i="2"/>
  <c r="AC305" i="2"/>
  <c r="AC304" i="2"/>
  <c r="AC303" i="2"/>
  <c r="E303" i="2"/>
  <c r="AC302" i="2"/>
  <c r="E302" i="2"/>
  <c r="AC301" i="2"/>
  <c r="E301" i="2"/>
  <c r="AC300" i="2"/>
  <c r="E300" i="2"/>
  <c r="AC299" i="2"/>
  <c r="E299" i="2"/>
  <c r="AC298" i="2"/>
  <c r="E298" i="2"/>
  <c r="AC297" i="2"/>
  <c r="E297" i="2"/>
  <c r="AC296" i="2"/>
  <c r="AC295" i="2"/>
  <c r="AC294" i="2"/>
  <c r="AC293" i="2"/>
  <c r="AC292" i="2"/>
  <c r="AC291" i="2"/>
  <c r="AC290" i="2"/>
  <c r="AC289" i="2"/>
  <c r="AC288" i="2"/>
  <c r="AC287" i="2"/>
  <c r="AC286" i="2"/>
  <c r="AC285" i="2"/>
  <c r="AC284" i="2"/>
  <c r="AC283" i="2"/>
  <c r="AC282" i="2"/>
  <c r="AC281" i="2"/>
  <c r="AC280" i="2"/>
  <c r="AC279" i="2"/>
  <c r="AC278" i="2"/>
  <c r="AC277" i="2"/>
  <c r="AC276" i="2"/>
  <c r="AC275" i="2"/>
  <c r="AC274" i="2"/>
  <c r="AC273" i="2"/>
  <c r="AC272" i="2"/>
  <c r="AC271" i="2"/>
  <c r="AC270" i="2"/>
  <c r="AC269" i="2"/>
  <c r="AC268" i="2"/>
  <c r="AC267" i="2"/>
  <c r="AC266" i="2"/>
  <c r="AC265" i="2"/>
  <c r="AC264" i="2"/>
  <c r="AC263" i="2"/>
  <c r="AC262" i="2"/>
  <c r="AC261" i="2"/>
  <c r="AC260" i="2"/>
  <c r="AC259" i="2"/>
  <c r="AC258" i="2"/>
  <c r="AC257" i="2"/>
  <c r="AC256" i="2"/>
  <c r="AC255" i="2"/>
  <c r="AC254" i="2"/>
  <c r="AC253" i="2"/>
  <c r="AC252" i="2"/>
  <c r="AC251" i="2"/>
  <c r="AC250" i="2"/>
  <c r="AC249" i="2"/>
  <c r="AC248" i="2"/>
  <c r="AC247" i="2"/>
  <c r="AC246" i="2"/>
  <c r="AC245" i="2"/>
  <c r="AC244" i="2"/>
  <c r="AC243" i="2"/>
  <c r="AC242" i="2"/>
  <c r="AC241" i="2"/>
  <c r="AC240" i="2"/>
  <c r="AC239" i="2"/>
  <c r="AC238" i="2"/>
  <c r="AC237" i="2"/>
  <c r="AC236" i="2"/>
  <c r="AC235" i="2"/>
  <c r="AC234" i="2"/>
  <c r="AC233" i="2"/>
  <c r="AC232" i="2"/>
  <c r="AC231" i="2"/>
  <c r="AC230" i="2"/>
  <c r="AC229" i="2"/>
  <c r="AC228" i="2"/>
  <c r="AC227" i="2"/>
  <c r="AC226" i="2"/>
  <c r="AC225" i="2"/>
  <c r="AC224" i="2"/>
  <c r="AC223" i="2"/>
  <c r="AC222" i="2"/>
  <c r="AC221" i="2"/>
  <c r="AC220" i="2"/>
  <c r="AC219" i="2"/>
  <c r="AC218" i="2"/>
  <c r="AC217" i="2"/>
  <c r="AC216" i="2"/>
  <c r="AC215" i="2"/>
  <c r="AC214" i="2"/>
  <c r="AC213" i="2"/>
  <c r="AC212" i="2"/>
  <c r="AC211" i="2"/>
  <c r="AC210" i="2"/>
  <c r="AC209" i="2"/>
  <c r="AC208" i="2"/>
  <c r="AC207" i="2"/>
  <c r="AC206" i="2"/>
  <c r="AC205" i="2"/>
  <c r="AC204" i="2"/>
  <c r="AC203" i="2"/>
  <c r="AC202" i="2"/>
  <c r="AC201" i="2"/>
  <c r="AC200" i="2"/>
  <c r="AC199" i="2"/>
  <c r="AC198" i="2"/>
  <c r="AC197" i="2"/>
  <c r="AC196" i="2"/>
  <c r="AC195" i="2"/>
  <c r="AC194" i="2"/>
  <c r="AC193" i="2"/>
  <c r="AC192" i="2"/>
  <c r="AC191" i="2"/>
  <c r="AC190" i="2"/>
  <c r="AC189" i="2"/>
  <c r="AC188" i="2"/>
  <c r="AC187" i="2"/>
  <c r="AC186" i="2"/>
  <c r="AC185" i="2"/>
  <c r="AC184" i="2"/>
  <c r="AC183" i="2"/>
  <c r="AC182" i="2"/>
  <c r="AC181" i="2"/>
  <c r="AC180" i="2"/>
  <c r="AC179" i="2"/>
  <c r="AC178" i="2"/>
  <c r="AC177" i="2"/>
  <c r="AC176" i="2"/>
  <c r="AC175" i="2"/>
  <c r="AC174" i="2"/>
  <c r="AC173" i="2"/>
  <c r="AC172" i="2"/>
  <c r="AC171" i="2"/>
  <c r="AC170" i="2"/>
  <c r="AC169" i="2"/>
  <c r="AC168" i="2"/>
  <c r="AC167" i="2"/>
  <c r="AC166" i="2"/>
  <c r="AC165" i="2"/>
  <c r="AC164" i="2"/>
  <c r="AC163" i="2"/>
  <c r="AC162" i="2"/>
  <c r="AC161" i="2"/>
  <c r="AC160" i="2"/>
  <c r="AC159" i="2"/>
  <c r="AC158" i="2"/>
  <c r="AC157" i="2"/>
  <c r="AC156" i="2"/>
  <c r="AC155" i="2"/>
  <c r="AC154" i="2"/>
  <c r="AC153" i="2"/>
  <c r="AC152" i="2"/>
  <c r="AC151" i="2"/>
  <c r="AC150" i="2"/>
  <c r="AC149" i="2"/>
  <c r="AC148" i="2"/>
  <c r="AC147" i="2"/>
  <c r="AC146" i="2"/>
  <c r="AC145" i="2"/>
  <c r="AC144" i="2"/>
  <c r="AC143" i="2"/>
  <c r="AC142" i="2"/>
  <c r="AC141" i="2"/>
  <c r="AC140" i="2"/>
  <c r="AC139" i="2"/>
  <c r="AC138" i="2"/>
  <c r="AC137" i="2"/>
  <c r="AC136" i="2"/>
  <c r="AC135" i="2"/>
  <c r="AC134" i="2"/>
  <c r="AC133" i="2"/>
  <c r="AC132" i="2"/>
  <c r="AC131" i="2"/>
  <c r="AC130" i="2"/>
  <c r="AC129" i="2"/>
  <c r="AC128" i="2"/>
  <c r="AC127" i="2"/>
  <c r="AC126" i="2"/>
  <c r="AC125" i="2"/>
  <c r="AC124" i="2"/>
  <c r="AC123" i="2"/>
  <c r="AC122" i="2"/>
  <c r="AC121" i="2"/>
  <c r="AC120" i="2"/>
  <c r="AC119" i="2"/>
  <c r="AC118" i="2"/>
  <c r="AC117" i="2"/>
  <c r="AC116" i="2"/>
  <c r="AC115" i="2"/>
  <c r="AC114" i="2"/>
  <c r="AC113" i="2"/>
  <c r="AC112" i="2"/>
  <c r="AC111" i="2"/>
  <c r="AC110" i="2"/>
  <c r="AC109" i="2"/>
  <c r="AC108" i="2"/>
  <c r="AC107" i="2"/>
  <c r="AC106" i="2"/>
  <c r="AC105" i="2"/>
  <c r="AC104" i="2"/>
  <c r="AC103" i="2"/>
  <c r="AC102" i="2"/>
  <c r="AC101" i="2"/>
  <c r="AC100" i="2"/>
  <c r="AC99" i="2"/>
  <c r="AC98" i="2"/>
  <c r="AC97" i="2"/>
  <c r="AC96" i="2"/>
  <c r="AC95" i="2"/>
  <c r="AC94" i="2"/>
  <c r="AC93" i="2"/>
  <c r="AC92" i="2"/>
  <c r="AC91" i="2"/>
  <c r="AC90" i="2"/>
  <c r="AC89" i="2"/>
  <c r="AC88" i="2"/>
  <c r="AC87" i="2"/>
  <c r="AC86" i="2"/>
  <c r="AC85" i="2"/>
  <c r="AC84" i="2"/>
  <c r="AC83" i="2"/>
  <c r="AC82" i="2"/>
  <c r="AC81" i="2"/>
  <c r="AC80" i="2"/>
  <c r="AC79" i="2"/>
  <c r="AC78" i="2"/>
  <c r="AC77" i="2"/>
  <c r="AC76" i="2"/>
  <c r="AC75" i="2"/>
  <c r="AC74" i="2"/>
  <c r="AC73" i="2"/>
  <c r="AC72" i="2"/>
  <c r="AC71" i="2"/>
  <c r="AC70" i="2"/>
  <c r="AC69" i="2"/>
  <c r="AC68" i="2"/>
  <c r="AC67" i="2"/>
  <c r="AC66" i="2"/>
  <c r="AC65" i="2"/>
  <c r="AC64" i="2"/>
  <c r="AC63" i="2"/>
  <c r="AC62" i="2"/>
  <c r="AC61" i="2"/>
  <c r="AC60" i="2"/>
  <c r="AC59" i="2"/>
  <c r="AC58" i="2"/>
  <c r="AC57" i="2"/>
  <c r="AC56" i="2"/>
  <c r="AC55" i="2"/>
  <c r="AC54" i="2"/>
  <c r="AC53" i="2"/>
  <c r="AC52" i="2"/>
  <c r="AC51" i="2"/>
  <c r="AC50" i="2"/>
  <c r="AC49" i="2"/>
  <c r="AC48" i="2"/>
  <c r="AC47" i="2"/>
  <c r="AC46" i="2"/>
  <c r="AC45" i="2"/>
  <c r="AC44" i="2"/>
  <c r="AC43" i="2"/>
  <c r="AC42" i="2"/>
  <c r="AC41" i="2"/>
  <c r="AC40" i="2"/>
  <c r="AC39" i="2"/>
  <c r="AC38" i="2"/>
  <c r="J9" i="20"/>
  <c r="L13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O89" authorId="0" shapeId="0" xr:uid="{F6274C10-DADD-49E0-A136-29EBFE1BE5AA}">
      <text>
        <r>
          <rPr>
            <sz val="11"/>
            <color theme="1"/>
            <rFont val="Aptos Narrow"/>
            <scheme val="minor"/>
          </rPr>
          <t>======
ID#AAABrght1U8
nikos.sowts@gmail.com    (2025-09-25 07:49:14)
ειναι θερμοκρασιες οχι γωνιακες συχνότητες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71" authorId="0" shapeId="0" xr:uid="{00000000-0006-0000-0B00-000001000000}">
      <text>
        <r>
          <rPr>
            <sz val="11"/>
            <color theme="1"/>
            <rFont val="Aptos Narrow"/>
            <scheme val="minor"/>
          </rPr>
          <t>======
ID#AAABrght1U0
nikos.sowts@gmail.com    (2025-09-25 07:49:14)
study id 20
storage kai tandelta me temp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Q5kBGZ73SqQxX+6wV6JMWu8Rmu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38" authorId="0" shapeId="0" xr:uid="{00000000-0006-0000-0C00-000001000000}">
      <text>
        <r>
          <rPr>
            <sz val="11"/>
            <color theme="1"/>
            <rFont val="Aptos Narrow"/>
            <scheme val="minor"/>
          </rPr>
          <t>======
ID#AAABrght1U4
tc={581A264F-4FBC-4382-BBF3-E2909F3ECA4C}    (2025-09-25 07:49:14)
[Threaded comment]
Your version of Excel allows you to read this threaded comment; however, any edits to it will get removed if the file is opened in a newer version of Excel. Learn more: https://go.microsoft.com/fwlink/?linkid=870924
Comment:
    νικ τσεκαρε μηπως ειναι γωνιακες συχνοτητες κ οχι loss modulus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2qOo3gjfyeKL+wl11svnRp0bWQA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N89" authorId="0" shapeId="0" xr:uid="{00000000-0006-0000-0700-000001000000}">
      <text>
        <r>
          <rPr>
            <sz val="11"/>
            <color theme="1"/>
            <rFont val="Aptos Narrow"/>
            <scheme val="minor"/>
          </rPr>
          <t>======
ID#AAABrght1U8
nikos.sowts@gmail.com    (2025-09-25 07:49:14)
ειναι θερμοκρασιες οχι γωνιακες συχνότητες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89P8UBLQSLl+Teu7baY+4i65EsQ=="/>
    </ext>
  </extL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<sst xmlns="http://schemas.openxmlformats.org/spreadsheetml/2006/main" count="7310" uniqueCount="596">
  <si>
    <t>Abbreviations</t>
  </si>
  <si>
    <t>OMt</t>
  </si>
  <si>
    <t>organomodified montmorillonite</t>
  </si>
  <si>
    <t>DOP</t>
  </si>
  <si>
    <t>dioctyl phthalate</t>
  </si>
  <si>
    <t>ESO</t>
  </si>
  <si>
    <t>epoxidized soybean oil</t>
  </si>
  <si>
    <t>TEC</t>
  </si>
  <si>
    <t>triethyl citrate</t>
  </si>
  <si>
    <t>ATBC</t>
  </si>
  <si>
    <t>Acetyl Tributyl Citrate</t>
  </si>
  <si>
    <t>SO</t>
  </si>
  <si>
    <t>soybean oil</t>
  </si>
  <si>
    <t>DOS</t>
  </si>
  <si>
    <t>dioctyl sebacate</t>
  </si>
  <si>
    <t>IL</t>
  </si>
  <si>
    <t>Acid-insoluble lignin</t>
  </si>
  <si>
    <t>HC</t>
  </si>
  <si>
    <t>Holocellulose</t>
  </si>
  <si>
    <t>LCB</t>
  </si>
  <si>
    <t>lignocellulosic biowaste</t>
  </si>
  <si>
    <t>TE</t>
  </si>
  <si>
    <t>extractive-free solid residue after toluene/ethanol extraction</t>
  </si>
  <si>
    <t>W</t>
  </si>
  <si>
    <t>extractive-free solid residue after water extraction</t>
  </si>
  <si>
    <t>MFC</t>
  </si>
  <si>
    <t>microfibrillated cellulose</t>
  </si>
  <si>
    <t>ESAO</t>
  </si>
  <si>
    <t>epoxy-based styrene-acrylic oligomer</t>
  </si>
  <si>
    <t>TGIC</t>
  </si>
  <si>
    <t>triglycidyl isocyanurate</t>
  </si>
  <si>
    <t>DCP</t>
  </si>
  <si>
    <t>dicumyl peroxide</t>
  </si>
  <si>
    <t>ECP</t>
  </si>
  <si>
    <t>antimicrobial nanocellulose</t>
  </si>
  <si>
    <t>CLF</t>
  </si>
  <si>
    <t>cellulose fiber</t>
  </si>
  <si>
    <t>DBP</t>
  </si>
  <si>
    <t>dibutyl phthalate</t>
  </si>
  <si>
    <t>ELO</t>
  </si>
  <si>
    <t>epoxidized linseed oil</t>
  </si>
  <si>
    <t>PPG400</t>
  </si>
  <si>
    <t>poly(propylene-glycol) 400g/mol</t>
  </si>
  <si>
    <t>PPG1000</t>
  </si>
  <si>
    <t>poly(propylene-glycol) 1000g/mol</t>
  </si>
  <si>
    <t>CO</t>
  </si>
  <si>
    <t>castor oil</t>
  </si>
  <si>
    <t>CF</t>
  </si>
  <si>
    <t>Curaua fiber</t>
  </si>
  <si>
    <t>CWM</t>
  </si>
  <si>
    <t>Curaua fiber treated with hot water and mercerized</t>
  </si>
  <si>
    <t>CHM</t>
  </si>
  <si>
    <t>Curaua fiber treated with NaClo and mercerized</t>
  </si>
  <si>
    <t>CON</t>
  </si>
  <si>
    <t>Cerium oxide nanoparticles</t>
  </si>
  <si>
    <t>OEO</t>
  </si>
  <si>
    <t>oregano essential oil</t>
  </si>
  <si>
    <t>RE</t>
  </si>
  <si>
    <t>rosemary extract</t>
  </si>
  <si>
    <t>GTE</t>
  </si>
  <si>
    <t>Green tea extract</t>
  </si>
  <si>
    <t>MF</t>
  </si>
  <si>
    <t>medium-sized bits (some leaves, some wood)</t>
  </si>
  <si>
    <t>GARDEN</t>
  </si>
  <si>
    <t>FF</t>
  </si>
  <si>
    <t>fine dusty stuff (mostly small bits + soil)</t>
  </si>
  <si>
    <t>WASTE</t>
  </si>
  <si>
    <t>RF</t>
  </si>
  <si>
    <t>the mix that mimics the unsorted waste</t>
  </si>
  <si>
    <t>KL</t>
  </si>
  <si>
    <t>Kraft lignin</t>
  </si>
  <si>
    <t>LNP</t>
  </si>
  <si>
    <t>hybrid lignin nanoparticles</t>
  </si>
  <si>
    <t>LB</t>
  </si>
  <si>
    <t>lignin butyrate</t>
  </si>
  <si>
    <t>CA</t>
  </si>
  <si>
    <t>Cyanuric acid</t>
  </si>
  <si>
    <t>BN</t>
  </si>
  <si>
    <t>Boron nitride</t>
  </si>
  <si>
    <t>OA</t>
  </si>
  <si>
    <t>Orotic Acid</t>
  </si>
  <si>
    <t>AC</t>
  </si>
  <si>
    <t>Acetic anyhydride</t>
  </si>
  <si>
    <t>PR</t>
  </si>
  <si>
    <t>Propionic anyhydride</t>
  </si>
  <si>
    <t>BU</t>
  </si>
  <si>
    <t>Butyric anyhydride</t>
  </si>
  <si>
    <t>HE</t>
  </si>
  <si>
    <t>Hexanoic anyhydride</t>
  </si>
  <si>
    <t>IN-AC</t>
  </si>
  <si>
    <t>Indulin AT (Kraft) lignin</t>
  </si>
  <si>
    <t>Acetic anhydride</t>
  </si>
  <si>
    <t>IN-PR</t>
  </si>
  <si>
    <t>Propionic anhydride</t>
  </si>
  <si>
    <t>IN-BU</t>
  </si>
  <si>
    <t>Butyric anhydride</t>
  </si>
  <si>
    <t>IN-HE</t>
  </si>
  <si>
    <t>Hexanoic anhydride</t>
  </si>
  <si>
    <t>PB-AC</t>
  </si>
  <si>
    <t>Protobind 1000 (Soda) lignin</t>
  </si>
  <si>
    <t>PB-PR</t>
  </si>
  <si>
    <t>PB-BU</t>
  </si>
  <si>
    <t>PB-HE</t>
  </si>
  <si>
    <t>PB</t>
  </si>
  <si>
    <t>IN</t>
  </si>
  <si>
    <t>U_AS</t>
  </si>
  <si>
    <t>Untreated Almond Shell</t>
  </si>
  <si>
    <t>T_AS</t>
  </si>
  <si>
    <t>Treated Almond Shell</t>
  </si>
  <si>
    <t>U_RH</t>
  </si>
  <si>
    <t>Untreated Rice Husk</t>
  </si>
  <si>
    <t>T_RH</t>
  </si>
  <si>
    <t>Treated Rice Husk</t>
  </si>
  <si>
    <t>TC90</t>
  </si>
  <si>
    <t>Commercial α-cellulose</t>
  </si>
  <si>
    <t>LLR</t>
  </si>
  <si>
    <t>Lignin rich residue~56% lignin + polysaccharides (e.g., cellulose)</t>
  </si>
  <si>
    <t>ES</t>
  </si>
  <si>
    <t>Epoxy soyate</t>
  </si>
  <si>
    <t>PEG</t>
  </si>
  <si>
    <t>Polyethylene glycol 1000</t>
  </si>
  <si>
    <t>PG</t>
  </si>
  <si>
    <t>Propylene glycol</t>
  </si>
  <si>
    <t>LCF</t>
  </si>
  <si>
    <t>lignocellulosic fiber</t>
  </si>
  <si>
    <t>CC</t>
  </si>
  <si>
    <t>calcium carbonate</t>
  </si>
  <si>
    <t>CNC</t>
  </si>
  <si>
    <t>cellulose nanocrystal</t>
  </si>
  <si>
    <t>mCNC</t>
  </si>
  <si>
    <t>hydrophobized cellulose(DDSA)</t>
  </si>
  <si>
    <t>CNW</t>
  </si>
  <si>
    <t>cellulose nanowhiskers</t>
  </si>
  <si>
    <t>WF</t>
  </si>
  <si>
    <t>wood fiber</t>
  </si>
  <si>
    <t>CNT</t>
  </si>
  <si>
    <t>Carbon Nanotubes</t>
  </si>
  <si>
    <t>GNS</t>
  </si>
  <si>
    <t>Graphene nanosheets</t>
  </si>
  <si>
    <t>GNP</t>
  </si>
  <si>
    <t>Graphene nanopalette</t>
  </si>
  <si>
    <t>SMGO</t>
  </si>
  <si>
    <t>Silicone-Modified Graphene Oxide</t>
  </si>
  <si>
    <t>BF</t>
  </si>
  <si>
    <t>bamboo fiber</t>
  </si>
  <si>
    <t>MCC</t>
  </si>
  <si>
    <t>Microcrystalline cellulose</t>
  </si>
  <si>
    <t>MCC_T</t>
  </si>
  <si>
    <t>TEMPO oxidized MCC</t>
  </si>
  <si>
    <t>MCC_P</t>
  </si>
  <si>
    <t>Plasma treated MCC</t>
  </si>
  <si>
    <t>Cellulose nanocrystal</t>
  </si>
  <si>
    <t>CNC-CL</t>
  </si>
  <si>
    <t>Cellulose nanocrystal modified with Lactic acid</t>
  </si>
  <si>
    <t>CNC-LA</t>
  </si>
  <si>
    <t>Cellulose nanocrystal modified with caprolactone</t>
  </si>
  <si>
    <t>CS</t>
  </si>
  <si>
    <t>corn straw</t>
  </si>
  <si>
    <t>SS</t>
  </si>
  <si>
    <t>soy straw</t>
  </si>
  <si>
    <t>WS</t>
  </si>
  <si>
    <t>wheat straw</t>
  </si>
  <si>
    <t>ZnO</t>
  </si>
  <si>
    <t>zinc oxide</t>
  </si>
  <si>
    <t>TBC</t>
  </si>
  <si>
    <t>tributyl citrate</t>
  </si>
  <si>
    <t>p</t>
  </si>
  <si>
    <t>plasma-treated nanocomposites</t>
  </si>
  <si>
    <t>ECF</t>
  </si>
  <si>
    <t xml:space="preserve">eucalyptus cellulose fibers </t>
  </si>
  <si>
    <t>EC</t>
  </si>
  <si>
    <t>Ethyl cellulose</t>
  </si>
  <si>
    <t>C20A</t>
  </si>
  <si>
    <t>Cloisite 20A</t>
  </si>
  <si>
    <t>CHT</t>
  </si>
  <si>
    <t xml:space="preserve">Calcined Hydrotalcite </t>
  </si>
  <si>
    <t>PPC</t>
  </si>
  <si>
    <t>propylene carbonate</t>
  </si>
  <si>
    <t>boron nitride</t>
  </si>
  <si>
    <t>C30B</t>
  </si>
  <si>
    <t>Cloisite 30B</t>
  </si>
  <si>
    <t>TPU</t>
  </si>
  <si>
    <t>Thermoplastic polyurethane</t>
  </si>
  <si>
    <t>HMDI</t>
  </si>
  <si>
    <t xml:space="preserve"> hexamethylene diisocyanate</t>
  </si>
  <si>
    <t>CNTs</t>
  </si>
  <si>
    <t>carbon nanotubes</t>
  </si>
  <si>
    <t>GNPs</t>
  </si>
  <si>
    <t>graphene nanoplatets</t>
  </si>
  <si>
    <t>HAp</t>
  </si>
  <si>
    <t>hydroxyapatite</t>
  </si>
  <si>
    <t>RO</t>
  </si>
  <si>
    <t>rapeseed oil</t>
  </si>
  <si>
    <t>PEG1500</t>
  </si>
  <si>
    <t>Polyethylene glycol with a molecular weight of 1500</t>
  </si>
  <si>
    <t>PEG4000</t>
  </si>
  <si>
    <t>Polyethylene glycol with a molecular weight of 4000</t>
  </si>
  <si>
    <t>MDI</t>
  </si>
  <si>
    <t>4,4'-Methylenebis(phenyl isocyanate)</t>
  </si>
  <si>
    <t xml:space="preserve">TBPB </t>
  </si>
  <si>
    <t>Tert-butylperoxybenzoate</t>
  </si>
  <si>
    <t xml:space="preserve">DVB </t>
  </si>
  <si>
    <t>Divinylbenzene</t>
  </si>
  <si>
    <t>WL</t>
  </si>
  <si>
    <t>Wine lees</t>
  </si>
  <si>
    <t>PECH</t>
  </si>
  <si>
    <t>poly(epichlorohydrin)</t>
  </si>
  <si>
    <t>F68</t>
  </si>
  <si>
    <t xml:space="preserve">pluronic  </t>
  </si>
  <si>
    <t>F127</t>
  </si>
  <si>
    <t xml:space="preserve">pluronic </t>
  </si>
  <si>
    <t>MA_MW</t>
  </si>
  <si>
    <t>microwave grafted maleic anhydride</t>
  </si>
  <si>
    <t>MA_Ext</t>
  </si>
  <si>
    <t>extruder grafted maleic anhydride</t>
  </si>
  <si>
    <t>ICs</t>
  </si>
  <si>
    <t>Supramolecular crystalline inclusion complexes</t>
  </si>
  <si>
    <t>CD</t>
  </si>
  <si>
    <t>a-cyclodextrin</t>
  </si>
  <si>
    <t>Study_id</t>
  </si>
  <si>
    <t>Instance</t>
  </si>
  <si>
    <t>1a</t>
  </si>
  <si>
    <t>2a</t>
  </si>
  <si>
    <t>3a</t>
  </si>
  <si>
    <t>4a</t>
  </si>
  <si>
    <t>1b</t>
  </si>
  <si>
    <t>2b</t>
  </si>
  <si>
    <t>3b</t>
  </si>
  <si>
    <t>4b</t>
  </si>
  <si>
    <t>5a</t>
  </si>
  <si>
    <t>5b</t>
  </si>
  <si>
    <t>1c</t>
  </si>
  <si>
    <t>2c</t>
  </si>
  <si>
    <t>3c</t>
  </si>
  <si>
    <t>4c</t>
  </si>
  <si>
    <t>1d</t>
  </si>
  <si>
    <t>2d</t>
  </si>
  <si>
    <t>3d</t>
  </si>
  <si>
    <t>4d</t>
  </si>
  <si>
    <t>1e</t>
  </si>
  <si>
    <t>2e</t>
  </si>
  <si>
    <t>3e</t>
  </si>
  <si>
    <t>4e</t>
  </si>
  <si>
    <t>6a</t>
  </si>
  <si>
    <t>7a</t>
  </si>
  <si>
    <t>8a</t>
  </si>
  <si>
    <t>6b</t>
  </si>
  <si>
    <t>7b</t>
  </si>
  <si>
    <t>8b</t>
  </si>
  <si>
    <t>Monomer_A</t>
  </si>
  <si>
    <t>Monomer_B</t>
  </si>
  <si>
    <t>HB_ratio</t>
  </si>
  <si>
    <t>HV_ratio</t>
  </si>
  <si>
    <t>Mw_PHBV</t>
  </si>
  <si>
    <t>Mn_PHBV</t>
  </si>
  <si>
    <t>Density</t>
  </si>
  <si>
    <t>Density_units</t>
  </si>
  <si>
    <t>PDI</t>
  </si>
  <si>
    <t>Additive_1</t>
  </si>
  <si>
    <t>Additive1_type</t>
  </si>
  <si>
    <t>Additive1_name</t>
  </si>
  <si>
    <t>Additive1_percentage</t>
  </si>
  <si>
    <t>Additive_2</t>
  </si>
  <si>
    <t>Additive2_type</t>
  </si>
  <si>
    <t>Additive2_name</t>
  </si>
  <si>
    <t>Additive2_percentage</t>
  </si>
  <si>
    <t>final_PHA_percentage</t>
  </si>
  <si>
    <t>HB_ratio_formulation</t>
  </si>
  <si>
    <t>HV_ratio_formulation</t>
  </si>
  <si>
    <t>Row No.</t>
  </si>
  <si>
    <t>3HB</t>
  </si>
  <si>
    <t>3HV</t>
  </si>
  <si>
    <t>g/cm3</t>
  </si>
  <si>
    <t>No</t>
  </si>
  <si>
    <t>Yes</t>
  </si>
  <si>
    <t>Plasticizer</t>
  </si>
  <si>
    <t>lignin</t>
  </si>
  <si>
    <t>Filler</t>
  </si>
  <si>
    <t>Antioxidant</t>
  </si>
  <si>
    <t>Reinforcement</t>
  </si>
  <si>
    <t>wood_fiber</t>
  </si>
  <si>
    <t>cellulose</t>
  </si>
  <si>
    <t>Compatibilizer</t>
  </si>
  <si>
    <t>LRR</t>
  </si>
  <si>
    <t>biorefinery_lignin</t>
  </si>
  <si>
    <t>Bio-PBS</t>
  </si>
  <si>
    <t>HBP-Bs</t>
  </si>
  <si>
    <t>RCh</t>
  </si>
  <si>
    <t>talc</t>
  </si>
  <si>
    <t>BC</t>
  </si>
  <si>
    <t>BCp</t>
  </si>
  <si>
    <t>BC-ZnO</t>
  </si>
  <si>
    <t>Nucleating_agent</t>
  </si>
  <si>
    <t>TiO2</t>
  </si>
  <si>
    <t>Impact_Modifier</t>
  </si>
  <si>
    <t>Crosslinking_agent</t>
  </si>
  <si>
    <t>TBPB</t>
  </si>
  <si>
    <t>TAC</t>
  </si>
  <si>
    <t>DVB</t>
  </si>
  <si>
    <t>PBSA</t>
  </si>
  <si>
    <t>Miscanthus</t>
  </si>
  <si>
    <t>nucleating_agent</t>
  </si>
  <si>
    <t>IC</t>
  </si>
  <si>
    <t>PEO</t>
  </si>
  <si>
    <t>NC</t>
  </si>
  <si>
    <t>mcl_PHA</t>
  </si>
  <si>
    <t>PHV</t>
  </si>
  <si>
    <t>Tg1</t>
  </si>
  <si>
    <t>Tg2</t>
  </si>
  <si>
    <t>Tc1</t>
  </si>
  <si>
    <t>Tc2</t>
  </si>
  <si>
    <t>Tmc</t>
  </si>
  <si>
    <t>Tm1</t>
  </si>
  <si>
    <t>Tm2</t>
  </si>
  <si>
    <t>Td5</t>
  </si>
  <si>
    <t>Tdeg</t>
  </si>
  <si>
    <t>Temperature_units</t>
  </si>
  <si>
    <t>DΗm1</t>
  </si>
  <si>
    <t>DΗm2</t>
  </si>
  <si>
    <t>DHc1</t>
  </si>
  <si>
    <t>DHc2</t>
  </si>
  <si>
    <t>Enthaply_units</t>
  </si>
  <si>
    <t>celsius</t>
  </si>
  <si>
    <t>J/g</t>
  </si>
  <si>
    <t>−3.7</t>
  </si>
  <si>
    <t>−2.6</t>
  </si>
  <si>
    <t>−2.2</t>
  </si>
  <si>
    <t>−1.5</t>
  </si>
  <si>
    <t>−0.7</t>
  </si>
  <si>
    <t>−3.5</t>
  </si>
  <si>
    <t>−5.3</t>
  </si>
  <si>
    <t>−7.4</t>
  </si>
  <si>
    <t>−7.2</t>
  </si>
  <si>
    <t>−2.5</t>
  </si>
  <si>
    <t>−1.6</t>
  </si>
  <si>
    <t>−1.9</t>
  </si>
  <si>
    <t xml:space="preserve">114.86  </t>
  </si>
  <si>
    <t xml:space="preserve">170.02  </t>
  </si>
  <si>
    <t xml:space="preserve">64.39  </t>
  </si>
  <si>
    <t xml:space="preserve">112.34  </t>
  </si>
  <si>
    <t xml:space="preserve">169.02  </t>
  </si>
  <si>
    <t xml:space="preserve">62.74  </t>
  </si>
  <si>
    <t xml:space="preserve">112.10  </t>
  </si>
  <si>
    <t xml:space="preserve">169.01  </t>
  </si>
  <si>
    <t xml:space="preserve">62.07  </t>
  </si>
  <si>
    <t xml:space="preserve">111.74  </t>
  </si>
  <si>
    <t xml:space="preserve">168.99  </t>
  </si>
  <si>
    <t xml:space="preserve">61.49  </t>
  </si>
  <si>
    <t xml:space="preserve">110.88  </t>
  </si>
  <si>
    <t xml:space="preserve">168.97  </t>
  </si>
  <si>
    <t xml:space="preserve">59.42  </t>
  </si>
  <si>
    <t xml:space="preserve">110.71  </t>
  </si>
  <si>
    <t xml:space="preserve">168.81  </t>
  </si>
  <si>
    <t xml:space="preserve">55.04  </t>
  </si>
  <si>
    <t xml:space="preserve">169.50  </t>
  </si>
  <si>
    <t xml:space="preserve">60.18  </t>
  </si>
  <si>
    <t xml:space="preserve">112.37  </t>
  </si>
  <si>
    <t xml:space="preserve">169.62  </t>
  </si>
  <si>
    <t xml:space="preserve">60.93  </t>
  </si>
  <si>
    <t>Test type</t>
  </si>
  <si>
    <t>constant parameters</t>
  </si>
  <si>
    <t>geometry</t>
  </si>
  <si>
    <t>plate diameter</t>
  </si>
  <si>
    <t>gap size</t>
  </si>
  <si>
    <t>morphology</t>
  </si>
  <si>
    <t>diameter</t>
  </si>
  <si>
    <t>thickness</t>
  </si>
  <si>
    <t>size units</t>
  </si>
  <si>
    <t>Angular_frequency_units</t>
  </si>
  <si>
    <t>Texp</t>
  </si>
  <si>
    <t>Texp_units</t>
  </si>
  <si>
    <t>Viscosity_units</t>
  </si>
  <si>
    <t>Modulus_units</t>
  </si>
  <si>
    <t>Strain_fixed(%)</t>
  </si>
  <si>
    <t>Frequency_experimental_fixed (Hz)</t>
  </si>
  <si>
    <t>DFS</t>
  </si>
  <si>
    <t>strain,temp</t>
  </si>
  <si>
    <t xml:space="preserve"> parallel plate</t>
  </si>
  <si>
    <t>mm</t>
  </si>
  <si>
    <t>rad/s</t>
  </si>
  <si>
    <t>Pa*s</t>
  </si>
  <si>
    <t>disc</t>
  </si>
  <si>
    <t>Pa</t>
  </si>
  <si>
    <t>hz</t>
  </si>
  <si>
    <t>DTS</t>
  </si>
  <si>
    <t>angular frequency,stress or strain</t>
  </si>
  <si>
    <t>MPa</t>
  </si>
  <si>
    <t>angular frequency,strain</t>
  </si>
  <si>
    <t>Gpa</t>
  </si>
  <si>
    <t>dyne/cm^2</t>
  </si>
  <si>
    <t>rectangular_bars</t>
  </si>
  <si>
    <t>Mpa</t>
  </si>
  <si>
    <t>parallel plate</t>
  </si>
  <si>
    <t xml:space="preserve"> mm</t>
  </si>
  <si>
    <t>GPa</t>
  </si>
  <si>
    <t>angular frequency,stress</t>
  </si>
  <si>
    <t>cone_plate</t>
  </si>
  <si>
    <t>,</t>
  </si>
  <si>
    <t>Study ID</t>
  </si>
  <si>
    <t>Author</t>
  </si>
  <si>
    <t>Date</t>
  </si>
  <si>
    <t xml:space="preserve">Title </t>
  </si>
  <si>
    <t>Doi</t>
  </si>
  <si>
    <t>Szegda et al.</t>
  </si>
  <si>
    <t>Extrusion foaming of PHBV</t>
  </si>
  <si>
    <t>10.1177/0021955X13505249</t>
  </si>
  <si>
    <t>Mousavioun et al.</t>
  </si>
  <si>
    <t>Thermophysical properties and rheology of PHB/lignin blends</t>
  </si>
  <si>
    <t>10.1016/j.indcrop.2013.07.026</t>
  </si>
  <si>
    <t>Angelini et al.</t>
  </si>
  <si>
    <t>Acid-insoluble lignin and holocellulose from a lignocellulosic biowaste: Bio-fillers in poly(3-hydroxybutyrate) into Poly(3-hydroxybutyrate-co-3-hydroxyvalerate) by</t>
  </si>
  <si>
    <t>10.1016/j.eurpolymj.2016.01.024</t>
  </si>
  <si>
    <t xml:space="preserve"> Feijoo et al.</t>
  </si>
  <si>
    <t>Effect of the Presence of Lignin from Woodflour on the Compostability of PHA-Based Biocomposites: Disintegration,Biodegradation and Microbial Dynamics</t>
  </si>
  <si>
    <t>10.3390/polym15112481</t>
  </si>
  <si>
    <t>Luo et al.</t>
  </si>
  <si>
    <t>Esterification of industrial lignin and its effect on the resulting poly(3-hydroxybutyrate-co-3-hydroxyvalerate) or polypropylene blends</t>
  </si>
  <si>
    <t>10.1016/j.indcrop.2016.12.024</t>
  </si>
  <si>
    <t>Lugoloobi et al.</t>
  </si>
  <si>
    <t>Fabrication of lignin/poly(3-hydroxybutyrate) nanocomposites with enhanced properties via a Pickering emulsion approach</t>
  </si>
  <si>
    <t>10.1016/j.ijbiomac.2020.10.156</t>
  </si>
  <si>
    <t>From biowaste to bioresource: Effect of a lignocellulosic filler on the properties of poly(3-hydroxybutyrate)</t>
  </si>
  <si>
    <t>10.1016/j.ijbiomac.2014.07.038</t>
  </si>
  <si>
    <t>Panaitescu et al.</t>
  </si>
  <si>
    <t>Thermal and mechanical properties of poly(3-hydroxybutyrate) reinforced with cellulose fibers from wood waste</t>
  </si>
  <si>
    <t>10.1016/j.indcrop.2019.112071</t>
  </si>
  <si>
    <t>Kovalcik et al.</t>
  </si>
  <si>
    <t>Designing packaging materials with viscoelastic and gas barrier properties by optimized processing of poly(3-hydroxybutyrate-co-3-hydroxyvalerate) with lignin</t>
  </si>
  <si>
    <t>10.1016/j.reactfunctpolym.2015.07.001</t>
  </si>
  <si>
    <t>10.1016/j.ijbiomac.2023.125324</t>
  </si>
  <si>
    <t>Vaidya et al.</t>
  </si>
  <si>
    <t>Integrating softwood biorefinery lignin into polyhydroxybutyrate composites and application in 3D printing</t>
  </si>
  <si>
    <t>j.mtcomm.2019.02.008</t>
  </si>
  <si>
    <t>Esmizadeh et al.</t>
  </si>
  <si>
    <t>Crystallization and performance evolution of PHBV nanocomposites through annealing: The role of surface modification of CNCs</t>
  </si>
  <si>
    <t>10.1016/j.polymer.2024.127352</t>
  </si>
  <si>
    <t>Abbasi et al.</t>
  </si>
  <si>
    <t>Effect of 3-Hydroxyvalerate Content on Thermal,Mechanical, and Rheological Properties of Poly(3-hydroxybutyrate-co-3-hydroxyvalerate) Biopolymers Produced from Fermented Dairy Manure</t>
  </si>
  <si>
    <t>10.3390/polym14194140</t>
  </si>
  <si>
    <t>Ten et al.</t>
  </si>
  <si>
    <t>Effects of Cellulose Nanowhiskers on Mechanical, Dielectric,and Rheological Properties of Poly(3-hydroxybutyrate-co-3-hydroxyvalerate)/Cellulose Nanowhisker Composites</t>
  </si>
  <si>
    <t>10.1021/ie2023367</t>
  </si>
  <si>
    <t>Preparation and properties of aligned poly(3-hydroxybutyrate-co-3-hydroxyvalerate)/cellulose nanowhiskers composites</t>
  </si>
  <si>
    <t>10.1016/j.carbpol.2012.09.033</t>
  </si>
  <si>
    <t>Thermal and mechanical properties of poly(3-hydroxybutyrate-co-3-hydroxyvalerate)/cellulose nanowhiskers composites</t>
  </si>
  <si>
    <t>10.1016/j.polymer.2010.04.007</t>
  </si>
  <si>
    <t>Choi et al.</t>
  </si>
  <si>
    <t>Viscoelastic characterization of biodegradable poly(3-hydroxybutyrate-co-3-hydroxyvalerate)</t>
  </si>
  <si>
    <t>10.1016/S0032-3861(98)00627-2</t>
  </si>
  <si>
    <t xml:space="preserve"> Domínguez-Díaz et al.</t>
  </si>
  <si>
    <t>Viscoelastic behaviour of biodegradable polyhydroxyalkanoates</t>
  </si>
  <si>
    <t>10.1680/bbn.12.00011</t>
  </si>
  <si>
    <t xml:space="preserve">Singh et al. </t>
  </si>
  <si>
    <t>Wood fiber reinforced bacterial bioplastic composites: Fabrication and performance evaluation</t>
  </si>
  <si>
    <t>10.1016/j.compscitech.2006.11.009</t>
  </si>
  <si>
    <t>Modi  et al.</t>
  </si>
  <si>
    <t>Assessment of PHB with varying hydroxyvalerate content
for potential packaging applications</t>
  </si>
  <si>
    <t>10.1016/j.eurpolymj.2010.11.010</t>
  </si>
  <si>
    <t>Peshne et al.</t>
  </si>
  <si>
    <t>Comparative studies of structural, thermal, mechanical, rheological and dynamic mechanical response of melt mixed PHB/bio‑PBS and PHBV/bio‑PBS blends</t>
  </si>
  <si>
    <t>10.1007/s10965-022-03323-9</t>
  </si>
  <si>
    <t>Wu et al.</t>
  </si>
  <si>
    <t>Toughening of poly(3-hydroxybutyrate-co-3-hydroxyvalerate) by phenyl terminated hyperbranched polyesters with higher thermal stability</t>
  </si>
  <si>
    <t>10.1002/app.51551</t>
  </si>
  <si>
    <t>Oner et al.</t>
  </si>
  <si>
    <t>Development of hybrid bionanocomposites of poly (3-hydroxybutyrate-co-3-hydroxyvalerate) with zinc oxide and silicon-doped hydroxyapatite nanocrystals and machine learning for predicting dynamic mechanical properties</t>
  </si>
  <si>
    <t>10.1016/j.ijbiomac.2024.139338</t>
  </si>
  <si>
    <t>Bioderived and Biodegradable Poly(3-hydroxybutyrate-co-3- hydroxyvalerate) Nanocomposites Based on Carbon Nanotubes: Microstructure Observation and EMI Shielding Property Improvement</t>
  </si>
  <si>
    <t>10.1021/acssuschemeng.1c02064</t>
  </si>
  <si>
    <t>Wang et al.</t>
  </si>
  <si>
    <t>CRYSTALLIZATION BEHAVIOR, THERMAL AND MECHANICAL PROPERTIES  OF PHBV/GRAPHENE NANOSHEET COMPOSITES</t>
  </si>
  <si>
    <t>10.1007/s10118-013-1248-1</t>
  </si>
  <si>
    <t>Baraki et al.</t>
  </si>
  <si>
    <t xml:space="preserve">Regenerated chitin reinforced polyhydroxybutyrate composites via 
Pickering emulsion template with improved rheological, thermal, and 
mechanical properties </t>
  </si>
  <si>
    <t xml:space="preserve">10.1016/j.coco.2021.100655 </t>
  </si>
  <si>
    <t>Poly(3-hydroxybutyrate) Modified by Plasma and
TEMPO-Oxidized Celluloses</t>
  </si>
  <si>
    <t>10.3390/polym12071510</t>
  </si>
  <si>
    <t>Designing improved electromagnetic shielding efficacy of poly(3-hydroxybutyrate-co-3hydroxyvalerate) nanocomposites foam using carbon nanotubes and graphene nanoplatelets</t>
  </si>
  <si>
    <t>10.1002/vnl.22030</t>
  </si>
  <si>
    <t>Moshkriz et al.</t>
  </si>
  <si>
    <t>Fabrication of novel strain sensors from green TPV nanocomposites based on poly(3- hydroxybutyrate-co-3-hydroxyvalerate) (PHBV)/ silicone rubber/silicon-modified graphene oxide</t>
  </si>
  <si>
    <t>10.1039/d3ra02940a</t>
  </si>
  <si>
    <t>Renewable resource based biocomposites from natural fiber and polyhydroxybutyrate-co-valerate (PHBV) bioplastic</t>
  </si>
  <si>
    <t>10.1016/j.compositesa.2008.01.004</t>
  </si>
  <si>
    <t>Whaling et al.</t>
  </si>
  <si>
    <t>Novel Talc-Filled Biodegradable Bacterial Polyester Composites</t>
  </si>
  <si>
    <t>10.1021/ie060604x</t>
  </si>
  <si>
    <t>Oliveira et al.</t>
  </si>
  <si>
    <t>Effect of acid treatment of eucalyptus fibers for improved poly 
(3-hydroxybutyrate) nanocomposites</t>
  </si>
  <si>
    <t xml:space="preserve">10.1016/j.jmrt.2024.02.010 </t>
  </si>
  <si>
    <t>Chen et al.</t>
  </si>
  <si>
    <t>Effects of ethyl cellulose on the crystallization and mechanical
properties of poly(_x0002_-hydroxybutyrate)</t>
  </si>
  <si>
    <t>10.1016/j.ijbiomac.2016.03.048</t>
  </si>
  <si>
    <t>How surface modification of cellulose nanocrystals affects the
crystallization process of poly (β-hydroxybutyrate)</t>
  </si>
  <si>
    <t>10.1016/j.ijbiomac.2024.134119</t>
  </si>
  <si>
    <t>Dhar et al.</t>
  </si>
  <si>
    <t>Investigations on Rheological and Mechanical Behavior of Poly(3-Hydroxybutyrate)/Cellulose Nanocrystal Based Nanobiocomposites</t>
  </si>
  <si>
    <t>10.1002/pc.23859</t>
  </si>
  <si>
    <t>Ahankari et al.</t>
  </si>
  <si>
    <t>Mechanical behaviour of agro-residue reinforced poly(3-hydroxybutyrate-co-3-hydroxyvalerate), (PHBV) green composites: A comparison with traditional polypropylene composites</t>
  </si>
  <si>
    <t>10.1016/j.compscitech.2011.01.007</t>
  </si>
  <si>
    <t>Poly(3-hydroxybutyrate) Modified by Nanocellulose
and Plasma Treatment for Packaging Applications</t>
  </si>
  <si>
    <t>10.3390/polym10111249</t>
  </si>
  <si>
    <t xml:space="preserve"> Martínez-Rubio et al.</t>
  </si>
  <si>
    <t>In-Depth Analysis of the Complex Interactions Induced by Nanolayered Additives in PHBV Nanocomposites</t>
  </si>
  <si>
    <t>10.1002/mame.202400016</t>
  </si>
  <si>
    <t>Selli et al.</t>
  </si>
  <si>
    <t>Melt processing of PHBV for functional fibres: Effect of additives on process parameters</t>
  </si>
  <si>
    <t>10.1088/2053-1591/ab4d19</t>
  </si>
  <si>
    <t>Zhao et al.</t>
  </si>
  <si>
    <t xml:space="preserve">Sustainable composites from Carbon Dioxide-Derived Poly (propylene carbonate) and biosourced poly(3-hydroxybutyrate-co-3-hydroxyvalerate) fiber with enhancing mechanical properties and heat resistance </t>
  </si>
  <si>
    <t>10.1016/j.coco.2023.101701</t>
  </si>
  <si>
    <t>Li et al.</t>
  </si>
  <si>
    <t>Effect of crystallinity on the thermal conductivity
of poly(3-hydroxybutyrate)/BN composites</t>
  </si>
  <si>
    <t>10.1007/s00289-017-2114-z</t>
  </si>
  <si>
    <t>Samaniego-Aguilar et al.</t>
  </si>
  <si>
    <t>In Service Performance of Toughened PHBV/TPU Blends
Obtained by Reactive Extrusion for Injected Parts</t>
  </si>
  <si>
    <t>10.3390/polym14122337</t>
  </si>
  <si>
    <t>Palmieri et al.</t>
  </si>
  <si>
    <t>Development of PBS/Nano Composite PHB-Based Multilayer Blown Films with Enhanced Properties for Food Packaging Applications</t>
  </si>
  <si>
    <t>10.3390/ma17122894</t>
  </si>
  <si>
    <t xml:space="preserve">Vogel et al </t>
  </si>
  <si>
    <t>Melt Spinning of Bacterial Aliphatic Polyester Using Reactive Extrusion for Improvement of Crystallization</t>
  </si>
  <si>
    <t>10.1002/mabi.200700041</t>
  </si>
  <si>
    <t>Wei et al.</t>
  </si>
  <si>
    <t>Peroxide induced cross-linking by reactive melt processing of two
biopolyesters: Poly(3-hydroxybutyrate) and poly(L-lactic acid) to
improve their melting processability</t>
  </si>
  <si>
    <t>10.1002/APP.41724</t>
  </si>
  <si>
    <t>Designing improved electromagnetic shielding efficacy of
poly(3-hydroxybutyrate-co-3hydroxyvalerate)
nanocomposites foam using carbon nanotubes
and graphene nanoplatelets</t>
  </si>
  <si>
    <t xml:space="preserve"> 10.1002/vnl.22030</t>
  </si>
  <si>
    <t xml:space="preserve"> Sadat-Shojai et al.</t>
  </si>
  <si>
    <t>Nano-hydroxyapatite reinforced polyhydroxybutyrate composites: A comprehensive
study on the structural and in vitro biological properties</t>
  </si>
  <si>
    <t>10.1016/j.msec.2013.02.041</t>
  </si>
  <si>
    <t>Weinmann et al.</t>
  </si>
  <si>
    <t>Thermal and Rheological Properties of Modified Polyhydroxybutyrate (PHB)</t>
  </si>
  <si>
    <t>10.1002/pen.25075</t>
  </si>
  <si>
    <t>Delliou et al.</t>
  </si>
  <si>
    <t>Characterization of a new bio-based and biodegradable blends of poly(3-hydroxybutyrate-co-3-hydroxyvalerate) and poly(butylene-co-succinate-co-adipate)</t>
  </si>
  <si>
    <t xml:space="preserve"> 10.1002/app.52124</t>
  </si>
  <si>
    <t>Nanni et al.</t>
  </si>
  <si>
    <t>Effect of the wine lees wastes as cost-advantage and natural fillers on the thermal and mechanical properties of poly(3-hydroxybutyrate-cohydroxyhexanoate) (PHBH) and poly(3-hydroxybutyrate-cohydroxyvalerate) (PHBV)</t>
  </si>
  <si>
    <t>10.1002/app.48869</t>
  </si>
  <si>
    <t>Muthuraj et al.</t>
  </si>
  <si>
    <t>Reactive compatibilization and performance evaluation of miscanthus biofiber reinforced poly(hydroxybutyrate-co-hydroxyvalerate) biocomposites</t>
  </si>
  <si>
    <t>10.1002/app.44860</t>
  </si>
  <si>
    <t>Tsukada et al.</t>
  </si>
  <si>
    <t>Physical properties of poly-D(-)(3-hydroxybutyrate)/poly(epichlorohydrin) 
blends</t>
  </si>
  <si>
    <t>10.1002/actp.1992.010430606</t>
  </si>
  <si>
    <t>Ambrosi et al.</t>
  </si>
  <si>
    <t>Non-isothermal crystallization kinetics and morphology of poly(3-
hydroxybutyrate)/pluronic blends</t>
  </si>
  <si>
    <t>10.1016/j.eurpolymj.2019.08.016</t>
  </si>
  <si>
    <t>Panayotidou et al.</t>
  </si>
  <si>
    <t>Biopolyester-based nanocomposites: Structural, thermo-mechanical and biocompatibility characteristics of poly(3-hydroxybutyrate)/ montmorillonite clay nanohybrids</t>
  </si>
  <si>
    <t>10.1002/app.41628</t>
  </si>
  <si>
    <t>Vogel et al.</t>
  </si>
  <si>
    <t>Melt Spinning of Poly(3-hydroxybutyrate) Fibers for
Tissue Engineering Using a-Cyclodextrin/Polymer
Inclusion Complexes as the Nucleation Agent</t>
  </si>
  <si>
    <t>10.1002/mabi.200600116</t>
  </si>
  <si>
    <t>Al et al.</t>
  </si>
  <si>
    <t>The effects of PHB-g-MA types on the mechanical, thermal, morphological, 
structural, and rheological properties of polyhydroxybutyrate biopolymers</t>
  </si>
  <si>
    <t xml:space="preserve">10.1016/j.ijbiomac.2024.130745 </t>
  </si>
  <si>
    <t>Das et al.</t>
  </si>
  <si>
    <t>Comparative evaluation of physico-chemical characteristics of
biopolyesters P(3HB) and P(3HB-co-3HV) produced by endophytic
Bacillus cereus RCL 02</t>
  </si>
  <si>
    <t>10.1007/s11515-018-1509-z</t>
  </si>
  <si>
    <t>Rheological Study on Poly-D(-)(3=Hydroxybutyrate) and Its Blends With Poly(Ethy1ene Oxide)</t>
  </si>
  <si>
    <t>10.1002/pen.760352010</t>
  </si>
  <si>
    <t>Poly(3-hydroxybutyrate) nanocomposites modified with even and odd 
chain length polyhydroxyalkanoates</t>
  </si>
  <si>
    <t>Dufresne et al.</t>
  </si>
  <si>
    <t>Poly(3-hydroxybutyrate) and Poly(3-hydroxyoctanoate) Blends:
Morphology and Mechanical Behavior</t>
  </si>
  <si>
    <t>10.1021/ma991854a</t>
  </si>
  <si>
    <t>Microbial production of polyhydroxyalkanoate block
 copolymer by recombinant Pseudomonas putida</t>
  </si>
  <si>
    <t>10.1007/s00253-010-3069-2</t>
  </si>
  <si>
    <t>Crystallinity_%</t>
  </si>
  <si>
    <t>storage</t>
  </si>
  <si>
    <t>loss</t>
  </si>
  <si>
    <t>fill</t>
  </si>
  <si>
    <t>visc</t>
  </si>
  <si>
    <t>tan</t>
  </si>
  <si>
    <t>Ετικέτες γραμμής</t>
  </si>
  <si>
    <t>Γενικό Άθροισμα</t>
  </si>
  <si>
    <t>Καταμέτρηση από Study_id</t>
  </si>
  <si>
    <t>(Πολλά στοιχεία)</t>
  </si>
  <si>
    <t>loss 2</t>
  </si>
  <si>
    <t>Καταμέτρηση από loss 2</t>
  </si>
  <si>
    <t>study</t>
  </si>
  <si>
    <t>instance</t>
  </si>
  <si>
    <t>dfs</t>
  </si>
  <si>
    <t>dts</t>
  </si>
  <si>
    <t>visco</t>
  </si>
  <si>
    <t>viscosity</t>
  </si>
  <si>
    <t>storage only</t>
  </si>
  <si>
    <t>loss only</t>
  </si>
  <si>
    <t>visco only</t>
  </si>
  <si>
    <t>Storage ∩ Viscosity (only)</t>
  </si>
  <si>
    <t>Loss ∩ Viscosity (only)</t>
  </si>
  <si>
    <t>Storage ∩ Loss (only)</t>
  </si>
  <si>
    <t>Storage ∩ Loss ∩ Viscosity</t>
  </si>
  <si>
    <t>Καταμέτρηση από visco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</si>
</sst>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0.0"/>
    <numFmt numFmtId="165" formatCode="0.000"/>
    <numFmt numFmtId="166" formatCode="0.0000"/>
    <numFmt numFmtId="167" formatCode="#,##0.000"/>
    <numFmt numFmtId="168" formatCode="0.000000"/>
    <numFmt numFmtId="169" formatCode="_-* #,##0_-;\-* #,##0_-;_-* &quot;-&quot;??_-;_-@"/>
    <numFmt numFmtId="170" formatCode="#,##0.00000"/>
    <numFmt numFmtId="171" formatCode="_-* #,##0.000000_-;\-* #,##0.000000_-;_-* &quot;-&quot;??_-;_-@"/>
    <numFmt numFmtId="172" formatCode="#,##0.000000"/>
    <numFmt numFmtId="173" formatCode="0.000000000"/>
    <numFmt numFmtId="174" formatCode="0.00000"/>
  </numFmts>
  <fonts count="35">
    <font>
      <sz val="11"/>
      <color theme="1"/>
      <name val="Aptos Narrow"/>
      <scheme val="minor"/>
    </font>
    <font>
      <b/>
      <sz val="12"/>
      <color theme="1"/>
      <name val="Arial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rgb="FF000000"/>
      <name val="Aptos Narrow"/>
    </font>
    <font>
      <sz val="11"/>
      <color rgb="FF242424"/>
      <name val="Aptos Narrow"/>
    </font>
    <font>
      <i/>
      <sz val="11"/>
      <color theme="1"/>
      <name val="Aptos Narrow"/>
    </font>
    <font>
      <b/>
      <sz val="11"/>
      <color rgb="FF000000"/>
      <name val="Aptos Narrow"/>
    </font>
    <font>
      <b/>
      <sz val="11"/>
      <color theme="1"/>
      <name val="Aptos Narrow"/>
    </font>
    <font>
      <b/>
      <sz val="11"/>
      <color theme="1"/>
      <name val="Arial"/>
    </font>
    <font>
      <b/>
      <sz val="11"/>
      <color rgb="FF000000"/>
      <name val="Arial"/>
    </font>
    <font>
      <b/>
      <sz val="11"/>
      <color rgb="FF242424"/>
      <name val="&quot;Aptos Narrow&quot;"/>
    </font>
    <font>
      <sz val="11"/>
      <color rgb="FF000000"/>
      <name val="&quot;Aptos Narrow&quot;"/>
    </font>
    <font>
      <sz val="11"/>
      <color rgb="FF000000"/>
      <name val="Arial"/>
    </font>
    <font>
      <sz val="11"/>
      <color rgb="FF001D35"/>
      <name val="Arial"/>
    </font>
    <font>
      <sz val="11"/>
      <color rgb="FF242424"/>
      <name val="Arial"/>
    </font>
    <font>
      <u/>
      <sz val="11"/>
      <color rgb="FF0000FF"/>
      <name val="Arial"/>
    </font>
    <font>
      <u/>
      <sz val="11"/>
      <color rgb="FF467886"/>
      <name val="Arial"/>
    </font>
    <font>
      <u/>
      <sz val="11"/>
      <color rgb="FF000000"/>
      <name val="Arial"/>
    </font>
    <font>
      <u/>
      <sz val="9"/>
      <color rgb="FF000000"/>
      <name val="Helvetica Neue"/>
    </font>
    <font>
      <b/>
      <sz val="11"/>
      <color rgb="FF000000"/>
      <name val="&quot;Aptos Narrow&quot;"/>
    </font>
    <font>
      <u/>
      <sz val="11"/>
      <color theme="10"/>
      <name val="Aptos Narrow"/>
    </font>
    <font>
      <u/>
      <sz val="11"/>
      <color theme="1"/>
      <name val="Aptos Narrow"/>
    </font>
    <font>
      <sz val="11"/>
      <color theme="1"/>
      <name val="&quot;Aptos Narrow&quot;"/>
    </font>
    <font>
      <sz val="11"/>
      <color rgb="FF333333"/>
      <name val="Georgia"/>
    </font>
    <font>
      <sz val="11"/>
      <color rgb="FF333333"/>
      <name val="-Apple-System"/>
    </font>
    <font>
      <sz val="11"/>
      <color rgb="FF467886"/>
      <name val="Arial"/>
    </font>
    <font>
      <b/>
      <sz val="11"/>
      <color theme="1"/>
      <name val="Aptos Narrow"/>
      <family val="2"/>
    </font>
    <font>
      <b/>
      <sz val="11"/>
      <color theme="1"/>
      <name val="Arial"/>
      <family val="2"/>
      <charset val="161"/>
    </font>
    <font>
      <sz val="11"/>
      <color theme="1"/>
      <name val="Arial"/>
      <family val="2"/>
      <charset val="161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B3E5A1"/>
        <bgColor rgb="FFB3E5A1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/>
      <diagonal/>
    </border>
    <border>
      <left style="thin">
        <color rgb="FF356854"/>
      </left>
      <right style="thin">
        <color rgb="FF284E3F"/>
      </right>
      <top style="thin">
        <color rgb="FF284E3F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356854"/>
      </right>
      <top style="thin">
        <color rgb="FF000000"/>
      </top>
      <bottom/>
      <diagonal/>
    </border>
    <border>
      <left style="thin">
        <color rgb="FF356854"/>
      </left>
      <right style="thin">
        <color rgb="FF356854"/>
      </right>
      <top style="thin">
        <color rgb="FF000000"/>
      </top>
      <bottom/>
      <diagonal/>
    </border>
    <border>
      <left style="thin">
        <color rgb="FF356854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531">
    <xf numFmtId="0" fontId="0" fillId="0" borderId="0" xfId="0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2" fillId="0" borderId="4" xfId="0" applyFont="1" applyBorder="1"/>
    <xf numFmtId="0" fontId="4" fillId="0" borderId="0" xfId="0" applyFont="1"/>
    <xf numFmtId="0" fontId="3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5" xfId="0" applyNumberFormat="1" applyFont="1" applyBorder="1" applyAlignment="1">
      <alignment horizontal="center"/>
    </xf>
    <xf numFmtId="165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5" xfId="0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4" fontId="2" fillId="0" borderId="0" xfId="0" applyNumberFormat="1" applyFont="1"/>
    <xf numFmtId="4" fontId="2" fillId="0" borderId="5" xfId="0" applyNumberFormat="1" applyFont="1" applyBorder="1"/>
    <xf numFmtId="0" fontId="2" fillId="0" borderId="5" xfId="0" applyFont="1" applyBorder="1"/>
    <xf numFmtId="1" fontId="3" fillId="0" borderId="0" xfId="0" applyNumberFormat="1" applyFont="1" applyAlignment="1">
      <alignment horizontal="center"/>
    </xf>
    <xf numFmtId="0" fontId="9" fillId="5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11" fillId="5" borderId="7" xfId="0" applyFont="1" applyFill="1" applyBorder="1" applyAlignment="1">
      <alignment horizontal="center"/>
    </xf>
    <xf numFmtId="0" fontId="10" fillId="5" borderId="7" xfId="0" applyFont="1" applyFill="1" applyBorder="1" applyAlignment="1">
      <alignment horizontal="center" vertical="center"/>
    </xf>
    <xf numFmtId="4" fontId="10" fillId="5" borderId="8" xfId="0" applyNumberFormat="1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4" fontId="12" fillId="5" borderId="0" xfId="0" applyNumberFormat="1" applyFont="1" applyFill="1" applyAlignment="1">
      <alignment horizontal="center"/>
    </xf>
    <xf numFmtId="0" fontId="3" fillId="4" borderId="0" xfId="0" applyFont="1" applyFill="1" applyAlignment="1">
      <alignment horizontal="center"/>
    </xf>
    <xf numFmtId="4" fontId="4" fillId="0" borderId="0" xfId="0" applyNumberFormat="1" applyFont="1" applyAlignment="1">
      <alignment horizontal="center"/>
    </xf>
    <xf numFmtId="0" fontId="14" fillId="0" borderId="0" xfId="0" applyFont="1" applyAlignment="1">
      <alignment horizontal="right"/>
    </xf>
    <xf numFmtId="0" fontId="2" fillId="7" borderId="0" xfId="0" applyFont="1" applyFill="1" applyAlignment="1">
      <alignment horizontal="center"/>
    </xf>
    <xf numFmtId="0" fontId="13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11" fontId="14" fillId="4" borderId="0" xfId="0" applyNumberFormat="1" applyFont="1" applyFill="1" applyAlignment="1">
      <alignment horizontal="center"/>
    </xf>
    <xf numFmtId="11" fontId="3" fillId="4" borderId="0" xfId="0" applyNumberFormat="1" applyFont="1" applyFill="1" applyAlignment="1">
      <alignment horizontal="center"/>
    </xf>
    <xf numFmtId="0" fontId="4" fillId="4" borderId="0" xfId="0" applyFont="1" applyFill="1" applyAlignment="1">
      <alignment horizontal="center"/>
    </xf>
    <xf numFmtId="11" fontId="14" fillId="0" borderId="0" xfId="0" applyNumberFormat="1" applyFont="1" applyAlignment="1">
      <alignment horizontal="center"/>
    </xf>
    <xf numFmtId="11" fontId="3" fillId="0" borderId="0" xfId="0" applyNumberFormat="1" applyFont="1" applyAlignment="1">
      <alignment horizontal="center"/>
    </xf>
    <xf numFmtId="11" fontId="14" fillId="0" borderId="5" xfId="0" applyNumberFormat="1" applyFont="1" applyBorder="1" applyAlignment="1">
      <alignment horizontal="center"/>
    </xf>
    <xf numFmtId="11" fontId="3" fillId="0" borderId="5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5" xfId="0" applyFont="1" applyBorder="1" applyAlignment="1">
      <alignment horizontal="center"/>
    </xf>
    <xf numFmtId="4" fontId="3" fillId="0" borderId="3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4" fontId="2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0" fontId="2" fillId="0" borderId="9" xfId="0" applyFont="1" applyBorder="1"/>
    <xf numFmtId="165" fontId="14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165" fontId="14" fillId="0" borderId="5" xfId="0" applyNumberFormat="1" applyFont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13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13" fillId="0" borderId="0" xfId="0" applyFont="1"/>
    <xf numFmtId="0" fontId="13" fillId="0" borderId="5" xfId="0" applyFont="1" applyBorder="1"/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0" xfId="0" applyFont="1"/>
    <xf numFmtId="0" fontId="3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4" fontId="4" fillId="0" borderId="0" xfId="0" applyNumberFormat="1" applyFont="1"/>
    <xf numFmtId="0" fontId="9" fillId="4" borderId="13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10" fillId="4" borderId="14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3" xfId="0" applyFont="1" applyBorder="1"/>
    <xf numFmtId="0" fontId="3" fillId="0" borderId="3" xfId="0" applyFont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166" fontId="2" fillId="0" borderId="0" xfId="0" applyNumberFormat="1" applyFont="1" applyAlignment="1">
      <alignment horizontal="center"/>
    </xf>
    <xf numFmtId="2" fontId="2" fillId="0" borderId="0" xfId="0" applyNumberFormat="1" applyFont="1"/>
    <xf numFmtId="165" fontId="2" fillId="0" borderId="0" xfId="0" applyNumberFormat="1" applyFont="1"/>
    <xf numFmtId="2" fontId="2" fillId="0" borderId="17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2" fontId="2" fillId="0" borderId="18" xfId="0" applyNumberFormat="1" applyFont="1" applyBorder="1" applyAlignment="1">
      <alignment horizontal="center"/>
    </xf>
    <xf numFmtId="167" fontId="2" fillId="0" borderId="0" xfId="0" applyNumberFormat="1" applyFont="1"/>
    <xf numFmtId="165" fontId="2" fillId="0" borderId="5" xfId="0" applyNumberFormat="1" applyFont="1" applyBorder="1"/>
    <xf numFmtId="2" fontId="2" fillId="0" borderId="5" xfId="0" applyNumberFormat="1" applyFont="1" applyBorder="1"/>
    <xf numFmtId="168" fontId="2" fillId="0" borderId="0" xfId="0" applyNumberFormat="1" applyFont="1"/>
    <xf numFmtId="169" fontId="2" fillId="0" borderId="0" xfId="0" applyNumberFormat="1" applyFont="1"/>
    <xf numFmtId="164" fontId="2" fillId="0" borderId="17" xfId="0" applyNumberFormat="1" applyFont="1" applyBorder="1"/>
    <xf numFmtId="164" fontId="2" fillId="0" borderId="9" xfId="0" applyNumberFormat="1" applyFont="1" applyBorder="1"/>
    <xf numFmtId="164" fontId="2" fillId="0" borderId="0" xfId="0" applyNumberFormat="1" applyFont="1"/>
    <xf numFmtId="167" fontId="2" fillId="0" borderId="9" xfId="0" applyNumberFormat="1" applyFont="1" applyBorder="1"/>
    <xf numFmtId="2" fontId="2" fillId="0" borderId="9" xfId="0" applyNumberFormat="1" applyFont="1" applyBorder="1"/>
    <xf numFmtId="4" fontId="2" fillId="0" borderId="9" xfId="0" applyNumberFormat="1" applyFont="1" applyBorder="1"/>
    <xf numFmtId="168" fontId="2" fillId="0" borderId="0" xfId="0" applyNumberFormat="1" applyFont="1" applyAlignment="1">
      <alignment horizontal="center"/>
    </xf>
    <xf numFmtId="170" fontId="2" fillId="0" borderId="0" xfId="0" applyNumberFormat="1" applyFont="1"/>
    <xf numFmtId="171" fontId="2" fillId="0" borderId="0" xfId="0" applyNumberFormat="1" applyFont="1" applyAlignment="1">
      <alignment horizontal="center"/>
    </xf>
    <xf numFmtId="172" fontId="2" fillId="0" borderId="0" xfId="0" applyNumberFormat="1" applyFont="1"/>
    <xf numFmtId="3" fontId="2" fillId="0" borderId="0" xfId="0" applyNumberFormat="1" applyFont="1"/>
    <xf numFmtId="167" fontId="2" fillId="0" borderId="0" xfId="0" applyNumberFormat="1" applyFont="1" applyAlignment="1">
      <alignment horizontal="center"/>
    </xf>
    <xf numFmtId="167" fontId="2" fillId="0" borderId="5" xfId="0" applyNumberFormat="1" applyFont="1" applyBorder="1" applyAlignment="1">
      <alignment horizontal="center"/>
    </xf>
    <xf numFmtId="167" fontId="2" fillId="0" borderId="5" xfId="0" applyNumberFormat="1" applyFont="1" applyBorder="1"/>
    <xf numFmtId="0" fontId="10" fillId="0" borderId="0" xfId="0" applyFont="1" applyAlignment="1">
      <alignment horizontal="center"/>
    </xf>
    <xf numFmtId="0" fontId="10" fillId="0" borderId="0" xfId="0" applyFont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9" fillId="2" borderId="21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5" fillId="0" borderId="12" xfId="0" applyFont="1" applyBorder="1" applyAlignment="1">
      <alignment horizontal="center"/>
    </xf>
    <xf numFmtId="0" fontId="2" fillId="0" borderId="12" xfId="0" applyFont="1" applyBorder="1"/>
    <xf numFmtId="0" fontId="3" fillId="0" borderId="22" xfId="0" applyFont="1" applyBorder="1" applyAlignment="1">
      <alignment horizontal="center"/>
    </xf>
    <xf numFmtId="3" fontId="2" fillId="0" borderId="0" xfId="0" applyNumberFormat="1" applyFont="1" applyAlignment="1">
      <alignment horizontal="right" wrapText="1"/>
    </xf>
    <xf numFmtId="2" fontId="2" fillId="7" borderId="19" xfId="0" applyNumberFormat="1" applyFont="1" applyFill="1" applyBorder="1" applyAlignment="1">
      <alignment horizontal="center"/>
    </xf>
    <xf numFmtId="2" fontId="2" fillId="4" borderId="20" xfId="0" applyNumberFormat="1" applyFont="1" applyFill="1" applyBorder="1" applyAlignment="1">
      <alignment horizontal="center"/>
    </xf>
    <xf numFmtId="2" fontId="2" fillId="7" borderId="20" xfId="0" applyNumberFormat="1" applyFont="1" applyFill="1" applyBorder="1" applyAlignment="1">
      <alignment horizontal="center"/>
    </xf>
    <xf numFmtId="2" fontId="2" fillId="4" borderId="23" xfId="0" applyNumberFormat="1" applyFont="1" applyFill="1" applyBorder="1" applyAlignment="1">
      <alignment horizontal="center"/>
    </xf>
    <xf numFmtId="165" fontId="2" fillId="4" borderId="19" xfId="0" applyNumberFormat="1" applyFont="1" applyFill="1" applyBorder="1" applyAlignment="1">
      <alignment horizontal="center"/>
    </xf>
    <xf numFmtId="165" fontId="2" fillId="4" borderId="20" xfId="0" applyNumberFormat="1" applyFont="1" applyFill="1" applyBorder="1" applyAlignment="1">
      <alignment horizontal="center"/>
    </xf>
    <xf numFmtId="165" fontId="2" fillId="4" borderId="23" xfId="0" applyNumberFormat="1" applyFont="1" applyFill="1" applyBorder="1" applyAlignment="1">
      <alignment horizontal="center"/>
    </xf>
    <xf numFmtId="0" fontId="2" fillId="7" borderId="19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" fillId="7" borderId="20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165" fontId="2" fillId="0" borderId="17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165" fontId="2" fillId="0" borderId="18" xfId="0" applyNumberFormat="1" applyFont="1" applyBorder="1" applyAlignment="1">
      <alignment horizontal="center"/>
    </xf>
    <xf numFmtId="1" fontId="2" fillId="4" borderId="19" xfId="0" applyNumberFormat="1" applyFont="1" applyFill="1" applyBorder="1" applyAlignment="1">
      <alignment horizontal="center"/>
    </xf>
    <xf numFmtId="1" fontId="2" fillId="7" borderId="20" xfId="0" applyNumberFormat="1" applyFont="1" applyFill="1" applyBorder="1" applyAlignment="1">
      <alignment horizontal="center"/>
    </xf>
    <xf numFmtId="1" fontId="2" fillId="4" borderId="20" xfId="0" applyNumberFormat="1" applyFont="1" applyFill="1" applyBorder="1" applyAlignment="1">
      <alignment horizontal="center"/>
    </xf>
    <xf numFmtId="1" fontId="2" fillId="7" borderId="23" xfId="0" applyNumberFormat="1" applyFont="1" applyFill="1" applyBorder="1" applyAlignment="1">
      <alignment horizontal="center"/>
    </xf>
    <xf numFmtId="2" fontId="2" fillId="4" borderId="19" xfId="0" applyNumberFormat="1" applyFont="1" applyFill="1" applyBorder="1" applyAlignment="1">
      <alignment horizontal="center"/>
    </xf>
    <xf numFmtId="0" fontId="2" fillId="0" borderId="17" xfId="0" applyFont="1" applyBorder="1"/>
    <xf numFmtId="0" fontId="2" fillId="0" borderId="18" xfId="0" applyFont="1" applyBorder="1"/>
    <xf numFmtId="1" fontId="2" fillId="0" borderId="0" xfId="0" applyNumberFormat="1" applyFont="1" applyAlignment="1">
      <alignment horizontal="center"/>
    </xf>
    <xf numFmtId="1" fontId="2" fillId="0" borderId="5" xfId="0" applyNumberFormat="1" applyFont="1" applyBorder="1" applyAlignment="1">
      <alignment horizontal="center"/>
    </xf>
    <xf numFmtId="166" fontId="2" fillId="0" borderId="0" xfId="0" applyNumberFormat="1" applyFont="1"/>
    <xf numFmtId="0" fontId="2" fillId="0" borderId="22" xfId="0" applyFont="1" applyBorder="1"/>
    <xf numFmtId="0" fontId="2" fillId="7" borderId="23" xfId="0" applyFont="1" applyFill="1" applyBorder="1" applyAlignment="1">
      <alignment horizontal="center"/>
    </xf>
    <xf numFmtId="2" fontId="2" fillId="4" borderId="19" xfId="0" applyNumberFormat="1" applyFont="1" applyFill="1" applyBorder="1"/>
    <xf numFmtId="2" fontId="2" fillId="7" borderId="20" xfId="0" applyNumberFormat="1" applyFont="1" applyFill="1" applyBorder="1"/>
    <xf numFmtId="2" fontId="2" fillId="4" borderId="20" xfId="0" applyNumberFormat="1" applyFont="1" applyFill="1" applyBorder="1"/>
    <xf numFmtId="1" fontId="2" fillId="0" borderId="0" xfId="0" applyNumberFormat="1" applyFont="1"/>
    <xf numFmtId="173" fontId="2" fillId="0" borderId="0" xfId="0" applyNumberFormat="1" applyFont="1"/>
    <xf numFmtId="0" fontId="2" fillId="0" borderId="9" xfId="0" applyFont="1" applyBorder="1" applyAlignment="1">
      <alignment horizontal="center"/>
    </xf>
    <xf numFmtId="3" fontId="2" fillId="0" borderId="0" xfId="0" applyNumberFormat="1" applyFont="1" applyAlignment="1">
      <alignment horizontal="center"/>
    </xf>
    <xf numFmtId="174" fontId="2" fillId="7" borderId="19" xfId="0" applyNumberFormat="1" applyFont="1" applyFill="1" applyBorder="1" applyAlignment="1">
      <alignment horizontal="center"/>
    </xf>
    <xf numFmtId="174" fontId="2" fillId="4" borderId="20" xfId="0" applyNumberFormat="1" applyFont="1" applyFill="1" applyBorder="1" applyAlignment="1">
      <alignment horizontal="center"/>
    </xf>
    <xf numFmtId="174" fontId="2" fillId="7" borderId="20" xfId="0" applyNumberFormat="1" applyFont="1" applyFill="1" applyBorder="1" applyAlignment="1">
      <alignment horizontal="center"/>
    </xf>
    <xf numFmtId="174" fontId="2" fillId="7" borderId="23" xfId="0" applyNumberFormat="1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17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1" fillId="0" borderId="0" xfId="0" applyFont="1" applyAlignment="1">
      <alignment horizontal="center"/>
    </xf>
    <xf numFmtId="0" fontId="14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1" fillId="0" borderId="16" xfId="0" applyFont="1" applyBorder="1"/>
    <xf numFmtId="0" fontId="2" fillId="0" borderId="16" xfId="0" applyFont="1" applyBorder="1"/>
    <xf numFmtId="0" fontId="3" fillId="0" borderId="16" xfId="0" applyFont="1" applyBorder="1"/>
    <xf numFmtId="0" fontId="9" fillId="2" borderId="1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/>
    </xf>
    <xf numFmtId="0" fontId="10" fillId="2" borderId="18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164" fontId="2" fillId="0" borderId="10" xfId="0" applyNumberFormat="1" applyFont="1" applyBorder="1" applyAlignment="1">
      <alignment horizontal="center"/>
    </xf>
    <xf numFmtId="164" fontId="3" fillId="0" borderId="19" xfId="0" applyNumberFormat="1" applyFont="1" applyBorder="1" applyAlignment="1">
      <alignment horizontal="center"/>
    </xf>
    <xf numFmtId="164" fontId="3" fillId="0" borderId="20" xfId="0" applyNumberFormat="1" applyFont="1" applyBorder="1" applyAlignment="1">
      <alignment horizontal="center"/>
    </xf>
    <xf numFmtId="164" fontId="3" fillId="0" borderId="23" xfId="0" applyNumberFormat="1" applyFont="1" applyBorder="1" applyAlignment="1">
      <alignment horizontal="center"/>
    </xf>
    <xf numFmtId="2" fontId="2" fillId="0" borderId="20" xfId="0" applyNumberFormat="1" applyFont="1" applyBorder="1" applyAlignment="1">
      <alignment horizontal="center"/>
    </xf>
    <xf numFmtId="2" fontId="2" fillId="0" borderId="23" xfId="0" applyNumberFormat="1" applyFont="1" applyBorder="1" applyAlignment="1">
      <alignment horizontal="center"/>
    </xf>
    <xf numFmtId="164" fontId="3" fillId="4" borderId="10" xfId="0" applyNumberFormat="1" applyFont="1" applyFill="1" applyBorder="1" applyAlignment="1">
      <alignment horizontal="center"/>
    </xf>
    <xf numFmtId="164" fontId="2" fillId="4" borderId="10" xfId="0" applyNumberFormat="1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164" fontId="3" fillId="4" borderId="11" xfId="0" applyNumberFormat="1" applyFont="1" applyFill="1" applyBorder="1" applyAlignment="1">
      <alignment horizontal="center"/>
    </xf>
    <xf numFmtId="164" fontId="2" fillId="4" borderId="11" xfId="0" applyNumberFormat="1" applyFont="1" applyFill="1" applyBorder="1" applyAlignment="1">
      <alignment horizontal="center"/>
    </xf>
    <xf numFmtId="0" fontId="3" fillId="0" borderId="20" xfId="0" applyFont="1" applyBorder="1" applyAlignment="1">
      <alignment horizontal="center"/>
    </xf>
    <xf numFmtId="164" fontId="2" fillId="4" borderId="5" xfId="0" applyNumberFormat="1" applyFont="1" applyFill="1" applyBorder="1" applyAlignment="1">
      <alignment horizontal="center"/>
    </xf>
    <xf numFmtId="164" fontId="3" fillId="4" borderId="5" xfId="0" applyNumberFormat="1" applyFont="1" applyFill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2" fontId="2" fillId="0" borderId="10" xfId="0" applyNumberFormat="1" applyFont="1" applyBorder="1" applyAlignment="1">
      <alignment horizontal="center"/>
    </xf>
    <xf numFmtId="165" fontId="2" fillId="0" borderId="10" xfId="0" applyNumberFormat="1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9" fillId="2" borderId="9" xfId="0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/>
    </xf>
    <xf numFmtId="0" fontId="9" fillId="2" borderId="1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2" fillId="0" borderId="10" xfId="0" applyFont="1" applyBorder="1"/>
    <xf numFmtId="0" fontId="2" fillId="0" borderId="19" xfId="0" applyFont="1" applyBorder="1"/>
    <xf numFmtId="0" fontId="2" fillId="0" borderId="20" xfId="0" applyFont="1" applyBorder="1"/>
    <xf numFmtId="0" fontId="2" fillId="0" borderId="23" xfId="0" applyFont="1" applyBorder="1"/>
    <xf numFmtId="0" fontId="9" fillId="2" borderId="9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center" wrapText="1"/>
    </xf>
    <xf numFmtId="1" fontId="3" fillId="0" borderId="20" xfId="0" applyNumberFormat="1" applyFont="1" applyBorder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0" fontId="2" fillId="4" borderId="10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13" fillId="4" borderId="10" xfId="0" applyFont="1" applyFill="1" applyBorder="1" applyAlignment="1">
      <alignment horizontal="center"/>
    </xf>
    <xf numFmtId="4" fontId="3" fillId="4" borderId="19" xfId="0" applyNumberFormat="1" applyFont="1" applyFill="1" applyBorder="1" applyAlignment="1">
      <alignment horizontal="center"/>
    </xf>
    <xf numFmtId="4" fontId="3" fillId="7" borderId="20" xfId="0" applyNumberFormat="1" applyFont="1" applyFill="1" applyBorder="1" applyAlignment="1">
      <alignment horizontal="center"/>
    </xf>
    <xf numFmtId="4" fontId="3" fillId="4" borderId="20" xfId="0" applyNumberFormat="1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11" fontId="14" fillId="7" borderId="10" xfId="0" applyNumberFormat="1" applyFont="1" applyFill="1" applyBorder="1" applyAlignment="1">
      <alignment horizontal="center"/>
    </xf>
    <xf numFmtId="11" fontId="3" fillId="7" borderId="10" xfId="0" applyNumberFormat="1" applyFont="1" applyFill="1" applyBorder="1" applyAlignment="1">
      <alignment horizontal="center"/>
    </xf>
    <xf numFmtId="4" fontId="3" fillId="7" borderId="19" xfId="0" applyNumberFormat="1" applyFont="1" applyFill="1" applyBorder="1" applyAlignment="1">
      <alignment horizontal="center"/>
    </xf>
    <xf numFmtId="4" fontId="3" fillId="0" borderId="20" xfId="0" applyNumberFormat="1" applyFont="1" applyBorder="1" applyAlignment="1">
      <alignment horizontal="center"/>
    </xf>
    <xf numFmtId="4" fontId="3" fillId="0" borderId="23" xfId="0" applyNumberFormat="1" applyFont="1" applyBorder="1" applyAlignment="1">
      <alignment horizontal="center"/>
    </xf>
    <xf numFmtId="0" fontId="2" fillId="4" borderId="10" xfId="0" applyFont="1" applyFill="1" applyBorder="1"/>
    <xf numFmtId="4" fontId="3" fillId="0" borderId="19" xfId="0" applyNumberFormat="1" applyFont="1" applyBorder="1" applyAlignment="1">
      <alignment horizontal="center"/>
    </xf>
    <xf numFmtId="0" fontId="2" fillId="4" borderId="11" xfId="0" applyFont="1" applyFill="1" applyBorder="1"/>
    <xf numFmtId="0" fontId="2" fillId="4" borderId="5" xfId="0" applyFont="1" applyFill="1" applyBorder="1"/>
    <xf numFmtId="0" fontId="13" fillId="0" borderId="10" xfId="0" applyFont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2" fillId="8" borderId="5" xfId="0" applyFont="1" applyFill="1" applyBorder="1" applyAlignment="1">
      <alignment horizontal="center"/>
    </xf>
    <xf numFmtId="165" fontId="14" fillId="0" borderId="10" xfId="0" applyNumberFormat="1" applyFont="1" applyBorder="1" applyAlignment="1">
      <alignment horizontal="center"/>
    </xf>
    <xf numFmtId="165" fontId="13" fillId="0" borderId="10" xfId="0" applyNumberFormat="1" applyFont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7" borderId="11" xfId="0" applyFont="1" applyFill="1" applyBorder="1" applyAlignment="1">
      <alignment horizontal="center"/>
    </xf>
    <xf numFmtId="4" fontId="2" fillId="0" borderId="20" xfId="0" applyNumberFormat="1" applyFont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4" fontId="2" fillId="0" borderId="19" xfId="0" applyNumberFormat="1" applyFont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4" fontId="2" fillId="0" borderId="23" xfId="0" applyNumberFormat="1" applyFont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0" borderId="10" xfId="0" applyFont="1" applyBorder="1" applyAlignment="1">
      <alignment horizontal="center" wrapText="1"/>
    </xf>
    <xf numFmtId="4" fontId="2" fillId="0" borderId="20" xfId="0" applyNumberFormat="1" applyFont="1" applyBorder="1" applyAlignment="1">
      <alignment horizontal="center" wrapText="1"/>
    </xf>
    <xf numFmtId="0" fontId="13" fillId="0" borderId="10" xfId="0" applyFont="1" applyBorder="1"/>
    <xf numFmtId="0" fontId="14" fillId="0" borderId="10" xfId="0" applyFont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2" fillId="3" borderId="12" xfId="0" applyFont="1" applyFill="1" applyBorder="1" applyAlignment="1">
      <alignment horizontal="center"/>
    </xf>
    <xf numFmtId="0" fontId="2" fillId="8" borderId="11" xfId="0" applyFont="1" applyFill="1" applyBorder="1"/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1" fontId="10" fillId="2" borderId="17" xfId="0" applyNumberFormat="1" applyFont="1" applyFill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2" fontId="2" fillId="0" borderId="19" xfId="0" applyNumberFormat="1" applyFont="1" applyBorder="1" applyAlignment="1">
      <alignment horizontal="center"/>
    </xf>
    <xf numFmtId="1" fontId="10" fillId="2" borderId="9" xfId="0" applyNumberFormat="1" applyFont="1" applyFill="1" applyBorder="1" applyAlignment="1">
      <alignment horizontal="center" vertical="center"/>
    </xf>
    <xf numFmtId="1" fontId="3" fillId="3" borderId="11" xfId="0" applyNumberFormat="1" applyFont="1" applyFill="1" applyBorder="1" applyAlignment="1">
      <alignment horizontal="center" vertical="center"/>
    </xf>
    <xf numFmtId="1" fontId="10" fillId="2" borderId="9" xfId="0" applyNumberFormat="1" applyFont="1" applyFill="1" applyBorder="1" applyAlignment="1">
      <alignment horizontal="center"/>
    </xf>
    <xf numFmtId="1" fontId="10" fillId="2" borderId="18" xfId="0" applyNumberFormat="1" applyFont="1" applyFill="1" applyBorder="1" applyAlignment="1">
      <alignment horizontal="center"/>
    </xf>
    <xf numFmtId="1" fontId="3" fillId="3" borderId="5" xfId="0" applyNumberFormat="1" applyFont="1" applyFill="1" applyBorder="1" applyAlignment="1">
      <alignment horizontal="center" vertical="center"/>
    </xf>
    <xf numFmtId="166" fontId="2" fillId="0" borderId="10" xfId="0" applyNumberFormat="1" applyFont="1" applyBorder="1" applyAlignment="1">
      <alignment horizontal="center"/>
    </xf>
    <xf numFmtId="166" fontId="2" fillId="0" borderId="19" xfId="0" applyNumberFormat="1" applyFont="1" applyBorder="1" applyAlignment="1">
      <alignment horizontal="center"/>
    </xf>
    <xf numFmtId="166" fontId="2" fillId="0" borderId="20" xfId="0" applyNumberFormat="1" applyFont="1" applyBorder="1" applyAlignment="1">
      <alignment horizontal="center"/>
    </xf>
    <xf numFmtId="165" fontId="2" fillId="0" borderId="20" xfId="0" applyNumberFormat="1" applyFont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65" fontId="2" fillId="0" borderId="19" xfId="0" applyNumberFormat="1" applyFont="1" applyBorder="1" applyAlignment="1">
      <alignment horizontal="center"/>
    </xf>
    <xf numFmtId="165" fontId="2" fillId="0" borderId="23" xfId="0" applyNumberFormat="1" applyFont="1" applyBorder="1" applyAlignment="1">
      <alignment horizontal="center"/>
    </xf>
    <xf numFmtId="164" fontId="2" fillId="0" borderId="10" xfId="0" applyNumberFormat="1" applyFont="1" applyBorder="1"/>
    <xf numFmtId="2" fontId="2" fillId="0" borderId="10" xfId="0" applyNumberFormat="1" applyFont="1" applyBorder="1"/>
    <xf numFmtId="167" fontId="2" fillId="0" borderId="20" xfId="0" applyNumberFormat="1" applyFont="1" applyBorder="1"/>
    <xf numFmtId="0" fontId="9" fillId="2" borderId="17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9" fillId="2" borderId="18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3" fontId="2" fillId="0" borderId="10" xfId="0" applyNumberFormat="1" applyFont="1" applyBorder="1"/>
    <xf numFmtId="1" fontId="9" fillId="2" borderId="17" xfId="0" applyNumberFormat="1" applyFont="1" applyFill="1" applyBorder="1" applyAlignment="1">
      <alignment horizontal="center"/>
    </xf>
    <xf numFmtId="1" fontId="2" fillId="3" borderId="10" xfId="0" applyNumberFormat="1" applyFont="1" applyFill="1" applyBorder="1" applyAlignment="1">
      <alignment horizontal="center"/>
    </xf>
    <xf numFmtId="1" fontId="9" fillId="2" borderId="9" xfId="0" applyNumberFormat="1" applyFont="1" applyFill="1" applyBorder="1" applyAlignment="1">
      <alignment horizontal="center"/>
    </xf>
    <xf numFmtId="1" fontId="2" fillId="3" borderId="11" xfId="0" applyNumberFormat="1" applyFont="1" applyFill="1" applyBorder="1" applyAlignment="1">
      <alignment horizontal="center"/>
    </xf>
    <xf numFmtId="1" fontId="9" fillId="2" borderId="18" xfId="0" applyNumberFormat="1" applyFont="1" applyFill="1" applyBorder="1" applyAlignment="1">
      <alignment horizontal="center"/>
    </xf>
    <xf numFmtId="1" fontId="2" fillId="3" borderId="5" xfId="0" applyNumberFormat="1" applyFont="1" applyFill="1" applyBorder="1" applyAlignment="1">
      <alignment horizontal="center"/>
    </xf>
    <xf numFmtId="167" fontId="2" fillId="0" borderId="10" xfId="0" applyNumberFormat="1" applyFont="1" applyBorder="1" applyAlignment="1">
      <alignment horizontal="center"/>
    </xf>
    <xf numFmtId="167" fontId="2" fillId="0" borderId="19" xfId="0" applyNumberFormat="1" applyFont="1" applyBorder="1" applyAlignment="1">
      <alignment horizontal="center"/>
    </xf>
    <xf numFmtId="167" fontId="2" fillId="0" borderId="20" xfId="0" applyNumberFormat="1" applyFont="1" applyBorder="1" applyAlignment="1">
      <alignment horizontal="center"/>
    </xf>
    <xf numFmtId="167" fontId="2" fillId="0" borderId="23" xfId="0" applyNumberFormat="1" applyFont="1" applyBorder="1" applyAlignment="1">
      <alignment horizontal="center"/>
    </xf>
    <xf numFmtId="167" fontId="2" fillId="0" borderId="23" xfId="0" applyNumberFormat="1" applyFont="1" applyBorder="1"/>
    <xf numFmtId="0" fontId="15" fillId="0" borderId="10" xfId="0" applyFont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0" fontId="16" fillId="0" borderId="10" xfId="0" applyFont="1" applyBorder="1" applyAlignment="1">
      <alignment horizontal="center"/>
    </xf>
    <xf numFmtId="1" fontId="2" fillId="2" borderId="17" xfId="0" applyNumberFormat="1" applyFont="1" applyFill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1" fontId="3" fillId="2" borderId="9" xfId="0" applyNumberFormat="1" applyFont="1" applyFill="1" applyBorder="1" applyAlignment="1">
      <alignment horizontal="center"/>
    </xf>
    <xf numFmtId="1" fontId="3" fillId="3" borderId="11" xfId="0" applyNumberFormat="1" applyFont="1" applyFill="1" applyBorder="1" applyAlignment="1">
      <alignment horizontal="center"/>
    </xf>
    <xf numFmtId="164" fontId="2" fillId="0" borderId="20" xfId="0" applyNumberFormat="1" applyFont="1" applyBorder="1" applyAlignment="1">
      <alignment horizontal="center"/>
    </xf>
    <xf numFmtId="1" fontId="3" fillId="2" borderId="18" xfId="0" applyNumberFormat="1" applyFont="1" applyFill="1" applyBorder="1" applyAlignment="1">
      <alignment horizontal="center"/>
    </xf>
    <xf numFmtId="1" fontId="3" fillId="3" borderId="5" xfId="0" applyNumberFormat="1" applyFont="1" applyFill="1" applyBorder="1" applyAlignment="1">
      <alignment horizontal="center"/>
    </xf>
    <xf numFmtId="164" fontId="2" fillId="0" borderId="23" xfId="0" applyNumberFormat="1" applyFont="1" applyBorder="1" applyAlignment="1">
      <alignment horizontal="center"/>
    </xf>
    <xf numFmtId="1" fontId="2" fillId="7" borderId="10" xfId="0" applyNumberFormat="1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1" fontId="2" fillId="4" borderId="11" xfId="0" applyNumberFormat="1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" fontId="2" fillId="7" borderId="11" xfId="0" applyNumberFormat="1" applyFont="1" applyFill="1" applyBorder="1" applyAlignment="1">
      <alignment horizontal="center"/>
    </xf>
    <xf numFmtId="2" fontId="2" fillId="7" borderId="10" xfId="0" applyNumberFormat="1" applyFont="1" applyFill="1" applyBorder="1" applyAlignment="1">
      <alignment horizontal="center"/>
    </xf>
    <xf numFmtId="2" fontId="2" fillId="4" borderId="11" xfId="0" applyNumberFormat="1" applyFont="1" applyFill="1" applyBorder="1" applyAlignment="1">
      <alignment horizontal="center"/>
    </xf>
    <xf numFmtId="2" fontId="2" fillId="7" borderId="11" xfId="0" applyNumberFormat="1" applyFont="1" applyFill="1" applyBorder="1" applyAlignment="1">
      <alignment horizontal="center"/>
    </xf>
    <xf numFmtId="2" fontId="2" fillId="4" borderId="5" xfId="0" applyNumberFormat="1" applyFont="1" applyFill="1" applyBorder="1" applyAlignment="1">
      <alignment horizontal="center"/>
    </xf>
    <xf numFmtId="165" fontId="13" fillId="0" borderId="19" xfId="0" applyNumberFormat="1" applyFont="1" applyBorder="1" applyAlignment="1">
      <alignment horizontal="center"/>
    </xf>
    <xf numFmtId="165" fontId="13" fillId="0" borderId="20" xfId="0" applyNumberFormat="1" applyFont="1" applyBorder="1" applyAlignment="1">
      <alignment horizontal="center"/>
    </xf>
    <xf numFmtId="165" fontId="13" fillId="0" borderId="23" xfId="0" applyNumberFormat="1" applyFont="1" applyBorder="1" applyAlignment="1">
      <alignment horizontal="center"/>
    </xf>
    <xf numFmtId="2" fontId="2" fillId="4" borderId="10" xfId="0" applyNumberFormat="1" applyFont="1" applyFill="1" applyBorder="1" applyAlignment="1">
      <alignment horizontal="center"/>
    </xf>
    <xf numFmtId="165" fontId="2" fillId="4" borderId="10" xfId="0" applyNumberFormat="1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2" fontId="2" fillId="7" borderId="17" xfId="0" applyNumberFormat="1" applyFont="1" applyFill="1" applyBorder="1" applyAlignment="1">
      <alignment horizontal="center"/>
    </xf>
    <xf numFmtId="165" fontId="2" fillId="4" borderId="10" xfId="0" applyNumberFormat="1" applyFont="1" applyFill="1" applyBorder="1"/>
    <xf numFmtId="166" fontId="2" fillId="4" borderId="10" xfId="0" applyNumberFormat="1" applyFont="1" applyFill="1" applyBorder="1" applyAlignment="1">
      <alignment horizontal="center"/>
    </xf>
    <xf numFmtId="165" fontId="2" fillId="7" borderId="11" xfId="0" applyNumberFormat="1" applyFont="1" applyFill="1" applyBorder="1"/>
    <xf numFmtId="166" fontId="2" fillId="7" borderId="11" xfId="0" applyNumberFormat="1" applyFont="1" applyFill="1" applyBorder="1" applyAlignment="1">
      <alignment horizontal="center"/>
    </xf>
    <xf numFmtId="165" fontId="2" fillId="4" borderId="11" xfId="0" applyNumberFormat="1" applyFont="1" applyFill="1" applyBorder="1"/>
    <xf numFmtId="166" fontId="2" fillId="4" borderId="11" xfId="0" applyNumberFormat="1" applyFont="1" applyFill="1" applyBorder="1" applyAlignment="1">
      <alignment horizontal="center"/>
    </xf>
    <xf numFmtId="165" fontId="3" fillId="0" borderId="10" xfId="0" applyNumberFormat="1" applyFont="1" applyBorder="1" applyAlignment="1">
      <alignment horizontal="center"/>
    </xf>
    <xf numFmtId="165" fontId="3" fillId="0" borderId="19" xfId="0" applyNumberFormat="1" applyFont="1" applyBorder="1" applyAlignment="1">
      <alignment horizontal="center"/>
    </xf>
    <xf numFmtId="165" fontId="3" fillId="0" borderId="20" xfId="0" applyNumberFormat="1" applyFont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165" fontId="3" fillId="0" borderId="23" xfId="0" applyNumberFormat="1" applyFont="1" applyBorder="1" applyAlignment="1">
      <alignment horizontal="center"/>
    </xf>
    <xf numFmtId="165" fontId="2" fillId="4" borderId="17" xfId="0" applyNumberFormat="1" applyFont="1" applyFill="1" applyBorder="1" applyAlignment="1">
      <alignment horizontal="center"/>
    </xf>
    <xf numFmtId="165" fontId="2" fillId="4" borderId="9" xfId="0" applyNumberFormat="1" applyFont="1" applyFill="1" applyBorder="1" applyAlignment="1">
      <alignment horizontal="center"/>
    </xf>
    <xf numFmtId="165" fontId="2" fillId="4" borderId="11" xfId="0" applyNumberFormat="1" applyFont="1" applyFill="1" applyBorder="1" applyAlignment="1">
      <alignment horizontal="center"/>
    </xf>
    <xf numFmtId="165" fontId="2" fillId="4" borderId="18" xfId="0" applyNumberFormat="1" applyFont="1" applyFill="1" applyBorder="1" applyAlignment="1">
      <alignment horizontal="center"/>
    </xf>
    <xf numFmtId="165" fontId="2" fillId="4" borderId="5" xfId="0" applyNumberFormat="1" applyFont="1" applyFill="1" applyBorder="1" applyAlignment="1">
      <alignment horizontal="center"/>
    </xf>
    <xf numFmtId="0" fontId="2" fillId="7" borderId="11" xfId="0" applyFont="1" applyFill="1" applyBorder="1"/>
    <xf numFmtId="0" fontId="2" fillId="7" borderId="9" xfId="0" applyFont="1" applyFill="1" applyBorder="1"/>
    <xf numFmtId="0" fontId="2" fillId="4" borderId="9" xfId="0" applyFont="1" applyFill="1" applyBorder="1"/>
    <xf numFmtId="165" fontId="2" fillId="7" borderId="10" xfId="0" applyNumberFormat="1" applyFont="1" applyFill="1" applyBorder="1" applyAlignment="1">
      <alignment horizontal="center"/>
    </xf>
    <xf numFmtId="0" fontId="2" fillId="7" borderId="17" xfId="0" applyFont="1" applyFill="1" applyBorder="1"/>
    <xf numFmtId="0" fontId="2" fillId="7" borderId="10" xfId="0" applyFont="1" applyFill="1" applyBorder="1"/>
    <xf numFmtId="165" fontId="2" fillId="7" borderId="11" xfId="0" applyNumberFormat="1" applyFont="1" applyFill="1" applyBorder="1" applyAlignment="1">
      <alignment horizontal="center"/>
    </xf>
    <xf numFmtId="165" fontId="2" fillId="0" borderId="10" xfId="0" applyNumberFormat="1" applyFont="1" applyBorder="1"/>
    <xf numFmtId="3" fontId="2" fillId="0" borderId="19" xfId="0" applyNumberFormat="1" applyFont="1" applyBorder="1"/>
    <xf numFmtId="3" fontId="2" fillId="0" borderId="20" xfId="0" applyNumberFormat="1" applyFont="1" applyBorder="1"/>
    <xf numFmtId="3" fontId="2" fillId="0" borderId="23" xfId="0" applyNumberFormat="1" applyFont="1" applyBorder="1"/>
    <xf numFmtId="1" fontId="10" fillId="2" borderId="11" xfId="0" applyNumberFormat="1" applyFont="1" applyFill="1" applyBorder="1" applyAlignment="1">
      <alignment horizontal="center" vertical="center"/>
    </xf>
    <xf numFmtId="1" fontId="10" fillId="2" borderId="11" xfId="0" applyNumberFormat="1" applyFont="1" applyFill="1" applyBorder="1" applyAlignment="1">
      <alignment horizontal="center"/>
    </xf>
    <xf numFmtId="1" fontId="2" fillId="4" borderId="10" xfId="0" applyNumberFormat="1" applyFont="1" applyFill="1" applyBorder="1" applyAlignment="1">
      <alignment horizontal="center"/>
    </xf>
    <xf numFmtId="1" fontId="2" fillId="7" borderId="5" xfId="0" applyNumberFormat="1" applyFont="1" applyFill="1" applyBorder="1" applyAlignment="1">
      <alignment horizontal="center"/>
    </xf>
    <xf numFmtId="1" fontId="2" fillId="0" borderId="20" xfId="0" applyNumberFormat="1" applyFont="1" applyBorder="1" applyAlignment="1">
      <alignment horizontal="center"/>
    </xf>
    <xf numFmtId="1" fontId="2" fillId="0" borderId="23" xfId="0" applyNumberFormat="1" applyFont="1" applyBorder="1" applyAlignment="1">
      <alignment horizontal="center"/>
    </xf>
    <xf numFmtId="165" fontId="2" fillId="0" borderId="19" xfId="0" applyNumberFormat="1" applyFont="1" applyBorder="1"/>
    <xf numFmtId="165" fontId="2" fillId="0" borderId="20" xfId="0" applyNumberFormat="1" applyFont="1" applyBorder="1"/>
    <xf numFmtId="165" fontId="2" fillId="0" borderId="23" xfId="0" applyNumberFormat="1" applyFont="1" applyBorder="1"/>
    <xf numFmtId="164" fontId="2" fillId="0" borderId="19" xfId="0" applyNumberFormat="1" applyFont="1" applyBorder="1"/>
    <xf numFmtId="2" fontId="2" fillId="0" borderId="20" xfId="0" applyNumberFormat="1" applyFont="1" applyBorder="1"/>
    <xf numFmtId="166" fontId="2" fillId="0" borderId="20" xfId="0" applyNumberFormat="1" applyFont="1" applyBorder="1"/>
    <xf numFmtId="0" fontId="5" fillId="0" borderId="10" xfId="0" applyFont="1" applyBorder="1" applyAlignment="1">
      <alignment horizontal="center"/>
    </xf>
    <xf numFmtId="165" fontId="13" fillId="7" borderId="10" xfId="0" applyNumberFormat="1" applyFont="1" applyFill="1" applyBorder="1" applyAlignment="1">
      <alignment horizontal="center"/>
    </xf>
    <xf numFmtId="165" fontId="13" fillId="7" borderId="10" xfId="0" applyNumberFormat="1" applyFont="1" applyFill="1" applyBorder="1"/>
    <xf numFmtId="0" fontId="2" fillId="7" borderId="17" xfId="0" applyFont="1" applyFill="1" applyBorder="1" applyAlignment="1">
      <alignment horizontal="center"/>
    </xf>
    <xf numFmtId="165" fontId="13" fillId="4" borderId="11" xfId="0" applyNumberFormat="1" applyFont="1" applyFill="1" applyBorder="1" applyAlignment="1">
      <alignment horizontal="center"/>
    </xf>
    <xf numFmtId="165" fontId="13" fillId="4" borderId="11" xfId="0" applyNumberFormat="1" applyFont="1" applyFill="1" applyBorder="1"/>
    <xf numFmtId="165" fontId="13" fillId="7" borderId="11" xfId="0" applyNumberFormat="1" applyFont="1" applyFill="1" applyBorder="1" applyAlignment="1">
      <alignment horizontal="center"/>
    </xf>
    <xf numFmtId="165" fontId="13" fillId="7" borderId="11" xfId="0" applyNumberFormat="1" applyFont="1" applyFill="1" applyBorder="1"/>
    <xf numFmtId="165" fontId="3" fillId="4" borderId="10" xfId="0" applyNumberFormat="1" applyFont="1" applyFill="1" applyBorder="1" applyAlignment="1">
      <alignment horizontal="center"/>
    </xf>
    <xf numFmtId="165" fontId="3" fillId="7" borderId="11" xfId="0" applyNumberFormat="1" applyFont="1" applyFill="1" applyBorder="1" applyAlignment="1">
      <alignment horizontal="center"/>
    </xf>
    <xf numFmtId="165" fontId="3" fillId="4" borderId="11" xfId="0" applyNumberFormat="1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1" fontId="2" fillId="0" borderId="19" xfId="0" applyNumberFormat="1" applyFont="1" applyBorder="1" applyAlignment="1">
      <alignment horizontal="center"/>
    </xf>
    <xf numFmtId="2" fontId="2" fillId="4" borderId="10" xfId="0" applyNumberFormat="1" applyFont="1" applyFill="1" applyBorder="1"/>
    <xf numFmtId="2" fontId="2" fillId="7" borderId="11" xfId="0" applyNumberFormat="1" applyFont="1" applyFill="1" applyBorder="1"/>
    <xf numFmtId="2" fontId="2" fillId="4" borderId="11" xfId="0" applyNumberFormat="1" applyFont="1" applyFill="1" applyBorder="1"/>
    <xf numFmtId="164" fontId="2" fillId="7" borderId="11" xfId="0" applyNumberFormat="1" applyFont="1" applyFill="1" applyBorder="1"/>
    <xf numFmtId="0" fontId="2" fillId="4" borderId="17" xfId="0" applyFont="1" applyFill="1" applyBorder="1"/>
    <xf numFmtId="164" fontId="2" fillId="4" borderId="10" xfId="0" applyNumberFormat="1" applyFont="1" applyFill="1" applyBorder="1"/>
    <xf numFmtId="1" fontId="3" fillId="4" borderId="10" xfId="0" applyNumberFormat="1" applyFont="1" applyFill="1" applyBorder="1" applyAlignment="1">
      <alignment horizontal="center"/>
    </xf>
    <xf numFmtId="1" fontId="3" fillId="4" borderId="11" xfId="0" applyNumberFormat="1" applyFont="1" applyFill="1" applyBorder="1" applyAlignment="1">
      <alignment horizontal="center"/>
    </xf>
    <xf numFmtId="2" fontId="2" fillId="4" borderId="9" xfId="0" applyNumberFormat="1" applyFont="1" applyFill="1" applyBorder="1" applyAlignment="1">
      <alignment horizontal="center"/>
    </xf>
    <xf numFmtId="2" fontId="2" fillId="7" borderId="9" xfId="0" applyNumberFormat="1" applyFont="1" applyFill="1" applyBorder="1" applyAlignment="1">
      <alignment horizontal="center"/>
    </xf>
    <xf numFmtId="2" fontId="2" fillId="0" borderId="19" xfId="0" applyNumberFormat="1" applyFont="1" applyBorder="1"/>
    <xf numFmtId="164" fontId="2" fillId="0" borderId="20" xfId="0" applyNumberFormat="1" applyFont="1" applyBorder="1"/>
    <xf numFmtId="2" fontId="2" fillId="0" borderId="23" xfId="0" applyNumberFormat="1" applyFont="1" applyBorder="1"/>
    <xf numFmtId="0" fontId="3" fillId="2" borderId="10" xfId="0" applyFont="1" applyFill="1" applyBorder="1" applyAlignment="1">
      <alignment horizontal="center"/>
    </xf>
    <xf numFmtId="164" fontId="2" fillId="4" borderId="11" xfId="0" applyNumberFormat="1" applyFont="1" applyFill="1" applyBorder="1"/>
    <xf numFmtId="0" fontId="3" fillId="8" borderId="11" xfId="0" applyFont="1" applyFill="1" applyBorder="1" applyAlignment="1">
      <alignment horizontal="center"/>
    </xf>
    <xf numFmtId="174" fontId="2" fillId="4" borderId="10" xfId="0" applyNumberFormat="1" applyFont="1" applyFill="1" applyBorder="1" applyAlignment="1">
      <alignment horizontal="center"/>
    </xf>
    <xf numFmtId="174" fontId="2" fillId="4" borderId="11" xfId="0" applyNumberFormat="1" applyFont="1" applyFill="1" applyBorder="1" applyAlignment="1">
      <alignment horizontal="center"/>
    </xf>
    <xf numFmtId="174" fontId="2" fillId="7" borderId="11" xfId="0" applyNumberFormat="1" applyFont="1" applyFill="1" applyBorder="1" applyAlignment="1">
      <alignment horizontal="center"/>
    </xf>
    <xf numFmtId="168" fontId="2" fillId="4" borderId="11" xfId="0" applyNumberFormat="1" applyFont="1" applyFill="1" applyBorder="1" applyAlignment="1">
      <alignment horizontal="center"/>
    </xf>
    <xf numFmtId="168" fontId="2" fillId="7" borderId="11" xfId="0" applyNumberFormat="1" applyFont="1" applyFill="1" applyBorder="1" applyAlignment="1">
      <alignment horizontal="center"/>
    </xf>
    <xf numFmtId="174" fontId="2" fillId="4" borderId="9" xfId="0" applyNumberFormat="1" applyFont="1" applyFill="1" applyBorder="1"/>
    <xf numFmtId="174" fontId="2" fillId="4" borderId="11" xfId="0" applyNumberFormat="1" applyFont="1" applyFill="1" applyBorder="1"/>
    <xf numFmtId="168" fontId="2" fillId="4" borderId="11" xfId="0" applyNumberFormat="1" applyFont="1" applyFill="1" applyBorder="1"/>
    <xf numFmtId="174" fontId="2" fillId="7" borderId="10" xfId="0" applyNumberFormat="1" applyFont="1" applyFill="1" applyBorder="1" applyAlignment="1">
      <alignment horizontal="center"/>
    </xf>
    <xf numFmtId="174" fontId="2" fillId="7" borderId="5" xfId="0" applyNumberFormat="1" applyFont="1" applyFill="1" applyBorder="1" applyAlignment="1">
      <alignment horizontal="center"/>
    </xf>
    <xf numFmtId="0" fontId="3" fillId="7" borderId="10" xfId="0" applyFont="1" applyFill="1" applyBorder="1"/>
    <xf numFmtId="0" fontId="3" fillId="7" borderId="20" xfId="0" applyFont="1" applyFill="1" applyBorder="1" applyAlignment="1">
      <alignment horizontal="center"/>
    </xf>
    <xf numFmtId="0" fontId="3" fillId="4" borderId="0" xfId="0" applyFont="1" applyFill="1"/>
    <xf numFmtId="0" fontId="3" fillId="4" borderId="20" xfId="0" applyFont="1" applyFill="1" applyBorder="1" applyAlignment="1">
      <alignment horizontal="center"/>
    </xf>
    <xf numFmtId="0" fontId="3" fillId="7" borderId="0" xfId="0" applyFont="1" applyFill="1"/>
    <xf numFmtId="0" fontId="3" fillId="7" borderId="19" xfId="0" applyFont="1" applyFill="1" applyBorder="1" applyAlignment="1">
      <alignment horizontal="center"/>
    </xf>
    <xf numFmtId="0" fontId="3" fillId="4" borderId="11" xfId="0" applyFont="1" applyFill="1" applyBorder="1"/>
    <xf numFmtId="0" fontId="3" fillId="7" borderId="11" xfId="0" applyFont="1" applyFill="1" applyBorder="1"/>
    <xf numFmtId="0" fontId="3" fillId="4" borderId="10" xfId="0" applyFont="1" applyFill="1" applyBorder="1"/>
    <xf numFmtId="0" fontId="3" fillId="4" borderId="19" xfId="0" applyFont="1" applyFill="1" applyBorder="1" applyAlignment="1">
      <alignment horizontal="center"/>
    </xf>
    <xf numFmtId="0" fontId="15" fillId="4" borderId="10" xfId="0" applyFont="1" applyFill="1" applyBorder="1" applyAlignment="1">
      <alignment horizontal="center"/>
    </xf>
    <xf numFmtId="0" fontId="15" fillId="7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15" fillId="7" borderId="11" xfId="0" applyFont="1" applyFill="1" applyBorder="1" applyAlignment="1">
      <alignment horizontal="center"/>
    </xf>
    <xf numFmtId="0" fontId="15" fillId="7" borderId="10" xfId="0" applyFont="1" applyFill="1" applyBorder="1" applyAlignment="1">
      <alignment horizontal="center"/>
    </xf>
    <xf numFmtId="165" fontId="3" fillId="0" borderId="11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4" fillId="0" borderId="11" xfId="0" applyFont="1" applyBorder="1"/>
    <xf numFmtId="0" fontId="4" fillId="0" borderId="5" xfId="0" applyFont="1" applyBorder="1"/>
    <xf numFmtId="0" fontId="0" fillId="0" borderId="11" xfId="0" applyBorder="1"/>
    <xf numFmtId="0" fontId="4" fillId="0" borderId="10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3" xfId="0" applyFont="1" applyBorder="1"/>
    <xf numFmtId="0" fontId="2" fillId="0" borderId="11" xfId="0" applyFont="1" applyBorder="1"/>
    <xf numFmtId="167" fontId="2" fillId="0" borderId="10" xfId="0" applyNumberFormat="1" applyFont="1" applyBorder="1"/>
    <xf numFmtId="167" fontId="2" fillId="0" borderId="11" xfId="0" applyNumberFormat="1" applyFont="1" applyBorder="1"/>
    <xf numFmtId="0" fontId="3" fillId="0" borderId="0" xfId="0" applyFont="1" applyAlignment="1">
      <alignment horizontal="left"/>
    </xf>
    <xf numFmtId="0" fontId="3" fillId="7" borderId="24" xfId="0" applyFont="1" applyFill="1" applyBorder="1" applyAlignment="1">
      <alignment horizontal="center"/>
    </xf>
    <xf numFmtId="167" fontId="2" fillId="0" borderId="19" xfId="0" applyNumberFormat="1" applyFont="1" applyBorder="1"/>
    <xf numFmtId="0" fontId="28" fillId="0" borderId="0" xfId="0" applyFont="1" applyAlignment="1">
      <alignment horizontal="center"/>
    </xf>
    <xf numFmtId="0" fontId="30" fillId="2" borderId="17" xfId="0" applyFont="1" applyFill="1" applyBorder="1" applyAlignment="1">
      <alignment horizontal="center"/>
    </xf>
    <xf numFmtId="0" fontId="30" fillId="3" borderId="10" xfId="0" applyFont="1" applyFill="1" applyBorder="1" applyAlignment="1">
      <alignment horizontal="center"/>
    </xf>
    <xf numFmtId="166" fontId="31" fillId="0" borderId="10" xfId="0" applyNumberFormat="1" applyFont="1" applyBorder="1" applyAlignment="1">
      <alignment horizontal="center"/>
    </xf>
    <xf numFmtId="166" fontId="31" fillId="0" borderId="19" xfId="0" applyNumberFormat="1" applyFont="1" applyBorder="1" applyAlignment="1">
      <alignment horizontal="center"/>
    </xf>
    <xf numFmtId="0" fontId="30" fillId="2" borderId="9" xfId="0" applyFont="1" applyFill="1" applyBorder="1" applyAlignment="1">
      <alignment horizontal="center"/>
    </xf>
    <xf numFmtId="0" fontId="30" fillId="3" borderId="11" xfId="0" applyFont="1" applyFill="1" applyBorder="1" applyAlignment="1">
      <alignment horizontal="center"/>
    </xf>
    <xf numFmtId="166" fontId="31" fillId="0" borderId="0" xfId="0" applyNumberFormat="1" applyFont="1" applyAlignment="1">
      <alignment horizontal="center"/>
    </xf>
    <xf numFmtId="166" fontId="31" fillId="0" borderId="20" xfId="0" applyNumberFormat="1" applyFont="1" applyBorder="1" applyAlignment="1">
      <alignment horizontal="center"/>
    </xf>
    <xf numFmtId="0" fontId="30" fillId="2" borderId="18" xfId="0" applyFont="1" applyFill="1" applyBorder="1" applyAlignment="1">
      <alignment horizontal="center"/>
    </xf>
    <xf numFmtId="0" fontId="30" fillId="3" borderId="5" xfId="0" applyFont="1" applyFill="1" applyBorder="1" applyAlignment="1">
      <alignment horizontal="center"/>
    </xf>
    <xf numFmtId="166" fontId="31" fillId="0" borderId="5" xfId="0" applyNumberFormat="1" applyFont="1" applyBorder="1" applyAlignment="1">
      <alignment horizontal="center"/>
    </xf>
    <xf numFmtId="166" fontId="31" fillId="0" borderId="23" xfId="0" applyNumberFormat="1" applyFont="1" applyBorder="1" applyAlignment="1">
      <alignment horizontal="center"/>
    </xf>
    <xf numFmtId="0" fontId="32" fillId="0" borderId="0" xfId="0" applyFont="1"/>
    <xf numFmtId="0" fontId="28" fillId="0" borderId="0" xfId="0" applyFont="1"/>
    <xf numFmtId="0" fontId="28" fillId="0" borderId="10" xfId="0" applyFont="1" applyBorder="1"/>
    <xf numFmtId="0" fontId="28" fillId="0" borderId="5" xfId="0" applyFont="1" applyBorder="1"/>
    <xf numFmtId="0" fontId="28" fillId="7" borderId="10" xfId="0" applyFont="1" applyFill="1" applyBorder="1" applyAlignment="1">
      <alignment horizontal="center"/>
    </xf>
    <xf numFmtId="0" fontId="28" fillId="4" borderId="11" xfId="0" applyFont="1" applyFill="1" applyBorder="1" applyAlignment="1">
      <alignment horizontal="center"/>
    </xf>
    <xf numFmtId="0" fontId="28" fillId="7" borderId="11" xfId="0" applyFont="1" applyFill="1" applyBorder="1" applyAlignment="1">
      <alignment horizontal="center"/>
    </xf>
    <xf numFmtId="0" fontId="28" fillId="7" borderId="5" xfId="0" applyFont="1" applyFill="1" applyBorder="1" applyAlignment="1">
      <alignment horizontal="center"/>
    </xf>
    <xf numFmtId="0" fontId="28" fillId="0" borderId="17" xfId="0" applyFont="1" applyBorder="1"/>
    <xf numFmtId="0" fontId="28" fillId="0" borderId="9" xfId="0" applyFont="1" applyBorder="1"/>
    <xf numFmtId="0" fontId="28" fillId="0" borderId="18" xfId="0" applyFont="1" applyBorder="1"/>
    <xf numFmtId="0" fontId="28" fillId="0" borderId="12" xfId="0" applyFont="1" applyBorder="1"/>
    <xf numFmtId="0" fontId="28" fillId="4" borderId="11" xfId="0" applyFont="1" applyFill="1" applyBorder="1"/>
    <xf numFmtId="0" fontId="28" fillId="7" borderId="11" xfId="0" applyFont="1" applyFill="1" applyBorder="1"/>
    <xf numFmtId="0" fontId="29" fillId="8" borderId="11" xfId="0" applyFont="1" applyFill="1" applyBorder="1" applyAlignment="1">
      <alignment horizontal="center"/>
    </xf>
    <xf numFmtId="174" fontId="28" fillId="4" borderId="10" xfId="0" applyNumberFormat="1" applyFont="1" applyFill="1" applyBorder="1" applyAlignment="1">
      <alignment horizontal="center"/>
    </xf>
    <xf numFmtId="174" fontId="28" fillId="7" borderId="11" xfId="0" applyNumberFormat="1" applyFont="1" applyFill="1" applyBorder="1" applyAlignment="1">
      <alignment horizontal="center"/>
    </xf>
    <xf numFmtId="174" fontId="28" fillId="4" borderId="11" xfId="0" applyNumberFormat="1" applyFont="1" applyFill="1" applyBorder="1" applyAlignment="1">
      <alignment horizontal="center"/>
    </xf>
    <xf numFmtId="0" fontId="28" fillId="4" borderId="10" xfId="0" applyFont="1" applyFill="1" applyBorder="1" applyAlignment="1">
      <alignment horizontal="center"/>
    </xf>
    <xf numFmtId="174" fontId="28" fillId="7" borderId="10" xfId="0" applyNumberFormat="1" applyFont="1" applyFill="1" applyBorder="1" applyAlignment="1">
      <alignment horizontal="center"/>
    </xf>
    <xf numFmtId="174" fontId="28" fillId="7" borderId="5" xfId="0" applyNumberFormat="1" applyFont="1" applyFill="1" applyBorder="1" applyAlignment="1">
      <alignment horizontal="center"/>
    </xf>
    <xf numFmtId="166" fontId="28" fillId="7" borderId="11" xfId="0" applyNumberFormat="1" applyFont="1" applyFill="1" applyBorder="1" applyAlignment="1">
      <alignment horizontal="center"/>
    </xf>
    <xf numFmtId="166" fontId="28" fillId="4" borderId="11" xfId="0" applyNumberFormat="1" applyFont="1" applyFill="1" applyBorder="1" applyAlignment="1">
      <alignment horizontal="center"/>
    </xf>
    <xf numFmtId="166" fontId="28" fillId="0" borderId="0" xfId="0" applyNumberFormat="1" applyFont="1"/>
    <xf numFmtId="0" fontId="28" fillId="0" borderId="11" xfId="0" applyFont="1" applyBorder="1"/>
    <xf numFmtId="0" fontId="32" fillId="0" borderId="10" xfId="0" applyFont="1" applyBorder="1"/>
    <xf numFmtId="0" fontId="32" fillId="0" borderId="11" xfId="0" applyFont="1" applyBorder="1"/>
    <xf numFmtId="0" fontId="32" fillId="0" borderId="5" xfId="0" applyFont="1" applyBorder="1"/>
    <xf numFmtId="0" fontId="2" fillId="9" borderId="0" xfId="0" applyFont="1" applyFill="1"/>
    <xf numFmtId="0" fontId="33" fillId="0" borderId="0" xfId="0" applyFont="1"/>
    <xf numFmtId="0" fontId="2" fillId="3" borderId="11" xfId="0" applyFont="1" applyFill="1" applyBorder="1" applyAlignment="1">
      <alignment horizontal="center" vertical="center"/>
    </xf>
    <xf numFmtId="0" fontId="33" fillId="9" borderId="0" xfId="0" applyFont="1" applyFill="1"/>
    <xf numFmtId="0" fontId="2" fillId="9" borderId="20" xfId="0" applyFont="1" applyFill="1" applyBorder="1"/>
    <xf numFmtId="0" fontId="2" fillId="9" borderId="5" xfId="0" applyFont="1" applyFill="1" applyBorder="1"/>
    <xf numFmtId="0" fontId="2" fillId="9" borderId="23" xfId="0" applyFont="1" applyFill="1" applyBorder="1"/>
    <xf numFmtId="0" fontId="33" fillId="10" borderId="0" xfId="0" applyFont="1" applyFill="1"/>
    <xf numFmtId="0" fontId="28" fillId="0" borderId="0" xfId="0" applyFont="1" applyAlignment="1">
      <alignment horizontal="center" vertical="center"/>
    </xf>
    <xf numFmtId="0" fontId="31" fillId="3" borderId="11" xfId="0" applyFont="1" applyFill="1" applyBorder="1" applyAlignment="1">
      <alignment horizontal="center"/>
    </xf>
    <xf numFmtId="0" fontId="31" fillId="3" borderId="11" xfId="0" applyFont="1" applyFill="1" applyBorder="1" applyAlignment="1">
      <alignment horizontal="center" wrapText="1"/>
    </xf>
    <xf numFmtId="0" fontId="31" fillId="0" borderId="11" xfId="0" applyFont="1" applyBorder="1" applyAlignment="1">
      <alignment horizontal="center"/>
    </xf>
    <xf numFmtId="0" fontId="33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0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19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4" fillId="10" borderId="0" xfId="0" applyFont="1" applyFill="1"/>
    <xf numFmtId="0" fontId="0" fillId="0" borderId="25" xfId="0" pivotButton="1" applyBorder="1"/>
    <xf numFmtId="0" fontId="0" fillId="0" borderId="27" xfId="0" applyBorder="1"/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28" xfId="0" applyBorder="1"/>
    <xf numFmtId="0" fontId="0" fillId="0" borderId="30" xfId="0" applyBorder="1" applyAlignment="1">
      <alignment horizontal="left"/>
    </xf>
    <xf numFmtId="0" fontId="0" fillId="0" borderId="29" xfId="0" applyBorder="1"/>
    <xf numFmtId="0" fontId="0" fillId="0" borderId="29" xfId="0" pivotButton="1" applyBorder="1"/>
    <xf numFmtId="0" fontId="0" fillId="9" borderId="0" xfId="0" applyFill="1"/>
    <xf numFmtId="0" fontId="0" fillId="0" borderId="27" xfId="0" applyNumberFormat="1" applyBorder="1"/>
    <xf numFmtId="0" fontId="0" fillId="0" borderId="28" xfId="0" applyNumberFormat="1" applyBorder="1"/>
    <xf numFmtId="0" fontId="0" fillId="0" borderId="29" xfId="0" applyNumberFormat="1" applyBorder="1"/>
  </cellXfs>
  <cellStyles count="1">
    <cellStyle name="Κανονικό" xfId="0" builtinId="0"/>
  </cellStyles>
  <dxfs count="2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0">
    <tableStyle name="Temperature-style" pivot="0" count="2" xr9:uid="{00000000-0011-0000-FFFF-FFFF00000000}">
      <tableStyleElement type="firstRowStripe" dxfId="21"/>
      <tableStyleElement type="secondRowStripe" dxfId="20"/>
    </tableStyle>
    <tableStyle name="Thermal_properties-style" pivot="0" count="3" xr9:uid="{00000000-0011-0000-FFFF-FFFF01000000}">
      <tableStyleElement type="headerRow" dxfId="19"/>
      <tableStyleElement type="firstRowStripe" dxfId="18"/>
      <tableStyleElement type="secondRowStripe" dxfId="17"/>
    </tableStyle>
    <tableStyle name="Thermal_properties-style 2" pivot="0" count="2" xr9:uid="{00000000-0011-0000-FFFF-FFFF02000000}">
      <tableStyleElement type="firstRowStripe" dxfId="16"/>
      <tableStyleElement type="secondRowStripe" dxfId="15"/>
    </tableStyle>
    <tableStyle name="Complex_viscosity-style" pivot="0" count="2" xr9:uid="{00000000-0011-0000-FFFF-FFFF03000000}">
      <tableStyleElement type="firstRowStripe" dxfId="14"/>
      <tableStyleElement type="secondRowStripe" dxfId="13"/>
    </tableStyle>
    <tableStyle name="Complex_viscosity-style 2" pivot="0" count="2" xr9:uid="{00000000-0011-0000-FFFF-FFFF04000000}">
      <tableStyleElement type="firstRowStripe" dxfId="12"/>
      <tableStyleElement type="secondRowStripe" dxfId="11"/>
    </tableStyle>
    <tableStyle name="Rheological_experimental_detail-style" pivot="0" count="2" xr9:uid="{00000000-0011-0000-FFFF-FFFF05000000}">
      <tableStyleElement type="firstRowStripe" dxfId="10"/>
      <tableStyleElement type="secondRowStripe" dxfId="9"/>
    </tableStyle>
    <tableStyle name="Storage_modulus_G-style" pivot="0" count="2" xr9:uid="{00000000-0011-0000-FFFF-FFFF06000000}">
      <tableStyleElement type="firstRowStripe" dxfId="8"/>
      <tableStyleElement type="secondRowStripe" dxfId="7"/>
    </tableStyle>
    <tableStyle name="Storage_modulus_G-style 2" pivot="0" count="2" xr9:uid="{00000000-0011-0000-FFFF-FFFF07000000}">
      <tableStyleElement type="firstRowStripe" dxfId="6"/>
      <tableStyleElement type="secondRowStripe" dxfId="5"/>
    </tableStyle>
    <tableStyle name="Loss_modulus_G-style" pivot="0" count="2" xr9:uid="{00000000-0011-0000-FFFF-FFFF08000000}">
      <tableStyleElement type="firstRowStripe" dxfId="4"/>
      <tableStyleElement type="secondRowStripe" dxfId="3"/>
    </tableStyle>
    <tableStyle name="Tandelta-style" pivot="0" count="2" xr9:uid="{00000000-0011-0000-FFFF-FFFF09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5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Relationship Id="rId27" Type="http://schemas.microsoft.com/office/2017/10/relationships/person" Target="persons/perso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idas Mindrinos" refreshedDate="46069.050964699076" createdVersion="8" refreshedVersion="8" minRefreshableVersion="3" recordCount="352" xr:uid="{AA10102E-E168-4351-90A4-AFC68B044B72}">
  <cacheSource type="worksheet">
    <worksheetSource ref="A1:E1048576" sheet="Φύλλο2"/>
  </cacheSource>
  <cacheFields count="5">
    <cacheField name="Study_id" numFmtId="0">
      <sharedItems containsString="0" containsBlank="1" containsNumber="1" containsInteger="1" minValue="1" maxValue="61"/>
    </cacheField>
    <cacheField name="Instance" numFmtId="0">
      <sharedItems containsBlank="1" containsMixedTypes="1" containsNumber="1" containsInteger="1" minValue="1" maxValue="12"/>
    </cacheField>
    <cacheField name="Test type" numFmtId="0">
      <sharedItems containsBlank="1" count="3">
        <s v="DFS"/>
        <s v="DTS"/>
        <m/>
      </sharedItems>
    </cacheField>
    <cacheField name="storage" numFmtId="0">
      <sharedItems containsString="0" containsBlank="1" containsNumber="1" minValue="8.9999999999999999E-8" maxValue="20090928126.087399" count="235">
        <m/>
        <n v="7.8116806310642408E-5"/>
        <n v="2.26406864333339E-6"/>
        <n v="6.9042533485137996E-4"/>
        <n v="9.2320826649339909E-4"/>
        <n v="2.37474943173543E-5"/>
        <n v="2.1517122110803E-3"/>
        <n v="0.13240702811159602"/>
        <n v="1.6815127502392202E-4"/>
        <n v="6.6089431059826297E-7"/>
        <n v="1.9369959509055001E-5"/>
        <n v="7.5203425621060699E-5"/>
        <n v="8.3623838199155313E-6"/>
        <n v="3.6219788372586698E-4"/>
        <n v="1.6829642705753901E-4"/>
        <n v="7.3773048029818499E-5"/>
        <n v="5.47818082744525E-6"/>
        <n v="3.1934591389895901E-6"/>
        <n v="1.5091405542646299E-5"/>
        <n v="1.1418448306596499E-3"/>
        <n v="7.9351815692941096E-3"/>
        <n v="2.15687860058109E-2"/>
        <n v="1.8968234314012899E-6"/>
        <n v="8.3039076612001009E-3"/>
        <n v="6874.06855439642"/>
        <n v="7522.3546944858399"/>
        <n v="7622.9508196721299"/>
        <n v="4046.1997019373998"/>
        <n v="2779.4524142974601"/>
        <n v="3444.4342889310601"/>
        <n v="3242.7766007222899"/>
        <n v="3398.5642729759302"/>
        <n v="4044.7031858346199"/>
        <n v="2738.9851019136099"/>
        <n v="2632.52817063572"/>
        <n v="1491.4240697027601"/>
        <n v="2.2939421957726698E-2"/>
        <n v="1.9250161970978398E-4"/>
        <n v="1.0860113903145201E-4"/>
        <n v="9.8719070212982287E-6"/>
        <n v="1.3279465837272701E-4"/>
        <n v="12525.235362351599"/>
        <n v="10345.704351709601"/>
        <n v="11456.2023544844"/>
        <n v="13869.682137681701"/>
        <n v="11026.44056311"/>
        <n v="2.26934152711838E-4"/>
        <n v="4.8818908460809699E-4"/>
        <n v="2.5141269035092902E-3"/>
        <n v="6.0186161470522099E-3"/>
        <n v="8.1475180266749204E-3"/>
        <n v="1.0643377802739201E-2"/>
        <n v="1.1429495846981799E-2"/>
        <n v="2.1704870911799099E-2"/>
        <n v="2.78531446935582E-2"/>
        <n v="5.3844480790280494E-2"/>
        <n v="1623.0152115798401"/>
        <n v="2416.71719149509"/>
        <n v="2888.31918134222"/>
        <n v="2.6366509999999998E-3"/>
        <n v="3.0990500000000002E-4"/>
        <n v="1.7604100000000002E-4"/>
        <n v="4.1957299999999996E-4"/>
        <n v="2.1303200000000002E-3"/>
        <n v="1.6000999999999998E-4"/>
        <n v="5420.22"/>
        <n v="4489.8900000000003"/>
        <n v="4058.43"/>
        <n v="3802.25"/>
        <n v="2575.2800000000002"/>
        <n v="2564.8851719364202"/>
        <n v="1459.26288005383"/>
        <n v="875.48614787682698"/>
        <n v="755.82193751668501"/>
        <n v="3307.34"/>
        <n v="3050.46"/>
        <n v="2868.5"/>
        <n v="2707.95"/>
        <n v="3000"/>
        <n v="3702.38"/>
        <n v="3130.95"/>
        <n v="2642.86"/>
        <n v="3990"/>
        <n v="5050"/>
        <n v="7450"/>
        <n v="8400"/>
        <n v="5950"/>
        <n v="8.9999999999999999E-8"/>
        <n v="9.4199999999999996E-6"/>
        <n v="7.8640000000000006E-5"/>
        <n v="2.0561000000000001E-4"/>
        <n v="8.0232000000000003E-4"/>
        <n v="2.0976799999999998E-3"/>
        <n v="9.60746E-3"/>
        <n v="1365.74"/>
        <n v="1722.22"/>
        <n v="2518.52"/>
        <n v="2634.26"/>
        <n v="8.0000000000000007E-7"/>
        <n v="1.2914999999999999E-5"/>
        <n v="2.6208399999999999E-4"/>
        <n v="1.8298330000000001E-3"/>
        <n v="7.2136660000000005E-3"/>
        <n v="9816.4716526543798"/>
        <n v="13209.4115651273"/>
        <n v="11754.718000000001"/>
        <n v="12712.264999999999"/>
        <n v="12051.888000000001"/>
        <n v="1638.655"/>
        <n v="4172.2690000000002"/>
        <n v="5130.2520000000004"/>
        <n v="5369.7479999999996"/>
        <n v="1.187E-5"/>
        <n v="1.156051E-2"/>
        <n v="2.60634E-3"/>
        <n v="1.318952E-2"/>
        <n v="1.6943679999999999E-2"/>
        <n v="8.7649200000000007E-3"/>
        <n v="5.5952999999999992E-4"/>
        <n v="1.0134379999999998E-2"/>
        <n v="2.8325259999999998E-2"/>
        <n v="0.19886151000000002"/>
        <n v="7.2105940000000007E-2"/>
        <n v="2511.9"/>
        <n v="5595.24"/>
        <n v="5738.1"/>
        <n v="1190.48"/>
        <n v="1587.3"/>
        <n v="2371.0300000000002"/>
        <n v="3541.67"/>
        <n v="4186.51"/>
        <n v="4652.4059999999999"/>
        <n v="1.6500000000000001E-7"/>
        <n v="1.0279999999999999E-6"/>
        <n v="1.483E-6"/>
        <n v="1.234714E-3"/>
        <n v="3.5314000000000001E-5"/>
        <n v="9.0447999999999999E-5"/>
        <n v="3.445652E-3"/>
        <n v="4.5000000000000003E-7"/>
        <n v="4.8999999999999997E-7"/>
        <n v="1.6E-7"/>
        <n v="1.04E-6"/>
        <n v="4017.0000000000005"/>
        <n v="8343"/>
        <n v="5382"/>
        <n v="7403"/>
        <n v="3774.82"/>
        <n v="3820.8629999999998"/>
        <n v="3475.54"/>
        <n v="3999.2809999999999"/>
        <n v="3653.9569999999999"/>
        <n v="4315.8270000000002"/>
        <n v="3918.7049999999999"/>
        <n v="1953.087"/>
        <n v="2127.3310000000001"/>
        <n v="2384.0729999999999"/>
        <n v="2523.84"/>
        <n v="2560.0439999999999"/>
        <n v="0.43099999999999999"/>
        <n v="98.453999999999994"/>
        <n v="1408.8009999999999"/>
        <n v="15181.9"/>
        <n v="48234.29"/>
        <n v="222031.234"/>
        <n v="3.6699999999999999E-7"/>
        <n v="1.4610000000000001E-6"/>
        <n v="1.241989E-3"/>
        <n v="0.17256529400000001"/>
        <n v="0.32402482100000002"/>
        <n v="3.5999999999999999E-7"/>
        <n v="1.5900000000000001E-7"/>
        <n v="4.1477300000000001E-4"/>
        <n v="1.1370000000000001E-6"/>
        <n v="4.092E-6"/>
        <n v="1.0359E-5"/>
        <n v="4.4475999999999999E-5"/>
        <n v="6672.2682926829266"/>
        <n v="10446.806451612903"/>
        <n v="15360.5"/>
        <n v="17879.944444444445"/>
        <n v="1.1877E-5"/>
        <n v="1.2358165999999999E-2"/>
        <n v="1.3921247999999999E-2"/>
        <n v="1.7433288000000002E-2"/>
        <n v="8.8771969999999999E-3"/>
        <n v="2.6624859999999999E-3"/>
        <n v="4.8399999999999994E-7"/>
        <n v="3.6190000000000004E-6"/>
        <n v="2.3408E-5"/>
        <n v="1.0209600000000001E-4"/>
        <n v="1.365008E-3"/>
        <n v="1131"/>
        <n v="1395"/>
        <n v="3.1729999999999999E-6"/>
        <n v="1.4694E-5"/>
        <n v="5.5770000000000003E-5"/>
        <n v="3950.7959999999998"/>
        <n v="4619.3919999999998"/>
        <n v="4489.1459999999997"/>
        <n v="5253.2560000000003"/>
        <n v="4591.2049999999999"/>
        <n v="6228.0129999999999"/>
        <n v="6081.433"/>
        <n v="5902.28"/>
        <n v="6089.5770000000002"/>
        <n v="6016.2870000000003"/>
        <n v="5723.1270000000004"/>
        <n v="355.04300000000001"/>
        <n v="662.82399999999996"/>
        <n v="523.63099999999997"/>
        <n v="292.79500000000002"/>
        <n v="895279196.13399994"/>
        <n v="928105386.37800002"/>
        <n v="818980434.62699997"/>
        <n v="2.6465518999999999E-3"/>
        <n v="1.3661342E-3"/>
        <n v="2.1086600000000002E-5"/>
        <n v="3.3899400000000003E-5"/>
        <n v="1.2896000000000002E-5"/>
        <n v="6256.3739999999998"/>
        <n v="6603.3990000000003"/>
        <n v="5611.8980000000001"/>
        <n v="5175.6369999999997"/>
        <n v="4630.3119999999999"/>
        <n v="5046.7420000000002"/>
        <n v="20090928126.087399"/>
        <n v="1336595516.5464447"/>
        <n v="92044957.175317541"/>
        <n v="11297959.146728039"/>
        <n v="1492794.4095789965"/>
        <n v="137404.19750125185"/>
        <n v="27989.813196343654"/>
        <n v="2398.8329190194968"/>
        <n v="16503.866000000002"/>
      </sharedItems>
    </cacheField>
    <cacheField name="loss" numFmtId="0">
      <sharedItems containsString="0" containsBlank="1" containsNumber="1" minValue="1.9570000000000001E-6" maxValue="524807460.24977338" count="96">
        <m/>
        <n v="2.6282830311377898E-4"/>
        <n v="3.5015658260911697E-5"/>
        <n v="1.1455561822784101E-3"/>
        <n v="3.7195620092518701E-3"/>
        <n v="1.81071975453401E-5"/>
        <n v="6.5543393870584293E-5"/>
        <n v="1.51413740824685E-4"/>
        <n v="4.2796175387416397E-5"/>
        <n v="6.0388241190619601E-6"/>
        <n v="2.3519526350709501E-5"/>
        <n v="6.0388241190619606E-5"/>
        <n v="3.4087379834759098E-5"/>
        <n v="3.5646024043929202E-4"/>
        <n v="1.8819955200992199E-4"/>
        <n v="3.8986037025490701E-5"/>
        <n v="6.04296390238132E-6"/>
        <n v="7.9797380741988205E-6"/>
        <n v="3.9483219301735999E-5"/>
        <n v="7.1862486844915304E-3"/>
        <n v="1.2941039544084299E-3"/>
        <n v="1.10273454821906E-3"/>
        <n v="1.84675511099487E-3"/>
        <n v="2.1672424209635602E-3"/>
        <n v="3.3803189069540099E-3"/>
        <n v="3.1763655150792301E-3"/>
        <n v="2.4112343319032002E-3"/>
        <n v="4.4135472823130005E-3"/>
        <n v="5.4632570530422702E-3"/>
        <n v="1.00893013070457E-2"/>
        <n v="8.0566999999999998E-4"/>
        <n v="1.11516E-3"/>
        <n v="234.94"/>
        <n v="208.16"/>
        <n v="200.21"/>
        <n v="197.7"/>
        <n v="170.5"/>
        <n v="57.31"/>
        <n v="76.650000000000006"/>
        <n v="83.09"/>
        <n v="121.06"/>
        <n v="51.49"/>
        <n v="75.37"/>
        <n v="81.34"/>
        <n v="115.67"/>
        <n v="90"/>
        <n v="100"/>
        <n v="140"/>
        <n v="160"/>
        <n v="120"/>
        <n v="172.2"/>
        <n v="237.18"/>
        <n v="224.19"/>
        <n v="130.548"/>
        <n v="2.791E-6"/>
        <n v="1.2076000000000001E-5"/>
        <n v="1.6295000000000002E-5"/>
        <n v="5.3718100000000007E-4"/>
        <n v="8.3941000000000002E-5"/>
        <n v="1.2951799999999999E-4"/>
        <n v="2.12671E-4"/>
        <n v="1.9486449999999999E-3"/>
        <n v="16.030999999999999"/>
        <n v="102.902"/>
        <n v="1014.405"/>
        <n v="10144.045"/>
        <n v="23926.654999999999"/>
        <n v="147130.21299999999"/>
        <n v="6.0701E-5"/>
        <n v="1.01168E-4"/>
        <n v="4.6836900000000006E-4"/>
        <n v="1.9570000000000001E-6"/>
        <n v="7.3799999999999996E-6"/>
        <n v="2.1203E-5"/>
        <n v="7.7426E-5"/>
        <n v="273.56299999999999"/>
        <n v="323.851"/>
        <n v="1013.793"/>
        <n v="1287.356"/>
        <n v="30926.641"/>
        <n v="95096.524999999994"/>
        <n v="102343860.287"/>
        <n v="5.1707150000000002E-3"/>
        <n v="2.5904729999999998E-3"/>
        <n v="1.0361849999999999E-4"/>
        <n v="8.5049999999999994E-5"/>
        <n v="2.052E-5"/>
        <n v="524807460.24977338"/>
        <n v="45708818.96148771"/>
        <n v="2735268.7263067118"/>
        <n v="133967.66874259422"/>
        <n v="27164.392688390799"/>
        <n v="2999.1625189876609"/>
        <n v="570.16427228074883"/>
        <n v="60.813500127871762"/>
        <n v="44645.37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070.492056828705" createdVersion="8" refreshedVersion="8" minRefreshableVersion="3" recordCount="999" xr:uid="{FE1CDCB9-9E80-4725-AD9E-5CDB982ED516}">
  <cacheSource type="worksheet">
    <worksheetSource ref="A1:F1048576" sheet="Φύλλο2"/>
  </cacheSource>
  <cacheFields count="6">
    <cacheField name="Study_id" numFmtId="0">
      <sharedItems containsString="0" containsBlank="1" containsNumber="1" containsInteger="1" minValue="1" maxValue="61"/>
    </cacheField>
    <cacheField name="Instance" numFmtId="0">
      <sharedItems containsBlank="1" containsMixedTypes="1" containsNumber="1" containsInteger="1" minValue="1" maxValue="12"/>
    </cacheField>
    <cacheField name="Test type" numFmtId="0">
      <sharedItems containsBlank="1" count="3">
        <s v="DFS"/>
        <s v="DTS"/>
        <m/>
      </sharedItems>
    </cacheField>
    <cacheField name="storage" numFmtId="0">
      <sharedItems containsString="0" containsBlank="1" containsNumber="1" minValue="8.9999999999999999E-8" maxValue="20090928126.087399"/>
    </cacheField>
    <cacheField name="loss" numFmtId="0">
      <sharedItems containsString="0" containsBlank="1" containsNumber="1" minValue="1.9570000000000001E-6" maxValue="524807460.24977338"/>
    </cacheField>
    <cacheField name="loss 2" numFmtId="0">
      <sharedItems containsString="0" containsBlank="1" containsNumber="1" minValue="1.9570000000000001E-6" maxValue="524807460.24977338" count="193">
        <m/>
        <n v="2.6282830311377898E-4"/>
        <n v="3.5015658260911697E-5"/>
        <n v="1.1455561822784101E-3"/>
        <n v="3.7195620092518701E-3"/>
        <n v="1.81071975453401E-5"/>
        <n v="6.5543393870584293E-5"/>
        <n v="1.51413740824685E-4"/>
        <n v="4.2796175387416397E-5"/>
        <n v="6.0388241190619601E-6"/>
        <n v="2.3519526350709501E-5"/>
        <n v="6.0388241190619606E-5"/>
        <n v="3.4087379834759098E-5"/>
        <n v="3.5646024043929202E-4"/>
        <n v="1.8819955200992199E-4"/>
        <n v="3.8986037025490701E-5"/>
        <n v="6.04296390238132E-6"/>
        <n v="7.9797380741988205E-6"/>
        <n v="7.7097756251931328E-5"/>
        <n v="7.6298619908954075E-4"/>
        <n v="4.6500130751126077E-3"/>
        <n v="1.3990956112877029E-2"/>
        <n v="3.9483219301735999E-5"/>
        <n v="7.1862486844915304E-3"/>
        <n v="436.89377981666581"/>
        <n v="459.88622834258848"/>
        <n v="404.28610678633532"/>
        <n v="232.29857879093106"/>
        <n v="283.09237553029448"/>
        <n v="69.919072104369818"/>
        <n v="207.87029491809548"/>
        <n v="187.59881136441211"/>
        <n v="55.42960734906562"/>
        <n v="41.866770811095158"/>
        <n v="39.545737965918526"/>
        <n v="32.230482091965889"/>
        <n v="2.7684108459327682E-2"/>
        <n v="2.738054439749729E-4"/>
        <n v="2.5414887670902757E-5"/>
        <n v="4.451756962164651E-5"/>
        <n v="3.9680560771921784E-5"/>
        <n v="183.02564680068784"/>
        <n v="188.97135653972396"/>
        <n v="175.01351666531659"/>
        <n v="221.09583379548189"/>
        <n v="128.16711626263572"/>
        <n v="1.2941039544084299E-3"/>
        <n v="1.10273454821906E-3"/>
        <n v="1.84675511099487E-3"/>
        <n v="2.1672424209635602E-3"/>
        <n v="3.3803189069540099E-3"/>
        <n v="3.1763655150792301E-3"/>
        <n v="2.4112343319032002E-3"/>
        <n v="4.4135472823130005E-3"/>
        <n v="5.4632570530422702E-3"/>
        <n v="1.00893013070457E-2"/>
        <n v="8.0566999999999998E-4"/>
        <n v="1.11516E-3"/>
        <n v="234.94"/>
        <n v="208.16"/>
        <n v="200.21"/>
        <n v="197.7"/>
        <n v="170.5"/>
        <n v="57.31"/>
        <n v="76.650000000000006"/>
        <n v="83.09"/>
        <n v="121.06"/>
        <n v="51.49"/>
        <n v="75.37"/>
        <n v="81.34"/>
        <n v="115.67"/>
        <n v="90"/>
        <n v="100"/>
        <n v="140"/>
        <n v="160"/>
        <n v="120"/>
        <n v="1.8282778481401564E-5"/>
        <n v="1.6517460412847975E-4"/>
        <n v="2.4072342521865212E-4"/>
        <n v="7.8633300884548918E-4"/>
        <n v="4.8283193123773421E-3"/>
        <n v="1.5277317558084732E-2"/>
        <n v="0.10527243007081355"/>
        <n v="4.4780321825400402E-3"/>
        <n v="2.8798994834113915E-2"/>
        <n v="0.39272839533623033"/>
        <n v="2.5257039369613925"/>
        <n v="8.5286405153992035"/>
        <n v="83.767264712642785"/>
        <n v="54.158587417021934"/>
        <n v="47.018872000000002"/>
        <n v="50.849060000000001"/>
        <n v="60.259440000000005"/>
        <n v="36.050409999999999"/>
        <n v="133.512608"/>
        <n v="179.55882000000003"/>
        <n v="214.78992"/>
        <n v="5.7530334863535437E-3"/>
        <n v="2.9521963713789467E-2"/>
        <n v="6.8491806784856266E-2"/>
        <n v="0.37446219691122845"/>
        <n v="0.14703195364785604"/>
        <n v="172.2"/>
        <n v="237.18"/>
        <n v="224.19"/>
        <n v="130.548"/>
        <n v="2.791E-6"/>
        <n v="1.2076000000000001E-5"/>
        <n v="1.6295000000000002E-5"/>
        <n v="5.3718100000000007E-4"/>
        <n v="8.3941000000000002E-5"/>
        <n v="1.2951799999999999E-4"/>
        <n v="2.12671E-4"/>
        <n v="1.9486449999999999E-3"/>
        <n v="139.66834"/>
        <n v="129.90934200000001"/>
        <n v="149.44821999999999"/>
        <n v="155.971959"/>
        <n v="146.15827999999999"/>
        <n v="168.31725300000002"/>
        <n v="137.154675"/>
        <n v="144.52843799999999"/>
        <n v="270.17103700000001"/>
        <n v="202.64620500000001"/>
        <n v="239.76480000000001"/>
        <n v="161.28277199999999"/>
        <n v="16.030999999999999"/>
        <n v="102.902"/>
        <n v="1014.405"/>
        <n v="10144.045"/>
        <n v="23926.654999999999"/>
        <n v="147130.21299999999"/>
        <n v="6.0701E-5"/>
        <n v="1.01168E-4"/>
        <n v="4.6836900000000006E-4"/>
        <n v="1.7083964106000001E-2"/>
        <n v="3.0134308353000003E-2"/>
        <n v="3.8927371397119746E-5"/>
        <n v="1.4378490901235083E-5"/>
        <n v="2.5672987884129946E-4"/>
        <n v="1.9570000000000001E-6"/>
        <n v="7.3799999999999996E-6"/>
        <n v="2.1203E-5"/>
        <n v="7.7426E-5"/>
        <n v="273.56299999999999"/>
        <n v="323.851"/>
        <n v="1013.793"/>
        <n v="1287.356"/>
        <n v="1.6497153E-5"/>
        <n v="1.2976074299999999E-3"/>
        <n v="1.6983922559999998E-3"/>
        <n v="2.1268611360000002E-3"/>
        <n v="1.2161759890000001E-3"/>
        <n v="1.9995269860000001E-3"/>
        <n v="26.012999999999998"/>
        <n v="18.134999999999998"/>
        <n v="9.810536599091315E-6"/>
        <n v="6.3734719319190336E-5"/>
        <n v="1.6216300711656756E-4"/>
        <n v="110.18892"/>
        <n v="217.98045500000001"/>
        <n v="200.68728900000002"/>
        <n v="206.57980000000001"/>
        <n v="225.31434899999999"/>
        <n v="174.47232300000002"/>
        <n v="223.201953"/>
        <n v="30926.641"/>
        <n v="95096.524999999994"/>
        <n v="35.149257000000006"/>
        <n v="24.524487999999998"/>
        <n v="13.614405999999999"/>
        <n v="20.495650000000005"/>
        <n v="102343860.287"/>
        <n v="5.1707150000000002E-3"/>
        <n v="2.5904729999999998E-3"/>
        <n v="1.0361849999999999E-4"/>
        <n v="8.5049999999999994E-5"/>
        <n v="2.052E-5"/>
        <n v="125.12748000000001"/>
        <n v="132.06798000000001"/>
        <n v="134.685552"/>
        <n v="175.97165799999999"/>
        <n v="148.169984"/>
        <n v="191.776196"/>
        <n v="524807460.24977338"/>
        <n v="45708818.96148771"/>
        <n v="2735268.7263067118"/>
        <n v="133967.66874259422"/>
        <n v="27164.392688390799"/>
        <n v="2999.1625189876609"/>
        <n v="570.16427228074883"/>
        <n v="60.813500127871762"/>
        <n v="44645.37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idas Mindrinos" refreshedDate="46077.990974421293" createdVersion="8" refreshedVersion="8" minRefreshableVersion="3" recordCount="349" xr:uid="{7868628F-5ABF-4805-84FF-E8A22CCC19FF}">
  <cacheSource type="worksheet">
    <worksheetSource ref="A1:G1048576" sheet="Φύλλο2"/>
  </cacheSource>
  <cacheFields count="7">
    <cacheField name="Study_id" numFmtId="0">
      <sharedItems containsString="0" containsBlank="1" containsNumber="1" containsInteger="1" minValue="1" maxValue="61"/>
    </cacheField>
    <cacheField name="Instance" numFmtId="0">
      <sharedItems containsBlank="1" containsMixedTypes="1" containsNumber="1" containsInteger="1" minValue="1" maxValue="12"/>
    </cacheField>
    <cacheField name="Test type" numFmtId="0">
      <sharedItems containsBlank="1" count="3">
        <s v="DFS"/>
        <s v="DTS"/>
        <m/>
      </sharedItems>
    </cacheField>
    <cacheField name="storage" numFmtId="0">
      <sharedItems containsString="0" containsBlank="1" containsNumber="1" minValue="8.9999999999999999E-8" maxValue="20090928126.087399"/>
    </cacheField>
    <cacheField name="loss" numFmtId="0">
      <sharedItems containsString="0" containsBlank="1" containsNumber="1" minValue="1.9570000000000001E-6" maxValue="524807460.24977338"/>
    </cacheField>
    <cacheField name="loss 2" numFmtId="0">
      <sharedItems containsString="0" containsBlank="1" containsNumber="1" minValue="1.9570000000000001E-6" maxValue="524807460.24977338" count="193">
        <m/>
        <n v="2.6282830311377898E-4"/>
        <n v="3.5015658260911697E-5"/>
        <n v="1.1455561822784101E-3"/>
        <n v="3.7195620092518701E-3"/>
        <n v="1.81071975453401E-5"/>
        <n v="6.5543393870584293E-5"/>
        <n v="1.51413740824685E-4"/>
        <n v="4.2796175387416397E-5"/>
        <n v="6.0388241190619601E-6"/>
        <n v="2.3519526350709501E-5"/>
        <n v="6.0388241190619606E-5"/>
        <n v="3.4087379834759098E-5"/>
        <n v="3.5646024043929202E-4"/>
        <n v="1.8819955200992199E-4"/>
        <n v="3.8986037025490701E-5"/>
        <n v="6.04296390238132E-6"/>
        <n v="7.9797380741988205E-6"/>
        <n v="7.7097756251931328E-5"/>
        <n v="7.6298619908954075E-4"/>
        <n v="4.6500130751126077E-3"/>
        <n v="1.3990956112877029E-2"/>
        <n v="3.9483219301735999E-5"/>
        <n v="7.1862486844915304E-3"/>
        <n v="436.89377981666581"/>
        <n v="459.88622834258848"/>
        <n v="404.28610678633532"/>
        <n v="232.29857879093106"/>
        <n v="283.09237553029448"/>
        <n v="69.919072104369818"/>
        <n v="207.87029491809548"/>
        <n v="187.59881136441211"/>
        <n v="55.42960734906562"/>
        <n v="41.866770811095158"/>
        <n v="39.545737965918526"/>
        <n v="32.230482091965889"/>
        <n v="2.7684108459327682E-2"/>
        <n v="2.738054439749729E-4"/>
        <n v="2.5414887670902757E-5"/>
        <n v="4.451756962164651E-5"/>
        <n v="3.9680560771921784E-5"/>
        <n v="183.02564680068784"/>
        <n v="188.97135653972396"/>
        <n v="175.01351666531659"/>
        <n v="221.09583379548189"/>
        <n v="128.16711626263572"/>
        <n v="1.2941039544084299E-3"/>
        <n v="1.10273454821906E-3"/>
        <n v="1.84675511099487E-3"/>
        <n v="2.1672424209635602E-3"/>
        <n v="3.3803189069540099E-3"/>
        <n v="3.1763655150792301E-3"/>
        <n v="2.4112343319032002E-3"/>
        <n v="4.4135472823130005E-3"/>
        <n v="5.4632570530422702E-3"/>
        <n v="1.00893013070457E-2"/>
        <n v="8.0566999999999998E-4"/>
        <n v="1.11516E-3"/>
        <n v="234.94"/>
        <n v="208.16"/>
        <n v="200.21"/>
        <n v="197.7"/>
        <n v="170.5"/>
        <n v="57.31"/>
        <n v="76.650000000000006"/>
        <n v="83.09"/>
        <n v="121.06"/>
        <n v="51.49"/>
        <n v="75.37"/>
        <n v="81.34"/>
        <n v="115.67"/>
        <n v="90"/>
        <n v="100"/>
        <n v="140"/>
        <n v="160"/>
        <n v="120"/>
        <n v="1.8282778481401564E-5"/>
        <n v="1.6517460412847975E-4"/>
        <n v="2.4072342521865212E-4"/>
        <n v="7.8633300884548918E-4"/>
        <n v="4.8283193123773421E-3"/>
        <n v="1.5277317558084732E-2"/>
        <n v="0.10527243007081355"/>
        <n v="4.4780321825400402E-3"/>
        <n v="2.8798994834113915E-2"/>
        <n v="0.39272839533623033"/>
        <n v="2.5257039369613925"/>
        <n v="8.5286405153992035"/>
        <n v="83.767264712642785"/>
        <n v="54.158587417021934"/>
        <n v="47.018872000000002"/>
        <n v="50.849060000000001"/>
        <n v="60.259440000000005"/>
        <n v="36.050409999999999"/>
        <n v="133.512608"/>
        <n v="179.55882000000003"/>
        <n v="214.78992"/>
        <n v="5.7530334863535437E-3"/>
        <n v="2.9521963713789467E-2"/>
        <n v="6.8491806784856266E-2"/>
        <n v="0.37446219691122845"/>
        <n v="0.14703195364785604"/>
        <n v="172.2"/>
        <n v="237.18"/>
        <n v="224.19"/>
        <n v="130.548"/>
        <n v="2.791E-6"/>
        <n v="1.2076000000000001E-5"/>
        <n v="1.6295000000000002E-5"/>
        <n v="5.3718100000000007E-4"/>
        <n v="8.3941000000000002E-5"/>
        <n v="1.2951799999999999E-4"/>
        <n v="2.12671E-4"/>
        <n v="1.9486449999999999E-3"/>
        <n v="139.66834"/>
        <n v="129.90934200000001"/>
        <n v="149.44821999999999"/>
        <n v="155.971959"/>
        <n v="146.15827999999999"/>
        <n v="168.31725300000002"/>
        <n v="137.154675"/>
        <n v="144.52843799999999"/>
        <n v="270.17103700000001"/>
        <n v="202.64620500000001"/>
        <n v="239.76480000000001"/>
        <n v="161.28277199999999"/>
        <n v="16.030999999999999"/>
        <n v="102.902"/>
        <n v="1014.405"/>
        <n v="10144.045"/>
        <n v="23926.654999999999"/>
        <n v="147130.21299999999"/>
        <n v="6.0701E-5"/>
        <n v="1.01168E-4"/>
        <n v="4.6836900000000006E-4"/>
        <n v="1.7083964106000001E-2"/>
        <n v="3.0134308353000003E-2"/>
        <n v="3.8927371397119746E-5"/>
        <n v="1.4378490901235083E-5"/>
        <n v="2.5672987884129946E-4"/>
        <n v="1.9570000000000001E-6"/>
        <n v="7.3799999999999996E-6"/>
        <n v="2.1203E-5"/>
        <n v="7.7426E-5"/>
        <n v="273.56299999999999"/>
        <n v="323.851"/>
        <n v="1013.793"/>
        <n v="1287.356"/>
        <n v="1.6497153E-5"/>
        <n v="1.2976074299999999E-3"/>
        <n v="1.6983922559999998E-3"/>
        <n v="2.1268611360000002E-3"/>
        <n v="1.2161759890000001E-3"/>
        <n v="1.9995269860000001E-3"/>
        <n v="26.012999999999998"/>
        <n v="18.134999999999998"/>
        <n v="9.810536599091315E-6"/>
        <n v="6.3734719319190336E-5"/>
        <n v="1.6216300711656756E-4"/>
        <n v="110.18892"/>
        <n v="217.98045500000001"/>
        <n v="200.68728900000002"/>
        <n v="206.57980000000001"/>
        <n v="225.31434899999999"/>
        <n v="174.47232300000002"/>
        <n v="223.201953"/>
        <n v="30926.641"/>
        <n v="95096.524999999994"/>
        <n v="35.149257000000006"/>
        <n v="24.524487999999998"/>
        <n v="13.614405999999999"/>
        <n v="20.495650000000005"/>
        <n v="102343860.287"/>
        <n v="5.1707150000000002E-3"/>
        <n v="2.5904729999999998E-3"/>
        <n v="1.0361849999999999E-4"/>
        <n v="8.5049999999999994E-5"/>
        <n v="2.052E-5"/>
        <n v="125.12748000000001"/>
        <n v="132.06798000000001"/>
        <n v="134.685552"/>
        <n v="175.97165799999999"/>
        <n v="148.169984"/>
        <n v="191.776196"/>
        <n v="524807460.24977338"/>
        <n v="45708818.96148771"/>
        <n v="2735268.7263067118"/>
        <n v="133967.66874259422"/>
        <n v="27164.392688390799"/>
        <n v="2999.1625189876609"/>
        <n v="570.16427228074883"/>
        <n v="60.813500127871762"/>
        <n v="44645.373"/>
      </sharedItems>
    </cacheField>
    <cacheField name="visco" numFmtId="0">
      <sharedItems containsString="0" containsBlank="1" containsNumber="1" minValue="3.3570000000000002" maxValue="83614152.608999997" count="169">
        <n v="1334.6153801166299"/>
        <n v="1635.59288882331"/>
        <n v="1965.3834445719499"/>
        <n v="2346.2288481422602"/>
        <n v="2990.77316872132"/>
        <n v="322.45905452963899"/>
        <n v="34.413049869757302"/>
        <m/>
        <n v="656.66394802535899"/>
        <n v="35017.121479422"/>
        <n v="1465722.1822494699"/>
        <n v="7782.9441043669603"/>
        <n v="193.755099576981"/>
        <n v="1037.9059203438501"/>
        <n v="3168.82069765083"/>
        <n v="762.85232849610304"/>
        <n v="13335.214321633201"/>
        <n v="89308.512749914298"/>
        <n v="249644.17014069701"/>
        <n v="655.64184941797805"/>
        <n v="318.25686305580098"/>
        <n v="240.19035030788001"/>
        <n v="285.46676634979298"/>
        <n v="562700.78473477904"/>
        <n v="5238.4271083747899"/>
        <n v="1745.63432235659"/>
        <n v="713.66798014118797"/>
        <n v="2169.1667459215901"/>
        <n v="6.07039264789507"/>
        <n v="13.2336083953562"/>
        <n v="22.441336418153099"/>
        <n v="59.350790726368302"/>
        <n v="25.199884990662198"/>
        <n v="15.3466655520605"/>
        <n v="6.6861301346527497"/>
        <n v="8.5402071189957098"/>
        <n v="359.59769264420697"/>
        <n v="726.67429101709502"/>
        <n v="1317.82879404243"/>
        <n v="1904.01639477092"/>
        <n v="4241.2823357346297"/>
        <n v="7130.4027010711798"/>
        <n v="12227112.01"/>
        <n v="5093802.8989882004"/>
        <n v="1680164.53"/>
        <n v="610.79289178461102"/>
        <n v="11763283.727299999"/>
        <n v="88.532572632467705"/>
        <n v="444.89187015326098"/>
        <n v="24.234214312874101"/>
        <n v="308355.44573191"/>
        <n v="31.889661833169001"/>
        <n v="12.442021262517599"/>
        <n v="311.41000000000003"/>
        <n v="122.09"/>
        <n v="45.71"/>
        <n v="27.97"/>
        <n v="271.23"/>
        <n v="165.96"/>
        <n v="129.82"/>
        <n v="78.22"/>
        <n v="36.19"/>
        <n v="49.5"/>
        <n v="116.18"/>
        <n v="162.12"/>
        <n v="346.58"/>
        <n v="182.83"/>
        <n v="1654.43"/>
        <n v="2532.4299999999998"/>
        <n v="8127.7"/>
        <n v="48945.26"/>
        <n v="154206.57999999999"/>
        <n v="1057099.23"/>
        <n v="43902.277000000002"/>
        <n v="282343.11499999999"/>
        <n v="3850279.2429999998"/>
        <n v="24761809.802000001"/>
        <n v="83614152.608999997"/>
        <n v="210.17"/>
        <n v="109729"/>
        <n v="32215.47"/>
        <n v="132119.75"/>
        <n v="165098.04999999999"/>
        <n v="86195.36"/>
        <n v="192672.63"/>
        <n v="1040433.67"/>
        <n v="2470593.2599999998"/>
        <n v="14133012.460000001"/>
        <n v="5458699.6799999997"/>
        <n v="220.32599999999999"/>
        <n v="1045.3440000000001"/>
        <n v="892.37900000000002"/>
        <n v="1321.229"/>
        <n v="2218.723"/>
        <n v="38712.103000000003"/>
        <n v="67.512"/>
        <n v="60.094000000000001"/>
        <n v="15.084"/>
        <n v="159.29900000000001"/>
        <n v="137.661"/>
        <n v="712.346"/>
        <n v="849.53"/>
        <n v="111.001"/>
        <n v="93.075999999999993"/>
        <n v="32.991999999999997"/>
        <n v="93.894999999999996"/>
        <n v="136.06299999999999"/>
        <n v="220.529"/>
        <n v="208.52099999999999"/>
        <n v="94.584000000000003"/>
        <n v="131.24"/>
        <n v="110.687"/>
        <n v="171.67599999999999"/>
        <n v="119.746"/>
        <n v="1377.623"/>
        <n v="17872.030999999999"/>
        <n v="182334.8"/>
        <n v="537569.701"/>
        <n v="2667392.6889999998"/>
        <n v="293.44900000000001"/>
        <n v="533.66999999999996"/>
        <n v="21330.662"/>
        <n v="385.43599999999998"/>
        <n v="142.37"/>
        <n v="4829.683"/>
        <n v="3.3570000000000002"/>
        <n v="17.327999999999999"/>
        <n v="11.090999999999999"/>
        <n v="7.9370000000000003"/>
        <n v="6.7679999999999998"/>
        <n v="300.53100000000001"/>
        <n v="652.45500000000004"/>
        <n v="342.72800000000001"/>
        <n v="380.714"/>
        <n v="177.68199999999999"/>
        <n v="28.597999999999999"/>
        <n v="204.108"/>
        <n v="453.25"/>
        <n v="1006.5069999999999"/>
        <n v="215.44300000000001"/>
        <n v="116095.34699999999"/>
        <n v="131938.144"/>
        <n v="181659.97899999999"/>
        <n v="89888.410999999993"/>
        <n v="33000.347999999998"/>
        <n v="1214.6310000000001"/>
        <n v="2132.4989999999998"/>
        <n v="4986.2929999999997"/>
        <n v="951.99"/>
        <n v="1356.684"/>
        <n v="9152.473"/>
        <n v="21757.392"/>
        <n v="1194.684"/>
        <n v="1345.1020000000001"/>
        <n v="7217.2060000000001"/>
        <n v="1827.269"/>
        <n v="3306.08"/>
        <n v="58.539000000000001"/>
        <n v="164.10300000000001"/>
        <n v="1040.979"/>
        <n v="2729.27"/>
        <n v="753.91099999999994"/>
        <n v="369.34500000000003"/>
        <n v="190.405"/>
        <n v="140.239"/>
        <n v="462.04899999999998"/>
        <n v="115.824"/>
        <n v="46.046999999999997"/>
        <n v="114.5879999999999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2">
  <r>
    <n v="1"/>
    <n v="1"/>
    <x v="0"/>
    <x v="0"/>
    <x v="0"/>
  </r>
  <r>
    <n v="1"/>
    <n v="2"/>
    <x v="0"/>
    <x v="0"/>
    <x v="0"/>
  </r>
  <r>
    <n v="1"/>
    <n v="3"/>
    <x v="0"/>
    <x v="0"/>
    <x v="0"/>
  </r>
  <r>
    <n v="1"/>
    <n v="4"/>
    <x v="0"/>
    <x v="0"/>
    <x v="0"/>
  </r>
  <r>
    <n v="1"/>
    <n v="5"/>
    <x v="0"/>
    <x v="0"/>
    <x v="0"/>
  </r>
  <r>
    <n v="2"/>
    <n v="1"/>
    <x v="0"/>
    <x v="1"/>
    <x v="1"/>
  </r>
  <r>
    <n v="2"/>
    <n v="2"/>
    <x v="0"/>
    <x v="2"/>
    <x v="2"/>
  </r>
  <r>
    <n v="2"/>
    <n v="3"/>
    <x v="0"/>
    <x v="3"/>
    <x v="3"/>
  </r>
  <r>
    <n v="2"/>
    <n v="4"/>
    <x v="0"/>
    <x v="4"/>
    <x v="4"/>
  </r>
  <r>
    <n v="3"/>
    <n v="1"/>
    <x v="0"/>
    <x v="5"/>
    <x v="5"/>
  </r>
  <r>
    <n v="3"/>
    <n v="2"/>
    <x v="0"/>
    <x v="6"/>
    <x v="6"/>
  </r>
  <r>
    <n v="3"/>
    <n v="3"/>
    <x v="0"/>
    <x v="7"/>
    <x v="7"/>
  </r>
  <r>
    <n v="3"/>
    <n v="4"/>
    <x v="0"/>
    <x v="8"/>
    <x v="8"/>
  </r>
  <r>
    <n v="4"/>
    <n v="1"/>
    <x v="0"/>
    <x v="9"/>
    <x v="9"/>
  </r>
  <r>
    <n v="4"/>
    <n v="2"/>
    <x v="0"/>
    <x v="10"/>
    <x v="10"/>
  </r>
  <r>
    <n v="4"/>
    <n v="3"/>
    <x v="0"/>
    <x v="11"/>
    <x v="11"/>
  </r>
  <r>
    <n v="5"/>
    <n v="1"/>
    <x v="0"/>
    <x v="12"/>
    <x v="12"/>
  </r>
  <r>
    <n v="5"/>
    <n v="2"/>
    <x v="0"/>
    <x v="13"/>
    <x v="13"/>
  </r>
  <r>
    <n v="5"/>
    <n v="3"/>
    <x v="0"/>
    <x v="14"/>
    <x v="14"/>
  </r>
  <r>
    <n v="5"/>
    <n v="4"/>
    <x v="0"/>
    <x v="15"/>
    <x v="15"/>
  </r>
  <r>
    <n v="5"/>
    <n v="5"/>
    <x v="0"/>
    <x v="16"/>
    <x v="16"/>
  </r>
  <r>
    <n v="5"/>
    <n v="6"/>
    <x v="0"/>
    <x v="17"/>
    <x v="17"/>
  </r>
  <r>
    <n v="6"/>
    <n v="1"/>
    <x v="0"/>
    <x v="18"/>
    <x v="0"/>
  </r>
  <r>
    <n v="6"/>
    <n v="2"/>
    <x v="0"/>
    <x v="19"/>
    <x v="0"/>
  </r>
  <r>
    <n v="6"/>
    <n v="3"/>
    <x v="0"/>
    <x v="20"/>
    <x v="0"/>
  </r>
  <r>
    <n v="6"/>
    <n v="4"/>
    <x v="0"/>
    <x v="21"/>
    <x v="0"/>
  </r>
  <r>
    <n v="7"/>
    <n v="1"/>
    <x v="0"/>
    <x v="22"/>
    <x v="18"/>
  </r>
  <r>
    <n v="7"/>
    <n v="2"/>
    <x v="0"/>
    <x v="23"/>
    <x v="19"/>
  </r>
  <r>
    <n v="8"/>
    <n v="1"/>
    <x v="1"/>
    <x v="24"/>
    <x v="0"/>
  </r>
  <r>
    <n v="8"/>
    <n v="2"/>
    <x v="1"/>
    <x v="25"/>
    <x v="0"/>
  </r>
  <r>
    <n v="8"/>
    <n v="3"/>
    <x v="1"/>
    <x v="26"/>
    <x v="0"/>
  </r>
  <r>
    <n v="8"/>
    <n v="4"/>
    <x v="1"/>
    <x v="27"/>
    <x v="0"/>
  </r>
  <r>
    <n v="9"/>
    <n v="1"/>
    <x v="1"/>
    <x v="28"/>
    <x v="0"/>
  </r>
  <r>
    <n v="9"/>
    <n v="2"/>
    <x v="1"/>
    <x v="29"/>
    <x v="0"/>
  </r>
  <r>
    <n v="9"/>
    <n v="3"/>
    <x v="1"/>
    <x v="30"/>
    <x v="0"/>
  </r>
  <r>
    <n v="9"/>
    <n v="4"/>
    <x v="1"/>
    <x v="31"/>
    <x v="0"/>
  </r>
  <r>
    <n v="11"/>
    <s v="1a"/>
    <x v="0"/>
    <x v="0"/>
    <x v="0"/>
  </r>
  <r>
    <n v="11"/>
    <s v="2a"/>
    <x v="0"/>
    <x v="0"/>
    <x v="0"/>
  </r>
  <r>
    <n v="11"/>
    <s v="3a"/>
    <x v="0"/>
    <x v="0"/>
    <x v="0"/>
  </r>
  <r>
    <n v="11"/>
    <s v="4a"/>
    <x v="0"/>
    <x v="0"/>
    <x v="0"/>
  </r>
  <r>
    <n v="11"/>
    <s v="1b"/>
    <x v="1"/>
    <x v="32"/>
    <x v="0"/>
  </r>
  <r>
    <n v="11"/>
    <s v="2b"/>
    <x v="1"/>
    <x v="33"/>
    <x v="0"/>
  </r>
  <r>
    <n v="11"/>
    <s v="3b"/>
    <x v="1"/>
    <x v="34"/>
    <x v="0"/>
  </r>
  <r>
    <n v="11"/>
    <s v="4b"/>
    <x v="1"/>
    <x v="35"/>
    <x v="0"/>
  </r>
  <r>
    <n v="12"/>
    <s v="1a"/>
    <x v="0"/>
    <x v="36"/>
    <x v="0"/>
  </r>
  <r>
    <n v="12"/>
    <s v="2a"/>
    <x v="0"/>
    <x v="37"/>
    <x v="0"/>
  </r>
  <r>
    <n v="12"/>
    <s v="3a"/>
    <x v="0"/>
    <x v="38"/>
    <x v="0"/>
  </r>
  <r>
    <n v="12"/>
    <s v="4a"/>
    <x v="0"/>
    <x v="39"/>
    <x v="0"/>
  </r>
  <r>
    <n v="12"/>
    <s v="5a"/>
    <x v="0"/>
    <x v="40"/>
    <x v="0"/>
  </r>
  <r>
    <n v="12"/>
    <s v="1b"/>
    <x v="1"/>
    <x v="41"/>
    <x v="0"/>
  </r>
  <r>
    <n v="12"/>
    <s v="2b"/>
    <x v="1"/>
    <x v="42"/>
    <x v="0"/>
  </r>
  <r>
    <n v="12"/>
    <s v="3b"/>
    <x v="1"/>
    <x v="43"/>
    <x v="0"/>
  </r>
  <r>
    <n v="12"/>
    <s v="4b"/>
    <x v="1"/>
    <x v="44"/>
    <x v="0"/>
  </r>
  <r>
    <n v="12"/>
    <s v="5b"/>
    <x v="1"/>
    <x v="45"/>
    <x v="0"/>
  </r>
  <r>
    <n v="13"/>
    <n v="1"/>
    <x v="0"/>
    <x v="0"/>
    <x v="0"/>
  </r>
  <r>
    <n v="13"/>
    <n v="2"/>
    <x v="0"/>
    <x v="0"/>
    <x v="0"/>
  </r>
  <r>
    <n v="13"/>
    <n v="3"/>
    <x v="0"/>
    <x v="0"/>
    <x v="0"/>
  </r>
  <r>
    <n v="13"/>
    <n v="4"/>
    <x v="0"/>
    <x v="0"/>
    <x v="0"/>
  </r>
  <r>
    <n v="13"/>
    <n v="5"/>
    <x v="0"/>
    <x v="0"/>
    <x v="0"/>
  </r>
  <r>
    <n v="13"/>
    <n v="6"/>
    <x v="0"/>
    <x v="0"/>
    <x v="0"/>
  </r>
  <r>
    <n v="13"/>
    <n v="7"/>
    <x v="0"/>
    <x v="0"/>
    <x v="0"/>
  </r>
  <r>
    <n v="13"/>
    <n v="8"/>
    <x v="0"/>
    <x v="0"/>
    <x v="0"/>
  </r>
  <r>
    <n v="14"/>
    <n v="1"/>
    <x v="0"/>
    <x v="46"/>
    <x v="20"/>
  </r>
  <r>
    <n v="14"/>
    <n v="2"/>
    <x v="0"/>
    <x v="47"/>
    <x v="21"/>
  </r>
  <r>
    <n v="14"/>
    <n v="3"/>
    <x v="0"/>
    <x v="48"/>
    <x v="22"/>
  </r>
  <r>
    <n v="14"/>
    <n v="4"/>
    <x v="0"/>
    <x v="49"/>
    <x v="23"/>
  </r>
  <r>
    <n v="14"/>
    <n v="5"/>
    <x v="0"/>
    <x v="50"/>
    <x v="24"/>
  </r>
  <r>
    <n v="14"/>
    <n v="6"/>
    <x v="0"/>
    <x v="51"/>
    <x v="25"/>
  </r>
  <r>
    <n v="14"/>
    <n v="7"/>
    <x v="0"/>
    <x v="52"/>
    <x v="26"/>
  </r>
  <r>
    <n v="14"/>
    <n v="8"/>
    <x v="0"/>
    <x v="53"/>
    <x v="27"/>
  </r>
  <r>
    <n v="14"/>
    <n v="9"/>
    <x v="0"/>
    <x v="54"/>
    <x v="28"/>
  </r>
  <r>
    <n v="14"/>
    <n v="10"/>
    <x v="0"/>
    <x v="55"/>
    <x v="29"/>
  </r>
  <r>
    <n v="15"/>
    <n v="1"/>
    <x v="0"/>
    <x v="0"/>
    <x v="0"/>
  </r>
  <r>
    <n v="15"/>
    <n v="2"/>
    <x v="0"/>
    <x v="0"/>
    <x v="0"/>
  </r>
  <r>
    <n v="15"/>
    <n v="3"/>
    <x v="0"/>
    <x v="0"/>
    <x v="0"/>
  </r>
  <r>
    <n v="15"/>
    <n v="4"/>
    <x v="0"/>
    <x v="0"/>
    <x v="0"/>
  </r>
  <r>
    <n v="15"/>
    <n v="5"/>
    <x v="0"/>
    <x v="0"/>
    <x v="0"/>
  </r>
  <r>
    <n v="15"/>
    <n v="6"/>
    <x v="0"/>
    <x v="0"/>
    <x v="0"/>
  </r>
  <r>
    <n v="16"/>
    <n v="1"/>
    <x v="1"/>
    <x v="56"/>
    <x v="0"/>
  </r>
  <r>
    <n v="16"/>
    <n v="2"/>
    <x v="1"/>
    <x v="57"/>
    <x v="0"/>
  </r>
  <r>
    <n v="16"/>
    <n v="3"/>
    <x v="1"/>
    <x v="58"/>
    <x v="0"/>
  </r>
  <r>
    <n v="17"/>
    <n v="1"/>
    <x v="0"/>
    <x v="59"/>
    <x v="0"/>
  </r>
  <r>
    <n v="17"/>
    <n v="2"/>
    <x v="0"/>
    <x v="60"/>
    <x v="0"/>
  </r>
  <r>
    <n v="17"/>
    <n v="3"/>
    <x v="0"/>
    <x v="61"/>
    <x v="0"/>
  </r>
  <r>
    <n v="17"/>
    <n v="4"/>
    <x v="0"/>
    <x v="62"/>
    <x v="0"/>
  </r>
  <r>
    <n v="18"/>
    <n v="1"/>
    <x v="0"/>
    <x v="63"/>
    <x v="30"/>
  </r>
  <r>
    <n v="18"/>
    <n v="2"/>
    <x v="0"/>
    <x v="64"/>
    <x v="31"/>
  </r>
  <r>
    <n v="19"/>
    <n v="1"/>
    <x v="1"/>
    <x v="65"/>
    <x v="32"/>
  </r>
  <r>
    <n v="19"/>
    <n v="2"/>
    <x v="1"/>
    <x v="66"/>
    <x v="33"/>
  </r>
  <r>
    <n v="19"/>
    <n v="3"/>
    <x v="1"/>
    <x v="67"/>
    <x v="34"/>
  </r>
  <r>
    <n v="19"/>
    <n v="4"/>
    <x v="1"/>
    <x v="68"/>
    <x v="35"/>
  </r>
  <r>
    <n v="19"/>
    <n v="5"/>
    <x v="1"/>
    <x v="69"/>
    <x v="36"/>
  </r>
  <r>
    <n v="20"/>
    <s v="1a"/>
    <x v="0"/>
    <x v="0"/>
    <x v="0"/>
  </r>
  <r>
    <n v="20"/>
    <s v="2a"/>
    <x v="0"/>
    <x v="0"/>
    <x v="0"/>
  </r>
  <r>
    <n v="20"/>
    <s v="3a"/>
    <x v="0"/>
    <x v="0"/>
    <x v="0"/>
  </r>
  <r>
    <n v="20"/>
    <s v="4a"/>
    <x v="0"/>
    <x v="0"/>
    <x v="0"/>
  </r>
  <r>
    <n v="20"/>
    <s v="1b"/>
    <x v="0"/>
    <x v="0"/>
    <x v="0"/>
  </r>
  <r>
    <n v="20"/>
    <s v="2b"/>
    <x v="0"/>
    <x v="0"/>
    <x v="0"/>
  </r>
  <r>
    <n v="20"/>
    <s v="3b"/>
    <x v="0"/>
    <x v="0"/>
    <x v="0"/>
  </r>
  <r>
    <n v="20"/>
    <s v="4b"/>
    <x v="0"/>
    <x v="0"/>
    <x v="0"/>
  </r>
  <r>
    <n v="20"/>
    <s v="1c"/>
    <x v="0"/>
    <x v="0"/>
    <x v="0"/>
  </r>
  <r>
    <n v="20"/>
    <s v="2c"/>
    <x v="0"/>
    <x v="0"/>
    <x v="0"/>
  </r>
  <r>
    <n v="20"/>
    <s v="3c"/>
    <x v="0"/>
    <x v="0"/>
    <x v="0"/>
  </r>
  <r>
    <n v="20"/>
    <s v="4c"/>
    <x v="0"/>
    <x v="0"/>
    <x v="0"/>
  </r>
  <r>
    <n v="20"/>
    <s v="1d"/>
    <x v="1"/>
    <x v="70"/>
    <x v="0"/>
  </r>
  <r>
    <n v="20"/>
    <s v="2d"/>
    <x v="1"/>
    <x v="71"/>
    <x v="0"/>
  </r>
  <r>
    <n v="20"/>
    <s v="3d"/>
    <x v="1"/>
    <x v="72"/>
    <x v="0"/>
  </r>
  <r>
    <n v="20"/>
    <s v="4d"/>
    <x v="1"/>
    <x v="73"/>
    <x v="0"/>
  </r>
  <r>
    <n v="20"/>
    <s v="1e"/>
    <x v="1"/>
    <x v="0"/>
    <x v="0"/>
  </r>
  <r>
    <n v="20"/>
    <s v="2e"/>
    <x v="1"/>
    <x v="0"/>
    <x v="0"/>
  </r>
  <r>
    <n v="20"/>
    <s v="3e"/>
    <x v="1"/>
    <x v="0"/>
    <x v="0"/>
  </r>
  <r>
    <n v="20"/>
    <s v="4e"/>
    <x v="1"/>
    <x v="0"/>
    <x v="0"/>
  </r>
  <r>
    <n v="21"/>
    <s v="1a"/>
    <x v="1"/>
    <x v="74"/>
    <x v="37"/>
  </r>
  <r>
    <n v="21"/>
    <s v="2a"/>
    <x v="1"/>
    <x v="75"/>
    <x v="38"/>
  </r>
  <r>
    <n v="21"/>
    <s v="3a"/>
    <x v="1"/>
    <x v="76"/>
    <x v="39"/>
  </r>
  <r>
    <n v="21"/>
    <s v="4a"/>
    <x v="1"/>
    <x v="77"/>
    <x v="40"/>
  </r>
  <r>
    <n v="21"/>
    <s v="5a"/>
    <x v="1"/>
    <x v="78"/>
    <x v="41"/>
  </r>
  <r>
    <n v="21"/>
    <s v="6a"/>
    <x v="1"/>
    <x v="79"/>
    <x v="42"/>
  </r>
  <r>
    <n v="21"/>
    <s v="7a"/>
    <x v="1"/>
    <x v="80"/>
    <x v="43"/>
  </r>
  <r>
    <n v="21"/>
    <s v="8a"/>
    <x v="1"/>
    <x v="81"/>
    <x v="44"/>
  </r>
  <r>
    <n v="21"/>
    <s v="1b"/>
    <x v="0"/>
    <x v="0"/>
    <x v="0"/>
  </r>
  <r>
    <n v="21"/>
    <s v="2b"/>
    <x v="0"/>
    <x v="0"/>
    <x v="0"/>
  </r>
  <r>
    <n v="21"/>
    <s v="3b"/>
    <x v="0"/>
    <x v="0"/>
    <x v="0"/>
  </r>
  <r>
    <n v="21"/>
    <s v="4b"/>
    <x v="0"/>
    <x v="0"/>
    <x v="0"/>
  </r>
  <r>
    <n v="21"/>
    <s v="5b"/>
    <x v="0"/>
    <x v="0"/>
    <x v="0"/>
  </r>
  <r>
    <n v="21"/>
    <s v="6b"/>
    <x v="0"/>
    <x v="0"/>
    <x v="0"/>
  </r>
  <r>
    <n v="21"/>
    <s v="7b"/>
    <x v="0"/>
    <x v="0"/>
    <x v="0"/>
  </r>
  <r>
    <n v="21"/>
    <s v="8b"/>
    <x v="0"/>
    <x v="0"/>
    <x v="0"/>
  </r>
  <r>
    <n v="22"/>
    <n v="1"/>
    <x v="0"/>
    <x v="0"/>
    <x v="0"/>
  </r>
  <r>
    <n v="22"/>
    <n v="2"/>
    <x v="0"/>
    <x v="0"/>
    <x v="0"/>
  </r>
  <r>
    <n v="22"/>
    <n v="3"/>
    <x v="0"/>
    <x v="0"/>
    <x v="0"/>
  </r>
  <r>
    <n v="22"/>
    <n v="4"/>
    <x v="0"/>
    <x v="0"/>
    <x v="0"/>
  </r>
  <r>
    <n v="22"/>
    <n v="5"/>
    <x v="0"/>
    <x v="0"/>
    <x v="0"/>
  </r>
  <r>
    <n v="22"/>
    <n v="6"/>
    <x v="0"/>
    <x v="0"/>
    <x v="0"/>
  </r>
  <r>
    <n v="22"/>
    <n v="7"/>
    <x v="0"/>
    <x v="0"/>
    <x v="0"/>
  </r>
  <r>
    <n v="22"/>
    <n v="8"/>
    <x v="0"/>
    <x v="0"/>
    <x v="0"/>
  </r>
  <r>
    <n v="23"/>
    <n v="1"/>
    <x v="1"/>
    <x v="82"/>
    <x v="45"/>
  </r>
  <r>
    <n v="23"/>
    <n v="2"/>
    <x v="1"/>
    <x v="83"/>
    <x v="46"/>
  </r>
  <r>
    <n v="23"/>
    <n v="3"/>
    <x v="1"/>
    <x v="84"/>
    <x v="47"/>
  </r>
  <r>
    <n v="23"/>
    <n v="4"/>
    <x v="1"/>
    <x v="85"/>
    <x v="48"/>
  </r>
  <r>
    <n v="23"/>
    <n v="5"/>
    <x v="1"/>
    <x v="86"/>
    <x v="49"/>
  </r>
  <r>
    <n v="24"/>
    <n v="1"/>
    <x v="0"/>
    <x v="87"/>
    <x v="0"/>
  </r>
  <r>
    <n v="24"/>
    <n v="2"/>
    <x v="0"/>
    <x v="88"/>
    <x v="0"/>
  </r>
  <r>
    <n v="24"/>
    <n v="3"/>
    <x v="0"/>
    <x v="89"/>
    <x v="0"/>
  </r>
  <r>
    <n v="24"/>
    <n v="4"/>
    <x v="0"/>
    <x v="90"/>
    <x v="0"/>
  </r>
  <r>
    <n v="24"/>
    <n v="5"/>
    <x v="0"/>
    <x v="91"/>
    <x v="0"/>
  </r>
  <r>
    <n v="24"/>
    <n v="6"/>
    <x v="0"/>
    <x v="92"/>
    <x v="0"/>
  </r>
  <r>
    <n v="24"/>
    <n v="7"/>
    <x v="0"/>
    <x v="93"/>
    <x v="0"/>
  </r>
  <r>
    <n v="25"/>
    <n v="1"/>
    <x v="1"/>
    <x v="94"/>
    <x v="0"/>
  </r>
  <r>
    <n v="25"/>
    <n v="2"/>
    <x v="1"/>
    <x v="95"/>
    <x v="0"/>
  </r>
  <r>
    <n v="25"/>
    <n v="3"/>
    <x v="1"/>
    <x v="96"/>
    <x v="0"/>
  </r>
  <r>
    <n v="25"/>
    <n v="4"/>
    <x v="1"/>
    <x v="97"/>
    <x v="0"/>
  </r>
  <r>
    <n v="26"/>
    <s v="1a"/>
    <x v="0"/>
    <x v="98"/>
    <x v="0"/>
  </r>
  <r>
    <n v="26"/>
    <s v="2a"/>
    <x v="0"/>
    <x v="99"/>
    <x v="0"/>
  </r>
  <r>
    <n v="26"/>
    <s v="3a"/>
    <x v="0"/>
    <x v="100"/>
    <x v="0"/>
  </r>
  <r>
    <n v="26"/>
    <s v="4a"/>
    <x v="0"/>
    <x v="101"/>
    <x v="0"/>
  </r>
  <r>
    <n v="26"/>
    <s v="5a"/>
    <x v="1"/>
    <x v="102"/>
    <x v="0"/>
  </r>
  <r>
    <n v="26"/>
    <s v="1b"/>
    <x v="1"/>
    <x v="103"/>
    <x v="0"/>
  </r>
  <r>
    <n v="26"/>
    <s v="2b"/>
    <x v="1"/>
    <x v="104"/>
    <x v="0"/>
  </r>
  <r>
    <n v="26"/>
    <s v="3b"/>
    <x v="1"/>
    <x v="105"/>
    <x v="0"/>
  </r>
  <r>
    <n v="26"/>
    <s v="4b"/>
    <x v="1"/>
    <x v="106"/>
    <x v="0"/>
  </r>
  <r>
    <n v="26"/>
    <s v="5b"/>
    <x v="1"/>
    <x v="107"/>
    <x v="0"/>
  </r>
  <r>
    <n v="27"/>
    <n v="1"/>
    <x v="1"/>
    <x v="108"/>
    <x v="0"/>
  </r>
  <r>
    <n v="27"/>
    <n v="2"/>
    <x v="1"/>
    <x v="109"/>
    <x v="0"/>
  </r>
  <r>
    <n v="27"/>
    <n v="3"/>
    <x v="1"/>
    <x v="110"/>
    <x v="0"/>
  </r>
  <r>
    <n v="27"/>
    <n v="4"/>
    <x v="1"/>
    <x v="111"/>
    <x v="0"/>
  </r>
  <r>
    <n v="28"/>
    <n v="1"/>
    <x v="0"/>
    <x v="112"/>
    <x v="0"/>
  </r>
  <r>
    <n v="28"/>
    <n v="2"/>
    <x v="0"/>
    <x v="113"/>
    <x v="0"/>
  </r>
  <r>
    <n v="28"/>
    <n v="3"/>
    <x v="0"/>
    <x v="114"/>
    <x v="0"/>
  </r>
  <r>
    <n v="28"/>
    <n v="4"/>
    <x v="0"/>
    <x v="115"/>
    <x v="0"/>
  </r>
  <r>
    <n v="28"/>
    <n v="5"/>
    <x v="0"/>
    <x v="116"/>
    <x v="0"/>
  </r>
  <r>
    <n v="28"/>
    <n v="6"/>
    <x v="0"/>
    <x v="117"/>
    <x v="0"/>
  </r>
  <r>
    <n v="29"/>
    <n v="1"/>
    <x v="0"/>
    <x v="118"/>
    <x v="0"/>
  </r>
  <r>
    <n v="29"/>
    <n v="2"/>
    <x v="0"/>
    <x v="119"/>
    <x v="0"/>
  </r>
  <r>
    <n v="29"/>
    <n v="3"/>
    <x v="0"/>
    <x v="120"/>
    <x v="0"/>
  </r>
  <r>
    <n v="29"/>
    <n v="4"/>
    <x v="0"/>
    <x v="121"/>
    <x v="0"/>
  </r>
  <r>
    <n v="29"/>
    <n v="5"/>
    <x v="0"/>
    <x v="122"/>
    <x v="0"/>
  </r>
  <r>
    <n v="30"/>
    <n v="1"/>
    <x v="1"/>
    <x v="123"/>
    <x v="50"/>
  </r>
  <r>
    <n v="30"/>
    <n v="2"/>
    <x v="1"/>
    <x v="124"/>
    <x v="51"/>
  </r>
  <r>
    <n v="30"/>
    <n v="3"/>
    <x v="1"/>
    <x v="125"/>
    <x v="52"/>
  </r>
  <r>
    <n v="31"/>
    <n v="1"/>
    <x v="1"/>
    <x v="126"/>
    <x v="0"/>
  </r>
  <r>
    <n v="31"/>
    <n v="2"/>
    <x v="1"/>
    <x v="127"/>
    <x v="0"/>
  </r>
  <r>
    <n v="31"/>
    <n v="3"/>
    <x v="1"/>
    <x v="128"/>
    <x v="0"/>
  </r>
  <r>
    <n v="31"/>
    <n v="4"/>
    <x v="1"/>
    <x v="129"/>
    <x v="0"/>
  </r>
  <r>
    <n v="31"/>
    <n v="5"/>
    <x v="1"/>
    <x v="130"/>
    <x v="0"/>
  </r>
  <r>
    <n v="32"/>
    <n v="1"/>
    <x v="1"/>
    <x v="0"/>
    <x v="0"/>
  </r>
  <r>
    <n v="32"/>
    <n v="2"/>
    <x v="1"/>
    <x v="131"/>
    <x v="53"/>
  </r>
  <r>
    <n v="33"/>
    <n v="1"/>
    <x v="0"/>
    <x v="132"/>
    <x v="54"/>
  </r>
  <r>
    <n v="33"/>
    <n v="2"/>
    <x v="0"/>
    <x v="133"/>
    <x v="55"/>
  </r>
  <r>
    <n v="33"/>
    <n v="3"/>
    <x v="0"/>
    <x v="134"/>
    <x v="56"/>
  </r>
  <r>
    <n v="33"/>
    <n v="4"/>
    <x v="0"/>
    <x v="135"/>
    <x v="57"/>
  </r>
  <r>
    <n v="34"/>
    <n v="1"/>
    <x v="0"/>
    <x v="99"/>
    <x v="58"/>
  </r>
  <r>
    <n v="34"/>
    <n v="2"/>
    <x v="0"/>
    <x v="136"/>
    <x v="59"/>
  </r>
  <r>
    <n v="34"/>
    <n v="3"/>
    <x v="0"/>
    <x v="137"/>
    <x v="60"/>
  </r>
  <r>
    <n v="34"/>
    <n v="4"/>
    <x v="0"/>
    <x v="138"/>
    <x v="61"/>
  </r>
  <r>
    <n v="35"/>
    <n v="1"/>
    <x v="0"/>
    <x v="139"/>
    <x v="0"/>
  </r>
  <r>
    <n v="35"/>
    <n v="2"/>
    <x v="0"/>
    <x v="140"/>
    <x v="0"/>
  </r>
  <r>
    <n v="35"/>
    <n v="3"/>
    <x v="0"/>
    <x v="141"/>
    <x v="0"/>
  </r>
  <r>
    <n v="35"/>
    <n v="4"/>
    <x v="0"/>
    <x v="142"/>
    <x v="0"/>
  </r>
  <r>
    <n v="36"/>
    <n v="1"/>
    <x v="1"/>
    <x v="143"/>
    <x v="0"/>
  </r>
  <r>
    <n v="36"/>
    <n v="2"/>
    <x v="1"/>
    <x v="144"/>
    <x v="0"/>
  </r>
  <r>
    <n v="36"/>
    <n v="3"/>
    <x v="1"/>
    <x v="145"/>
    <x v="0"/>
  </r>
  <r>
    <n v="36"/>
    <n v="4"/>
    <x v="1"/>
    <x v="146"/>
    <x v="0"/>
  </r>
  <r>
    <n v="37"/>
    <n v="1"/>
    <x v="1"/>
    <x v="147"/>
    <x v="0"/>
  </r>
  <r>
    <n v="37"/>
    <n v="2"/>
    <x v="1"/>
    <x v="148"/>
    <x v="0"/>
  </r>
  <r>
    <n v="37"/>
    <n v="3"/>
    <x v="1"/>
    <x v="149"/>
    <x v="0"/>
  </r>
  <r>
    <n v="37"/>
    <n v="4"/>
    <x v="1"/>
    <x v="150"/>
    <x v="0"/>
  </r>
  <r>
    <n v="37"/>
    <n v="5"/>
    <x v="1"/>
    <x v="151"/>
    <x v="0"/>
  </r>
  <r>
    <n v="37"/>
    <n v="6"/>
    <x v="1"/>
    <x v="152"/>
    <x v="0"/>
  </r>
  <r>
    <n v="37"/>
    <n v="7"/>
    <x v="1"/>
    <x v="153"/>
    <x v="0"/>
  </r>
  <r>
    <n v="38"/>
    <n v="1"/>
    <x v="0"/>
    <x v="0"/>
    <x v="0"/>
  </r>
  <r>
    <n v="38"/>
    <n v="2"/>
    <x v="0"/>
    <x v="0"/>
    <x v="0"/>
  </r>
  <r>
    <n v="38"/>
    <n v="3"/>
    <x v="0"/>
    <x v="0"/>
    <x v="0"/>
  </r>
  <r>
    <n v="38"/>
    <n v="4"/>
    <x v="0"/>
    <x v="0"/>
    <x v="0"/>
  </r>
  <r>
    <n v="38"/>
    <n v="5"/>
    <x v="0"/>
    <x v="0"/>
    <x v="0"/>
  </r>
  <r>
    <n v="38"/>
    <n v="6"/>
    <x v="0"/>
    <x v="0"/>
    <x v="0"/>
  </r>
  <r>
    <n v="39"/>
    <n v="1"/>
    <x v="0"/>
    <x v="0"/>
    <x v="0"/>
  </r>
  <r>
    <n v="39"/>
    <n v="2"/>
    <x v="0"/>
    <x v="0"/>
    <x v="0"/>
  </r>
  <r>
    <n v="39"/>
    <n v="3"/>
    <x v="0"/>
    <x v="0"/>
    <x v="0"/>
  </r>
  <r>
    <n v="39"/>
    <n v="4"/>
    <x v="0"/>
    <x v="0"/>
    <x v="0"/>
  </r>
  <r>
    <n v="39"/>
    <n v="5"/>
    <x v="0"/>
    <x v="0"/>
    <x v="0"/>
  </r>
  <r>
    <n v="39"/>
    <n v="6"/>
    <x v="0"/>
    <x v="0"/>
    <x v="0"/>
  </r>
  <r>
    <n v="39"/>
    <n v="7"/>
    <x v="0"/>
    <x v="0"/>
    <x v="0"/>
  </r>
  <r>
    <n v="39"/>
    <n v="8"/>
    <x v="0"/>
    <x v="0"/>
    <x v="0"/>
  </r>
  <r>
    <n v="40"/>
    <n v="1"/>
    <x v="1"/>
    <x v="154"/>
    <x v="0"/>
  </r>
  <r>
    <n v="40"/>
    <n v="2"/>
    <x v="1"/>
    <x v="155"/>
    <x v="0"/>
  </r>
  <r>
    <n v="40"/>
    <n v="3"/>
    <x v="1"/>
    <x v="156"/>
    <x v="0"/>
  </r>
  <r>
    <n v="40"/>
    <n v="4"/>
    <x v="1"/>
    <x v="157"/>
    <x v="0"/>
  </r>
  <r>
    <n v="40"/>
    <n v="5"/>
    <x v="1"/>
    <x v="158"/>
    <x v="0"/>
  </r>
  <r>
    <n v="41"/>
    <n v="1"/>
    <x v="0"/>
    <x v="159"/>
    <x v="62"/>
  </r>
  <r>
    <n v="41"/>
    <n v="2"/>
    <x v="0"/>
    <x v="160"/>
    <x v="63"/>
  </r>
  <r>
    <n v="41"/>
    <n v="3"/>
    <x v="0"/>
    <x v="161"/>
    <x v="64"/>
  </r>
  <r>
    <n v="41"/>
    <n v="4"/>
    <x v="0"/>
    <x v="162"/>
    <x v="65"/>
  </r>
  <r>
    <n v="41"/>
    <n v="5"/>
    <x v="0"/>
    <x v="163"/>
    <x v="66"/>
  </r>
  <r>
    <n v="41"/>
    <n v="6"/>
    <x v="0"/>
    <x v="164"/>
    <x v="67"/>
  </r>
  <r>
    <n v="42"/>
    <s v="1a"/>
    <x v="0"/>
    <x v="165"/>
    <x v="68"/>
  </r>
  <r>
    <n v="42"/>
    <s v="2a"/>
    <x v="0"/>
    <x v="166"/>
    <x v="69"/>
  </r>
  <r>
    <n v="42"/>
    <s v="3a"/>
    <x v="0"/>
    <x v="167"/>
    <x v="70"/>
  </r>
  <r>
    <n v="42"/>
    <s v="1b"/>
    <x v="1"/>
    <x v="168"/>
    <x v="0"/>
  </r>
  <r>
    <n v="42"/>
    <s v="2b"/>
    <x v="1"/>
    <x v="169"/>
    <x v="0"/>
  </r>
  <r>
    <n v="42"/>
    <s v="3b"/>
    <x v="1"/>
    <x v="169"/>
    <x v="0"/>
  </r>
  <r>
    <n v="43"/>
    <n v="1"/>
    <x v="0"/>
    <x v="170"/>
    <x v="0"/>
  </r>
  <r>
    <n v="43"/>
    <n v="2"/>
    <x v="0"/>
    <x v="171"/>
    <x v="0"/>
  </r>
  <r>
    <n v="43"/>
    <n v="3"/>
    <x v="0"/>
    <x v="172"/>
    <x v="0"/>
  </r>
  <r>
    <n v="44"/>
    <s v="1a"/>
    <x v="0"/>
    <x v="0"/>
    <x v="0"/>
  </r>
  <r>
    <n v="44"/>
    <s v="2a"/>
    <x v="0"/>
    <x v="0"/>
    <x v="0"/>
  </r>
  <r>
    <n v="44"/>
    <s v="3a"/>
    <x v="0"/>
    <x v="0"/>
    <x v="0"/>
  </r>
  <r>
    <n v="44"/>
    <s v="4a"/>
    <x v="0"/>
    <x v="0"/>
    <x v="0"/>
  </r>
  <r>
    <n v="44"/>
    <s v="5a"/>
    <x v="0"/>
    <x v="0"/>
    <x v="0"/>
  </r>
  <r>
    <n v="44"/>
    <s v="1b"/>
    <x v="1"/>
    <x v="0"/>
    <x v="0"/>
  </r>
  <r>
    <n v="44"/>
    <s v="2b"/>
    <x v="1"/>
    <x v="0"/>
    <x v="0"/>
  </r>
  <r>
    <n v="44"/>
    <s v="3b"/>
    <x v="1"/>
    <x v="0"/>
    <x v="0"/>
  </r>
  <r>
    <n v="44"/>
    <s v="4b"/>
    <x v="1"/>
    <x v="0"/>
    <x v="0"/>
  </r>
  <r>
    <n v="44"/>
    <s v="5b"/>
    <x v="1"/>
    <x v="0"/>
    <x v="0"/>
  </r>
  <r>
    <n v="45"/>
    <s v="1a"/>
    <x v="0"/>
    <x v="173"/>
    <x v="71"/>
  </r>
  <r>
    <n v="45"/>
    <s v="2a"/>
    <x v="0"/>
    <x v="174"/>
    <x v="72"/>
  </r>
  <r>
    <n v="45"/>
    <s v="3a"/>
    <x v="0"/>
    <x v="175"/>
    <x v="73"/>
  </r>
  <r>
    <n v="45"/>
    <s v="4a"/>
    <x v="0"/>
    <x v="176"/>
    <x v="74"/>
  </r>
  <r>
    <n v="45"/>
    <s v="1b"/>
    <x v="1"/>
    <x v="177"/>
    <x v="75"/>
  </r>
  <r>
    <n v="45"/>
    <s v="2b"/>
    <x v="1"/>
    <x v="178"/>
    <x v="76"/>
  </r>
  <r>
    <n v="45"/>
    <s v="3b"/>
    <x v="1"/>
    <x v="179"/>
    <x v="77"/>
  </r>
  <r>
    <n v="45"/>
    <s v="4b"/>
    <x v="1"/>
    <x v="180"/>
    <x v="78"/>
  </r>
  <r>
    <n v="46"/>
    <n v="1"/>
    <x v="0"/>
    <x v="181"/>
    <x v="0"/>
  </r>
  <r>
    <n v="46"/>
    <n v="2"/>
    <x v="0"/>
    <x v="182"/>
    <x v="0"/>
  </r>
  <r>
    <n v="46"/>
    <n v="3"/>
    <x v="0"/>
    <x v="183"/>
    <x v="0"/>
  </r>
  <r>
    <n v="46"/>
    <n v="4"/>
    <x v="0"/>
    <x v="184"/>
    <x v="0"/>
  </r>
  <r>
    <n v="46"/>
    <n v="5"/>
    <x v="0"/>
    <x v="185"/>
    <x v="0"/>
  </r>
  <r>
    <n v="46"/>
    <n v="6"/>
    <x v="0"/>
    <x v="186"/>
    <x v="0"/>
  </r>
  <r>
    <n v="47"/>
    <s v="1a"/>
    <x v="0"/>
    <x v="187"/>
    <x v="0"/>
  </r>
  <r>
    <n v="47"/>
    <n v="2"/>
    <x v="0"/>
    <x v="188"/>
    <x v="0"/>
  </r>
  <r>
    <n v="47"/>
    <n v="3"/>
    <x v="0"/>
    <x v="189"/>
    <x v="0"/>
  </r>
  <r>
    <n v="47"/>
    <s v="4a"/>
    <x v="0"/>
    <x v="190"/>
    <x v="0"/>
  </r>
  <r>
    <n v="47"/>
    <n v="5"/>
    <x v="0"/>
    <x v="191"/>
    <x v="0"/>
  </r>
  <r>
    <n v="47"/>
    <s v="1b"/>
    <x v="1"/>
    <x v="192"/>
    <x v="0"/>
  </r>
  <r>
    <n v="47"/>
    <s v="4b"/>
    <x v="1"/>
    <x v="193"/>
    <x v="0"/>
  </r>
  <r>
    <n v="48"/>
    <n v="1"/>
    <x v="0"/>
    <x v="0"/>
    <x v="0"/>
  </r>
  <r>
    <n v="48"/>
    <n v="2"/>
    <x v="0"/>
    <x v="0"/>
    <x v="0"/>
  </r>
  <r>
    <n v="48"/>
    <n v="3"/>
    <x v="0"/>
    <x v="0"/>
    <x v="0"/>
  </r>
  <r>
    <n v="48"/>
    <n v="4"/>
    <x v="0"/>
    <x v="0"/>
    <x v="0"/>
  </r>
  <r>
    <n v="48"/>
    <n v="5"/>
    <x v="0"/>
    <x v="0"/>
    <x v="0"/>
  </r>
  <r>
    <n v="48"/>
    <n v="6"/>
    <x v="0"/>
    <x v="0"/>
    <x v="0"/>
  </r>
  <r>
    <n v="48"/>
    <n v="7"/>
    <x v="0"/>
    <x v="0"/>
    <x v="0"/>
  </r>
  <r>
    <n v="48"/>
    <n v="8"/>
    <x v="0"/>
    <x v="0"/>
    <x v="0"/>
  </r>
  <r>
    <n v="48"/>
    <n v="9"/>
    <x v="0"/>
    <x v="0"/>
    <x v="0"/>
  </r>
  <r>
    <n v="48"/>
    <n v="10"/>
    <x v="0"/>
    <x v="0"/>
    <x v="0"/>
  </r>
  <r>
    <n v="48"/>
    <n v="11"/>
    <x v="0"/>
    <x v="0"/>
    <x v="0"/>
  </r>
  <r>
    <n v="48"/>
    <n v="12"/>
    <x v="0"/>
    <x v="0"/>
    <x v="0"/>
  </r>
  <r>
    <n v="49"/>
    <n v="1"/>
    <x v="0"/>
    <x v="0"/>
    <x v="0"/>
  </r>
  <r>
    <n v="49"/>
    <n v="2"/>
    <x v="0"/>
    <x v="194"/>
    <x v="0"/>
  </r>
  <r>
    <n v="49"/>
    <n v="3"/>
    <x v="0"/>
    <x v="195"/>
    <x v="0"/>
  </r>
  <r>
    <n v="49"/>
    <n v="4"/>
    <x v="0"/>
    <x v="196"/>
    <x v="0"/>
  </r>
  <r>
    <n v="50"/>
    <n v="1"/>
    <x v="1"/>
    <x v="197"/>
    <x v="0"/>
  </r>
  <r>
    <n v="50"/>
    <n v="2"/>
    <x v="1"/>
    <x v="198"/>
    <x v="0"/>
  </r>
  <r>
    <n v="50"/>
    <n v="3"/>
    <x v="1"/>
    <x v="199"/>
    <x v="0"/>
  </r>
  <r>
    <n v="50"/>
    <n v="4"/>
    <x v="1"/>
    <x v="200"/>
    <x v="0"/>
  </r>
  <r>
    <n v="51"/>
    <n v="1"/>
    <x v="0"/>
    <x v="201"/>
    <x v="0"/>
  </r>
  <r>
    <n v="51"/>
    <n v="2"/>
    <x v="0"/>
    <x v="202"/>
    <x v="0"/>
  </r>
  <r>
    <n v="51"/>
    <n v="3"/>
    <x v="0"/>
    <x v="203"/>
    <x v="0"/>
  </r>
  <r>
    <n v="51"/>
    <n v="4"/>
    <x v="0"/>
    <x v="204"/>
    <x v="0"/>
  </r>
  <r>
    <n v="51"/>
    <n v="5"/>
    <x v="0"/>
    <x v="205"/>
    <x v="0"/>
  </r>
  <r>
    <n v="51"/>
    <n v="6"/>
    <x v="0"/>
    <x v="206"/>
    <x v="0"/>
  </r>
  <r>
    <n v="51"/>
    <n v="7"/>
    <x v="0"/>
    <x v="207"/>
    <x v="0"/>
  </r>
  <r>
    <n v="52"/>
    <n v="1"/>
    <x v="1"/>
    <x v="0"/>
    <x v="79"/>
  </r>
  <r>
    <n v="52"/>
    <n v="2"/>
    <x v="1"/>
    <x v="0"/>
    <x v="80"/>
  </r>
  <r>
    <n v="52"/>
    <n v="3"/>
    <x v="1"/>
    <x v="0"/>
    <x v="0"/>
  </r>
  <r>
    <n v="52"/>
    <n v="4"/>
    <x v="1"/>
    <x v="0"/>
    <x v="0"/>
  </r>
  <r>
    <n v="53"/>
    <n v="1"/>
    <x v="1"/>
    <x v="0"/>
    <x v="0"/>
  </r>
  <r>
    <n v="53"/>
    <n v="2"/>
    <x v="1"/>
    <x v="0"/>
    <x v="0"/>
  </r>
  <r>
    <n v="53"/>
    <n v="3"/>
    <x v="1"/>
    <x v="0"/>
    <x v="0"/>
  </r>
  <r>
    <n v="53"/>
    <n v="4"/>
    <x v="1"/>
    <x v="0"/>
    <x v="0"/>
  </r>
  <r>
    <n v="53"/>
    <n v="5"/>
    <x v="1"/>
    <x v="0"/>
    <x v="0"/>
  </r>
  <r>
    <n v="54"/>
    <n v="1"/>
    <x v="1"/>
    <x v="208"/>
    <x v="0"/>
  </r>
  <r>
    <n v="54"/>
    <n v="2"/>
    <x v="1"/>
    <x v="209"/>
    <x v="0"/>
  </r>
  <r>
    <n v="54"/>
    <n v="3"/>
    <x v="1"/>
    <x v="210"/>
    <x v="0"/>
  </r>
  <r>
    <n v="54"/>
    <n v="4"/>
    <x v="1"/>
    <x v="211"/>
    <x v="0"/>
  </r>
  <r>
    <n v="55"/>
    <s v="1a"/>
    <x v="0"/>
    <x v="0"/>
    <x v="0"/>
  </r>
  <r>
    <n v="55"/>
    <s v="2a"/>
    <x v="0"/>
    <x v="0"/>
    <x v="0"/>
  </r>
  <r>
    <n v="55"/>
    <s v="3a"/>
    <x v="0"/>
    <x v="0"/>
    <x v="0"/>
  </r>
  <r>
    <n v="55"/>
    <s v="1b"/>
    <x v="0"/>
    <x v="0"/>
    <x v="0"/>
  </r>
  <r>
    <n v="55"/>
    <s v="2b"/>
    <x v="0"/>
    <x v="0"/>
    <x v="0"/>
  </r>
  <r>
    <n v="55"/>
    <s v="3b"/>
    <x v="0"/>
    <x v="0"/>
    <x v="0"/>
  </r>
  <r>
    <n v="55"/>
    <s v="1c"/>
    <x v="0"/>
    <x v="0"/>
    <x v="0"/>
  </r>
  <r>
    <n v="55"/>
    <s v="2c"/>
    <x v="0"/>
    <x v="0"/>
    <x v="0"/>
  </r>
  <r>
    <n v="55"/>
    <s v="3c"/>
    <x v="0"/>
    <x v="0"/>
    <x v="0"/>
  </r>
  <r>
    <n v="56"/>
    <s v="1a"/>
    <x v="1"/>
    <x v="212"/>
    <x v="81"/>
  </r>
  <r>
    <n v="56"/>
    <s v="1b"/>
    <x v="0"/>
    <x v="0"/>
    <x v="0"/>
  </r>
  <r>
    <n v="57"/>
    <n v="1"/>
    <x v="1"/>
    <x v="213"/>
    <x v="0"/>
  </r>
  <r>
    <n v="57"/>
    <n v="2"/>
    <x v="1"/>
    <x v="214"/>
    <x v="0"/>
  </r>
  <r>
    <n v="58"/>
    <n v="1"/>
    <x v="0"/>
    <x v="215"/>
    <x v="82"/>
  </r>
  <r>
    <n v="58"/>
    <n v="2"/>
    <x v="0"/>
    <x v="216"/>
    <x v="83"/>
  </r>
  <r>
    <n v="58"/>
    <n v="3"/>
    <x v="0"/>
    <x v="217"/>
    <x v="84"/>
  </r>
  <r>
    <n v="58"/>
    <n v="4"/>
    <x v="0"/>
    <x v="218"/>
    <x v="85"/>
  </r>
  <r>
    <n v="58"/>
    <n v="5"/>
    <x v="0"/>
    <x v="219"/>
    <x v="86"/>
  </r>
  <r>
    <n v="59"/>
    <n v="1"/>
    <x v="1"/>
    <x v="220"/>
    <x v="0"/>
  </r>
  <r>
    <n v="59"/>
    <n v="2"/>
    <x v="1"/>
    <x v="221"/>
    <x v="0"/>
  </r>
  <r>
    <n v="59"/>
    <n v="3"/>
    <x v="1"/>
    <x v="222"/>
    <x v="0"/>
  </r>
  <r>
    <n v="59"/>
    <n v="4"/>
    <x v="1"/>
    <x v="223"/>
    <x v="0"/>
  </r>
  <r>
    <n v="59"/>
    <n v="5"/>
    <x v="1"/>
    <x v="224"/>
    <x v="0"/>
  </r>
  <r>
    <n v="59"/>
    <n v="6"/>
    <x v="1"/>
    <x v="225"/>
    <x v="0"/>
  </r>
  <r>
    <n v="60"/>
    <n v="1"/>
    <x v="1"/>
    <x v="226"/>
    <x v="87"/>
  </r>
  <r>
    <n v="60"/>
    <n v="2"/>
    <x v="1"/>
    <x v="227"/>
    <x v="88"/>
  </r>
  <r>
    <n v="60"/>
    <n v="3"/>
    <x v="1"/>
    <x v="228"/>
    <x v="89"/>
  </r>
  <r>
    <n v="60"/>
    <n v="4"/>
    <x v="1"/>
    <x v="229"/>
    <x v="90"/>
  </r>
  <r>
    <n v="60"/>
    <n v="5"/>
    <x v="1"/>
    <x v="230"/>
    <x v="91"/>
  </r>
  <r>
    <n v="60"/>
    <n v="6"/>
    <x v="1"/>
    <x v="231"/>
    <x v="92"/>
  </r>
  <r>
    <n v="60"/>
    <n v="7"/>
    <x v="1"/>
    <x v="232"/>
    <x v="93"/>
  </r>
  <r>
    <n v="60"/>
    <n v="8"/>
    <x v="1"/>
    <x v="233"/>
    <x v="94"/>
  </r>
  <r>
    <n v="61"/>
    <n v="1"/>
    <x v="1"/>
    <x v="234"/>
    <x v="95"/>
  </r>
  <r>
    <m/>
    <m/>
    <x v="2"/>
    <x v="0"/>
    <x v="0"/>
  </r>
  <r>
    <m/>
    <m/>
    <x v="2"/>
    <x v="0"/>
    <x v="0"/>
  </r>
  <r>
    <m/>
    <m/>
    <x v="2"/>
    <x v="0"/>
    <x v="0"/>
  </r>
  <r>
    <m/>
    <m/>
    <x v="2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n v="1"/>
    <n v="1"/>
    <x v="0"/>
    <m/>
    <m/>
    <x v="0"/>
  </r>
  <r>
    <n v="1"/>
    <n v="2"/>
    <x v="0"/>
    <m/>
    <m/>
    <x v="0"/>
  </r>
  <r>
    <n v="1"/>
    <n v="3"/>
    <x v="0"/>
    <m/>
    <m/>
    <x v="0"/>
  </r>
  <r>
    <n v="1"/>
    <n v="4"/>
    <x v="0"/>
    <m/>
    <m/>
    <x v="0"/>
  </r>
  <r>
    <n v="1"/>
    <n v="5"/>
    <x v="0"/>
    <m/>
    <m/>
    <x v="0"/>
  </r>
  <r>
    <n v="2"/>
    <n v="1"/>
    <x v="0"/>
    <n v="7.8116806310642408E-5"/>
    <n v="2.6282830311377898E-4"/>
    <x v="1"/>
  </r>
  <r>
    <n v="2"/>
    <n v="2"/>
    <x v="0"/>
    <n v="2.26406864333339E-6"/>
    <n v="3.5015658260911697E-5"/>
    <x v="2"/>
  </r>
  <r>
    <n v="2"/>
    <n v="3"/>
    <x v="0"/>
    <n v="6.9042533485137996E-4"/>
    <n v="1.1455561822784101E-3"/>
    <x v="3"/>
  </r>
  <r>
    <n v="2"/>
    <n v="4"/>
    <x v="0"/>
    <n v="9.2320826649339909E-4"/>
    <n v="3.7195620092518701E-3"/>
    <x v="4"/>
  </r>
  <r>
    <n v="3"/>
    <n v="1"/>
    <x v="0"/>
    <n v="2.37474943173543E-5"/>
    <n v="1.81071975453401E-5"/>
    <x v="5"/>
  </r>
  <r>
    <n v="3"/>
    <n v="2"/>
    <x v="0"/>
    <n v="2.1517122110803E-3"/>
    <n v="6.5543393870584293E-5"/>
    <x v="6"/>
  </r>
  <r>
    <n v="3"/>
    <n v="3"/>
    <x v="0"/>
    <n v="0.13240702811159602"/>
    <n v="1.51413740824685E-4"/>
    <x v="7"/>
  </r>
  <r>
    <n v="3"/>
    <n v="4"/>
    <x v="0"/>
    <n v="1.6815127502392202E-4"/>
    <n v="4.2796175387416397E-5"/>
    <x v="8"/>
  </r>
  <r>
    <n v="4"/>
    <n v="1"/>
    <x v="0"/>
    <n v="6.6089431059826297E-7"/>
    <n v="6.0388241190619601E-6"/>
    <x v="9"/>
  </r>
  <r>
    <n v="4"/>
    <n v="2"/>
    <x v="0"/>
    <n v="1.9369959509055001E-5"/>
    <n v="2.3519526350709501E-5"/>
    <x v="10"/>
  </r>
  <r>
    <n v="4"/>
    <n v="3"/>
    <x v="0"/>
    <n v="7.5203425621060699E-5"/>
    <n v="6.0388241190619606E-5"/>
    <x v="11"/>
  </r>
  <r>
    <n v="5"/>
    <n v="1"/>
    <x v="0"/>
    <n v="8.3623838199155313E-6"/>
    <n v="3.4087379834759098E-5"/>
    <x v="12"/>
  </r>
  <r>
    <n v="5"/>
    <n v="2"/>
    <x v="0"/>
    <n v="3.6219788372586698E-4"/>
    <n v="3.5646024043929202E-4"/>
    <x v="13"/>
  </r>
  <r>
    <n v="5"/>
    <n v="3"/>
    <x v="0"/>
    <n v="1.6829642705753901E-4"/>
    <n v="1.8819955200992199E-4"/>
    <x v="14"/>
  </r>
  <r>
    <n v="5"/>
    <n v="4"/>
    <x v="0"/>
    <n v="7.3773048029818499E-5"/>
    <n v="3.8986037025490701E-5"/>
    <x v="15"/>
  </r>
  <r>
    <n v="5"/>
    <n v="5"/>
    <x v="0"/>
    <n v="5.47818082744525E-6"/>
    <n v="6.04296390238132E-6"/>
    <x v="16"/>
  </r>
  <r>
    <n v="5"/>
    <n v="6"/>
    <x v="0"/>
    <n v="3.1934591389895901E-6"/>
    <n v="7.9797380741988205E-6"/>
    <x v="17"/>
  </r>
  <r>
    <n v="6"/>
    <n v="1"/>
    <x v="0"/>
    <n v="1.5091405542646299E-5"/>
    <m/>
    <x v="18"/>
  </r>
  <r>
    <n v="6"/>
    <n v="2"/>
    <x v="0"/>
    <n v="1.1418448306596499E-3"/>
    <m/>
    <x v="19"/>
  </r>
  <r>
    <n v="6"/>
    <n v="3"/>
    <x v="0"/>
    <n v="7.9351815692941096E-3"/>
    <m/>
    <x v="20"/>
  </r>
  <r>
    <n v="6"/>
    <n v="4"/>
    <x v="0"/>
    <n v="2.15687860058109E-2"/>
    <m/>
    <x v="21"/>
  </r>
  <r>
    <n v="7"/>
    <n v="1"/>
    <x v="0"/>
    <n v="1.8968234314012899E-6"/>
    <n v="3.9483219301735999E-5"/>
    <x v="22"/>
  </r>
  <r>
    <n v="7"/>
    <n v="2"/>
    <x v="0"/>
    <n v="8.3039076612001009E-3"/>
    <n v="7.1862486844915304E-3"/>
    <x v="23"/>
  </r>
  <r>
    <n v="8"/>
    <n v="1"/>
    <x v="1"/>
    <n v="6874.06855439642"/>
    <m/>
    <x v="24"/>
  </r>
  <r>
    <n v="8"/>
    <n v="2"/>
    <x v="1"/>
    <n v="7522.3546944858399"/>
    <m/>
    <x v="25"/>
  </r>
  <r>
    <n v="8"/>
    <n v="3"/>
    <x v="1"/>
    <n v="7622.9508196721299"/>
    <m/>
    <x v="26"/>
  </r>
  <r>
    <n v="8"/>
    <n v="4"/>
    <x v="1"/>
    <n v="4046.1997019373998"/>
    <m/>
    <x v="27"/>
  </r>
  <r>
    <n v="9"/>
    <n v="1"/>
    <x v="1"/>
    <n v="2779.4524142974601"/>
    <m/>
    <x v="28"/>
  </r>
  <r>
    <n v="9"/>
    <n v="2"/>
    <x v="1"/>
    <n v="3444.4342889310601"/>
    <m/>
    <x v="29"/>
  </r>
  <r>
    <n v="9"/>
    <n v="3"/>
    <x v="1"/>
    <n v="3242.7766007222899"/>
    <m/>
    <x v="30"/>
  </r>
  <r>
    <n v="9"/>
    <n v="4"/>
    <x v="1"/>
    <n v="3398.5642729759302"/>
    <m/>
    <x v="31"/>
  </r>
  <r>
    <n v="11"/>
    <s v="1a"/>
    <x v="0"/>
    <m/>
    <m/>
    <x v="0"/>
  </r>
  <r>
    <n v="11"/>
    <s v="2a"/>
    <x v="0"/>
    <m/>
    <m/>
    <x v="0"/>
  </r>
  <r>
    <n v="11"/>
    <s v="3a"/>
    <x v="0"/>
    <m/>
    <m/>
    <x v="0"/>
  </r>
  <r>
    <n v="11"/>
    <s v="4a"/>
    <x v="0"/>
    <m/>
    <m/>
    <x v="0"/>
  </r>
  <r>
    <n v="11"/>
    <s v="1b"/>
    <x v="1"/>
    <n v="4044.7031858346199"/>
    <m/>
    <x v="32"/>
  </r>
  <r>
    <n v="11"/>
    <s v="2b"/>
    <x v="1"/>
    <n v="2738.9851019136099"/>
    <m/>
    <x v="33"/>
  </r>
  <r>
    <n v="11"/>
    <s v="3b"/>
    <x v="1"/>
    <n v="2632.52817063572"/>
    <m/>
    <x v="34"/>
  </r>
  <r>
    <n v="11"/>
    <s v="4b"/>
    <x v="1"/>
    <n v="1491.4240697027601"/>
    <m/>
    <x v="35"/>
  </r>
  <r>
    <n v="12"/>
    <s v="1a"/>
    <x v="0"/>
    <n v="2.2939421957726698E-2"/>
    <m/>
    <x v="36"/>
  </r>
  <r>
    <n v="12"/>
    <s v="2a"/>
    <x v="0"/>
    <n v="1.9250161970978398E-4"/>
    <m/>
    <x v="37"/>
  </r>
  <r>
    <n v="12"/>
    <s v="3a"/>
    <x v="0"/>
    <n v="1.0860113903145201E-4"/>
    <m/>
    <x v="38"/>
  </r>
  <r>
    <n v="12"/>
    <s v="4a"/>
    <x v="0"/>
    <n v="9.8719070212982287E-6"/>
    <m/>
    <x v="39"/>
  </r>
  <r>
    <n v="12"/>
    <s v="5a"/>
    <x v="0"/>
    <n v="1.3279465837272701E-4"/>
    <m/>
    <x v="40"/>
  </r>
  <r>
    <n v="12"/>
    <s v="1b"/>
    <x v="1"/>
    <n v="12525.235362351599"/>
    <m/>
    <x v="41"/>
  </r>
  <r>
    <n v="12"/>
    <s v="2b"/>
    <x v="1"/>
    <n v="10345.704351709601"/>
    <m/>
    <x v="42"/>
  </r>
  <r>
    <n v="12"/>
    <s v="3b"/>
    <x v="1"/>
    <n v="11456.2023544844"/>
    <m/>
    <x v="43"/>
  </r>
  <r>
    <n v="12"/>
    <s v="4b"/>
    <x v="1"/>
    <n v="13869.682137681701"/>
    <m/>
    <x v="44"/>
  </r>
  <r>
    <n v="12"/>
    <s v="5b"/>
    <x v="1"/>
    <n v="11026.44056311"/>
    <m/>
    <x v="45"/>
  </r>
  <r>
    <n v="13"/>
    <n v="1"/>
    <x v="0"/>
    <m/>
    <m/>
    <x v="0"/>
  </r>
  <r>
    <n v="13"/>
    <n v="2"/>
    <x v="0"/>
    <m/>
    <m/>
    <x v="0"/>
  </r>
  <r>
    <n v="13"/>
    <n v="3"/>
    <x v="0"/>
    <m/>
    <m/>
    <x v="0"/>
  </r>
  <r>
    <n v="13"/>
    <n v="4"/>
    <x v="0"/>
    <m/>
    <m/>
    <x v="0"/>
  </r>
  <r>
    <n v="13"/>
    <n v="5"/>
    <x v="0"/>
    <m/>
    <m/>
    <x v="0"/>
  </r>
  <r>
    <n v="13"/>
    <n v="6"/>
    <x v="0"/>
    <m/>
    <m/>
    <x v="0"/>
  </r>
  <r>
    <n v="13"/>
    <n v="7"/>
    <x v="0"/>
    <m/>
    <m/>
    <x v="0"/>
  </r>
  <r>
    <n v="13"/>
    <n v="8"/>
    <x v="0"/>
    <m/>
    <m/>
    <x v="0"/>
  </r>
  <r>
    <n v="14"/>
    <n v="1"/>
    <x v="0"/>
    <n v="2.26934152711838E-4"/>
    <n v="1.2941039544084299E-3"/>
    <x v="46"/>
  </r>
  <r>
    <n v="14"/>
    <n v="2"/>
    <x v="0"/>
    <n v="4.8818908460809699E-4"/>
    <n v="1.10273454821906E-3"/>
    <x v="47"/>
  </r>
  <r>
    <n v="14"/>
    <n v="3"/>
    <x v="0"/>
    <n v="2.5141269035092902E-3"/>
    <n v="1.84675511099487E-3"/>
    <x v="48"/>
  </r>
  <r>
    <n v="14"/>
    <n v="4"/>
    <x v="0"/>
    <n v="6.0186161470522099E-3"/>
    <n v="2.1672424209635602E-3"/>
    <x v="49"/>
  </r>
  <r>
    <n v="14"/>
    <n v="5"/>
    <x v="0"/>
    <n v="8.1475180266749204E-3"/>
    <n v="3.3803189069540099E-3"/>
    <x v="50"/>
  </r>
  <r>
    <n v="14"/>
    <n v="6"/>
    <x v="0"/>
    <n v="1.0643377802739201E-2"/>
    <n v="3.1763655150792301E-3"/>
    <x v="51"/>
  </r>
  <r>
    <n v="14"/>
    <n v="7"/>
    <x v="0"/>
    <n v="1.1429495846981799E-2"/>
    <n v="2.4112343319032002E-3"/>
    <x v="52"/>
  </r>
  <r>
    <n v="14"/>
    <n v="8"/>
    <x v="0"/>
    <n v="2.1704870911799099E-2"/>
    <n v="4.4135472823130005E-3"/>
    <x v="53"/>
  </r>
  <r>
    <n v="14"/>
    <n v="9"/>
    <x v="0"/>
    <n v="2.78531446935582E-2"/>
    <n v="5.4632570530422702E-3"/>
    <x v="54"/>
  </r>
  <r>
    <n v="14"/>
    <n v="10"/>
    <x v="0"/>
    <n v="5.3844480790280494E-2"/>
    <n v="1.00893013070457E-2"/>
    <x v="55"/>
  </r>
  <r>
    <n v="15"/>
    <n v="1"/>
    <x v="0"/>
    <m/>
    <m/>
    <x v="0"/>
  </r>
  <r>
    <n v="15"/>
    <n v="2"/>
    <x v="0"/>
    <m/>
    <m/>
    <x v="0"/>
  </r>
  <r>
    <n v="15"/>
    <n v="3"/>
    <x v="0"/>
    <m/>
    <m/>
    <x v="0"/>
  </r>
  <r>
    <n v="15"/>
    <n v="4"/>
    <x v="0"/>
    <m/>
    <m/>
    <x v="0"/>
  </r>
  <r>
    <n v="15"/>
    <n v="5"/>
    <x v="0"/>
    <m/>
    <m/>
    <x v="0"/>
  </r>
  <r>
    <n v="15"/>
    <n v="6"/>
    <x v="0"/>
    <m/>
    <m/>
    <x v="0"/>
  </r>
  <r>
    <n v="16"/>
    <n v="1"/>
    <x v="1"/>
    <n v="1623.0152115798401"/>
    <m/>
    <x v="0"/>
  </r>
  <r>
    <n v="16"/>
    <n v="2"/>
    <x v="1"/>
    <n v="2416.71719149509"/>
    <m/>
    <x v="0"/>
  </r>
  <r>
    <n v="16"/>
    <n v="3"/>
    <x v="1"/>
    <n v="2888.31918134222"/>
    <m/>
    <x v="0"/>
  </r>
  <r>
    <n v="17"/>
    <n v="1"/>
    <x v="0"/>
    <n v="2.6366509999999998E-3"/>
    <m/>
    <x v="0"/>
  </r>
  <r>
    <n v="17"/>
    <n v="2"/>
    <x v="0"/>
    <n v="3.0990500000000002E-4"/>
    <m/>
    <x v="0"/>
  </r>
  <r>
    <n v="17"/>
    <n v="3"/>
    <x v="0"/>
    <n v="1.7604100000000002E-4"/>
    <m/>
    <x v="0"/>
  </r>
  <r>
    <n v="17"/>
    <n v="4"/>
    <x v="0"/>
    <n v="4.1957299999999996E-4"/>
    <m/>
    <x v="0"/>
  </r>
  <r>
    <n v="18"/>
    <n v="1"/>
    <x v="0"/>
    <n v="2.1303200000000002E-3"/>
    <n v="8.0566999999999998E-4"/>
    <x v="56"/>
  </r>
  <r>
    <n v="18"/>
    <n v="2"/>
    <x v="0"/>
    <n v="1.6000999999999998E-4"/>
    <n v="1.11516E-3"/>
    <x v="57"/>
  </r>
  <r>
    <n v="19"/>
    <n v="1"/>
    <x v="1"/>
    <n v="5420.22"/>
    <n v="234.94"/>
    <x v="58"/>
  </r>
  <r>
    <n v="19"/>
    <n v="2"/>
    <x v="1"/>
    <n v="4489.8900000000003"/>
    <n v="208.16"/>
    <x v="59"/>
  </r>
  <r>
    <n v="19"/>
    <n v="3"/>
    <x v="1"/>
    <n v="4058.43"/>
    <n v="200.21"/>
    <x v="60"/>
  </r>
  <r>
    <n v="19"/>
    <n v="4"/>
    <x v="1"/>
    <n v="3802.25"/>
    <n v="197.7"/>
    <x v="61"/>
  </r>
  <r>
    <n v="19"/>
    <n v="5"/>
    <x v="1"/>
    <n v="2575.2800000000002"/>
    <n v="170.5"/>
    <x v="62"/>
  </r>
  <r>
    <n v="20"/>
    <s v="1a"/>
    <x v="0"/>
    <m/>
    <m/>
    <x v="0"/>
  </r>
  <r>
    <n v="20"/>
    <s v="2a"/>
    <x v="0"/>
    <m/>
    <m/>
    <x v="0"/>
  </r>
  <r>
    <n v="20"/>
    <s v="3a"/>
    <x v="0"/>
    <m/>
    <m/>
    <x v="0"/>
  </r>
  <r>
    <n v="20"/>
    <s v="4a"/>
    <x v="0"/>
    <m/>
    <m/>
    <x v="0"/>
  </r>
  <r>
    <n v="20"/>
    <s v="1b"/>
    <x v="0"/>
    <m/>
    <m/>
    <x v="0"/>
  </r>
  <r>
    <n v="20"/>
    <s v="2b"/>
    <x v="0"/>
    <m/>
    <m/>
    <x v="0"/>
  </r>
  <r>
    <n v="20"/>
    <s v="3b"/>
    <x v="0"/>
    <m/>
    <m/>
    <x v="0"/>
  </r>
  <r>
    <n v="20"/>
    <s v="4b"/>
    <x v="0"/>
    <m/>
    <m/>
    <x v="0"/>
  </r>
  <r>
    <n v="20"/>
    <s v="1c"/>
    <x v="0"/>
    <m/>
    <m/>
    <x v="0"/>
  </r>
  <r>
    <n v="20"/>
    <s v="2c"/>
    <x v="0"/>
    <m/>
    <m/>
    <x v="0"/>
  </r>
  <r>
    <n v="20"/>
    <s v="3c"/>
    <x v="0"/>
    <m/>
    <m/>
    <x v="0"/>
  </r>
  <r>
    <n v="20"/>
    <s v="4c"/>
    <x v="0"/>
    <m/>
    <m/>
    <x v="0"/>
  </r>
  <r>
    <n v="20"/>
    <s v="1d"/>
    <x v="1"/>
    <n v="2564.8851719364202"/>
    <m/>
    <x v="0"/>
  </r>
  <r>
    <n v="20"/>
    <s v="2d"/>
    <x v="1"/>
    <n v="1459.26288005383"/>
    <m/>
    <x v="0"/>
  </r>
  <r>
    <n v="20"/>
    <s v="3d"/>
    <x v="1"/>
    <n v="875.48614787682698"/>
    <m/>
    <x v="0"/>
  </r>
  <r>
    <n v="20"/>
    <s v="4d"/>
    <x v="1"/>
    <n v="755.82193751668501"/>
    <m/>
    <x v="0"/>
  </r>
  <r>
    <n v="20"/>
    <s v="1e"/>
    <x v="1"/>
    <m/>
    <m/>
    <x v="0"/>
  </r>
  <r>
    <n v="20"/>
    <s v="2e"/>
    <x v="1"/>
    <m/>
    <m/>
    <x v="0"/>
  </r>
  <r>
    <n v="20"/>
    <s v="3e"/>
    <x v="1"/>
    <m/>
    <m/>
    <x v="0"/>
  </r>
  <r>
    <n v="20"/>
    <s v="4e"/>
    <x v="1"/>
    <m/>
    <m/>
    <x v="0"/>
  </r>
  <r>
    <n v="21"/>
    <s v="1a"/>
    <x v="1"/>
    <n v="3307.34"/>
    <n v="57.31"/>
    <x v="63"/>
  </r>
  <r>
    <n v="21"/>
    <s v="2a"/>
    <x v="1"/>
    <n v="3050.46"/>
    <n v="76.650000000000006"/>
    <x v="64"/>
  </r>
  <r>
    <n v="21"/>
    <s v="3a"/>
    <x v="1"/>
    <n v="2868.5"/>
    <n v="83.09"/>
    <x v="65"/>
  </r>
  <r>
    <n v="21"/>
    <s v="4a"/>
    <x v="1"/>
    <n v="2707.95"/>
    <n v="121.06"/>
    <x v="66"/>
  </r>
  <r>
    <n v="21"/>
    <s v="5a"/>
    <x v="1"/>
    <n v="3000"/>
    <n v="51.49"/>
    <x v="67"/>
  </r>
  <r>
    <n v="21"/>
    <s v="6a"/>
    <x v="1"/>
    <n v="3702.38"/>
    <n v="75.37"/>
    <x v="68"/>
  </r>
  <r>
    <n v="21"/>
    <s v="7a"/>
    <x v="1"/>
    <n v="3130.95"/>
    <n v="81.34"/>
    <x v="69"/>
  </r>
  <r>
    <n v="21"/>
    <s v="8a"/>
    <x v="1"/>
    <n v="2642.86"/>
    <n v="115.67"/>
    <x v="70"/>
  </r>
  <r>
    <n v="21"/>
    <s v="1b"/>
    <x v="0"/>
    <m/>
    <m/>
    <x v="0"/>
  </r>
  <r>
    <n v="21"/>
    <s v="2b"/>
    <x v="0"/>
    <m/>
    <m/>
    <x v="0"/>
  </r>
  <r>
    <n v="21"/>
    <s v="3b"/>
    <x v="0"/>
    <m/>
    <m/>
    <x v="0"/>
  </r>
  <r>
    <n v="21"/>
    <s v="4b"/>
    <x v="0"/>
    <m/>
    <m/>
    <x v="0"/>
  </r>
  <r>
    <n v="21"/>
    <s v="5b"/>
    <x v="0"/>
    <m/>
    <m/>
    <x v="0"/>
  </r>
  <r>
    <n v="21"/>
    <s v="6b"/>
    <x v="0"/>
    <m/>
    <m/>
    <x v="0"/>
  </r>
  <r>
    <n v="21"/>
    <s v="7b"/>
    <x v="0"/>
    <m/>
    <m/>
    <x v="0"/>
  </r>
  <r>
    <n v="21"/>
    <s v="8b"/>
    <x v="0"/>
    <m/>
    <m/>
    <x v="0"/>
  </r>
  <r>
    <n v="22"/>
    <n v="1"/>
    <x v="0"/>
    <m/>
    <m/>
    <x v="0"/>
  </r>
  <r>
    <n v="22"/>
    <n v="2"/>
    <x v="0"/>
    <m/>
    <m/>
    <x v="0"/>
  </r>
  <r>
    <n v="22"/>
    <n v="3"/>
    <x v="0"/>
    <m/>
    <m/>
    <x v="0"/>
  </r>
  <r>
    <n v="22"/>
    <n v="4"/>
    <x v="0"/>
    <m/>
    <m/>
    <x v="0"/>
  </r>
  <r>
    <n v="22"/>
    <n v="5"/>
    <x v="0"/>
    <m/>
    <m/>
    <x v="0"/>
  </r>
  <r>
    <n v="22"/>
    <n v="6"/>
    <x v="0"/>
    <m/>
    <m/>
    <x v="0"/>
  </r>
  <r>
    <n v="22"/>
    <n v="7"/>
    <x v="0"/>
    <m/>
    <m/>
    <x v="0"/>
  </r>
  <r>
    <n v="22"/>
    <n v="8"/>
    <x v="0"/>
    <m/>
    <m/>
    <x v="0"/>
  </r>
  <r>
    <n v="23"/>
    <n v="1"/>
    <x v="1"/>
    <n v="3990"/>
    <n v="90"/>
    <x v="71"/>
  </r>
  <r>
    <n v="23"/>
    <n v="2"/>
    <x v="1"/>
    <n v="5050"/>
    <n v="100"/>
    <x v="72"/>
  </r>
  <r>
    <n v="23"/>
    <n v="3"/>
    <x v="1"/>
    <n v="7450"/>
    <n v="140"/>
    <x v="73"/>
  </r>
  <r>
    <n v="23"/>
    <n v="4"/>
    <x v="1"/>
    <n v="8400"/>
    <n v="160"/>
    <x v="74"/>
  </r>
  <r>
    <n v="23"/>
    <n v="5"/>
    <x v="1"/>
    <n v="5950"/>
    <n v="120"/>
    <x v="75"/>
  </r>
  <r>
    <n v="24"/>
    <n v="1"/>
    <x v="0"/>
    <n v="8.9999999999999999E-8"/>
    <m/>
    <x v="76"/>
  </r>
  <r>
    <n v="24"/>
    <n v="2"/>
    <x v="0"/>
    <n v="9.4199999999999996E-6"/>
    <m/>
    <x v="77"/>
  </r>
  <r>
    <n v="24"/>
    <n v="3"/>
    <x v="0"/>
    <n v="7.8640000000000006E-5"/>
    <m/>
    <x v="78"/>
  </r>
  <r>
    <n v="24"/>
    <n v="4"/>
    <x v="0"/>
    <n v="2.0561000000000001E-4"/>
    <m/>
    <x v="79"/>
  </r>
  <r>
    <n v="24"/>
    <n v="5"/>
    <x v="0"/>
    <n v="8.0232000000000003E-4"/>
    <m/>
    <x v="80"/>
  </r>
  <r>
    <n v="24"/>
    <n v="6"/>
    <x v="0"/>
    <n v="2.0976799999999998E-3"/>
    <m/>
    <x v="81"/>
  </r>
  <r>
    <n v="24"/>
    <n v="7"/>
    <x v="0"/>
    <n v="9.60746E-3"/>
    <m/>
    <x v="82"/>
  </r>
  <r>
    <n v="25"/>
    <n v="1"/>
    <x v="1"/>
    <n v="1365.74"/>
    <m/>
    <x v="0"/>
  </r>
  <r>
    <n v="25"/>
    <n v="2"/>
    <x v="1"/>
    <n v="1722.22"/>
    <m/>
    <x v="0"/>
  </r>
  <r>
    <n v="25"/>
    <n v="3"/>
    <x v="1"/>
    <n v="2518.52"/>
    <m/>
    <x v="0"/>
  </r>
  <r>
    <n v="25"/>
    <n v="4"/>
    <x v="1"/>
    <n v="2634.26"/>
    <m/>
    <x v="0"/>
  </r>
  <r>
    <n v="26"/>
    <s v="1a"/>
    <x v="0"/>
    <n v="8.0000000000000007E-7"/>
    <m/>
    <x v="83"/>
  </r>
  <r>
    <n v="26"/>
    <s v="2a"/>
    <x v="0"/>
    <n v="1.2914999999999999E-5"/>
    <m/>
    <x v="84"/>
  </r>
  <r>
    <n v="26"/>
    <s v="3a"/>
    <x v="0"/>
    <n v="2.6208399999999999E-4"/>
    <m/>
    <x v="85"/>
  </r>
  <r>
    <n v="26"/>
    <s v="4a"/>
    <x v="0"/>
    <n v="1.8298330000000001E-3"/>
    <m/>
    <x v="86"/>
  </r>
  <r>
    <n v="26"/>
    <s v="5a"/>
    <x v="1"/>
    <n v="7.2136660000000005E-3"/>
    <m/>
    <x v="87"/>
  </r>
  <r>
    <n v="26"/>
    <s v="1b"/>
    <x v="1"/>
    <n v="9816.4716526543798"/>
    <m/>
    <x v="88"/>
  </r>
  <r>
    <n v="26"/>
    <s v="2b"/>
    <x v="1"/>
    <n v="13209.4115651273"/>
    <m/>
    <x v="89"/>
  </r>
  <r>
    <n v="26"/>
    <s v="3b"/>
    <x v="1"/>
    <n v="11754.718000000001"/>
    <m/>
    <x v="90"/>
  </r>
  <r>
    <n v="26"/>
    <s v="4b"/>
    <x v="1"/>
    <n v="12712.264999999999"/>
    <m/>
    <x v="91"/>
  </r>
  <r>
    <n v="26"/>
    <s v="5b"/>
    <x v="1"/>
    <n v="12051.888000000001"/>
    <m/>
    <x v="92"/>
  </r>
  <r>
    <n v="27"/>
    <n v="1"/>
    <x v="1"/>
    <n v="1638.655"/>
    <m/>
    <x v="93"/>
  </r>
  <r>
    <n v="27"/>
    <n v="2"/>
    <x v="1"/>
    <n v="4172.2690000000002"/>
    <m/>
    <x v="94"/>
  </r>
  <r>
    <n v="27"/>
    <n v="3"/>
    <x v="1"/>
    <n v="5130.2520000000004"/>
    <m/>
    <x v="95"/>
  </r>
  <r>
    <n v="27"/>
    <n v="4"/>
    <x v="1"/>
    <n v="5369.7479999999996"/>
    <m/>
    <x v="96"/>
  </r>
  <r>
    <n v="28"/>
    <n v="1"/>
    <x v="0"/>
    <n v="1.187E-5"/>
    <m/>
    <x v="0"/>
  </r>
  <r>
    <n v="28"/>
    <n v="2"/>
    <x v="0"/>
    <n v="1.156051E-2"/>
    <m/>
    <x v="0"/>
  </r>
  <r>
    <n v="28"/>
    <n v="3"/>
    <x v="0"/>
    <n v="2.60634E-3"/>
    <m/>
    <x v="0"/>
  </r>
  <r>
    <n v="28"/>
    <n v="4"/>
    <x v="0"/>
    <n v="1.318952E-2"/>
    <m/>
    <x v="0"/>
  </r>
  <r>
    <n v="28"/>
    <n v="5"/>
    <x v="0"/>
    <n v="1.6943679999999999E-2"/>
    <m/>
    <x v="0"/>
  </r>
  <r>
    <n v="28"/>
    <n v="6"/>
    <x v="0"/>
    <n v="8.7649200000000007E-3"/>
    <m/>
    <x v="0"/>
  </r>
  <r>
    <n v="29"/>
    <n v="1"/>
    <x v="0"/>
    <n v="5.5952999999999992E-4"/>
    <m/>
    <x v="97"/>
  </r>
  <r>
    <n v="29"/>
    <n v="2"/>
    <x v="0"/>
    <n v="1.0134379999999998E-2"/>
    <m/>
    <x v="98"/>
  </r>
  <r>
    <n v="29"/>
    <n v="3"/>
    <x v="0"/>
    <n v="2.8325259999999998E-2"/>
    <m/>
    <x v="99"/>
  </r>
  <r>
    <n v="29"/>
    <n v="4"/>
    <x v="0"/>
    <n v="0.19886151000000002"/>
    <m/>
    <x v="100"/>
  </r>
  <r>
    <n v="29"/>
    <n v="5"/>
    <x v="0"/>
    <n v="7.2105940000000007E-2"/>
    <m/>
    <x v="101"/>
  </r>
  <r>
    <n v="30"/>
    <n v="1"/>
    <x v="1"/>
    <n v="2511.9"/>
    <n v="172.2"/>
    <x v="102"/>
  </r>
  <r>
    <n v="30"/>
    <n v="2"/>
    <x v="1"/>
    <n v="5595.24"/>
    <n v="237.18"/>
    <x v="103"/>
  </r>
  <r>
    <n v="30"/>
    <n v="3"/>
    <x v="1"/>
    <n v="5738.1"/>
    <n v="224.19"/>
    <x v="104"/>
  </r>
  <r>
    <n v="31"/>
    <n v="1"/>
    <x v="1"/>
    <n v="1190.48"/>
    <m/>
    <x v="0"/>
  </r>
  <r>
    <n v="31"/>
    <n v="2"/>
    <x v="1"/>
    <n v="1587.3"/>
    <m/>
    <x v="0"/>
  </r>
  <r>
    <n v="31"/>
    <n v="3"/>
    <x v="1"/>
    <n v="2371.0300000000002"/>
    <m/>
    <x v="0"/>
  </r>
  <r>
    <n v="31"/>
    <n v="4"/>
    <x v="1"/>
    <n v="3541.67"/>
    <m/>
    <x v="0"/>
  </r>
  <r>
    <n v="31"/>
    <n v="5"/>
    <x v="1"/>
    <n v="4186.51"/>
    <m/>
    <x v="0"/>
  </r>
  <r>
    <n v="32"/>
    <n v="1"/>
    <x v="1"/>
    <m/>
    <m/>
    <x v="0"/>
  </r>
  <r>
    <n v="32"/>
    <n v="2"/>
    <x v="1"/>
    <n v="4652.4059999999999"/>
    <n v="130.548"/>
    <x v="105"/>
  </r>
  <r>
    <n v="33"/>
    <n v="1"/>
    <x v="0"/>
    <n v="1.6500000000000001E-7"/>
    <n v="2.791E-6"/>
    <x v="106"/>
  </r>
  <r>
    <n v="33"/>
    <n v="2"/>
    <x v="0"/>
    <n v="1.0279999999999999E-6"/>
    <n v="1.2076000000000001E-5"/>
    <x v="107"/>
  </r>
  <r>
    <n v="33"/>
    <n v="3"/>
    <x v="0"/>
    <n v="1.483E-6"/>
    <n v="1.6295000000000002E-5"/>
    <x v="108"/>
  </r>
  <r>
    <n v="33"/>
    <n v="4"/>
    <x v="0"/>
    <n v="1.234714E-3"/>
    <n v="5.3718100000000007E-4"/>
    <x v="109"/>
  </r>
  <r>
    <n v="34"/>
    <n v="1"/>
    <x v="0"/>
    <n v="1.2914999999999999E-5"/>
    <n v="8.3941000000000002E-5"/>
    <x v="110"/>
  </r>
  <r>
    <n v="34"/>
    <n v="2"/>
    <x v="0"/>
    <n v="3.5314000000000001E-5"/>
    <n v="1.2951799999999999E-4"/>
    <x v="111"/>
  </r>
  <r>
    <n v="34"/>
    <n v="3"/>
    <x v="0"/>
    <n v="9.0447999999999999E-5"/>
    <n v="2.12671E-4"/>
    <x v="112"/>
  </r>
  <r>
    <n v="34"/>
    <n v="4"/>
    <x v="0"/>
    <n v="3.445652E-3"/>
    <n v="1.9486449999999999E-3"/>
    <x v="113"/>
  </r>
  <r>
    <n v="35"/>
    <n v="1"/>
    <x v="0"/>
    <n v="4.5000000000000003E-7"/>
    <m/>
    <x v="0"/>
  </r>
  <r>
    <n v="35"/>
    <n v="2"/>
    <x v="0"/>
    <n v="4.8999999999999997E-7"/>
    <m/>
    <x v="0"/>
  </r>
  <r>
    <n v="35"/>
    <n v="3"/>
    <x v="0"/>
    <n v="1.6E-7"/>
    <m/>
    <x v="0"/>
  </r>
  <r>
    <n v="35"/>
    <n v="4"/>
    <x v="0"/>
    <n v="1.04E-6"/>
    <m/>
    <x v="0"/>
  </r>
  <r>
    <n v="36"/>
    <n v="1"/>
    <x v="1"/>
    <n v="4017.0000000000005"/>
    <m/>
    <x v="0"/>
  </r>
  <r>
    <n v="36"/>
    <n v="2"/>
    <x v="1"/>
    <n v="8343"/>
    <m/>
    <x v="0"/>
  </r>
  <r>
    <n v="36"/>
    <n v="3"/>
    <x v="1"/>
    <n v="5382"/>
    <m/>
    <x v="0"/>
  </r>
  <r>
    <n v="36"/>
    <n v="4"/>
    <x v="1"/>
    <n v="7403"/>
    <m/>
    <x v="0"/>
  </r>
  <r>
    <n v="37"/>
    <n v="1"/>
    <x v="1"/>
    <n v="3774.82"/>
    <m/>
    <x v="114"/>
  </r>
  <r>
    <n v="37"/>
    <n v="2"/>
    <x v="1"/>
    <n v="3820.8629999999998"/>
    <m/>
    <x v="115"/>
  </r>
  <r>
    <n v="37"/>
    <n v="3"/>
    <x v="1"/>
    <n v="3475.54"/>
    <m/>
    <x v="116"/>
  </r>
  <r>
    <n v="37"/>
    <n v="4"/>
    <x v="1"/>
    <n v="3999.2809999999999"/>
    <m/>
    <x v="117"/>
  </r>
  <r>
    <n v="37"/>
    <n v="5"/>
    <x v="1"/>
    <n v="3653.9569999999999"/>
    <m/>
    <x v="118"/>
  </r>
  <r>
    <n v="37"/>
    <n v="6"/>
    <x v="1"/>
    <n v="4315.8270000000002"/>
    <m/>
    <x v="119"/>
  </r>
  <r>
    <n v="37"/>
    <n v="7"/>
    <x v="1"/>
    <n v="3918.7049999999999"/>
    <m/>
    <x v="120"/>
  </r>
  <r>
    <n v="38"/>
    <n v="1"/>
    <x v="0"/>
    <m/>
    <m/>
    <x v="0"/>
  </r>
  <r>
    <n v="38"/>
    <n v="2"/>
    <x v="0"/>
    <m/>
    <m/>
    <x v="0"/>
  </r>
  <r>
    <n v="38"/>
    <n v="3"/>
    <x v="0"/>
    <m/>
    <m/>
    <x v="0"/>
  </r>
  <r>
    <n v="38"/>
    <n v="4"/>
    <x v="0"/>
    <m/>
    <m/>
    <x v="0"/>
  </r>
  <r>
    <n v="38"/>
    <n v="5"/>
    <x v="0"/>
    <m/>
    <m/>
    <x v="0"/>
  </r>
  <r>
    <n v="38"/>
    <n v="6"/>
    <x v="0"/>
    <m/>
    <m/>
    <x v="0"/>
  </r>
  <r>
    <n v="39"/>
    <n v="1"/>
    <x v="0"/>
    <m/>
    <m/>
    <x v="0"/>
  </r>
  <r>
    <n v="39"/>
    <n v="2"/>
    <x v="0"/>
    <m/>
    <m/>
    <x v="0"/>
  </r>
  <r>
    <n v="39"/>
    <n v="3"/>
    <x v="0"/>
    <m/>
    <m/>
    <x v="0"/>
  </r>
  <r>
    <n v="39"/>
    <n v="4"/>
    <x v="0"/>
    <m/>
    <m/>
    <x v="0"/>
  </r>
  <r>
    <n v="39"/>
    <n v="5"/>
    <x v="0"/>
    <m/>
    <m/>
    <x v="0"/>
  </r>
  <r>
    <n v="39"/>
    <n v="6"/>
    <x v="0"/>
    <m/>
    <m/>
    <x v="0"/>
  </r>
  <r>
    <n v="39"/>
    <n v="7"/>
    <x v="0"/>
    <m/>
    <m/>
    <x v="0"/>
  </r>
  <r>
    <n v="39"/>
    <n v="8"/>
    <x v="0"/>
    <m/>
    <m/>
    <x v="0"/>
  </r>
  <r>
    <n v="40"/>
    <n v="1"/>
    <x v="1"/>
    <n v="1953.087"/>
    <m/>
    <x v="121"/>
  </r>
  <r>
    <n v="40"/>
    <n v="2"/>
    <x v="1"/>
    <n v="2127.3310000000001"/>
    <m/>
    <x v="122"/>
  </r>
  <r>
    <n v="40"/>
    <n v="3"/>
    <x v="1"/>
    <n v="2384.0729999999999"/>
    <m/>
    <x v="123"/>
  </r>
  <r>
    <n v="40"/>
    <n v="4"/>
    <x v="1"/>
    <n v="2523.84"/>
    <m/>
    <x v="124"/>
  </r>
  <r>
    <n v="40"/>
    <n v="5"/>
    <x v="1"/>
    <n v="2560.0439999999999"/>
    <m/>
    <x v="125"/>
  </r>
  <r>
    <n v="41"/>
    <n v="1"/>
    <x v="0"/>
    <n v="0.43099999999999999"/>
    <n v="16.030999999999999"/>
    <x v="126"/>
  </r>
  <r>
    <n v="41"/>
    <n v="2"/>
    <x v="0"/>
    <n v="98.453999999999994"/>
    <n v="102.902"/>
    <x v="127"/>
  </r>
  <r>
    <n v="41"/>
    <n v="3"/>
    <x v="0"/>
    <n v="1408.8009999999999"/>
    <n v="1014.405"/>
    <x v="128"/>
  </r>
  <r>
    <n v="41"/>
    <n v="4"/>
    <x v="0"/>
    <n v="15181.9"/>
    <n v="10144.045"/>
    <x v="129"/>
  </r>
  <r>
    <n v="41"/>
    <n v="5"/>
    <x v="0"/>
    <n v="48234.29"/>
    <n v="23926.654999999999"/>
    <x v="130"/>
  </r>
  <r>
    <n v="41"/>
    <n v="6"/>
    <x v="0"/>
    <n v="222031.234"/>
    <n v="147130.21299999999"/>
    <x v="131"/>
  </r>
  <r>
    <n v="42"/>
    <s v="1a"/>
    <x v="0"/>
    <n v="3.6699999999999999E-7"/>
    <n v="6.0701E-5"/>
    <x v="132"/>
  </r>
  <r>
    <n v="42"/>
    <s v="2a"/>
    <x v="0"/>
    <n v="1.4610000000000001E-6"/>
    <n v="1.01168E-4"/>
    <x v="133"/>
  </r>
  <r>
    <n v="42"/>
    <s v="3a"/>
    <x v="0"/>
    <n v="1.241989E-3"/>
    <n v="4.6836900000000006E-4"/>
    <x v="134"/>
  </r>
  <r>
    <n v="42"/>
    <s v="1b"/>
    <x v="1"/>
    <n v="0.17256529400000001"/>
    <m/>
    <x v="135"/>
  </r>
  <r>
    <n v="42"/>
    <s v="2b"/>
    <x v="1"/>
    <n v="0.32402482100000002"/>
    <m/>
    <x v="136"/>
  </r>
  <r>
    <n v="42"/>
    <s v="3b"/>
    <x v="1"/>
    <n v="0.32402482100000002"/>
    <m/>
    <x v="136"/>
  </r>
  <r>
    <n v="43"/>
    <n v="1"/>
    <x v="0"/>
    <n v="3.5999999999999999E-7"/>
    <m/>
    <x v="137"/>
  </r>
  <r>
    <n v="43"/>
    <n v="2"/>
    <x v="0"/>
    <n v="1.5900000000000001E-7"/>
    <m/>
    <x v="138"/>
  </r>
  <r>
    <n v="43"/>
    <n v="3"/>
    <x v="0"/>
    <n v="4.1477300000000001E-4"/>
    <m/>
    <x v="139"/>
  </r>
  <r>
    <n v="44"/>
    <s v="1a"/>
    <x v="0"/>
    <m/>
    <m/>
    <x v="0"/>
  </r>
  <r>
    <n v="44"/>
    <s v="2a"/>
    <x v="0"/>
    <m/>
    <m/>
    <x v="0"/>
  </r>
  <r>
    <n v="44"/>
    <s v="3a"/>
    <x v="0"/>
    <m/>
    <m/>
    <x v="0"/>
  </r>
  <r>
    <n v="44"/>
    <s v="4a"/>
    <x v="0"/>
    <m/>
    <m/>
    <x v="0"/>
  </r>
  <r>
    <n v="44"/>
    <s v="5a"/>
    <x v="0"/>
    <m/>
    <m/>
    <x v="0"/>
  </r>
  <r>
    <n v="44"/>
    <s v="1b"/>
    <x v="1"/>
    <m/>
    <m/>
    <x v="0"/>
  </r>
  <r>
    <n v="44"/>
    <s v="2b"/>
    <x v="1"/>
    <m/>
    <m/>
    <x v="0"/>
  </r>
  <r>
    <n v="44"/>
    <s v="3b"/>
    <x v="1"/>
    <m/>
    <m/>
    <x v="0"/>
  </r>
  <r>
    <n v="44"/>
    <s v="4b"/>
    <x v="1"/>
    <m/>
    <m/>
    <x v="0"/>
  </r>
  <r>
    <n v="44"/>
    <s v="5b"/>
    <x v="1"/>
    <m/>
    <m/>
    <x v="0"/>
  </r>
  <r>
    <n v="45"/>
    <s v="1a"/>
    <x v="0"/>
    <n v="1.1370000000000001E-6"/>
    <n v="1.9570000000000001E-6"/>
    <x v="140"/>
  </r>
  <r>
    <n v="45"/>
    <s v="2a"/>
    <x v="0"/>
    <n v="4.092E-6"/>
    <n v="7.3799999999999996E-6"/>
    <x v="141"/>
  </r>
  <r>
    <n v="45"/>
    <s v="3a"/>
    <x v="0"/>
    <n v="1.0359E-5"/>
    <n v="2.1203E-5"/>
    <x v="142"/>
  </r>
  <r>
    <n v="45"/>
    <s v="4a"/>
    <x v="0"/>
    <n v="4.4475999999999999E-5"/>
    <n v="7.7426E-5"/>
    <x v="143"/>
  </r>
  <r>
    <n v="45"/>
    <s v="1b"/>
    <x v="1"/>
    <n v="6672.2682926829266"/>
    <n v="273.56299999999999"/>
    <x v="144"/>
  </r>
  <r>
    <n v="45"/>
    <s v="2b"/>
    <x v="1"/>
    <n v="10446.806451612903"/>
    <n v="323.851"/>
    <x v="145"/>
  </r>
  <r>
    <n v="45"/>
    <s v="3b"/>
    <x v="1"/>
    <n v="15360.5"/>
    <n v="1013.793"/>
    <x v="146"/>
  </r>
  <r>
    <n v="45"/>
    <s v="4b"/>
    <x v="1"/>
    <n v="17879.944444444445"/>
    <n v="1287.356"/>
    <x v="147"/>
  </r>
  <r>
    <n v="46"/>
    <n v="1"/>
    <x v="0"/>
    <n v="1.1877E-5"/>
    <m/>
    <x v="148"/>
  </r>
  <r>
    <n v="46"/>
    <n v="2"/>
    <x v="0"/>
    <n v="1.2358165999999999E-2"/>
    <m/>
    <x v="149"/>
  </r>
  <r>
    <n v="46"/>
    <n v="3"/>
    <x v="0"/>
    <n v="1.3921247999999999E-2"/>
    <m/>
    <x v="150"/>
  </r>
  <r>
    <n v="46"/>
    <n v="4"/>
    <x v="0"/>
    <n v="1.7433288000000002E-2"/>
    <m/>
    <x v="151"/>
  </r>
  <r>
    <n v="46"/>
    <n v="5"/>
    <x v="0"/>
    <n v="8.8771969999999999E-3"/>
    <m/>
    <x v="152"/>
  </r>
  <r>
    <n v="46"/>
    <n v="6"/>
    <x v="0"/>
    <n v="2.6624859999999999E-3"/>
    <m/>
    <x v="153"/>
  </r>
  <r>
    <n v="47"/>
    <s v="1a"/>
    <x v="0"/>
    <n v="4.8399999999999994E-7"/>
    <m/>
    <x v="0"/>
  </r>
  <r>
    <n v="47"/>
    <n v="2"/>
    <x v="0"/>
    <n v="3.6190000000000004E-6"/>
    <m/>
    <x v="0"/>
  </r>
  <r>
    <n v="47"/>
    <n v="3"/>
    <x v="0"/>
    <n v="2.3408E-5"/>
    <m/>
    <x v="0"/>
  </r>
  <r>
    <n v="47"/>
    <s v="4a"/>
    <x v="0"/>
    <n v="1.0209600000000001E-4"/>
    <m/>
    <x v="0"/>
  </r>
  <r>
    <n v="47"/>
    <n v="5"/>
    <x v="0"/>
    <n v="1.365008E-3"/>
    <m/>
    <x v="0"/>
  </r>
  <r>
    <n v="47"/>
    <s v="1b"/>
    <x v="1"/>
    <n v="1131"/>
    <m/>
    <x v="154"/>
  </r>
  <r>
    <n v="47"/>
    <s v="4b"/>
    <x v="1"/>
    <n v="1395"/>
    <m/>
    <x v="155"/>
  </r>
  <r>
    <n v="48"/>
    <n v="1"/>
    <x v="0"/>
    <m/>
    <m/>
    <x v="0"/>
  </r>
  <r>
    <n v="48"/>
    <n v="2"/>
    <x v="0"/>
    <m/>
    <m/>
    <x v="0"/>
  </r>
  <r>
    <n v="48"/>
    <n v="3"/>
    <x v="0"/>
    <m/>
    <m/>
    <x v="0"/>
  </r>
  <r>
    <n v="48"/>
    <n v="4"/>
    <x v="0"/>
    <m/>
    <m/>
    <x v="0"/>
  </r>
  <r>
    <n v="48"/>
    <n v="5"/>
    <x v="0"/>
    <m/>
    <m/>
    <x v="0"/>
  </r>
  <r>
    <n v="48"/>
    <n v="6"/>
    <x v="0"/>
    <m/>
    <m/>
    <x v="0"/>
  </r>
  <r>
    <n v="48"/>
    <n v="7"/>
    <x v="0"/>
    <m/>
    <m/>
    <x v="0"/>
  </r>
  <r>
    <n v="48"/>
    <n v="8"/>
    <x v="0"/>
    <m/>
    <m/>
    <x v="0"/>
  </r>
  <r>
    <n v="48"/>
    <n v="9"/>
    <x v="0"/>
    <m/>
    <m/>
    <x v="0"/>
  </r>
  <r>
    <n v="48"/>
    <n v="10"/>
    <x v="0"/>
    <m/>
    <m/>
    <x v="0"/>
  </r>
  <r>
    <n v="48"/>
    <n v="11"/>
    <x v="0"/>
    <m/>
    <m/>
    <x v="0"/>
  </r>
  <r>
    <n v="48"/>
    <n v="12"/>
    <x v="0"/>
    <m/>
    <m/>
    <x v="0"/>
  </r>
  <r>
    <n v="49"/>
    <n v="1"/>
    <x v="0"/>
    <m/>
    <m/>
    <x v="0"/>
  </r>
  <r>
    <n v="49"/>
    <n v="2"/>
    <x v="0"/>
    <n v="3.1729999999999999E-6"/>
    <m/>
    <x v="156"/>
  </r>
  <r>
    <n v="49"/>
    <n v="3"/>
    <x v="0"/>
    <n v="1.4694E-5"/>
    <m/>
    <x v="157"/>
  </r>
  <r>
    <n v="49"/>
    <n v="4"/>
    <x v="0"/>
    <n v="5.5770000000000003E-5"/>
    <m/>
    <x v="158"/>
  </r>
  <r>
    <n v="50"/>
    <n v="1"/>
    <x v="1"/>
    <n v="3950.7959999999998"/>
    <m/>
    <x v="0"/>
  </r>
  <r>
    <n v="50"/>
    <n v="2"/>
    <x v="1"/>
    <n v="4619.3919999999998"/>
    <m/>
    <x v="0"/>
  </r>
  <r>
    <n v="50"/>
    <n v="3"/>
    <x v="1"/>
    <n v="4489.1459999999997"/>
    <m/>
    <x v="0"/>
  </r>
  <r>
    <n v="50"/>
    <n v="4"/>
    <x v="1"/>
    <n v="5253.2560000000003"/>
    <m/>
    <x v="0"/>
  </r>
  <r>
    <n v="51"/>
    <n v="1"/>
    <x v="0"/>
    <n v="4591.2049999999999"/>
    <m/>
    <x v="159"/>
  </r>
  <r>
    <n v="51"/>
    <n v="2"/>
    <x v="0"/>
    <n v="6228.0129999999999"/>
    <m/>
    <x v="160"/>
  </r>
  <r>
    <n v="51"/>
    <n v="3"/>
    <x v="0"/>
    <n v="6081.433"/>
    <m/>
    <x v="161"/>
  </r>
  <r>
    <n v="51"/>
    <n v="4"/>
    <x v="0"/>
    <n v="5902.28"/>
    <m/>
    <x v="162"/>
  </r>
  <r>
    <n v="51"/>
    <n v="5"/>
    <x v="0"/>
    <n v="6089.5770000000002"/>
    <m/>
    <x v="163"/>
  </r>
  <r>
    <n v="51"/>
    <n v="6"/>
    <x v="0"/>
    <n v="6016.2870000000003"/>
    <m/>
    <x v="164"/>
  </r>
  <r>
    <n v="51"/>
    <n v="7"/>
    <x v="0"/>
    <n v="5723.1270000000004"/>
    <m/>
    <x v="165"/>
  </r>
  <r>
    <n v="52"/>
    <n v="1"/>
    <x v="1"/>
    <m/>
    <n v="30926.641"/>
    <x v="166"/>
  </r>
  <r>
    <n v="52"/>
    <n v="2"/>
    <x v="1"/>
    <m/>
    <n v="95096.524999999994"/>
    <x v="167"/>
  </r>
  <r>
    <n v="52"/>
    <n v="3"/>
    <x v="1"/>
    <m/>
    <m/>
    <x v="0"/>
  </r>
  <r>
    <n v="52"/>
    <n v="4"/>
    <x v="1"/>
    <m/>
    <m/>
    <x v="0"/>
  </r>
  <r>
    <n v="53"/>
    <n v="1"/>
    <x v="1"/>
    <m/>
    <m/>
    <x v="0"/>
  </r>
  <r>
    <n v="53"/>
    <n v="2"/>
    <x v="1"/>
    <m/>
    <m/>
    <x v="0"/>
  </r>
  <r>
    <n v="53"/>
    <n v="3"/>
    <x v="1"/>
    <m/>
    <m/>
    <x v="0"/>
  </r>
  <r>
    <n v="53"/>
    <n v="4"/>
    <x v="1"/>
    <m/>
    <m/>
    <x v="0"/>
  </r>
  <r>
    <n v="53"/>
    <n v="5"/>
    <x v="1"/>
    <m/>
    <m/>
    <x v="0"/>
  </r>
  <r>
    <n v="54"/>
    <n v="1"/>
    <x v="1"/>
    <n v="355.04300000000001"/>
    <m/>
    <x v="168"/>
  </r>
  <r>
    <n v="54"/>
    <n v="2"/>
    <x v="1"/>
    <n v="662.82399999999996"/>
    <m/>
    <x v="169"/>
  </r>
  <r>
    <n v="54"/>
    <n v="3"/>
    <x v="1"/>
    <n v="523.63099999999997"/>
    <m/>
    <x v="170"/>
  </r>
  <r>
    <n v="54"/>
    <n v="4"/>
    <x v="1"/>
    <n v="292.79500000000002"/>
    <m/>
    <x v="171"/>
  </r>
  <r>
    <n v="55"/>
    <s v="1a"/>
    <x v="0"/>
    <m/>
    <m/>
    <x v="0"/>
  </r>
  <r>
    <n v="55"/>
    <s v="2a"/>
    <x v="0"/>
    <m/>
    <m/>
    <x v="0"/>
  </r>
  <r>
    <n v="55"/>
    <s v="3a"/>
    <x v="0"/>
    <m/>
    <m/>
    <x v="0"/>
  </r>
  <r>
    <n v="55"/>
    <s v="1b"/>
    <x v="0"/>
    <m/>
    <m/>
    <x v="0"/>
  </r>
  <r>
    <n v="55"/>
    <s v="2b"/>
    <x v="0"/>
    <m/>
    <m/>
    <x v="0"/>
  </r>
  <r>
    <n v="55"/>
    <s v="3b"/>
    <x v="0"/>
    <m/>
    <m/>
    <x v="0"/>
  </r>
  <r>
    <n v="55"/>
    <s v="1c"/>
    <x v="0"/>
    <m/>
    <m/>
    <x v="0"/>
  </r>
  <r>
    <n v="55"/>
    <s v="2c"/>
    <x v="0"/>
    <m/>
    <m/>
    <x v="0"/>
  </r>
  <r>
    <n v="55"/>
    <s v="3c"/>
    <x v="0"/>
    <m/>
    <m/>
    <x v="0"/>
  </r>
  <r>
    <n v="56"/>
    <s v="1a"/>
    <x v="1"/>
    <n v="895279196.13399994"/>
    <n v="102343860.287"/>
    <x v="172"/>
  </r>
  <r>
    <n v="56"/>
    <s v="1b"/>
    <x v="0"/>
    <m/>
    <m/>
    <x v="0"/>
  </r>
  <r>
    <n v="57"/>
    <n v="1"/>
    <x v="1"/>
    <n v="928105386.37800002"/>
    <m/>
    <x v="0"/>
  </r>
  <r>
    <n v="57"/>
    <n v="2"/>
    <x v="1"/>
    <n v="818980434.62699997"/>
    <m/>
    <x v="0"/>
  </r>
  <r>
    <n v="58"/>
    <n v="1"/>
    <x v="0"/>
    <n v="2.6465518999999999E-3"/>
    <n v="5.1707150000000002E-3"/>
    <x v="173"/>
  </r>
  <r>
    <n v="58"/>
    <n v="2"/>
    <x v="0"/>
    <n v="1.3661342E-3"/>
    <n v="2.5904729999999998E-3"/>
    <x v="174"/>
  </r>
  <r>
    <n v="58"/>
    <n v="3"/>
    <x v="0"/>
    <n v="2.1086600000000002E-5"/>
    <n v="1.0361849999999999E-4"/>
    <x v="175"/>
  </r>
  <r>
    <n v="58"/>
    <n v="4"/>
    <x v="0"/>
    <n v="3.3899400000000003E-5"/>
    <n v="8.5049999999999994E-5"/>
    <x v="176"/>
  </r>
  <r>
    <n v="58"/>
    <n v="5"/>
    <x v="0"/>
    <n v="1.2896000000000002E-5"/>
    <n v="2.052E-5"/>
    <x v="177"/>
  </r>
  <r>
    <n v="59"/>
    <n v="1"/>
    <x v="1"/>
    <n v="6256.3739999999998"/>
    <m/>
    <x v="178"/>
  </r>
  <r>
    <n v="59"/>
    <n v="2"/>
    <x v="1"/>
    <n v="6603.3990000000003"/>
    <m/>
    <x v="179"/>
  </r>
  <r>
    <n v="59"/>
    <n v="3"/>
    <x v="1"/>
    <n v="5611.8980000000001"/>
    <m/>
    <x v="180"/>
  </r>
  <r>
    <n v="59"/>
    <n v="4"/>
    <x v="1"/>
    <n v="5175.6369999999997"/>
    <m/>
    <x v="181"/>
  </r>
  <r>
    <n v="59"/>
    <n v="5"/>
    <x v="1"/>
    <n v="4630.3119999999999"/>
    <m/>
    <x v="182"/>
  </r>
  <r>
    <n v="59"/>
    <n v="6"/>
    <x v="1"/>
    <n v="5046.7420000000002"/>
    <m/>
    <x v="183"/>
  </r>
  <r>
    <n v="60"/>
    <n v="1"/>
    <x v="1"/>
    <n v="20090928126.087399"/>
    <n v="524807460.24977338"/>
    <x v="184"/>
  </r>
  <r>
    <n v="60"/>
    <n v="2"/>
    <x v="1"/>
    <n v="1336595516.5464447"/>
    <n v="45708818.96148771"/>
    <x v="185"/>
  </r>
  <r>
    <n v="60"/>
    <n v="3"/>
    <x v="1"/>
    <n v="92044957.175317541"/>
    <n v="2735268.7263067118"/>
    <x v="186"/>
  </r>
  <r>
    <n v="60"/>
    <n v="4"/>
    <x v="1"/>
    <n v="11297959.146728039"/>
    <n v="133967.66874259422"/>
    <x v="187"/>
  </r>
  <r>
    <n v="60"/>
    <n v="5"/>
    <x v="1"/>
    <n v="1492794.4095789965"/>
    <n v="27164.392688390799"/>
    <x v="188"/>
  </r>
  <r>
    <n v="60"/>
    <n v="6"/>
    <x v="1"/>
    <n v="137404.19750125185"/>
    <n v="2999.1625189876609"/>
    <x v="189"/>
  </r>
  <r>
    <n v="60"/>
    <n v="7"/>
    <x v="1"/>
    <n v="27989.813196343654"/>
    <n v="570.16427228074883"/>
    <x v="190"/>
  </r>
  <r>
    <n v="60"/>
    <n v="8"/>
    <x v="1"/>
    <n v="2398.8329190194968"/>
    <n v="60.813500127871762"/>
    <x v="191"/>
  </r>
  <r>
    <n v="61"/>
    <n v="1"/>
    <x v="1"/>
    <n v="16503.866000000002"/>
    <n v="44645.373"/>
    <x v="192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  <r>
    <m/>
    <m/>
    <x v="2"/>
    <m/>
    <m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9">
  <r>
    <n v="1"/>
    <n v="1"/>
    <x v="0"/>
    <m/>
    <m/>
    <x v="0"/>
    <x v="0"/>
  </r>
  <r>
    <n v="1"/>
    <n v="2"/>
    <x v="0"/>
    <m/>
    <m/>
    <x v="0"/>
    <x v="1"/>
  </r>
  <r>
    <n v="1"/>
    <n v="3"/>
    <x v="0"/>
    <m/>
    <m/>
    <x v="0"/>
    <x v="2"/>
  </r>
  <r>
    <n v="1"/>
    <n v="4"/>
    <x v="0"/>
    <m/>
    <m/>
    <x v="0"/>
    <x v="3"/>
  </r>
  <r>
    <n v="1"/>
    <n v="5"/>
    <x v="0"/>
    <m/>
    <m/>
    <x v="0"/>
    <x v="4"/>
  </r>
  <r>
    <n v="2"/>
    <n v="1"/>
    <x v="0"/>
    <n v="7.8116806310642408E-5"/>
    <n v="2.6282830311377898E-4"/>
    <x v="1"/>
    <x v="5"/>
  </r>
  <r>
    <n v="2"/>
    <n v="2"/>
    <x v="0"/>
    <n v="2.26406864333339E-6"/>
    <n v="3.5015658260911697E-5"/>
    <x v="2"/>
    <x v="6"/>
  </r>
  <r>
    <n v="2"/>
    <n v="3"/>
    <x v="0"/>
    <n v="6.9042533485137996E-4"/>
    <n v="1.1455561822784101E-3"/>
    <x v="3"/>
    <x v="7"/>
  </r>
  <r>
    <n v="2"/>
    <n v="4"/>
    <x v="0"/>
    <n v="9.2320826649339909E-4"/>
    <n v="3.7195620092518701E-3"/>
    <x v="4"/>
    <x v="7"/>
  </r>
  <r>
    <n v="3"/>
    <n v="1"/>
    <x v="0"/>
    <n v="2.37474943173543E-5"/>
    <n v="1.81071975453401E-5"/>
    <x v="5"/>
    <x v="8"/>
  </r>
  <r>
    <n v="3"/>
    <n v="2"/>
    <x v="0"/>
    <n v="2.1517122110803E-3"/>
    <n v="6.5543393870584293E-5"/>
    <x v="6"/>
    <x v="9"/>
  </r>
  <r>
    <n v="3"/>
    <n v="3"/>
    <x v="0"/>
    <n v="0.13240702811159602"/>
    <n v="1.51413740824685E-4"/>
    <x v="7"/>
    <x v="10"/>
  </r>
  <r>
    <n v="3"/>
    <n v="4"/>
    <x v="0"/>
    <n v="1.6815127502392202E-4"/>
    <n v="4.2796175387416397E-5"/>
    <x v="8"/>
    <x v="11"/>
  </r>
  <r>
    <n v="4"/>
    <n v="1"/>
    <x v="0"/>
    <n v="6.6089431059826297E-7"/>
    <n v="6.0388241190619601E-6"/>
    <x v="9"/>
    <x v="12"/>
  </r>
  <r>
    <n v="4"/>
    <n v="2"/>
    <x v="0"/>
    <n v="1.9369959509055001E-5"/>
    <n v="2.3519526350709501E-5"/>
    <x v="10"/>
    <x v="13"/>
  </r>
  <r>
    <n v="4"/>
    <n v="3"/>
    <x v="0"/>
    <n v="7.5203425621060699E-5"/>
    <n v="6.0388241190619606E-5"/>
    <x v="11"/>
    <x v="14"/>
  </r>
  <r>
    <n v="5"/>
    <n v="1"/>
    <x v="0"/>
    <n v="8.3623838199155313E-6"/>
    <n v="3.4087379834759098E-5"/>
    <x v="12"/>
    <x v="7"/>
  </r>
  <r>
    <n v="5"/>
    <n v="2"/>
    <x v="0"/>
    <n v="3.6219788372586698E-4"/>
    <n v="3.5646024043929202E-4"/>
    <x v="13"/>
    <x v="7"/>
  </r>
  <r>
    <n v="5"/>
    <n v="3"/>
    <x v="0"/>
    <n v="1.6829642705753901E-4"/>
    <n v="1.8819955200992199E-4"/>
    <x v="14"/>
    <x v="7"/>
  </r>
  <r>
    <n v="5"/>
    <n v="4"/>
    <x v="0"/>
    <n v="7.3773048029818499E-5"/>
    <n v="3.8986037025490701E-5"/>
    <x v="15"/>
    <x v="7"/>
  </r>
  <r>
    <n v="5"/>
    <n v="5"/>
    <x v="0"/>
    <n v="5.47818082744525E-6"/>
    <n v="6.04296390238132E-6"/>
    <x v="16"/>
    <x v="7"/>
  </r>
  <r>
    <n v="5"/>
    <n v="6"/>
    <x v="0"/>
    <n v="3.1934591389895901E-6"/>
    <n v="7.9797380741988205E-6"/>
    <x v="17"/>
    <x v="7"/>
  </r>
  <r>
    <n v="6"/>
    <n v="1"/>
    <x v="0"/>
    <n v="1.5091405542646299E-5"/>
    <m/>
    <x v="18"/>
    <x v="15"/>
  </r>
  <r>
    <n v="6"/>
    <n v="2"/>
    <x v="0"/>
    <n v="1.1418448306596499E-3"/>
    <m/>
    <x v="19"/>
    <x v="16"/>
  </r>
  <r>
    <n v="6"/>
    <n v="3"/>
    <x v="0"/>
    <n v="7.9351815692941096E-3"/>
    <m/>
    <x v="20"/>
    <x v="17"/>
  </r>
  <r>
    <n v="6"/>
    <n v="4"/>
    <x v="0"/>
    <n v="2.15687860058109E-2"/>
    <m/>
    <x v="21"/>
    <x v="18"/>
  </r>
  <r>
    <n v="7"/>
    <n v="1"/>
    <x v="0"/>
    <n v="1.8968234314012899E-6"/>
    <n v="3.9483219301735999E-5"/>
    <x v="22"/>
    <x v="7"/>
  </r>
  <r>
    <n v="7"/>
    <n v="2"/>
    <x v="0"/>
    <n v="8.3039076612001009E-3"/>
    <n v="7.1862486844915304E-3"/>
    <x v="23"/>
    <x v="7"/>
  </r>
  <r>
    <n v="8"/>
    <n v="1"/>
    <x v="1"/>
    <n v="6874.06855439642"/>
    <m/>
    <x v="24"/>
    <x v="7"/>
  </r>
  <r>
    <n v="8"/>
    <n v="2"/>
    <x v="1"/>
    <n v="7522.3546944858399"/>
    <m/>
    <x v="25"/>
    <x v="7"/>
  </r>
  <r>
    <n v="8"/>
    <n v="3"/>
    <x v="1"/>
    <n v="7622.9508196721299"/>
    <m/>
    <x v="26"/>
    <x v="7"/>
  </r>
  <r>
    <n v="8"/>
    <n v="4"/>
    <x v="1"/>
    <n v="4046.1997019373998"/>
    <m/>
    <x v="27"/>
    <x v="7"/>
  </r>
  <r>
    <n v="9"/>
    <n v="1"/>
    <x v="1"/>
    <n v="2779.4524142974601"/>
    <m/>
    <x v="28"/>
    <x v="7"/>
  </r>
  <r>
    <n v="9"/>
    <n v="2"/>
    <x v="1"/>
    <n v="3444.4342889310601"/>
    <m/>
    <x v="29"/>
    <x v="7"/>
  </r>
  <r>
    <n v="9"/>
    <n v="3"/>
    <x v="1"/>
    <n v="3242.7766007222899"/>
    <m/>
    <x v="30"/>
    <x v="7"/>
  </r>
  <r>
    <n v="9"/>
    <n v="4"/>
    <x v="1"/>
    <n v="3398.5642729759302"/>
    <m/>
    <x v="31"/>
    <x v="7"/>
  </r>
  <r>
    <n v="11"/>
    <s v="1a"/>
    <x v="0"/>
    <m/>
    <m/>
    <x v="0"/>
    <x v="19"/>
  </r>
  <r>
    <n v="11"/>
    <s v="2a"/>
    <x v="0"/>
    <m/>
    <m/>
    <x v="0"/>
    <x v="20"/>
  </r>
  <r>
    <n v="11"/>
    <s v="3a"/>
    <x v="0"/>
    <m/>
    <m/>
    <x v="0"/>
    <x v="21"/>
  </r>
  <r>
    <n v="11"/>
    <s v="4a"/>
    <x v="0"/>
    <m/>
    <m/>
    <x v="0"/>
    <x v="22"/>
  </r>
  <r>
    <n v="11"/>
    <s v="1b"/>
    <x v="1"/>
    <n v="4044.7031858346199"/>
    <m/>
    <x v="32"/>
    <x v="7"/>
  </r>
  <r>
    <n v="11"/>
    <s v="2b"/>
    <x v="1"/>
    <n v="2738.9851019136099"/>
    <m/>
    <x v="33"/>
    <x v="7"/>
  </r>
  <r>
    <n v="11"/>
    <s v="3b"/>
    <x v="1"/>
    <n v="2632.52817063572"/>
    <m/>
    <x v="34"/>
    <x v="7"/>
  </r>
  <r>
    <n v="11"/>
    <s v="4b"/>
    <x v="1"/>
    <n v="1491.4240697027601"/>
    <m/>
    <x v="35"/>
    <x v="7"/>
  </r>
  <r>
    <n v="12"/>
    <s v="1a"/>
    <x v="0"/>
    <n v="2.2939421957726698E-2"/>
    <m/>
    <x v="36"/>
    <x v="23"/>
  </r>
  <r>
    <n v="12"/>
    <s v="2a"/>
    <x v="0"/>
    <n v="1.9250161970978398E-4"/>
    <m/>
    <x v="37"/>
    <x v="24"/>
  </r>
  <r>
    <n v="12"/>
    <s v="3a"/>
    <x v="0"/>
    <n v="1.0860113903145201E-4"/>
    <m/>
    <x v="38"/>
    <x v="25"/>
  </r>
  <r>
    <n v="12"/>
    <s v="4a"/>
    <x v="0"/>
    <n v="9.8719070212982287E-6"/>
    <m/>
    <x v="39"/>
    <x v="26"/>
  </r>
  <r>
    <n v="12"/>
    <s v="5a"/>
    <x v="0"/>
    <n v="1.3279465837272701E-4"/>
    <m/>
    <x v="40"/>
    <x v="27"/>
  </r>
  <r>
    <n v="12"/>
    <s v="1b"/>
    <x v="1"/>
    <n v="12525.235362351599"/>
    <m/>
    <x v="41"/>
    <x v="7"/>
  </r>
  <r>
    <n v="12"/>
    <s v="2b"/>
    <x v="1"/>
    <n v="10345.704351709601"/>
    <m/>
    <x v="42"/>
    <x v="7"/>
  </r>
  <r>
    <n v="12"/>
    <s v="3b"/>
    <x v="1"/>
    <n v="11456.2023544844"/>
    <m/>
    <x v="43"/>
    <x v="7"/>
  </r>
  <r>
    <n v="12"/>
    <s v="4b"/>
    <x v="1"/>
    <n v="13869.682137681701"/>
    <m/>
    <x v="44"/>
    <x v="7"/>
  </r>
  <r>
    <n v="12"/>
    <s v="5b"/>
    <x v="1"/>
    <n v="11026.44056311"/>
    <m/>
    <x v="45"/>
    <x v="7"/>
  </r>
  <r>
    <n v="13"/>
    <n v="1"/>
    <x v="0"/>
    <m/>
    <m/>
    <x v="0"/>
    <x v="28"/>
  </r>
  <r>
    <n v="13"/>
    <n v="2"/>
    <x v="0"/>
    <m/>
    <m/>
    <x v="0"/>
    <x v="29"/>
  </r>
  <r>
    <n v="13"/>
    <n v="3"/>
    <x v="0"/>
    <m/>
    <m/>
    <x v="0"/>
    <x v="30"/>
  </r>
  <r>
    <n v="13"/>
    <n v="4"/>
    <x v="0"/>
    <m/>
    <m/>
    <x v="0"/>
    <x v="31"/>
  </r>
  <r>
    <n v="13"/>
    <n v="5"/>
    <x v="0"/>
    <m/>
    <m/>
    <x v="0"/>
    <x v="32"/>
  </r>
  <r>
    <n v="13"/>
    <n v="6"/>
    <x v="0"/>
    <m/>
    <m/>
    <x v="0"/>
    <x v="33"/>
  </r>
  <r>
    <n v="13"/>
    <n v="7"/>
    <x v="0"/>
    <m/>
    <m/>
    <x v="0"/>
    <x v="34"/>
  </r>
  <r>
    <n v="13"/>
    <n v="8"/>
    <x v="0"/>
    <m/>
    <m/>
    <x v="0"/>
    <x v="35"/>
  </r>
  <r>
    <n v="14"/>
    <n v="1"/>
    <x v="0"/>
    <n v="2.26934152711838E-4"/>
    <n v="1.2941039544084299E-3"/>
    <x v="46"/>
    <x v="7"/>
  </r>
  <r>
    <n v="14"/>
    <n v="2"/>
    <x v="0"/>
    <n v="4.8818908460809699E-4"/>
    <n v="1.10273454821906E-3"/>
    <x v="47"/>
    <x v="7"/>
  </r>
  <r>
    <n v="14"/>
    <n v="3"/>
    <x v="0"/>
    <n v="2.5141269035092902E-3"/>
    <n v="1.84675511099487E-3"/>
    <x v="48"/>
    <x v="7"/>
  </r>
  <r>
    <n v="14"/>
    <n v="4"/>
    <x v="0"/>
    <n v="6.0186161470522099E-3"/>
    <n v="2.1672424209635602E-3"/>
    <x v="49"/>
    <x v="7"/>
  </r>
  <r>
    <n v="14"/>
    <n v="5"/>
    <x v="0"/>
    <n v="8.1475180266749204E-3"/>
    <n v="3.3803189069540099E-3"/>
    <x v="50"/>
    <x v="7"/>
  </r>
  <r>
    <n v="14"/>
    <n v="6"/>
    <x v="0"/>
    <n v="1.0643377802739201E-2"/>
    <n v="3.1763655150792301E-3"/>
    <x v="51"/>
    <x v="7"/>
  </r>
  <r>
    <n v="14"/>
    <n v="7"/>
    <x v="0"/>
    <n v="1.1429495846981799E-2"/>
    <n v="2.4112343319032002E-3"/>
    <x v="52"/>
    <x v="7"/>
  </r>
  <r>
    <n v="14"/>
    <n v="8"/>
    <x v="0"/>
    <n v="2.1704870911799099E-2"/>
    <n v="4.4135472823130005E-3"/>
    <x v="53"/>
    <x v="7"/>
  </r>
  <r>
    <n v="14"/>
    <n v="9"/>
    <x v="0"/>
    <n v="2.78531446935582E-2"/>
    <n v="5.4632570530422702E-3"/>
    <x v="54"/>
    <x v="7"/>
  </r>
  <r>
    <n v="14"/>
    <n v="10"/>
    <x v="0"/>
    <n v="5.3844480790280494E-2"/>
    <n v="1.00893013070457E-2"/>
    <x v="55"/>
    <x v="7"/>
  </r>
  <r>
    <n v="15"/>
    <n v="1"/>
    <x v="0"/>
    <m/>
    <m/>
    <x v="0"/>
    <x v="36"/>
  </r>
  <r>
    <n v="15"/>
    <n v="2"/>
    <x v="0"/>
    <m/>
    <m/>
    <x v="0"/>
    <x v="37"/>
  </r>
  <r>
    <n v="15"/>
    <n v="3"/>
    <x v="0"/>
    <m/>
    <m/>
    <x v="0"/>
    <x v="38"/>
  </r>
  <r>
    <n v="15"/>
    <n v="4"/>
    <x v="0"/>
    <m/>
    <m/>
    <x v="0"/>
    <x v="39"/>
  </r>
  <r>
    <n v="15"/>
    <n v="5"/>
    <x v="0"/>
    <m/>
    <m/>
    <x v="0"/>
    <x v="40"/>
  </r>
  <r>
    <n v="15"/>
    <n v="6"/>
    <x v="0"/>
    <m/>
    <m/>
    <x v="0"/>
    <x v="41"/>
  </r>
  <r>
    <n v="16"/>
    <n v="1"/>
    <x v="1"/>
    <n v="1623.0152115798401"/>
    <m/>
    <x v="0"/>
    <x v="7"/>
  </r>
  <r>
    <n v="16"/>
    <n v="2"/>
    <x v="1"/>
    <n v="2416.71719149509"/>
    <m/>
    <x v="0"/>
    <x v="7"/>
  </r>
  <r>
    <n v="16"/>
    <n v="3"/>
    <x v="1"/>
    <n v="2888.31918134222"/>
    <m/>
    <x v="0"/>
    <x v="7"/>
  </r>
  <r>
    <n v="17"/>
    <n v="1"/>
    <x v="0"/>
    <n v="2.6366509999999998E-3"/>
    <m/>
    <x v="0"/>
    <x v="7"/>
  </r>
  <r>
    <n v="17"/>
    <n v="2"/>
    <x v="0"/>
    <n v="3.0990500000000002E-4"/>
    <m/>
    <x v="0"/>
    <x v="7"/>
  </r>
  <r>
    <n v="17"/>
    <n v="3"/>
    <x v="0"/>
    <n v="1.7604100000000002E-4"/>
    <m/>
    <x v="0"/>
    <x v="7"/>
  </r>
  <r>
    <n v="17"/>
    <n v="4"/>
    <x v="0"/>
    <n v="4.1957299999999996E-4"/>
    <m/>
    <x v="0"/>
    <x v="7"/>
  </r>
  <r>
    <n v="18"/>
    <n v="1"/>
    <x v="0"/>
    <n v="2.1303200000000002E-3"/>
    <n v="8.0566999999999998E-4"/>
    <x v="56"/>
    <x v="7"/>
  </r>
  <r>
    <n v="18"/>
    <n v="2"/>
    <x v="0"/>
    <n v="1.6000999999999998E-4"/>
    <n v="1.11516E-3"/>
    <x v="57"/>
    <x v="7"/>
  </r>
  <r>
    <n v="19"/>
    <n v="1"/>
    <x v="1"/>
    <n v="5420.22"/>
    <n v="234.94"/>
    <x v="58"/>
    <x v="7"/>
  </r>
  <r>
    <n v="19"/>
    <n v="2"/>
    <x v="1"/>
    <n v="4489.8900000000003"/>
    <n v="208.16"/>
    <x v="59"/>
    <x v="7"/>
  </r>
  <r>
    <n v="19"/>
    <n v="3"/>
    <x v="1"/>
    <n v="4058.43"/>
    <n v="200.21"/>
    <x v="60"/>
    <x v="7"/>
  </r>
  <r>
    <n v="19"/>
    <n v="4"/>
    <x v="1"/>
    <n v="3802.25"/>
    <n v="197.7"/>
    <x v="61"/>
    <x v="7"/>
  </r>
  <r>
    <n v="19"/>
    <n v="5"/>
    <x v="1"/>
    <n v="2575.2800000000002"/>
    <n v="170.5"/>
    <x v="62"/>
    <x v="7"/>
  </r>
  <r>
    <n v="20"/>
    <s v="1a"/>
    <x v="0"/>
    <m/>
    <m/>
    <x v="0"/>
    <x v="42"/>
  </r>
  <r>
    <n v="20"/>
    <s v="2a"/>
    <x v="0"/>
    <m/>
    <m/>
    <x v="0"/>
    <x v="43"/>
  </r>
  <r>
    <n v="20"/>
    <s v="3a"/>
    <x v="0"/>
    <m/>
    <m/>
    <x v="0"/>
    <x v="44"/>
  </r>
  <r>
    <n v="20"/>
    <s v="4a"/>
    <x v="0"/>
    <m/>
    <m/>
    <x v="0"/>
    <x v="43"/>
  </r>
  <r>
    <n v="20"/>
    <s v="1b"/>
    <x v="0"/>
    <m/>
    <m/>
    <x v="0"/>
    <x v="45"/>
  </r>
  <r>
    <n v="20"/>
    <s v="2b"/>
    <x v="0"/>
    <m/>
    <m/>
    <x v="0"/>
    <x v="46"/>
  </r>
  <r>
    <n v="20"/>
    <s v="3b"/>
    <x v="0"/>
    <m/>
    <m/>
    <x v="0"/>
    <x v="47"/>
  </r>
  <r>
    <n v="20"/>
    <s v="4b"/>
    <x v="0"/>
    <m/>
    <m/>
    <x v="0"/>
    <x v="48"/>
  </r>
  <r>
    <n v="20"/>
    <s v="1c"/>
    <x v="0"/>
    <m/>
    <m/>
    <x v="0"/>
    <x v="49"/>
  </r>
  <r>
    <n v="20"/>
    <s v="2c"/>
    <x v="0"/>
    <m/>
    <m/>
    <x v="0"/>
    <x v="50"/>
  </r>
  <r>
    <n v="20"/>
    <s v="3c"/>
    <x v="0"/>
    <m/>
    <m/>
    <x v="0"/>
    <x v="51"/>
  </r>
  <r>
    <n v="20"/>
    <s v="4c"/>
    <x v="0"/>
    <m/>
    <m/>
    <x v="0"/>
    <x v="52"/>
  </r>
  <r>
    <n v="20"/>
    <s v="1d"/>
    <x v="1"/>
    <n v="2564.8851719364202"/>
    <m/>
    <x v="0"/>
    <x v="7"/>
  </r>
  <r>
    <n v="20"/>
    <s v="2d"/>
    <x v="1"/>
    <n v="1459.26288005383"/>
    <m/>
    <x v="0"/>
    <x v="7"/>
  </r>
  <r>
    <n v="20"/>
    <s v="3d"/>
    <x v="1"/>
    <n v="875.48614787682698"/>
    <m/>
    <x v="0"/>
    <x v="7"/>
  </r>
  <r>
    <n v="20"/>
    <s v="4d"/>
    <x v="1"/>
    <n v="755.82193751668501"/>
    <m/>
    <x v="0"/>
    <x v="7"/>
  </r>
  <r>
    <n v="20"/>
    <s v="1e"/>
    <x v="1"/>
    <m/>
    <m/>
    <x v="0"/>
    <x v="7"/>
  </r>
  <r>
    <n v="20"/>
    <s v="2e"/>
    <x v="1"/>
    <m/>
    <m/>
    <x v="0"/>
    <x v="7"/>
  </r>
  <r>
    <n v="20"/>
    <s v="3e"/>
    <x v="1"/>
    <m/>
    <m/>
    <x v="0"/>
    <x v="7"/>
  </r>
  <r>
    <n v="20"/>
    <s v="4e"/>
    <x v="1"/>
    <m/>
    <m/>
    <x v="0"/>
    <x v="7"/>
  </r>
  <r>
    <n v="21"/>
    <s v="1a"/>
    <x v="1"/>
    <n v="3307.34"/>
    <n v="57.31"/>
    <x v="63"/>
    <x v="7"/>
  </r>
  <r>
    <n v="21"/>
    <s v="2a"/>
    <x v="1"/>
    <n v="3050.46"/>
    <n v="76.650000000000006"/>
    <x v="64"/>
    <x v="7"/>
  </r>
  <r>
    <n v="21"/>
    <s v="3a"/>
    <x v="1"/>
    <n v="2868.5"/>
    <n v="83.09"/>
    <x v="65"/>
    <x v="7"/>
  </r>
  <r>
    <n v="21"/>
    <s v="4a"/>
    <x v="1"/>
    <n v="2707.95"/>
    <n v="121.06"/>
    <x v="66"/>
    <x v="7"/>
  </r>
  <r>
    <n v="21"/>
    <s v="5a"/>
    <x v="1"/>
    <n v="3000"/>
    <n v="51.49"/>
    <x v="67"/>
    <x v="7"/>
  </r>
  <r>
    <n v="21"/>
    <s v="6a"/>
    <x v="1"/>
    <n v="3702.38"/>
    <n v="75.37"/>
    <x v="68"/>
    <x v="7"/>
  </r>
  <r>
    <n v="21"/>
    <s v="7a"/>
    <x v="1"/>
    <n v="3130.95"/>
    <n v="81.34"/>
    <x v="69"/>
    <x v="7"/>
  </r>
  <r>
    <n v="21"/>
    <s v="8a"/>
    <x v="1"/>
    <n v="2642.86"/>
    <n v="115.67"/>
    <x v="70"/>
    <x v="7"/>
  </r>
  <r>
    <n v="21"/>
    <s v="1b"/>
    <x v="0"/>
    <m/>
    <m/>
    <x v="0"/>
    <x v="53"/>
  </r>
  <r>
    <n v="21"/>
    <s v="2b"/>
    <x v="0"/>
    <m/>
    <m/>
    <x v="0"/>
    <x v="54"/>
  </r>
  <r>
    <n v="21"/>
    <s v="3b"/>
    <x v="0"/>
    <m/>
    <m/>
    <x v="0"/>
    <x v="55"/>
  </r>
  <r>
    <n v="21"/>
    <s v="4b"/>
    <x v="0"/>
    <m/>
    <m/>
    <x v="0"/>
    <x v="56"/>
  </r>
  <r>
    <n v="21"/>
    <s v="5b"/>
    <x v="0"/>
    <m/>
    <m/>
    <x v="0"/>
    <x v="57"/>
  </r>
  <r>
    <n v="21"/>
    <s v="6b"/>
    <x v="0"/>
    <m/>
    <m/>
    <x v="0"/>
    <x v="58"/>
  </r>
  <r>
    <n v="21"/>
    <s v="7b"/>
    <x v="0"/>
    <m/>
    <m/>
    <x v="0"/>
    <x v="59"/>
  </r>
  <r>
    <n v="21"/>
    <s v="8b"/>
    <x v="0"/>
    <m/>
    <m/>
    <x v="0"/>
    <x v="60"/>
  </r>
  <r>
    <n v="22"/>
    <n v="1"/>
    <x v="0"/>
    <m/>
    <m/>
    <x v="0"/>
    <x v="61"/>
  </r>
  <r>
    <n v="22"/>
    <n v="2"/>
    <x v="0"/>
    <m/>
    <m/>
    <x v="0"/>
    <x v="62"/>
  </r>
  <r>
    <n v="22"/>
    <n v="3"/>
    <x v="0"/>
    <m/>
    <m/>
    <x v="0"/>
    <x v="7"/>
  </r>
  <r>
    <n v="22"/>
    <n v="4"/>
    <x v="0"/>
    <m/>
    <m/>
    <x v="0"/>
    <x v="63"/>
  </r>
  <r>
    <n v="22"/>
    <n v="5"/>
    <x v="0"/>
    <m/>
    <m/>
    <x v="0"/>
    <x v="7"/>
  </r>
  <r>
    <n v="22"/>
    <n v="6"/>
    <x v="0"/>
    <m/>
    <m/>
    <x v="0"/>
    <x v="64"/>
  </r>
  <r>
    <n v="22"/>
    <n v="7"/>
    <x v="0"/>
    <m/>
    <m/>
    <x v="0"/>
    <x v="7"/>
  </r>
  <r>
    <n v="22"/>
    <n v="8"/>
    <x v="0"/>
    <m/>
    <m/>
    <x v="0"/>
    <x v="65"/>
  </r>
  <r>
    <n v="23"/>
    <n v="1"/>
    <x v="1"/>
    <n v="3990"/>
    <n v="90"/>
    <x v="71"/>
    <x v="7"/>
  </r>
  <r>
    <n v="23"/>
    <n v="2"/>
    <x v="1"/>
    <n v="5050"/>
    <n v="100"/>
    <x v="72"/>
    <x v="7"/>
  </r>
  <r>
    <n v="23"/>
    <n v="3"/>
    <x v="1"/>
    <n v="7450"/>
    <n v="140"/>
    <x v="73"/>
    <x v="7"/>
  </r>
  <r>
    <n v="23"/>
    <n v="4"/>
    <x v="1"/>
    <n v="8400"/>
    <n v="160"/>
    <x v="74"/>
    <x v="7"/>
  </r>
  <r>
    <n v="23"/>
    <n v="5"/>
    <x v="1"/>
    <n v="5950"/>
    <n v="120"/>
    <x v="75"/>
    <x v="7"/>
  </r>
  <r>
    <n v="24"/>
    <n v="1"/>
    <x v="0"/>
    <n v="8.9999999999999999E-8"/>
    <m/>
    <x v="76"/>
    <x v="66"/>
  </r>
  <r>
    <n v="24"/>
    <n v="2"/>
    <x v="0"/>
    <n v="9.4199999999999996E-6"/>
    <m/>
    <x v="77"/>
    <x v="67"/>
  </r>
  <r>
    <n v="24"/>
    <n v="3"/>
    <x v="0"/>
    <n v="7.8640000000000006E-5"/>
    <m/>
    <x v="78"/>
    <x v="68"/>
  </r>
  <r>
    <n v="24"/>
    <n v="4"/>
    <x v="0"/>
    <n v="2.0561000000000001E-4"/>
    <m/>
    <x v="79"/>
    <x v="69"/>
  </r>
  <r>
    <n v="24"/>
    <n v="5"/>
    <x v="0"/>
    <n v="8.0232000000000003E-4"/>
    <m/>
    <x v="80"/>
    <x v="70"/>
  </r>
  <r>
    <n v="24"/>
    <n v="6"/>
    <x v="0"/>
    <n v="2.0976799999999998E-3"/>
    <m/>
    <x v="81"/>
    <x v="71"/>
  </r>
  <r>
    <n v="24"/>
    <n v="7"/>
    <x v="0"/>
    <n v="9.60746E-3"/>
    <m/>
    <x v="82"/>
    <x v="72"/>
  </r>
  <r>
    <n v="25"/>
    <n v="1"/>
    <x v="1"/>
    <n v="1365.74"/>
    <m/>
    <x v="0"/>
    <x v="7"/>
  </r>
  <r>
    <n v="25"/>
    <n v="2"/>
    <x v="1"/>
    <n v="1722.22"/>
    <m/>
    <x v="0"/>
    <x v="7"/>
  </r>
  <r>
    <n v="25"/>
    <n v="3"/>
    <x v="1"/>
    <n v="2518.52"/>
    <m/>
    <x v="0"/>
    <x v="7"/>
  </r>
  <r>
    <n v="25"/>
    <n v="4"/>
    <x v="1"/>
    <n v="2634.26"/>
    <m/>
    <x v="0"/>
    <x v="7"/>
  </r>
  <r>
    <n v="26"/>
    <s v="1a"/>
    <x v="0"/>
    <n v="8.0000000000000007E-7"/>
    <m/>
    <x v="83"/>
    <x v="73"/>
  </r>
  <r>
    <n v="26"/>
    <s v="2a"/>
    <x v="0"/>
    <n v="1.2914999999999999E-5"/>
    <m/>
    <x v="84"/>
    <x v="74"/>
  </r>
  <r>
    <n v="26"/>
    <s v="3a"/>
    <x v="0"/>
    <n v="2.6208399999999999E-4"/>
    <m/>
    <x v="85"/>
    <x v="75"/>
  </r>
  <r>
    <n v="26"/>
    <s v="4a"/>
    <x v="0"/>
    <n v="1.8298330000000001E-3"/>
    <m/>
    <x v="86"/>
    <x v="76"/>
  </r>
  <r>
    <n v="26"/>
    <s v="5a"/>
    <x v="1"/>
    <n v="7.2136660000000005E-3"/>
    <m/>
    <x v="87"/>
    <x v="77"/>
  </r>
  <r>
    <n v="26"/>
    <s v="1b"/>
    <x v="1"/>
    <n v="9816.4716526543798"/>
    <m/>
    <x v="88"/>
    <x v="7"/>
  </r>
  <r>
    <n v="26"/>
    <s v="2b"/>
    <x v="1"/>
    <n v="13209.4115651273"/>
    <m/>
    <x v="89"/>
    <x v="7"/>
  </r>
  <r>
    <n v="26"/>
    <s v="3b"/>
    <x v="1"/>
    <n v="11754.718000000001"/>
    <m/>
    <x v="90"/>
    <x v="7"/>
  </r>
  <r>
    <n v="26"/>
    <s v="4b"/>
    <x v="1"/>
    <n v="12712.264999999999"/>
    <m/>
    <x v="91"/>
    <x v="7"/>
  </r>
  <r>
    <n v="26"/>
    <s v="5b"/>
    <x v="1"/>
    <n v="12051.888000000001"/>
    <m/>
    <x v="92"/>
    <x v="7"/>
  </r>
  <r>
    <n v="27"/>
    <n v="1"/>
    <x v="1"/>
    <n v="1638.655"/>
    <m/>
    <x v="93"/>
    <x v="7"/>
  </r>
  <r>
    <n v="27"/>
    <n v="2"/>
    <x v="1"/>
    <n v="4172.2690000000002"/>
    <m/>
    <x v="94"/>
    <x v="7"/>
  </r>
  <r>
    <n v="27"/>
    <n v="3"/>
    <x v="1"/>
    <n v="5130.2520000000004"/>
    <m/>
    <x v="95"/>
    <x v="7"/>
  </r>
  <r>
    <n v="27"/>
    <n v="4"/>
    <x v="1"/>
    <n v="5369.7479999999996"/>
    <m/>
    <x v="96"/>
    <x v="7"/>
  </r>
  <r>
    <n v="28"/>
    <n v="1"/>
    <x v="0"/>
    <n v="1.187E-5"/>
    <m/>
    <x v="0"/>
    <x v="78"/>
  </r>
  <r>
    <n v="28"/>
    <n v="2"/>
    <x v="0"/>
    <n v="1.156051E-2"/>
    <m/>
    <x v="0"/>
    <x v="79"/>
  </r>
  <r>
    <n v="28"/>
    <n v="3"/>
    <x v="0"/>
    <n v="2.60634E-3"/>
    <m/>
    <x v="0"/>
    <x v="80"/>
  </r>
  <r>
    <n v="28"/>
    <n v="4"/>
    <x v="0"/>
    <n v="1.318952E-2"/>
    <m/>
    <x v="0"/>
    <x v="81"/>
  </r>
  <r>
    <n v="28"/>
    <n v="5"/>
    <x v="0"/>
    <n v="1.6943679999999999E-2"/>
    <m/>
    <x v="0"/>
    <x v="82"/>
  </r>
  <r>
    <n v="28"/>
    <n v="6"/>
    <x v="0"/>
    <n v="8.7649200000000007E-3"/>
    <m/>
    <x v="0"/>
    <x v="83"/>
  </r>
  <r>
    <n v="29"/>
    <n v="1"/>
    <x v="0"/>
    <n v="5.5952999999999992E-4"/>
    <m/>
    <x v="97"/>
    <x v="84"/>
  </r>
  <r>
    <n v="29"/>
    <n v="2"/>
    <x v="0"/>
    <n v="1.0134379999999998E-2"/>
    <m/>
    <x v="98"/>
    <x v="85"/>
  </r>
  <r>
    <n v="29"/>
    <n v="3"/>
    <x v="0"/>
    <n v="2.8325259999999998E-2"/>
    <m/>
    <x v="99"/>
    <x v="86"/>
  </r>
  <r>
    <n v="29"/>
    <n v="4"/>
    <x v="0"/>
    <n v="0.19886151000000002"/>
    <m/>
    <x v="100"/>
    <x v="87"/>
  </r>
  <r>
    <n v="29"/>
    <n v="5"/>
    <x v="0"/>
    <n v="7.2105940000000007E-2"/>
    <m/>
    <x v="101"/>
    <x v="88"/>
  </r>
  <r>
    <n v="30"/>
    <n v="1"/>
    <x v="1"/>
    <n v="2511.9"/>
    <n v="172.2"/>
    <x v="102"/>
    <x v="7"/>
  </r>
  <r>
    <n v="30"/>
    <n v="2"/>
    <x v="1"/>
    <n v="5595.24"/>
    <n v="237.18"/>
    <x v="103"/>
    <x v="7"/>
  </r>
  <r>
    <n v="30"/>
    <n v="3"/>
    <x v="1"/>
    <n v="5738.1"/>
    <n v="224.19"/>
    <x v="104"/>
    <x v="7"/>
  </r>
  <r>
    <n v="31"/>
    <n v="1"/>
    <x v="1"/>
    <n v="1190.48"/>
    <m/>
    <x v="0"/>
    <x v="7"/>
  </r>
  <r>
    <n v="31"/>
    <n v="2"/>
    <x v="1"/>
    <n v="1587.3"/>
    <m/>
    <x v="0"/>
    <x v="7"/>
  </r>
  <r>
    <n v="31"/>
    <n v="3"/>
    <x v="1"/>
    <n v="2371.0300000000002"/>
    <m/>
    <x v="0"/>
    <x v="7"/>
  </r>
  <r>
    <n v="31"/>
    <n v="4"/>
    <x v="1"/>
    <n v="3541.67"/>
    <m/>
    <x v="0"/>
    <x v="7"/>
  </r>
  <r>
    <n v="31"/>
    <n v="5"/>
    <x v="1"/>
    <n v="4186.51"/>
    <m/>
    <x v="0"/>
    <x v="7"/>
  </r>
  <r>
    <n v="32"/>
    <n v="1"/>
    <x v="1"/>
    <m/>
    <m/>
    <x v="0"/>
    <x v="7"/>
  </r>
  <r>
    <n v="32"/>
    <n v="2"/>
    <x v="1"/>
    <n v="4652.4059999999999"/>
    <n v="130.548"/>
    <x v="105"/>
    <x v="7"/>
  </r>
  <r>
    <n v="33"/>
    <n v="1"/>
    <x v="0"/>
    <n v="1.6500000000000001E-7"/>
    <n v="2.791E-6"/>
    <x v="106"/>
    <x v="89"/>
  </r>
  <r>
    <n v="33"/>
    <n v="2"/>
    <x v="0"/>
    <n v="1.0279999999999999E-6"/>
    <n v="1.2076000000000001E-5"/>
    <x v="107"/>
    <x v="90"/>
  </r>
  <r>
    <n v="33"/>
    <n v="3"/>
    <x v="0"/>
    <n v="1.483E-6"/>
    <n v="1.6295000000000002E-5"/>
    <x v="108"/>
    <x v="7"/>
  </r>
  <r>
    <n v="33"/>
    <n v="4"/>
    <x v="0"/>
    <n v="1.234714E-3"/>
    <n v="5.3718100000000007E-4"/>
    <x v="109"/>
    <x v="7"/>
  </r>
  <r>
    <n v="34"/>
    <n v="1"/>
    <x v="0"/>
    <n v="1.2914999999999999E-5"/>
    <n v="8.3941000000000002E-5"/>
    <x v="110"/>
    <x v="91"/>
  </r>
  <r>
    <n v="34"/>
    <n v="2"/>
    <x v="0"/>
    <n v="3.5314000000000001E-5"/>
    <n v="1.2951799999999999E-4"/>
    <x v="111"/>
    <x v="92"/>
  </r>
  <r>
    <n v="34"/>
    <n v="3"/>
    <x v="0"/>
    <n v="9.0447999999999999E-5"/>
    <n v="2.12671E-4"/>
    <x v="112"/>
    <x v="93"/>
  </r>
  <r>
    <n v="34"/>
    <n v="4"/>
    <x v="0"/>
    <n v="3.445652E-3"/>
    <n v="1.9486449999999999E-3"/>
    <x v="113"/>
    <x v="94"/>
  </r>
  <r>
    <n v="35"/>
    <n v="1"/>
    <x v="0"/>
    <n v="4.5000000000000003E-7"/>
    <m/>
    <x v="0"/>
    <x v="95"/>
  </r>
  <r>
    <n v="35"/>
    <n v="2"/>
    <x v="0"/>
    <n v="4.8999999999999997E-7"/>
    <m/>
    <x v="0"/>
    <x v="96"/>
  </r>
  <r>
    <n v="35"/>
    <n v="3"/>
    <x v="0"/>
    <n v="1.6E-7"/>
    <m/>
    <x v="0"/>
    <x v="97"/>
  </r>
  <r>
    <n v="35"/>
    <n v="4"/>
    <x v="0"/>
    <n v="1.04E-6"/>
    <m/>
    <x v="0"/>
    <x v="98"/>
  </r>
  <r>
    <n v="36"/>
    <n v="1"/>
    <x v="1"/>
    <n v="4017.0000000000005"/>
    <m/>
    <x v="0"/>
    <x v="7"/>
  </r>
  <r>
    <n v="36"/>
    <n v="2"/>
    <x v="1"/>
    <n v="8343"/>
    <m/>
    <x v="0"/>
    <x v="7"/>
  </r>
  <r>
    <n v="36"/>
    <n v="3"/>
    <x v="1"/>
    <n v="5382"/>
    <m/>
    <x v="0"/>
    <x v="7"/>
  </r>
  <r>
    <n v="36"/>
    <n v="4"/>
    <x v="1"/>
    <n v="7403"/>
    <m/>
    <x v="0"/>
    <x v="7"/>
  </r>
  <r>
    <n v="37"/>
    <n v="1"/>
    <x v="1"/>
    <n v="3774.82"/>
    <m/>
    <x v="114"/>
    <x v="7"/>
  </r>
  <r>
    <n v="37"/>
    <n v="2"/>
    <x v="1"/>
    <n v="3820.8629999999998"/>
    <m/>
    <x v="115"/>
    <x v="7"/>
  </r>
  <r>
    <n v="37"/>
    <n v="3"/>
    <x v="1"/>
    <n v="3475.54"/>
    <m/>
    <x v="116"/>
    <x v="7"/>
  </r>
  <r>
    <n v="37"/>
    <n v="4"/>
    <x v="1"/>
    <n v="3999.2809999999999"/>
    <m/>
    <x v="117"/>
    <x v="7"/>
  </r>
  <r>
    <n v="37"/>
    <n v="5"/>
    <x v="1"/>
    <n v="3653.9569999999999"/>
    <m/>
    <x v="118"/>
    <x v="7"/>
  </r>
  <r>
    <n v="37"/>
    <n v="6"/>
    <x v="1"/>
    <n v="4315.8270000000002"/>
    <m/>
    <x v="119"/>
    <x v="7"/>
  </r>
  <r>
    <n v="37"/>
    <n v="7"/>
    <x v="1"/>
    <n v="3918.7049999999999"/>
    <m/>
    <x v="120"/>
    <x v="7"/>
  </r>
  <r>
    <n v="38"/>
    <n v="1"/>
    <x v="0"/>
    <m/>
    <m/>
    <x v="0"/>
    <x v="99"/>
  </r>
  <r>
    <n v="38"/>
    <n v="2"/>
    <x v="0"/>
    <m/>
    <m/>
    <x v="0"/>
    <x v="100"/>
  </r>
  <r>
    <n v="38"/>
    <n v="3"/>
    <x v="0"/>
    <m/>
    <m/>
    <x v="0"/>
    <x v="101"/>
  </r>
  <r>
    <n v="38"/>
    <n v="4"/>
    <x v="0"/>
    <m/>
    <m/>
    <x v="0"/>
    <x v="102"/>
  </r>
  <r>
    <n v="38"/>
    <n v="5"/>
    <x v="0"/>
    <m/>
    <m/>
    <x v="0"/>
    <x v="103"/>
  </r>
  <r>
    <n v="38"/>
    <n v="6"/>
    <x v="0"/>
    <m/>
    <m/>
    <x v="0"/>
    <x v="104"/>
  </r>
  <r>
    <n v="39"/>
    <n v="1"/>
    <x v="0"/>
    <m/>
    <m/>
    <x v="0"/>
    <x v="105"/>
  </r>
  <r>
    <n v="39"/>
    <n v="2"/>
    <x v="0"/>
    <m/>
    <m/>
    <x v="0"/>
    <x v="106"/>
  </r>
  <r>
    <n v="39"/>
    <n v="3"/>
    <x v="0"/>
    <m/>
    <m/>
    <x v="0"/>
    <x v="107"/>
  </r>
  <r>
    <n v="39"/>
    <n v="4"/>
    <x v="0"/>
    <m/>
    <m/>
    <x v="0"/>
    <x v="108"/>
  </r>
  <r>
    <n v="39"/>
    <n v="5"/>
    <x v="0"/>
    <m/>
    <m/>
    <x v="0"/>
    <x v="109"/>
  </r>
  <r>
    <n v="39"/>
    <n v="6"/>
    <x v="0"/>
    <m/>
    <m/>
    <x v="0"/>
    <x v="110"/>
  </r>
  <r>
    <n v="39"/>
    <n v="7"/>
    <x v="0"/>
    <m/>
    <m/>
    <x v="0"/>
    <x v="111"/>
  </r>
  <r>
    <n v="39"/>
    <n v="8"/>
    <x v="0"/>
    <m/>
    <m/>
    <x v="0"/>
    <x v="112"/>
  </r>
  <r>
    <n v="40"/>
    <n v="1"/>
    <x v="1"/>
    <n v="1953.087"/>
    <m/>
    <x v="121"/>
    <x v="7"/>
  </r>
  <r>
    <n v="40"/>
    <n v="2"/>
    <x v="1"/>
    <n v="2127.3310000000001"/>
    <m/>
    <x v="122"/>
    <x v="7"/>
  </r>
  <r>
    <n v="40"/>
    <n v="3"/>
    <x v="1"/>
    <n v="2384.0729999999999"/>
    <m/>
    <x v="123"/>
    <x v="7"/>
  </r>
  <r>
    <n v="40"/>
    <n v="4"/>
    <x v="1"/>
    <n v="2523.84"/>
    <m/>
    <x v="124"/>
    <x v="7"/>
  </r>
  <r>
    <n v="40"/>
    <n v="5"/>
    <x v="1"/>
    <n v="2560.0439999999999"/>
    <m/>
    <x v="125"/>
    <x v="7"/>
  </r>
  <r>
    <n v="41"/>
    <n v="1"/>
    <x v="0"/>
    <n v="0.43099999999999999"/>
    <n v="16.030999999999999"/>
    <x v="126"/>
    <x v="113"/>
  </r>
  <r>
    <n v="41"/>
    <n v="2"/>
    <x v="0"/>
    <n v="98.453999999999994"/>
    <n v="102.902"/>
    <x v="127"/>
    <x v="114"/>
  </r>
  <r>
    <n v="41"/>
    <n v="3"/>
    <x v="0"/>
    <n v="1408.8009999999999"/>
    <n v="1014.405"/>
    <x v="128"/>
    <x v="115"/>
  </r>
  <r>
    <n v="41"/>
    <n v="4"/>
    <x v="0"/>
    <n v="15181.9"/>
    <n v="10144.045"/>
    <x v="129"/>
    <x v="116"/>
  </r>
  <r>
    <n v="41"/>
    <n v="5"/>
    <x v="0"/>
    <n v="48234.29"/>
    <n v="23926.654999999999"/>
    <x v="130"/>
    <x v="117"/>
  </r>
  <r>
    <n v="41"/>
    <n v="6"/>
    <x v="0"/>
    <n v="222031.234"/>
    <n v="147130.21299999999"/>
    <x v="131"/>
    <x v="118"/>
  </r>
  <r>
    <n v="42"/>
    <s v="1a"/>
    <x v="0"/>
    <n v="3.6699999999999999E-7"/>
    <n v="6.0701E-5"/>
    <x v="132"/>
    <x v="119"/>
  </r>
  <r>
    <n v="42"/>
    <s v="2a"/>
    <x v="0"/>
    <n v="1.4610000000000001E-6"/>
    <n v="1.01168E-4"/>
    <x v="133"/>
    <x v="120"/>
  </r>
  <r>
    <n v="42"/>
    <s v="3a"/>
    <x v="0"/>
    <n v="1.241989E-3"/>
    <n v="4.6836900000000006E-4"/>
    <x v="134"/>
    <x v="121"/>
  </r>
  <r>
    <n v="42"/>
    <s v="1b"/>
    <x v="1"/>
    <n v="0.17256529400000001"/>
    <m/>
    <x v="135"/>
    <x v="7"/>
  </r>
  <r>
    <n v="42"/>
    <s v="2b"/>
    <x v="1"/>
    <n v="0.32402482100000002"/>
    <m/>
    <x v="136"/>
    <x v="7"/>
  </r>
  <r>
    <n v="42"/>
    <s v="3b"/>
    <x v="1"/>
    <n v="0.32402482100000002"/>
    <m/>
    <x v="136"/>
    <x v="7"/>
  </r>
  <r>
    <n v="43"/>
    <n v="1"/>
    <x v="0"/>
    <n v="3.5999999999999999E-7"/>
    <m/>
    <x v="137"/>
    <x v="122"/>
  </r>
  <r>
    <n v="43"/>
    <n v="2"/>
    <x v="0"/>
    <n v="1.5900000000000001E-7"/>
    <m/>
    <x v="138"/>
    <x v="123"/>
  </r>
  <r>
    <n v="43"/>
    <n v="3"/>
    <x v="0"/>
    <n v="4.1477300000000001E-4"/>
    <m/>
    <x v="139"/>
    <x v="124"/>
  </r>
  <r>
    <n v="44"/>
    <s v="1a"/>
    <x v="0"/>
    <m/>
    <m/>
    <x v="0"/>
    <x v="125"/>
  </r>
  <r>
    <n v="44"/>
    <s v="2a"/>
    <x v="0"/>
    <m/>
    <m/>
    <x v="0"/>
    <x v="126"/>
  </r>
  <r>
    <n v="44"/>
    <s v="3a"/>
    <x v="0"/>
    <m/>
    <m/>
    <x v="0"/>
    <x v="127"/>
  </r>
  <r>
    <n v="44"/>
    <s v="4a"/>
    <x v="0"/>
    <m/>
    <m/>
    <x v="0"/>
    <x v="128"/>
  </r>
  <r>
    <n v="44"/>
    <s v="5a"/>
    <x v="0"/>
    <m/>
    <m/>
    <x v="0"/>
    <x v="129"/>
  </r>
  <r>
    <n v="44"/>
    <s v="1b"/>
    <x v="1"/>
    <m/>
    <m/>
    <x v="0"/>
    <x v="130"/>
  </r>
  <r>
    <n v="44"/>
    <s v="2b"/>
    <x v="1"/>
    <m/>
    <m/>
    <x v="0"/>
    <x v="131"/>
  </r>
  <r>
    <n v="44"/>
    <s v="3b"/>
    <x v="1"/>
    <m/>
    <m/>
    <x v="0"/>
    <x v="132"/>
  </r>
  <r>
    <n v="44"/>
    <s v="4b"/>
    <x v="1"/>
    <m/>
    <m/>
    <x v="0"/>
    <x v="133"/>
  </r>
  <r>
    <n v="44"/>
    <s v="5b"/>
    <x v="1"/>
    <m/>
    <m/>
    <x v="0"/>
    <x v="134"/>
  </r>
  <r>
    <n v="45"/>
    <s v="1a"/>
    <x v="0"/>
    <n v="1.1370000000000001E-6"/>
    <n v="1.9570000000000001E-6"/>
    <x v="140"/>
    <x v="135"/>
  </r>
  <r>
    <n v="45"/>
    <s v="2a"/>
    <x v="0"/>
    <n v="4.092E-6"/>
    <n v="7.3799999999999996E-6"/>
    <x v="141"/>
    <x v="136"/>
  </r>
  <r>
    <n v="45"/>
    <s v="3a"/>
    <x v="0"/>
    <n v="1.0359E-5"/>
    <n v="2.1203E-5"/>
    <x v="142"/>
    <x v="137"/>
  </r>
  <r>
    <n v="45"/>
    <s v="4a"/>
    <x v="0"/>
    <n v="4.4475999999999999E-5"/>
    <n v="7.7426E-5"/>
    <x v="143"/>
    <x v="138"/>
  </r>
  <r>
    <n v="45"/>
    <s v="1b"/>
    <x v="1"/>
    <n v="6672.2682926829266"/>
    <n v="273.56299999999999"/>
    <x v="144"/>
    <x v="7"/>
  </r>
  <r>
    <n v="45"/>
    <s v="2b"/>
    <x v="1"/>
    <n v="10446.806451612903"/>
    <n v="323.851"/>
    <x v="145"/>
    <x v="7"/>
  </r>
  <r>
    <n v="45"/>
    <s v="3b"/>
    <x v="1"/>
    <n v="15360.5"/>
    <n v="1013.793"/>
    <x v="146"/>
    <x v="7"/>
  </r>
  <r>
    <n v="45"/>
    <s v="4b"/>
    <x v="1"/>
    <n v="17879.944444444445"/>
    <n v="1287.356"/>
    <x v="147"/>
    <x v="7"/>
  </r>
  <r>
    <n v="46"/>
    <n v="1"/>
    <x v="0"/>
    <n v="1.1877E-5"/>
    <m/>
    <x v="148"/>
    <x v="139"/>
  </r>
  <r>
    <n v="46"/>
    <n v="2"/>
    <x v="0"/>
    <n v="1.2358165999999999E-2"/>
    <m/>
    <x v="149"/>
    <x v="140"/>
  </r>
  <r>
    <n v="46"/>
    <n v="3"/>
    <x v="0"/>
    <n v="1.3921247999999999E-2"/>
    <m/>
    <x v="150"/>
    <x v="141"/>
  </r>
  <r>
    <n v="46"/>
    <n v="4"/>
    <x v="0"/>
    <n v="1.7433288000000002E-2"/>
    <m/>
    <x v="151"/>
    <x v="142"/>
  </r>
  <r>
    <n v="46"/>
    <n v="5"/>
    <x v="0"/>
    <n v="8.8771969999999999E-3"/>
    <m/>
    <x v="152"/>
    <x v="143"/>
  </r>
  <r>
    <n v="46"/>
    <n v="6"/>
    <x v="0"/>
    <n v="2.6624859999999999E-3"/>
    <m/>
    <x v="153"/>
    <x v="144"/>
  </r>
  <r>
    <n v="47"/>
    <s v="1a"/>
    <x v="0"/>
    <n v="4.8399999999999994E-7"/>
    <m/>
    <x v="0"/>
    <x v="7"/>
  </r>
  <r>
    <n v="47"/>
    <n v="2"/>
    <x v="0"/>
    <n v="3.6190000000000004E-6"/>
    <m/>
    <x v="0"/>
    <x v="7"/>
  </r>
  <r>
    <n v="47"/>
    <n v="3"/>
    <x v="0"/>
    <n v="2.3408E-5"/>
    <m/>
    <x v="0"/>
    <x v="7"/>
  </r>
  <r>
    <n v="47"/>
    <s v="4a"/>
    <x v="0"/>
    <n v="1.0209600000000001E-4"/>
    <m/>
    <x v="0"/>
    <x v="7"/>
  </r>
  <r>
    <n v="47"/>
    <n v="5"/>
    <x v="0"/>
    <n v="1.365008E-3"/>
    <m/>
    <x v="0"/>
    <x v="7"/>
  </r>
  <r>
    <n v="47"/>
    <s v="1b"/>
    <x v="1"/>
    <n v="1131"/>
    <m/>
    <x v="154"/>
    <x v="7"/>
  </r>
  <r>
    <n v="47"/>
    <s v="4b"/>
    <x v="1"/>
    <n v="1395"/>
    <m/>
    <x v="155"/>
    <x v="7"/>
  </r>
  <r>
    <n v="48"/>
    <n v="1"/>
    <x v="0"/>
    <m/>
    <m/>
    <x v="0"/>
    <x v="145"/>
  </r>
  <r>
    <n v="48"/>
    <n v="2"/>
    <x v="0"/>
    <m/>
    <m/>
    <x v="0"/>
    <x v="146"/>
  </r>
  <r>
    <n v="48"/>
    <n v="3"/>
    <x v="0"/>
    <m/>
    <m/>
    <x v="0"/>
    <x v="147"/>
  </r>
  <r>
    <n v="48"/>
    <n v="4"/>
    <x v="0"/>
    <m/>
    <m/>
    <x v="0"/>
    <x v="148"/>
  </r>
  <r>
    <n v="48"/>
    <n v="5"/>
    <x v="0"/>
    <m/>
    <m/>
    <x v="0"/>
    <x v="149"/>
  </r>
  <r>
    <n v="48"/>
    <n v="6"/>
    <x v="0"/>
    <m/>
    <m/>
    <x v="0"/>
    <x v="150"/>
  </r>
  <r>
    <n v="48"/>
    <n v="7"/>
    <x v="0"/>
    <m/>
    <m/>
    <x v="0"/>
    <x v="151"/>
  </r>
  <r>
    <n v="48"/>
    <n v="8"/>
    <x v="0"/>
    <m/>
    <m/>
    <x v="0"/>
    <x v="152"/>
  </r>
  <r>
    <n v="48"/>
    <n v="9"/>
    <x v="0"/>
    <m/>
    <m/>
    <x v="0"/>
    <x v="153"/>
  </r>
  <r>
    <n v="48"/>
    <n v="10"/>
    <x v="0"/>
    <m/>
    <m/>
    <x v="0"/>
    <x v="154"/>
  </r>
  <r>
    <n v="48"/>
    <n v="11"/>
    <x v="0"/>
    <m/>
    <m/>
    <x v="0"/>
    <x v="155"/>
  </r>
  <r>
    <n v="48"/>
    <n v="12"/>
    <x v="0"/>
    <m/>
    <m/>
    <x v="0"/>
    <x v="156"/>
  </r>
  <r>
    <n v="49"/>
    <n v="1"/>
    <x v="0"/>
    <m/>
    <m/>
    <x v="0"/>
    <x v="157"/>
  </r>
  <r>
    <n v="49"/>
    <n v="2"/>
    <x v="0"/>
    <n v="3.1729999999999999E-6"/>
    <m/>
    <x v="156"/>
    <x v="158"/>
  </r>
  <r>
    <n v="49"/>
    <n v="3"/>
    <x v="0"/>
    <n v="1.4694E-5"/>
    <m/>
    <x v="157"/>
    <x v="159"/>
  </r>
  <r>
    <n v="49"/>
    <n v="4"/>
    <x v="0"/>
    <n v="5.5770000000000003E-5"/>
    <m/>
    <x v="158"/>
    <x v="160"/>
  </r>
  <r>
    <n v="50"/>
    <n v="1"/>
    <x v="1"/>
    <n v="3950.7959999999998"/>
    <m/>
    <x v="0"/>
    <x v="7"/>
  </r>
  <r>
    <n v="50"/>
    <n v="2"/>
    <x v="1"/>
    <n v="4619.3919999999998"/>
    <m/>
    <x v="0"/>
    <x v="7"/>
  </r>
  <r>
    <n v="50"/>
    <n v="3"/>
    <x v="1"/>
    <n v="4489.1459999999997"/>
    <m/>
    <x v="0"/>
    <x v="7"/>
  </r>
  <r>
    <n v="50"/>
    <n v="4"/>
    <x v="1"/>
    <n v="5253.2560000000003"/>
    <m/>
    <x v="0"/>
    <x v="7"/>
  </r>
  <r>
    <n v="51"/>
    <n v="1"/>
    <x v="0"/>
    <n v="4591.2049999999999"/>
    <m/>
    <x v="159"/>
    <x v="7"/>
  </r>
  <r>
    <n v="51"/>
    <n v="2"/>
    <x v="0"/>
    <n v="6228.0129999999999"/>
    <m/>
    <x v="160"/>
    <x v="7"/>
  </r>
  <r>
    <n v="51"/>
    <n v="3"/>
    <x v="0"/>
    <n v="6081.433"/>
    <m/>
    <x v="161"/>
    <x v="7"/>
  </r>
  <r>
    <n v="51"/>
    <n v="4"/>
    <x v="0"/>
    <n v="5902.28"/>
    <m/>
    <x v="162"/>
    <x v="7"/>
  </r>
  <r>
    <n v="51"/>
    <n v="5"/>
    <x v="0"/>
    <n v="6089.5770000000002"/>
    <m/>
    <x v="163"/>
    <x v="7"/>
  </r>
  <r>
    <n v="51"/>
    <n v="6"/>
    <x v="0"/>
    <n v="6016.2870000000003"/>
    <m/>
    <x v="164"/>
    <x v="7"/>
  </r>
  <r>
    <n v="51"/>
    <n v="7"/>
    <x v="0"/>
    <n v="5723.1270000000004"/>
    <m/>
    <x v="165"/>
    <x v="7"/>
  </r>
  <r>
    <n v="52"/>
    <n v="1"/>
    <x v="1"/>
    <m/>
    <n v="30926.641"/>
    <x v="166"/>
    <x v="7"/>
  </r>
  <r>
    <n v="52"/>
    <n v="2"/>
    <x v="1"/>
    <m/>
    <n v="95096.524999999994"/>
    <x v="167"/>
    <x v="7"/>
  </r>
  <r>
    <n v="52"/>
    <n v="3"/>
    <x v="1"/>
    <m/>
    <m/>
    <x v="0"/>
    <x v="7"/>
  </r>
  <r>
    <n v="52"/>
    <n v="4"/>
    <x v="1"/>
    <m/>
    <m/>
    <x v="0"/>
    <x v="7"/>
  </r>
  <r>
    <n v="53"/>
    <n v="1"/>
    <x v="1"/>
    <m/>
    <m/>
    <x v="0"/>
    <x v="161"/>
  </r>
  <r>
    <n v="53"/>
    <n v="2"/>
    <x v="1"/>
    <m/>
    <m/>
    <x v="0"/>
    <x v="162"/>
  </r>
  <r>
    <n v="53"/>
    <n v="3"/>
    <x v="1"/>
    <m/>
    <m/>
    <x v="0"/>
    <x v="163"/>
  </r>
  <r>
    <n v="53"/>
    <n v="4"/>
    <x v="1"/>
    <m/>
    <m/>
    <x v="0"/>
    <x v="164"/>
  </r>
  <r>
    <n v="53"/>
    <n v="5"/>
    <x v="1"/>
    <m/>
    <m/>
    <x v="0"/>
    <x v="164"/>
  </r>
  <r>
    <n v="54"/>
    <n v="1"/>
    <x v="1"/>
    <n v="355.04300000000001"/>
    <m/>
    <x v="168"/>
    <x v="7"/>
  </r>
  <r>
    <n v="54"/>
    <n v="2"/>
    <x v="1"/>
    <n v="662.82399999999996"/>
    <m/>
    <x v="169"/>
    <x v="7"/>
  </r>
  <r>
    <n v="54"/>
    <n v="3"/>
    <x v="1"/>
    <n v="523.63099999999997"/>
    <m/>
    <x v="170"/>
    <x v="7"/>
  </r>
  <r>
    <n v="54"/>
    <n v="4"/>
    <x v="1"/>
    <n v="292.79500000000002"/>
    <m/>
    <x v="171"/>
    <x v="7"/>
  </r>
  <r>
    <n v="55"/>
    <s v="1a"/>
    <x v="0"/>
    <m/>
    <m/>
    <x v="0"/>
    <x v="165"/>
  </r>
  <r>
    <n v="55"/>
    <s v="2a"/>
    <x v="0"/>
    <m/>
    <m/>
    <x v="0"/>
    <x v="7"/>
  </r>
  <r>
    <n v="55"/>
    <s v="3a"/>
    <x v="0"/>
    <m/>
    <m/>
    <x v="0"/>
    <x v="7"/>
  </r>
  <r>
    <n v="55"/>
    <s v="1b"/>
    <x v="0"/>
    <m/>
    <m/>
    <x v="0"/>
    <x v="166"/>
  </r>
  <r>
    <n v="55"/>
    <s v="2b"/>
    <x v="0"/>
    <m/>
    <m/>
    <x v="0"/>
    <x v="7"/>
  </r>
  <r>
    <n v="55"/>
    <s v="3b"/>
    <x v="0"/>
    <m/>
    <m/>
    <x v="0"/>
    <x v="7"/>
  </r>
  <r>
    <n v="55"/>
    <s v="1c"/>
    <x v="0"/>
    <m/>
    <m/>
    <x v="0"/>
    <x v="167"/>
  </r>
  <r>
    <n v="55"/>
    <s v="2c"/>
    <x v="0"/>
    <m/>
    <m/>
    <x v="0"/>
    <x v="7"/>
  </r>
  <r>
    <n v="55"/>
    <s v="3c"/>
    <x v="0"/>
    <m/>
    <m/>
    <x v="0"/>
    <x v="7"/>
  </r>
  <r>
    <n v="56"/>
    <s v="1a"/>
    <x v="1"/>
    <n v="895279196.13399994"/>
    <n v="102343860.287"/>
    <x v="172"/>
    <x v="7"/>
  </r>
  <r>
    <n v="56"/>
    <s v="1b"/>
    <x v="0"/>
    <m/>
    <m/>
    <x v="0"/>
    <x v="168"/>
  </r>
  <r>
    <n v="57"/>
    <n v="1"/>
    <x v="1"/>
    <n v="928105386.37800002"/>
    <m/>
    <x v="0"/>
    <x v="7"/>
  </r>
  <r>
    <n v="57"/>
    <n v="2"/>
    <x v="1"/>
    <n v="818980434.62699997"/>
    <m/>
    <x v="0"/>
    <x v="7"/>
  </r>
  <r>
    <n v="58"/>
    <n v="1"/>
    <x v="0"/>
    <n v="2.6465518999999999E-3"/>
    <n v="5.1707150000000002E-3"/>
    <x v="173"/>
    <x v="7"/>
  </r>
  <r>
    <n v="58"/>
    <n v="2"/>
    <x v="0"/>
    <n v="1.3661342E-3"/>
    <n v="2.5904729999999998E-3"/>
    <x v="174"/>
    <x v="7"/>
  </r>
  <r>
    <n v="58"/>
    <n v="3"/>
    <x v="0"/>
    <n v="2.1086600000000002E-5"/>
    <n v="1.0361849999999999E-4"/>
    <x v="175"/>
    <x v="7"/>
  </r>
  <r>
    <n v="58"/>
    <n v="4"/>
    <x v="0"/>
    <n v="3.3899400000000003E-5"/>
    <n v="8.5049999999999994E-5"/>
    <x v="176"/>
    <x v="7"/>
  </r>
  <r>
    <n v="58"/>
    <n v="5"/>
    <x v="0"/>
    <n v="1.2896000000000002E-5"/>
    <n v="2.052E-5"/>
    <x v="177"/>
    <x v="7"/>
  </r>
  <r>
    <n v="59"/>
    <n v="1"/>
    <x v="1"/>
    <n v="6256.3739999999998"/>
    <m/>
    <x v="178"/>
    <x v="7"/>
  </r>
  <r>
    <n v="59"/>
    <n v="2"/>
    <x v="1"/>
    <n v="6603.3990000000003"/>
    <m/>
    <x v="179"/>
    <x v="7"/>
  </r>
  <r>
    <n v="59"/>
    <n v="3"/>
    <x v="1"/>
    <n v="5611.8980000000001"/>
    <m/>
    <x v="180"/>
    <x v="7"/>
  </r>
  <r>
    <n v="59"/>
    <n v="4"/>
    <x v="1"/>
    <n v="5175.6369999999997"/>
    <m/>
    <x v="181"/>
    <x v="7"/>
  </r>
  <r>
    <n v="59"/>
    <n v="5"/>
    <x v="1"/>
    <n v="4630.3119999999999"/>
    <m/>
    <x v="182"/>
    <x v="7"/>
  </r>
  <r>
    <n v="59"/>
    <n v="6"/>
    <x v="1"/>
    <n v="5046.7420000000002"/>
    <m/>
    <x v="183"/>
    <x v="7"/>
  </r>
  <r>
    <n v="60"/>
    <n v="1"/>
    <x v="1"/>
    <n v="20090928126.087399"/>
    <n v="524807460.24977338"/>
    <x v="184"/>
    <x v="7"/>
  </r>
  <r>
    <n v="60"/>
    <n v="2"/>
    <x v="1"/>
    <n v="1336595516.5464447"/>
    <n v="45708818.96148771"/>
    <x v="185"/>
    <x v="7"/>
  </r>
  <r>
    <n v="60"/>
    <n v="3"/>
    <x v="1"/>
    <n v="92044957.175317541"/>
    <n v="2735268.7263067118"/>
    <x v="186"/>
    <x v="7"/>
  </r>
  <r>
    <n v="60"/>
    <n v="4"/>
    <x v="1"/>
    <n v="11297959.146728039"/>
    <n v="133967.66874259422"/>
    <x v="187"/>
    <x v="7"/>
  </r>
  <r>
    <n v="60"/>
    <n v="5"/>
    <x v="1"/>
    <n v="1492794.4095789965"/>
    <n v="27164.392688390799"/>
    <x v="188"/>
    <x v="7"/>
  </r>
  <r>
    <n v="60"/>
    <n v="6"/>
    <x v="1"/>
    <n v="137404.19750125185"/>
    <n v="2999.1625189876609"/>
    <x v="189"/>
    <x v="7"/>
  </r>
  <r>
    <n v="60"/>
    <n v="7"/>
    <x v="1"/>
    <n v="27989.813196343654"/>
    <n v="570.16427228074883"/>
    <x v="190"/>
    <x v="7"/>
  </r>
  <r>
    <n v="60"/>
    <n v="8"/>
    <x v="1"/>
    <n v="2398.8329190194968"/>
    <n v="60.813500127871762"/>
    <x v="191"/>
    <x v="7"/>
  </r>
  <r>
    <n v="61"/>
    <n v="1"/>
    <x v="1"/>
    <n v="16503.866000000002"/>
    <n v="44645.373"/>
    <x v="192"/>
    <x v="7"/>
  </r>
  <r>
    <m/>
    <m/>
    <x v="2"/>
    <m/>
    <m/>
    <x v="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454180-F6DD-499A-87DE-CBB056D87AB0}" name="Συγκεντρωτικός Πίνακας4" cacheId="6" applyNumberFormats="0" applyBorderFormats="0" applyFontFormats="0" applyPatternFormats="0" applyAlignmentFormats="0" applyWidthHeightFormats="1" dataCaption="Τιμές" updatedVersion="8" minRefreshableVersion="3" useAutoFormatting="1" itemPrintTitles="1" createdVersion="8" indent="0" outline="1" outlineData="1" multipleFieldFilters="0">
  <location ref="S3:T6" firstHeaderRow="1" firstDataRow="1" firstDataCol="1" rowPageCount="1" colPageCount="1"/>
  <pivotFields count="7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multipleItemSelectionAllowed="1" showAll="0">
      <items count="194">
        <item x="140"/>
        <item x="106"/>
        <item x="9"/>
        <item x="16"/>
        <item x="141"/>
        <item x="17"/>
        <item x="156"/>
        <item x="107"/>
        <item x="138"/>
        <item x="108"/>
        <item x="148"/>
        <item x="5"/>
        <item x="76"/>
        <item x="177"/>
        <item x="142"/>
        <item x="10"/>
        <item x="38"/>
        <item x="12"/>
        <item x="2"/>
        <item x="137"/>
        <item x="15"/>
        <item x="22"/>
        <item x="40"/>
        <item x="8"/>
        <item x="39"/>
        <item x="11"/>
        <item x="132"/>
        <item x="157"/>
        <item x="6"/>
        <item x="18"/>
        <item x="143"/>
        <item x="110"/>
        <item x="176"/>
        <item x="133"/>
        <item x="175"/>
        <item x="111"/>
        <item x="7"/>
        <item x="158"/>
        <item x="77"/>
        <item x="14"/>
        <item x="112"/>
        <item x="78"/>
        <item x="139"/>
        <item x="1"/>
        <item x="37"/>
        <item x="13"/>
        <item x="134"/>
        <item x="109"/>
        <item x="19"/>
        <item x="79"/>
        <item x="56"/>
        <item x="47"/>
        <item x="57"/>
        <item x="3"/>
        <item x="152"/>
        <item x="46"/>
        <item x="149"/>
        <item x="150"/>
        <item x="48"/>
        <item x="113"/>
        <item x="153"/>
        <item x="151"/>
        <item x="49"/>
        <item x="52"/>
        <item x="174"/>
        <item x="51"/>
        <item x="50"/>
        <item x="4"/>
        <item x="53"/>
        <item x="83"/>
        <item x="20"/>
        <item x="80"/>
        <item x="173"/>
        <item x="54"/>
        <item x="97"/>
        <item x="23"/>
        <item x="55"/>
        <item x="21"/>
        <item x="81"/>
        <item x="135"/>
        <item x="36"/>
        <item x="84"/>
        <item x="98"/>
        <item x="136"/>
        <item x="99"/>
        <item x="82"/>
        <item x="101"/>
        <item x="100"/>
        <item x="85"/>
        <item x="86"/>
        <item x="87"/>
        <item x="170"/>
        <item x="126"/>
        <item x="155"/>
        <item x="171"/>
        <item x="169"/>
        <item x="154"/>
        <item x="35"/>
        <item x="168"/>
        <item x="93"/>
        <item x="34"/>
        <item x="33"/>
        <item x="90"/>
        <item x="91"/>
        <item x="67"/>
        <item x="89"/>
        <item x="32"/>
        <item x="63"/>
        <item x="92"/>
        <item x="191"/>
        <item x="29"/>
        <item x="68"/>
        <item x="64"/>
        <item x="69"/>
        <item x="65"/>
        <item x="88"/>
        <item x="71"/>
        <item x="72"/>
        <item x="127"/>
        <item x="159"/>
        <item x="70"/>
        <item x="75"/>
        <item x="66"/>
        <item x="178"/>
        <item x="45"/>
        <item x="115"/>
        <item x="105"/>
        <item x="179"/>
        <item x="94"/>
        <item x="180"/>
        <item x="120"/>
        <item x="114"/>
        <item x="73"/>
        <item x="121"/>
        <item x="118"/>
        <item x="182"/>
        <item x="116"/>
        <item x="117"/>
        <item x="74"/>
        <item x="125"/>
        <item x="119"/>
        <item x="62"/>
        <item x="102"/>
        <item x="164"/>
        <item x="43"/>
        <item x="181"/>
        <item x="95"/>
        <item x="41"/>
        <item x="31"/>
        <item x="42"/>
        <item x="183"/>
        <item x="61"/>
        <item x="60"/>
        <item x="161"/>
        <item x="123"/>
        <item x="162"/>
        <item x="30"/>
        <item x="59"/>
        <item x="96"/>
        <item x="160"/>
        <item x="44"/>
        <item x="165"/>
        <item x="104"/>
        <item x="163"/>
        <item x="27"/>
        <item x="58"/>
        <item x="103"/>
        <item x="124"/>
        <item x="122"/>
        <item x="144"/>
        <item x="28"/>
        <item x="145"/>
        <item x="26"/>
        <item x="24"/>
        <item x="25"/>
        <item x="190"/>
        <item x="146"/>
        <item x="128"/>
        <item x="147"/>
        <item x="189"/>
        <item x="129"/>
        <item x="130"/>
        <item x="188"/>
        <item x="166"/>
        <item x="192"/>
        <item x="167"/>
        <item x="187"/>
        <item x="131"/>
        <item x="186"/>
        <item x="185"/>
        <item x="172"/>
        <item x="184"/>
        <item h="1" x="0"/>
        <item t="default"/>
      </items>
    </pivotField>
    <pivotField axis="axisPage" dataField="1" multipleItemSelectionAllowed="1" showAll="0">
      <items count="170">
        <item x="125"/>
        <item x="28"/>
        <item x="34"/>
        <item x="129"/>
        <item x="128"/>
        <item x="35"/>
        <item x="127"/>
        <item x="52"/>
        <item x="29"/>
        <item x="97"/>
        <item x="33"/>
        <item x="126"/>
        <item x="30"/>
        <item x="49"/>
        <item x="32"/>
        <item x="56"/>
        <item x="135"/>
        <item x="51"/>
        <item x="104"/>
        <item x="6"/>
        <item x="61"/>
        <item x="55"/>
        <item x="167"/>
        <item x="62"/>
        <item x="157"/>
        <item x="31"/>
        <item x="96"/>
        <item x="95"/>
        <item x="60"/>
        <item x="47"/>
        <item x="103"/>
        <item x="105"/>
        <item x="109"/>
        <item x="111"/>
        <item x="102"/>
        <item x="168"/>
        <item x="166"/>
        <item x="63"/>
        <item x="113"/>
        <item x="54"/>
        <item x="59"/>
        <item x="110"/>
        <item x="106"/>
        <item x="99"/>
        <item x="164"/>
        <item x="123"/>
        <item x="98"/>
        <item x="64"/>
        <item x="158"/>
        <item x="58"/>
        <item x="112"/>
        <item x="134"/>
        <item x="66"/>
        <item x="163"/>
        <item x="12"/>
        <item x="136"/>
        <item x="108"/>
        <item x="78"/>
        <item x="139"/>
        <item x="89"/>
        <item x="107"/>
        <item x="21"/>
        <item x="57"/>
        <item x="22"/>
        <item x="119"/>
        <item x="130"/>
        <item x="53"/>
        <item x="20"/>
        <item x="5"/>
        <item x="132"/>
        <item x="65"/>
        <item x="36"/>
        <item x="162"/>
        <item x="133"/>
        <item x="122"/>
        <item x="48"/>
        <item x="137"/>
        <item x="165"/>
        <item x="120"/>
        <item x="45"/>
        <item x="131"/>
        <item x="19"/>
        <item x="8"/>
        <item x="100"/>
        <item x="26"/>
        <item x="37"/>
        <item x="161"/>
        <item x="15"/>
        <item x="101"/>
        <item x="91"/>
        <item x="148"/>
        <item x="138"/>
        <item x="13"/>
        <item x="159"/>
        <item x="90"/>
        <item x="152"/>
        <item x="145"/>
        <item x="38"/>
        <item x="92"/>
        <item x="0"/>
        <item x="153"/>
        <item x="149"/>
        <item x="114"/>
        <item x="1"/>
        <item x="67"/>
        <item x="25"/>
        <item x="155"/>
        <item x="39"/>
        <item x="2"/>
        <item x="146"/>
        <item x="27"/>
        <item x="93"/>
        <item x="3"/>
        <item x="68"/>
        <item x="160"/>
        <item x="4"/>
        <item x="14"/>
        <item x="156"/>
        <item x="40"/>
        <item x="124"/>
        <item x="147"/>
        <item x="24"/>
        <item x="41"/>
        <item x="154"/>
        <item x="11"/>
        <item x="69"/>
        <item x="150"/>
        <item x="16"/>
        <item x="115"/>
        <item x="121"/>
        <item x="151"/>
        <item x="80"/>
        <item x="144"/>
        <item x="9"/>
        <item x="94"/>
        <item x="73"/>
        <item x="70"/>
        <item x="83"/>
        <item x="17"/>
        <item x="143"/>
        <item x="79"/>
        <item x="140"/>
        <item x="141"/>
        <item x="81"/>
        <item x="71"/>
        <item x="82"/>
        <item x="142"/>
        <item x="116"/>
        <item x="84"/>
        <item x="18"/>
        <item x="74"/>
        <item x="50"/>
        <item x="117"/>
        <item x="23"/>
        <item x="85"/>
        <item x="72"/>
        <item x="10"/>
        <item x="44"/>
        <item x="86"/>
        <item x="118"/>
        <item x="75"/>
        <item x="43"/>
        <item x="88"/>
        <item x="46"/>
        <item x="42"/>
        <item x="87"/>
        <item x="76"/>
        <item x="77"/>
        <item h="1" x="7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Καταμέτρηση από visco" fld="6" subtotal="count" baseField="2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FAF8EB-36DF-4500-8E54-1F6FF1DF6EE6}" name="Συγκεντρωτικός Πίνακας2" cacheId="0" applyNumberFormats="0" applyBorderFormats="0" applyFontFormats="0" applyPatternFormats="0" applyAlignmentFormats="0" applyWidthHeightFormats="1" dataCaption="Τιμές" updatedVersion="8" minRefreshableVersion="3" useAutoFormatting="1" itemPrintTitles="1" createdVersion="8" indent="0" outline="1" outlineData="1" multipleFieldFilters="0">
  <location ref="L3:M6" firstHeaderRow="1" firstDataRow="1" firstDataCol="1" rowPageCount="1" colPageCount="1"/>
  <pivotFields count="5"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multipleItemSelectionAllowed="1" showAll="0">
      <items count="236">
        <item x="87"/>
        <item x="171"/>
        <item x="141"/>
        <item x="132"/>
        <item x="170"/>
        <item x="165"/>
        <item x="139"/>
        <item x="187"/>
        <item x="140"/>
        <item x="9"/>
        <item x="98"/>
        <item x="133"/>
        <item x="142"/>
        <item x="173"/>
        <item x="166"/>
        <item x="134"/>
        <item x="22"/>
        <item x="2"/>
        <item x="194"/>
        <item x="17"/>
        <item x="188"/>
        <item x="174"/>
        <item x="16"/>
        <item x="12"/>
        <item x="88"/>
        <item x="39"/>
        <item x="175"/>
        <item x="112"/>
        <item x="181"/>
        <item x="219"/>
        <item x="99"/>
        <item x="195"/>
        <item x="18"/>
        <item x="10"/>
        <item x="217"/>
        <item x="189"/>
        <item x="5"/>
        <item x="218"/>
        <item x="136"/>
        <item x="176"/>
        <item x="196"/>
        <item x="15"/>
        <item x="11"/>
        <item x="1"/>
        <item x="89"/>
        <item x="137"/>
        <item x="190"/>
        <item x="38"/>
        <item x="40"/>
        <item x="64"/>
        <item x="8"/>
        <item x="14"/>
        <item x="61"/>
        <item x="37"/>
        <item x="90"/>
        <item x="46"/>
        <item x="100"/>
        <item x="60"/>
        <item x="13"/>
        <item x="172"/>
        <item x="62"/>
        <item x="47"/>
        <item x="118"/>
        <item x="3"/>
        <item x="91"/>
        <item x="4"/>
        <item x="19"/>
        <item x="135"/>
        <item x="167"/>
        <item x="191"/>
        <item x="216"/>
        <item x="101"/>
        <item x="92"/>
        <item x="63"/>
        <item x="6"/>
        <item x="48"/>
        <item x="114"/>
        <item x="59"/>
        <item x="215"/>
        <item x="186"/>
        <item x="138"/>
        <item x="49"/>
        <item x="102"/>
        <item x="20"/>
        <item x="50"/>
        <item x="23"/>
        <item x="117"/>
        <item x="185"/>
        <item x="93"/>
        <item x="119"/>
        <item x="51"/>
        <item x="52"/>
        <item x="113"/>
        <item x="182"/>
        <item x="115"/>
        <item x="183"/>
        <item x="116"/>
        <item x="184"/>
        <item x="21"/>
        <item x="53"/>
        <item x="36"/>
        <item x="54"/>
        <item x="120"/>
        <item x="55"/>
        <item x="122"/>
        <item x="7"/>
        <item x="168"/>
        <item x="121"/>
        <item x="169"/>
        <item x="159"/>
        <item x="160"/>
        <item x="211"/>
        <item x="208"/>
        <item x="210"/>
        <item x="209"/>
        <item x="73"/>
        <item x="72"/>
        <item x="192"/>
        <item x="126"/>
        <item x="94"/>
        <item x="193"/>
        <item x="161"/>
        <item x="71"/>
        <item x="35"/>
        <item x="127"/>
        <item x="56"/>
        <item x="108"/>
        <item x="95"/>
        <item x="154"/>
        <item x="155"/>
        <item x="128"/>
        <item x="156"/>
        <item x="233"/>
        <item x="57"/>
        <item x="123"/>
        <item x="96"/>
        <item x="157"/>
        <item x="158"/>
        <item x="70"/>
        <item x="69"/>
        <item x="34"/>
        <item x="97"/>
        <item x="81"/>
        <item x="77"/>
        <item x="33"/>
        <item x="28"/>
        <item x="76"/>
        <item x="58"/>
        <item x="78"/>
        <item x="75"/>
        <item x="80"/>
        <item x="30"/>
        <item x="74"/>
        <item x="31"/>
        <item x="29"/>
        <item x="149"/>
        <item x="129"/>
        <item x="151"/>
        <item x="79"/>
        <item x="147"/>
        <item x="68"/>
        <item x="148"/>
        <item x="153"/>
        <item x="197"/>
        <item x="82"/>
        <item x="150"/>
        <item x="143"/>
        <item x="32"/>
        <item x="27"/>
        <item x="67"/>
        <item x="109"/>
        <item x="130"/>
        <item x="152"/>
        <item x="199"/>
        <item x="66"/>
        <item x="201"/>
        <item x="198"/>
        <item x="224"/>
        <item x="131"/>
        <item x="225"/>
        <item x="83"/>
        <item x="110"/>
        <item x="223"/>
        <item x="200"/>
        <item x="111"/>
        <item x="145"/>
        <item x="65"/>
        <item x="124"/>
        <item x="222"/>
        <item x="207"/>
        <item x="125"/>
        <item x="204"/>
        <item x="86"/>
        <item x="206"/>
        <item x="203"/>
        <item x="205"/>
        <item x="202"/>
        <item x="220"/>
        <item x="221"/>
        <item x="177"/>
        <item x="24"/>
        <item x="146"/>
        <item x="84"/>
        <item x="25"/>
        <item x="26"/>
        <item x="144"/>
        <item x="85"/>
        <item x="103"/>
        <item x="42"/>
        <item x="178"/>
        <item x="45"/>
        <item x="43"/>
        <item x="105"/>
        <item x="107"/>
        <item x="41"/>
        <item x="106"/>
        <item x="104"/>
        <item x="44"/>
        <item x="162"/>
        <item x="179"/>
        <item x="234"/>
        <item x="180"/>
        <item x="232"/>
        <item x="163"/>
        <item x="231"/>
        <item x="164"/>
        <item x="230"/>
        <item x="229"/>
        <item x="228"/>
        <item x="214"/>
        <item x="212"/>
        <item x="213"/>
        <item x="227"/>
        <item x="226"/>
        <item h="1" x="0"/>
        <item t="default"/>
      </items>
    </pivotField>
    <pivotField axis="axisPage" multipleItemSelectionAllowed="1" showAll="0">
      <items count="97">
        <item x="71"/>
        <item x="54"/>
        <item x="9"/>
        <item x="16"/>
        <item x="72"/>
        <item x="17"/>
        <item x="55"/>
        <item x="56"/>
        <item x="5"/>
        <item x="86"/>
        <item x="73"/>
        <item x="10"/>
        <item x="12"/>
        <item x="2"/>
        <item x="15"/>
        <item x="18"/>
        <item x="8"/>
        <item x="11"/>
        <item x="68"/>
        <item x="6"/>
        <item x="74"/>
        <item x="58"/>
        <item x="85"/>
        <item x="69"/>
        <item x="84"/>
        <item x="59"/>
        <item x="7"/>
        <item x="14"/>
        <item x="60"/>
        <item x="1"/>
        <item x="13"/>
        <item x="70"/>
        <item x="57"/>
        <item x="30"/>
        <item x="21"/>
        <item x="31"/>
        <item x="3"/>
        <item x="20"/>
        <item x="22"/>
        <item x="61"/>
        <item x="23"/>
        <item x="26"/>
        <item x="83"/>
        <item x="25"/>
        <item x="24"/>
        <item x="4"/>
        <item x="27"/>
        <item x="82"/>
        <item x="28"/>
        <item x="19"/>
        <item x="29"/>
        <item x="62"/>
        <item x="41"/>
        <item x="37"/>
        <item x="94"/>
        <item x="42"/>
        <item x="38"/>
        <item x="43"/>
        <item x="39"/>
        <item x="45"/>
        <item x="46"/>
        <item x="63"/>
        <item x="44"/>
        <item x="49"/>
        <item x="40"/>
        <item x="53"/>
        <item x="47"/>
        <item x="48"/>
        <item x="36"/>
        <item x="50"/>
        <item x="35"/>
        <item x="34"/>
        <item x="33"/>
        <item x="52"/>
        <item x="32"/>
        <item x="51"/>
        <item x="75"/>
        <item x="76"/>
        <item x="93"/>
        <item x="77"/>
        <item x="64"/>
        <item x="78"/>
        <item x="92"/>
        <item x="65"/>
        <item x="66"/>
        <item x="91"/>
        <item x="79"/>
        <item x="95"/>
        <item x="80"/>
        <item x="90"/>
        <item x="67"/>
        <item x="89"/>
        <item x="88"/>
        <item x="81"/>
        <item x="87"/>
        <item h="1"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4" hier="-1"/>
  </pageFields>
  <dataFields count="1">
    <dataField name="Καταμέτρηση από Study_id" fld="0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BA8498-7706-4AD4-AA5F-013E5D2DF675}" name="Συγκεντρωτικός Πίνακας3" cacheId="1" applyNumberFormats="0" applyBorderFormats="0" applyFontFormats="0" applyPatternFormats="0" applyAlignmentFormats="0" applyWidthHeightFormats="1" dataCaption="Τιμές" updatedVersion="8" minRefreshableVersion="3" useAutoFormatting="1" itemPrintTitles="1" createdVersion="8" indent="0" outline="1" outlineData="1" multipleFieldFilters="0">
  <location ref="P3:Q6" firstHeaderRow="1" firstDataRow="1" firstDataCol="1" rowPageCount="1" colPageCount="1"/>
  <pivotFields count="6"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axis="axisPage" dataField="1" multipleItemSelectionAllowed="1" showAll="0">
      <items count="194">
        <item x="140"/>
        <item x="106"/>
        <item x="9"/>
        <item x="16"/>
        <item x="141"/>
        <item x="17"/>
        <item x="156"/>
        <item x="107"/>
        <item x="138"/>
        <item x="108"/>
        <item x="148"/>
        <item x="5"/>
        <item x="76"/>
        <item x="177"/>
        <item x="142"/>
        <item x="10"/>
        <item x="38"/>
        <item x="12"/>
        <item x="2"/>
        <item x="137"/>
        <item x="15"/>
        <item x="22"/>
        <item x="40"/>
        <item x="8"/>
        <item x="39"/>
        <item x="11"/>
        <item x="132"/>
        <item x="157"/>
        <item x="6"/>
        <item x="18"/>
        <item x="143"/>
        <item x="110"/>
        <item x="176"/>
        <item x="133"/>
        <item x="175"/>
        <item x="111"/>
        <item x="7"/>
        <item x="158"/>
        <item x="77"/>
        <item x="14"/>
        <item x="112"/>
        <item x="78"/>
        <item x="139"/>
        <item x="1"/>
        <item x="37"/>
        <item x="13"/>
        <item x="134"/>
        <item x="109"/>
        <item x="19"/>
        <item x="79"/>
        <item x="56"/>
        <item x="47"/>
        <item x="57"/>
        <item x="3"/>
        <item x="152"/>
        <item x="46"/>
        <item x="149"/>
        <item x="150"/>
        <item x="48"/>
        <item x="113"/>
        <item x="153"/>
        <item x="151"/>
        <item x="49"/>
        <item x="52"/>
        <item x="174"/>
        <item x="51"/>
        <item x="50"/>
        <item x="4"/>
        <item x="53"/>
        <item x="83"/>
        <item x="20"/>
        <item x="80"/>
        <item x="173"/>
        <item x="54"/>
        <item x="97"/>
        <item x="23"/>
        <item x="55"/>
        <item x="21"/>
        <item x="81"/>
        <item x="135"/>
        <item x="36"/>
        <item x="84"/>
        <item x="98"/>
        <item x="136"/>
        <item x="99"/>
        <item x="82"/>
        <item x="101"/>
        <item x="100"/>
        <item x="85"/>
        <item x="86"/>
        <item x="87"/>
        <item x="170"/>
        <item x="126"/>
        <item x="155"/>
        <item x="171"/>
        <item x="169"/>
        <item x="154"/>
        <item x="35"/>
        <item x="168"/>
        <item x="93"/>
        <item x="34"/>
        <item x="33"/>
        <item x="90"/>
        <item x="91"/>
        <item x="67"/>
        <item x="89"/>
        <item x="32"/>
        <item x="63"/>
        <item x="92"/>
        <item x="191"/>
        <item x="29"/>
        <item x="68"/>
        <item x="64"/>
        <item x="69"/>
        <item x="65"/>
        <item x="88"/>
        <item x="71"/>
        <item x="72"/>
        <item x="127"/>
        <item x="159"/>
        <item x="70"/>
        <item x="75"/>
        <item x="66"/>
        <item x="178"/>
        <item x="45"/>
        <item x="115"/>
        <item x="105"/>
        <item x="179"/>
        <item x="94"/>
        <item x="180"/>
        <item x="120"/>
        <item x="114"/>
        <item x="73"/>
        <item x="121"/>
        <item x="118"/>
        <item x="182"/>
        <item x="116"/>
        <item x="117"/>
        <item x="74"/>
        <item x="125"/>
        <item x="119"/>
        <item x="62"/>
        <item x="102"/>
        <item x="164"/>
        <item x="43"/>
        <item x="181"/>
        <item x="95"/>
        <item x="41"/>
        <item x="31"/>
        <item x="42"/>
        <item x="183"/>
        <item x="61"/>
        <item x="60"/>
        <item x="161"/>
        <item x="123"/>
        <item x="162"/>
        <item x="30"/>
        <item x="59"/>
        <item x="96"/>
        <item x="160"/>
        <item x="44"/>
        <item x="165"/>
        <item x="104"/>
        <item x="163"/>
        <item x="27"/>
        <item x="58"/>
        <item x="103"/>
        <item x="124"/>
        <item x="122"/>
        <item x="144"/>
        <item x="28"/>
        <item x="145"/>
        <item x="26"/>
        <item x="24"/>
        <item x="25"/>
        <item x="190"/>
        <item x="146"/>
        <item x="128"/>
        <item x="147"/>
        <item x="189"/>
        <item x="129"/>
        <item x="130"/>
        <item x="188"/>
        <item x="166"/>
        <item x="192"/>
        <item x="167"/>
        <item x="187"/>
        <item x="131"/>
        <item x="186"/>
        <item x="185"/>
        <item x="172"/>
        <item x="184"/>
        <item h="1" x="0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5" hier="-1"/>
  </pageFields>
  <dataFields count="1">
    <dataField name="Καταμέτρηση από loss 2" fld="5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6A9CEF-D25C-49BC-A425-5F282E42973C}" name="Συγκεντρωτικός Πίνακας1" cacheId="0" applyNumberFormats="0" applyBorderFormats="0" applyFontFormats="0" applyPatternFormats="0" applyAlignmentFormats="0" applyWidthHeightFormats="1" dataCaption="Τιμές" updatedVersion="8" minRefreshableVersion="3" useAutoFormatting="1" itemPrintTitles="1" createdVersion="8" indent="0" outline="1" outlineData="1" multipleFieldFilters="0">
  <location ref="I3:J6" firstHeaderRow="1" firstDataRow="1" firstDataCol="1" rowPageCount="1" colPageCount="1"/>
  <pivotFields count="5"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axis="axisPage" multipleItemSelectionAllowed="1" showAll="0">
      <items count="236">
        <item x="87"/>
        <item x="171"/>
        <item x="141"/>
        <item x="132"/>
        <item x="170"/>
        <item x="165"/>
        <item x="139"/>
        <item x="187"/>
        <item x="140"/>
        <item x="9"/>
        <item x="98"/>
        <item x="133"/>
        <item x="142"/>
        <item x="173"/>
        <item x="166"/>
        <item x="134"/>
        <item x="22"/>
        <item x="2"/>
        <item x="194"/>
        <item x="17"/>
        <item x="188"/>
        <item x="174"/>
        <item x="16"/>
        <item x="12"/>
        <item x="88"/>
        <item x="39"/>
        <item x="175"/>
        <item x="112"/>
        <item x="181"/>
        <item x="219"/>
        <item x="99"/>
        <item x="195"/>
        <item x="18"/>
        <item x="10"/>
        <item x="217"/>
        <item x="189"/>
        <item x="5"/>
        <item x="218"/>
        <item x="136"/>
        <item x="176"/>
        <item x="196"/>
        <item x="15"/>
        <item x="11"/>
        <item x="1"/>
        <item x="89"/>
        <item x="137"/>
        <item x="190"/>
        <item x="38"/>
        <item x="40"/>
        <item x="64"/>
        <item x="8"/>
        <item x="14"/>
        <item x="61"/>
        <item x="37"/>
        <item x="90"/>
        <item x="46"/>
        <item x="100"/>
        <item x="60"/>
        <item x="13"/>
        <item x="172"/>
        <item x="62"/>
        <item x="47"/>
        <item x="118"/>
        <item x="3"/>
        <item x="91"/>
        <item x="4"/>
        <item x="19"/>
        <item x="135"/>
        <item x="167"/>
        <item x="191"/>
        <item x="216"/>
        <item x="101"/>
        <item x="92"/>
        <item x="63"/>
        <item x="6"/>
        <item x="48"/>
        <item x="114"/>
        <item x="59"/>
        <item x="215"/>
        <item x="186"/>
        <item x="138"/>
        <item x="49"/>
        <item x="102"/>
        <item x="20"/>
        <item x="50"/>
        <item x="23"/>
        <item x="117"/>
        <item x="185"/>
        <item x="93"/>
        <item x="119"/>
        <item x="51"/>
        <item x="52"/>
        <item x="113"/>
        <item x="182"/>
        <item x="115"/>
        <item x="183"/>
        <item x="116"/>
        <item x="184"/>
        <item x="21"/>
        <item x="53"/>
        <item x="36"/>
        <item x="54"/>
        <item x="120"/>
        <item x="55"/>
        <item x="122"/>
        <item x="7"/>
        <item x="168"/>
        <item x="121"/>
        <item x="169"/>
        <item x="159"/>
        <item x="160"/>
        <item x="211"/>
        <item x="208"/>
        <item x="210"/>
        <item x="209"/>
        <item x="73"/>
        <item x="72"/>
        <item x="192"/>
        <item x="126"/>
        <item x="94"/>
        <item x="193"/>
        <item x="161"/>
        <item x="71"/>
        <item x="35"/>
        <item x="127"/>
        <item x="56"/>
        <item x="108"/>
        <item x="95"/>
        <item x="154"/>
        <item x="155"/>
        <item x="128"/>
        <item x="156"/>
        <item x="233"/>
        <item x="57"/>
        <item x="123"/>
        <item x="96"/>
        <item x="157"/>
        <item x="158"/>
        <item x="70"/>
        <item x="69"/>
        <item x="34"/>
        <item x="97"/>
        <item x="81"/>
        <item x="77"/>
        <item x="33"/>
        <item x="28"/>
        <item x="76"/>
        <item x="58"/>
        <item x="78"/>
        <item x="75"/>
        <item x="80"/>
        <item x="30"/>
        <item x="74"/>
        <item x="31"/>
        <item x="29"/>
        <item x="149"/>
        <item x="129"/>
        <item x="151"/>
        <item x="79"/>
        <item x="147"/>
        <item x="68"/>
        <item x="148"/>
        <item x="153"/>
        <item x="197"/>
        <item x="82"/>
        <item x="150"/>
        <item x="143"/>
        <item x="32"/>
        <item x="27"/>
        <item x="67"/>
        <item x="109"/>
        <item x="130"/>
        <item x="152"/>
        <item x="199"/>
        <item x="66"/>
        <item x="201"/>
        <item x="198"/>
        <item x="224"/>
        <item x="131"/>
        <item x="225"/>
        <item x="83"/>
        <item x="110"/>
        <item x="223"/>
        <item x="200"/>
        <item x="111"/>
        <item x="145"/>
        <item x="65"/>
        <item x="124"/>
        <item x="222"/>
        <item x="207"/>
        <item x="125"/>
        <item x="204"/>
        <item x="86"/>
        <item x="206"/>
        <item x="203"/>
        <item x="205"/>
        <item x="202"/>
        <item x="220"/>
        <item x="221"/>
        <item x="177"/>
        <item x="24"/>
        <item x="146"/>
        <item x="84"/>
        <item x="25"/>
        <item x="26"/>
        <item x="144"/>
        <item x="85"/>
        <item x="103"/>
        <item x="42"/>
        <item x="178"/>
        <item x="45"/>
        <item x="43"/>
        <item x="105"/>
        <item x="107"/>
        <item x="41"/>
        <item x="106"/>
        <item x="104"/>
        <item x="44"/>
        <item x="162"/>
        <item x="179"/>
        <item x="234"/>
        <item x="180"/>
        <item x="232"/>
        <item x="163"/>
        <item x="231"/>
        <item x="164"/>
        <item x="230"/>
        <item x="229"/>
        <item x="228"/>
        <item x="214"/>
        <item x="212"/>
        <item x="213"/>
        <item x="227"/>
        <item x="226"/>
        <item h="1" x="0"/>
        <item t="default"/>
      </items>
    </pivotField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3" hier="-1"/>
  </pageFields>
  <dataFields count="1">
    <dataField name="Καταμέτρηση από Study_id" fld="0" subtotal="count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R17">
  <tableColumns count="18">
    <tableColumn id="1" xr3:uid="{00000000-0010-0000-0100-000001000000}" name="Study_id"/>
    <tableColumn id="2" xr3:uid="{00000000-0010-0000-0100-000002000000}" name="Instance"/>
    <tableColumn id="3" xr3:uid="{00000000-0010-0000-0100-000003000000}" name="Tg1"/>
    <tableColumn id="4" xr3:uid="{00000000-0010-0000-0100-000004000000}" name="Tg2"/>
    <tableColumn id="5" xr3:uid="{00000000-0010-0000-0100-000005000000}" name="Tc1"/>
    <tableColumn id="6" xr3:uid="{00000000-0010-0000-0100-000006000000}" name="Tc2"/>
    <tableColumn id="7" xr3:uid="{00000000-0010-0000-0100-000007000000}" name="Tmc"/>
    <tableColumn id="8" xr3:uid="{00000000-0010-0000-0100-000008000000}" name="Tm1"/>
    <tableColumn id="9" xr3:uid="{00000000-0010-0000-0100-000009000000}" name="Tm2"/>
    <tableColumn id="10" xr3:uid="{00000000-0010-0000-0100-00000A000000}" name="Td5"/>
    <tableColumn id="11" xr3:uid="{00000000-0010-0000-0100-00000B000000}" name="Tdeg"/>
    <tableColumn id="12" xr3:uid="{00000000-0010-0000-0100-00000C000000}" name="Temperature_units"/>
    <tableColumn id="13" xr3:uid="{00000000-0010-0000-0100-00000D000000}" name="DΗm1"/>
    <tableColumn id="14" xr3:uid="{00000000-0010-0000-0100-00000E000000}" name="DΗm2"/>
    <tableColumn id="15" xr3:uid="{00000000-0010-0000-0100-00000F000000}" name="DHc1"/>
    <tableColumn id="16" xr3:uid="{00000000-0010-0000-0100-000010000000}" name="DHc2"/>
    <tableColumn id="17" xr3:uid="{00000000-0010-0000-0100-000011000000}" name="Enthaply_units"/>
    <tableColumn id="18" xr3:uid="{00000000-0010-0000-0100-000012000000}" name="Crystallinity_%"/>
  </tableColumns>
  <tableStyleInfo name="Thermal_propertie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46:C93" headerRowCount="0">
  <tableColumns count="3">
    <tableColumn id="1" xr3:uid="{00000000-0010-0000-0200-000001000000}" name="Column1"/>
    <tableColumn id="2" xr3:uid="{00000000-0010-0000-0200-000002000000}" name="Column2"/>
    <tableColumn id="3" xr3:uid="{00000000-0010-0000-0200-000003000000}" name="Column3"/>
  </tableColumns>
  <tableStyleInfo name="Thermal_propertie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7:M21" headerRowCount="0">
  <tableColumns count="13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/>
  </tableColumns>
  <tableStyleInfo name="Storage_modulus_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56:O86" headerRowCount="0">
  <tableColumns count="15">
    <tableColumn id="1" xr3:uid="{00000000-0010-0000-0700-000001000000}" name="Column1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  <tableColumn id="10" xr3:uid="{00000000-0010-0000-0700-00000A000000}" name="Column10"/>
    <tableColumn id="11" xr3:uid="{00000000-0010-0000-0700-00000B000000}" name="Column11"/>
    <tableColumn id="12" xr3:uid="{00000000-0010-0000-0700-00000C000000}" name="Column12"/>
    <tableColumn id="13" xr3:uid="{00000000-0010-0000-0700-00000D000000}" name="Column13"/>
    <tableColumn id="14" xr3:uid="{00000000-0010-0000-0700-00000E000000}" name="Column14"/>
    <tableColumn id="15" xr3:uid="{00000000-0010-0000-0700-00000F000000}" name="Column15"/>
  </tableColumns>
  <tableStyleInfo name="Storage_modulus_G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7:Y13" headerRowCount="0">
  <tableColumns count="25">
    <tableColumn id="1" xr3:uid="{00000000-0010-0000-0800-000001000000}" name="Column1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  <tableColumn id="10" xr3:uid="{00000000-0010-0000-0800-00000A000000}" name="Column10"/>
    <tableColumn id="11" xr3:uid="{00000000-0010-0000-0800-00000B000000}" name="Column11"/>
    <tableColumn id="12" xr3:uid="{00000000-0010-0000-0800-00000C000000}" name="Column12"/>
    <tableColumn id="13" xr3:uid="{00000000-0010-0000-0800-00000D000000}" name="Column13"/>
    <tableColumn id="14" xr3:uid="{00000000-0010-0000-0800-00000E000000}" name="Column14"/>
    <tableColumn id="15" xr3:uid="{00000000-0010-0000-0800-00000F000000}" name="Column15"/>
    <tableColumn id="16" xr3:uid="{00000000-0010-0000-0800-000010000000}" name="Column16"/>
    <tableColumn id="17" xr3:uid="{00000000-0010-0000-0800-000011000000}" name="Column17"/>
    <tableColumn id="18" xr3:uid="{00000000-0010-0000-0800-000012000000}" name="Column18"/>
    <tableColumn id="19" xr3:uid="{00000000-0010-0000-0800-000013000000}" name="Column19"/>
    <tableColumn id="20" xr3:uid="{00000000-0010-0000-0800-000014000000}" name="Column20"/>
    <tableColumn id="21" xr3:uid="{00000000-0010-0000-0800-000015000000}" name="Column21"/>
    <tableColumn id="22" xr3:uid="{00000000-0010-0000-0800-000016000000}" name="Column22"/>
    <tableColumn id="23" xr3:uid="{00000000-0010-0000-0800-000017000000}" name="Column23"/>
    <tableColumn id="24" xr3:uid="{00000000-0010-0000-0800-000018000000}" name="Column24"/>
    <tableColumn id="25" xr3:uid="{00000000-0010-0000-0800-000019000000}" name="Column25"/>
  </tableColumns>
  <tableStyleInfo name="Loss_modulus_G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7:X121" headerRowCount="0">
  <tableColumns count="24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</tableColumns>
  <tableStyleInfo name="Temperature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7:Y63" headerRowCount="0">
  <tableColumns count="25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  <tableColumn id="20" xr3:uid="{00000000-0010-0000-0300-000014000000}" name="Column20"/>
    <tableColumn id="21" xr3:uid="{00000000-0010-0000-0300-000015000000}" name="Column21"/>
    <tableColumn id="22" xr3:uid="{00000000-0010-0000-0300-000016000000}" name="Column22"/>
    <tableColumn id="23" xr3:uid="{00000000-0010-0000-0300-000017000000}" name="Column23"/>
    <tableColumn id="24" xr3:uid="{00000000-0010-0000-0300-000018000000}" name="Column24"/>
    <tableColumn id="25" xr3:uid="{00000000-0010-0000-0300-000019000000}" name="Column25"/>
  </tableColumns>
  <tableStyleInfo name="Complex_viscosity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64:B64" headerRowCount="0">
  <tableColumns count="2">
    <tableColumn id="1" xr3:uid="{00000000-0010-0000-0400-000001000000}" name="Column1"/>
    <tableColumn id="2" xr3:uid="{00000000-0010-0000-0400-000002000000}" name="Column2"/>
  </tableColumns>
  <tableStyleInfo name="Complex_viscosity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7:B10" headerRowCount="0">
  <tableColumns count="2">
    <tableColumn id="1" xr3:uid="{00000000-0010-0000-0900-000001000000}" name="Column1"/>
    <tableColumn id="2" xr3:uid="{00000000-0010-0000-0900-000002000000}" name="Column2"/>
  </tableColumns>
  <tableStyleInfo name="Tandelt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://dx.doi.org/10.1021/ie2023367" TargetMode="External"/><Relationship Id="rId13" Type="http://schemas.openxmlformats.org/officeDocument/2006/relationships/hyperlink" Target="https://doi.org/10.3390/ma17122894" TargetMode="External"/><Relationship Id="rId3" Type="http://schemas.openxmlformats.org/officeDocument/2006/relationships/hyperlink" Target="https://doi.org/10.1016/j.ijbiomac.2020.10.156" TargetMode="External"/><Relationship Id="rId7" Type="http://schemas.openxmlformats.org/officeDocument/2006/relationships/hyperlink" Target="https://doi.org/10.1016/j.polymer.2024.127352" TargetMode="External"/><Relationship Id="rId12" Type="http://schemas.openxmlformats.org/officeDocument/2006/relationships/hyperlink" Target="https://doi.org/10.1016/j.coco.2023.101701" TargetMode="External"/><Relationship Id="rId2" Type="http://schemas.openxmlformats.org/officeDocument/2006/relationships/hyperlink" Target="http://dx.doi.org/10.1016/j.indcrop.2016.12.024" TargetMode="External"/><Relationship Id="rId1" Type="http://schemas.openxmlformats.org/officeDocument/2006/relationships/hyperlink" Target="http://dx.doi.org/10.1016/j.eurpolymj.2016.01.024" TargetMode="External"/><Relationship Id="rId6" Type="http://schemas.openxmlformats.org/officeDocument/2006/relationships/hyperlink" Target="https://doi.org/10.1016/j.mtcomm.2019.02.008" TargetMode="External"/><Relationship Id="rId11" Type="http://schemas.openxmlformats.org/officeDocument/2006/relationships/hyperlink" Target="https://doi.org/10.1016/j.ijbiomac.2024.139338" TargetMode="External"/><Relationship Id="rId5" Type="http://schemas.openxmlformats.org/officeDocument/2006/relationships/hyperlink" Target="https://doi.org/10.1016/j.indcrop.2019.112071" TargetMode="External"/><Relationship Id="rId10" Type="http://schemas.openxmlformats.org/officeDocument/2006/relationships/hyperlink" Target="https://doi.org/10.1680/bbn.12.00011" TargetMode="External"/><Relationship Id="rId4" Type="http://schemas.openxmlformats.org/officeDocument/2006/relationships/hyperlink" Target="http://dx.doi.org/10.1016/j.ijbiomac.2014.07.038" TargetMode="External"/><Relationship Id="rId9" Type="http://schemas.openxmlformats.org/officeDocument/2006/relationships/hyperlink" Target="http://dx.doi.org/10.1016/j.carbpol.2012.09.033" TargetMode="External"/><Relationship Id="rId14" Type="http://schemas.openxmlformats.org/officeDocument/2006/relationships/hyperlink" Target="https://doi.org/10.1002/pen.7603520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B5E0D-21B0-4090-95C4-2E762E7B16C6}">
  <dimension ref="A1:AY1000"/>
  <sheetViews>
    <sheetView workbookViewId="0">
      <selection activeCell="C3" sqref="C3"/>
    </sheetView>
  </sheetViews>
  <sheetFormatPr defaultColWidth="12.5546875" defaultRowHeight="15" customHeight="1"/>
  <cols>
    <col min="1" max="1" width="8.6640625" customWidth="1"/>
    <col min="2" max="3" width="8.88671875" style="2" customWidth="1"/>
    <col min="4" max="4" width="10" customWidth="1"/>
    <col min="5" max="48" width="9.109375" customWidth="1"/>
    <col min="49" max="51" width="8.5546875" customWidth="1"/>
  </cols>
  <sheetData>
    <row r="1" spans="1:51" ht="14.4">
      <c r="A1" s="16" t="s">
        <v>219</v>
      </c>
      <c r="B1" s="15" t="s">
        <v>220</v>
      </c>
      <c r="C1" s="15" t="s">
        <v>573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120"/>
      <c r="AV1" s="2"/>
      <c r="AW1" s="2"/>
      <c r="AX1" s="2"/>
      <c r="AY1" s="2"/>
    </row>
    <row r="2" spans="1:51" ht="14.4">
      <c r="A2" s="329">
        <v>1</v>
      </c>
      <c r="B2" s="315">
        <v>1</v>
      </c>
      <c r="C2" s="315"/>
      <c r="D2" s="207">
        <v>1</v>
      </c>
      <c r="E2" s="207">
        <v>1.2656304666823099</v>
      </c>
      <c r="F2" s="207">
        <v>1.57977700264465</v>
      </c>
      <c r="G2" s="207">
        <v>1.9994139051111299</v>
      </c>
      <c r="H2" s="207">
        <v>2.49569537808491</v>
      </c>
      <c r="I2" s="207">
        <v>3.13681906170895</v>
      </c>
      <c r="J2" s="207">
        <v>3.9426421639050901</v>
      </c>
      <c r="K2" s="207">
        <v>5.0595551832915904</v>
      </c>
      <c r="L2" s="207">
        <v>6.2284954201944096</v>
      </c>
      <c r="M2" s="207">
        <v>7.8285448341957098</v>
      </c>
      <c r="N2" s="207">
        <v>10.0462971141803</v>
      </c>
      <c r="O2" s="207">
        <v>12.453340351057699</v>
      </c>
      <c r="P2" s="207">
        <v>15.652501398276801</v>
      </c>
      <c r="Q2" s="207">
        <v>19.810282649446599</v>
      </c>
      <c r="R2" s="207">
        <v>25.072497274727699</v>
      </c>
      <c r="S2" s="207">
        <v>31.732516426704599</v>
      </c>
      <c r="T2" s="207">
        <v>40.161639574134398</v>
      </c>
      <c r="U2" s="207">
        <v>50.130299686951602</v>
      </c>
      <c r="V2" s="207">
        <v>63.887552190864902</v>
      </c>
      <c r="W2" s="207">
        <v>78.104855652586096</v>
      </c>
      <c r="X2" s="207">
        <v>99.539162403279803</v>
      </c>
      <c r="Y2" s="207">
        <v>124.24612378321</v>
      </c>
      <c r="Z2" s="207">
        <v>157.249679627212</v>
      </c>
      <c r="AA2" s="207">
        <v>199.01998541223301</v>
      </c>
      <c r="AB2" s="207">
        <v>250.14658815499499</v>
      </c>
      <c r="AC2" s="207">
        <v>316.59314310559398</v>
      </c>
      <c r="AD2" s="207">
        <v>395.175827257283</v>
      </c>
      <c r="AE2" s="330">
        <v>496.69325773983797</v>
      </c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29"/>
    </row>
    <row r="3" spans="1:51" ht="14.4">
      <c r="A3" s="331">
        <v>1</v>
      </c>
      <c r="B3" s="332">
        <v>2</v>
      </c>
      <c r="C3" s="332"/>
      <c r="D3" s="18">
        <v>1</v>
      </c>
      <c r="E3" s="18">
        <v>1.2656304666823099</v>
      </c>
      <c r="F3" s="18">
        <v>1.57977700264465</v>
      </c>
      <c r="G3" s="18">
        <v>1.9994139051111299</v>
      </c>
      <c r="H3" s="18">
        <v>2.49569537808491</v>
      </c>
      <c r="I3" s="18">
        <v>3.13681906170895</v>
      </c>
      <c r="J3" s="18">
        <v>3.9426421639050901</v>
      </c>
      <c r="K3" s="18">
        <v>5.0595551832915904</v>
      </c>
      <c r="L3" s="18">
        <v>6.2284954201944096</v>
      </c>
      <c r="M3" s="18">
        <v>7.8285448341957098</v>
      </c>
      <c r="N3" s="18">
        <v>10.0462971141803</v>
      </c>
      <c r="O3" s="18">
        <v>12.453340351057699</v>
      </c>
      <c r="P3" s="18">
        <v>15.652501398276801</v>
      </c>
      <c r="Q3" s="18">
        <v>19.810282649446599</v>
      </c>
      <c r="R3" s="18">
        <v>25.072497274727699</v>
      </c>
      <c r="S3" s="18">
        <v>31.732516426704599</v>
      </c>
      <c r="T3" s="18">
        <v>40.161639574134398</v>
      </c>
      <c r="U3" s="18">
        <v>50.130299686951602</v>
      </c>
      <c r="V3" s="18">
        <v>63.887552190864902</v>
      </c>
      <c r="W3" s="18">
        <v>78.104855652586096</v>
      </c>
      <c r="X3" s="18">
        <v>99.539162403279803</v>
      </c>
      <c r="Y3" s="18">
        <v>124.24612378321</v>
      </c>
      <c r="Z3" s="18">
        <v>157.249679627212</v>
      </c>
      <c r="AA3" s="18">
        <v>199.01998541223301</v>
      </c>
      <c r="AB3" s="18">
        <v>250.14658815499499</v>
      </c>
      <c r="AC3" s="18">
        <v>316.59314310559398</v>
      </c>
      <c r="AD3" s="18">
        <v>395.175827257283</v>
      </c>
      <c r="AE3" s="333">
        <v>496.69325773983797</v>
      </c>
    </row>
    <row r="4" spans="1:51" ht="14.4">
      <c r="A4" s="331">
        <v>1</v>
      </c>
      <c r="B4" s="332">
        <v>3</v>
      </c>
      <c r="C4" s="332"/>
      <c r="D4" s="18">
        <v>1</v>
      </c>
      <c r="E4" s="18">
        <v>1.2656304666823099</v>
      </c>
      <c r="F4" s="18">
        <v>1.57977700264465</v>
      </c>
      <c r="G4" s="18">
        <v>1.9994139051111299</v>
      </c>
      <c r="H4" s="18">
        <v>2.49569537808491</v>
      </c>
      <c r="I4" s="18">
        <v>3.13681906170895</v>
      </c>
      <c r="J4" s="18">
        <v>3.9426421639050901</v>
      </c>
      <c r="K4" s="18">
        <v>5.0595551832915904</v>
      </c>
      <c r="L4" s="18">
        <v>6.2284954201944096</v>
      </c>
      <c r="M4" s="18">
        <v>7.8285448341957098</v>
      </c>
      <c r="N4" s="18">
        <v>10.0462971141803</v>
      </c>
      <c r="O4" s="18">
        <v>12.453340351057699</v>
      </c>
      <c r="P4" s="18">
        <v>15.652501398276801</v>
      </c>
      <c r="Q4" s="18">
        <v>19.810282649446599</v>
      </c>
      <c r="R4" s="18">
        <v>25.072497274727699</v>
      </c>
      <c r="S4" s="18">
        <v>31.732516426704599</v>
      </c>
      <c r="T4" s="18">
        <v>40.161639574134398</v>
      </c>
      <c r="U4" s="18">
        <v>50.130299686951602</v>
      </c>
      <c r="V4" s="18">
        <v>63.887552190864902</v>
      </c>
      <c r="W4" s="18">
        <v>78.104855652586096</v>
      </c>
      <c r="X4" s="18">
        <v>99.539162403279803</v>
      </c>
      <c r="Y4" s="18">
        <v>124.24612378321</v>
      </c>
      <c r="Z4" s="18">
        <v>157.249679627212</v>
      </c>
      <c r="AA4" s="18">
        <v>199.01998541223301</v>
      </c>
      <c r="AB4" s="18">
        <v>250.14658815499499</v>
      </c>
      <c r="AC4" s="18">
        <v>316.59314310559398</v>
      </c>
      <c r="AD4" s="18">
        <v>395.175827257283</v>
      </c>
      <c r="AE4" s="333">
        <v>496.69325773983797</v>
      </c>
    </row>
    <row r="5" spans="1:51" ht="14.4">
      <c r="A5" s="331">
        <v>1</v>
      </c>
      <c r="B5" s="332">
        <v>4</v>
      </c>
      <c r="C5" s="332"/>
      <c r="D5" s="18">
        <v>1</v>
      </c>
      <c r="E5" s="18">
        <v>1.2656304666823099</v>
      </c>
      <c r="F5" s="18">
        <v>1.57977700264465</v>
      </c>
      <c r="G5" s="18">
        <v>1.9994139051111299</v>
      </c>
      <c r="H5" s="18">
        <v>2.49569537808491</v>
      </c>
      <c r="I5" s="18">
        <v>3.13681906170895</v>
      </c>
      <c r="J5" s="18">
        <v>3.9426421639050901</v>
      </c>
      <c r="K5" s="18">
        <v>5.0595551832915904</v>
      </c>
      <c r="L5" s="18">
        <v>6.2284954201944096</v>
      </c>
      <c r="M5" s="18">
        <v>7.8285448341957098</v>
      </c>
      <c r="N5" s="18">
        <v>10.0462971141803</v>
      </c>
      <c r="O5" s="18">
        <v>12.453340351057699</v>
      </c>
      <c r="P5" s="18">
        <v>15.652501398276801</v>
      </c>
      <c r="Q5" s="18">
        <v>19.810282649446599</v>
      </c>
      <c r="R5" s="18">
        <v>25.072497274727699</v>
      </c>
      <c r="S5" s="18">
        <v>31.732516426704599</v>
      </c>
      <c r="T5" s="18">
        <v>40.161639574134398</v>
      </c>
      <c r="U5" s="18">
        <v>50.130299686951602</v>
      </c>
      <c r="V5" s="18">
        <v>63.887552190864902</v>
      </c>
      <c r="W5" s="18">
        <v>78.104855652586096</v>
      </c>
      <c r="X5" s="18">
        <v>99.539162403279803</v>
      </c>
      <c r="Y5" s="18">
        <v>124.24612378321</v>
      </c>
      <c r="Z5" s="18">
        <v>157.249679627212</v>
      </c>
      <c r="AA5" s="18">
        <v>199.01998541223301</v>
      </c>
      <c r="AB5" s="18">
        <v>250.14658815499499</v>
      </c>
      <c r="AC5" s="18">
        <v>316.59314310559398</v>
      </c>
      <c r="AD5" s="18">
        <v>395.175827257283</v>
      </c>
      <c r="AE5" s="333">
        <v>496.69325773983797</v>
      </c>
    </row>
    <row r="6" spans="1:51" ht="14.4">
      <c r="A6" s="334">
        <v>1</v>
      </c>
      <c r="B6" s="335">
        <v>5</v>
      </c>
      <c r="C6" s="335"/>
      <c r="D6" s="20">
        <v>1</v>
      </c>
      <c r="E6" s="20">
        <v>1.2656304666823099</v>
      </c>
      <c r="F6" s="20">
        <v>1.57977700264465</v>
      </c>
      <c r="G6" s="20">
        <v>1.9994139051111299</v>
      </c>
      <c r="H6" s="20">
        <v>2.49569537808491</v>
      </c>
      <c r="I6" s="20">
        <v>3.13681906170895</v>
      </c>
      <c r="J6" s="20">
        <v>3.9426421639050901</v>
      </c>
      <c r="K6" s="20">
        <v>5.0595551832915904</v>
      </c>
      <c r="L6" s="20">
        <v>6.2284954201944096</v>
      </c>
      <c r="M6" s="20">
        <v>7.8285448341957098</v>
      </c>
      <c r="N6" s="20">
        <v>10.0462971141803</v>
      </c>
      <c r="O6" s="20">
        <v>12.453340351057699</v>
      </c>
      <c r="P6" s="20">
        <v>15.652501398276801</v>
      </c>
      <c r="Q6" s="20">
        <v>19.810282649446599</v>
      </c>
      <c r="R6" s="20">
        <v>25.072497274727699</v>
      </c>
      <c r="S6" s="20">
        <v>31.732516426704599</v>
      </c>
      <c r="T6" s="20">
        <v>40.161639574134398</v>
      </c>
      <c r="U6" s="20">
        <v>50.130299686951602</v>
      </c>
      <c r="V6" s="20">
        <v>63.887552190864902</v>
      </c>
      <c r="W6" s="20">
        <v>78.104855652586096</v>
      </c>
      <c r="X6" s="20">
        <v>99.539162403279803</v>
      </c>
      <c r="Y6" s="20">
        <v>124.24612378321</v>
      </c>
      <c r="Z6" s="20">
        <v>157.249679627212</v>
      </c>
      <c r="AA6" s="20">
        <v>199.01998541223301</v>
      </c>
      <c r="AB6" s="20">
        <v>250.14658815499499</v>
      </c>
      <c r="AC6" s="20">
        <v>316.59314310559398</v>
      </c>
      <c r="AD6" s="20">
        <v>395.175827257283</v>
      </c>
      <c r="AE6" s="336">
        <v>496.69325773983797</v>
      </c>
    </row>
    <row r="7" spans="1:51" ht="14.4">
      <c r="A7" s="199">
        <v>2</v>
      </c>
      <c r="B7" s="200">
        <v>1</v>
      </c>
      <c r="C7" s="200" t="s">
        <v>572</v>
      </c>
      <c r="D7" s="337">
        <v>0.99574895943253205</v>
      </c>
      <c r="E7" s="337">
        <v>1.5977736831715299</v>
      </c>
      <c r="F7" s="337">
        <v>2.5097471645417202</v>
      </c>
      <c r="G7" s="337">
        <v>3.9759870240397901</v>
      </c>
      <c r="H7" s="337">
        <v>6.3257217296163297</v>
      </c>
      <c r="I7" s="337">
        <v>9.9787221598385702</v>
      </c>
      <c r="J7" s="337">
        <v>15.8084728153328</v>
      </c>
      <c r="K7" s="337">
        <v>24.9376062903631</v>
      </c>
      <c r="L7" s="337">
        <v>39.506608642469402</v>
      </c>
      <c r="M7" s="337">
        <v>62.587086677696803</v>
      </c>
      <c r="N7" s="337">
        <v>100</v>
      </c>
      <c r="O7" s="338"/>
      <c r="P7" s="326"/>
      <c r="Q7" s="326"/>
      <c r="R7" s="326"/>
      <c r="S7" s="326"/>
      <c r="T7" s="326"/>
      <c r="U7" s="326"/>
      <c r="V7" s="326"/>
      <c r="W7" s="326"/>
      <c r="X7" s="326"/>
      <c r="Y7" s="326"/>
      <c r="Z7" s="326"/>
    </row>
    <row r="8" spans="1:51" ht="14.4">
      <c r="A8" s="196">
        <v>2</v>
      </c>
      <c r="B8" s="201">
        <v>2</v>
      </c>
      <c r="C8" s="201" t="s">
        <v>572</v>
      </c>
      <c r="D8" s="339">
        <v>0.99574895943253205</v>
      </c>
      <c r="E8" s="339">
        <v>1.5977736831715299</v>
      </c>
      <c r="F8" s="339">
        <v>2.5097471645417202</v>
      </c>
      <c r="G8" s="339">
        <v>3.9759870240397901</v>
      </c>
      <c r="H8" s="339">
        <v>6.3257217296163297</v>
      </c>
      <c r="I8" s="339">
        <v>9.9787221598385702</v>
      </c>
      <c r="J8" s="339">
        <v>15.8084728153328</v>
      </c>
      <c r="K8" s="339">
        <v>24.9376062903631</v>
      </c>
      <c r="L8" s="339">
        <v>39.506608642469402</v>
      </c>
      <c r="M8" s="339">
        <v>62.587086677696803</v>
      </c>
      <c r="N8" s="339">
        <v>100</v>
      </c>
      <c r="O8" s="340"/>
      <c r="P8" s="274"/>
      <c r="Q8" s="274"/>
      <c r="R8" s="274"/>
      <c r="S8" s="274"/>
      <c r="T8" s="274"/>
      <c r="U8" s="274"/>
      <c r="V8" s="274"/>
      <c r="W8" s="274"/>
      <c r="X8" s="274"/>
      <c r="Y8" s="274"/>
      <c r="Z8" s="274"/>
    </row>
    <row r="9" spans="1:51" ht="14.4">
      <c r="A9" s="196">
        <v>2</v>
      </c>
      <c r="B9" s="201">
        <v>3</v>
      </c>
      <c r="C9" s="201" t="s">
        <v>572</v>
      </c>
      <c r="D9" s="341">
        <v>0.99574895943253205</v>
      </c>
      <c r="E9" s="341">
        <v>1.5977736831715299</v>
      </c>
      <c r="F9" s="341">
        <v>2.5097471645417202</v>
      </c>
      <c r="G9" s="341">
        <v>3.9759870240397901</v>
      </c>
      <c r="H9" s="341">
        <v>6.3257217296163297</v>
      </c>
      <c r="I9" s="341">
        <v>9.9787221598385702</v>
      </c>
      <c r="J9" s="341">
        <v>15.8084728153328</v>
      </c>
      <c r="K9" s="341">
        <v>24.9376062903631</v>
      </c>
      <c r="L9" s="341">
        <v>39.506608642469402</v>
      </c>
      <c r="M9" s="341">
        <v>62.587086677696803</v>
      </c>
      <c r="N9" s="341">
        <v>100</v>
      </c>
      <c r="O9" s="338"/>
      <c r="P9" s="326"/>
      <c r="Q9" s="326"/>
      <c r="R9" s="326"/>
      <c r="S9" s="326"/>
      <c r="T9" s="326"/>
      <c r="U9" s="326"/>
      <c r="V9" s="326"/>
      <c r="W9" s="326"/>
      <c r="X9" s="326"/>
      <c r="Y9" s="326"/>
      <c r="Z9" s="326"/>
    </row>
    <row r="10" spans="1:51" ht="14.4">
      <c r="A10" s="196">
        <v>2</v>
      </c>
      <c r="B10" s="201">
        <v>4</v>
      </c>
      <c r="C10" s="201" t="s">
        <v>572</v>
      </c>
      <c r="D10" s="339">
        <v>0.99574895943253205</v>
      </c>
      <c r="E10" s="339">
        <v>1.5977736831715299</v>
      </c>
      <c r="F10" s="339">
        <v>2.5097471645417202</v>
      </c>
      <c r="G10" s="339">
        <v>3.9759870240397901</v>
      </c>
      <c r="H10" s="339">
        <v>6.3257217296163297</v>
      </c>
      <c r="I10" s="339">
        <v>9.9787221598385702</v>
      </c>
      <c r="J10" s="339">
        <v>15.8084728153328</v>
      </c>
      <c r="K10" s="339">
        <v>24.9376062903631</v>
      </c>
      <c r="L10" s="339">
        <v>39.506608642469402</v>
      </c>
      <c r="M10" s="339">
        <v>62.587086677696803</v>
      </c>
      <c r="N10" s="339">
        <v>100</v>
      </c>
      <c r="O10" s="340"/>
      <c r="P10" s="274"/>
      <c r="Q10" s="274"/>
      <c r="R10" s="274"/>
      <c r="S10" s="274"/>
      <c r="T10" s="274"/>
      <c r="U10" s="274"/>
      <c r="V10" s="274"/>
      <c r="W10" s="274"/>
      <c r="X10" s="274"/>
      <c r="Y10" s="274"/>
      <c r="Z10" s="274"/>
    </row>
    <row r="11" spans="1:51" ht="14.4">
      <c r="A11" s="199">
        <v>3</v>
      </c>
      <c r="B11" s="200">
        <v>1</v>
      </c>
      <c r="C11" s="200" t="s">
        <v>572</v>
      </c>
      <c r="D11" s="342">
        <v>0.10346139387845101</v>
      </c>
      <c r="E11" s="342">
        <v>0.15043188637608401</v>
      </c>
      <c r="F11" s="342">
        <v>0.22122162910704399</v>
      </c>
      <c r="G11" s="342">
        <v>0.325323376338084</v>
      </c>
      <c r="H11" s="342">
        <v>0.46240724558247598</v>
      </c>
      <c r="I11" s="342">
        <v>0.71968567300115205</v>
      </c>
      <c r="J11" s="342">
        <v>1</v>
      </c>
      <c r="K11" s="342">
        <v>1.50431886376084</v>
      </c>
      <c r="L11" s="342">
        <v>2.2374518320560699</v>
      </c>
      <c r="M11" s="342">
        <v>3.2532337633808401</v>
      </c>
      <c r="N11" s="342">
        <v>4.6768209011058604</v>
      </c>
      <c r="O11" s="342">
        <v>7.0354299039645598</v>
      </c>
      <c r="P11" s="342">
        <v>10.346139387845099</v>
      </c>
      <c r="Q11" s="342">
        <v>15.2147916607627</v>
      </c>
      <c r="R11" s="342">
        <v>22.1221629107045</v>
      </c>
      <c r="S11" s="342">
        <v>32.532337633808297</v>
      </c>
      <c r="T11" s="342">
        <v>47.301710667332898</v>
      </c>
      <c r="U11" s="342">
        <v>68.776239114488405</v>
      </c>
      <c r="V11" s="342">
        <v>102.29448417865601</v>
      </c>
      <c r="W11" s="342">
        <v>148.735210729351</v>
      </c>
      <c r="X11" s="342">
        <v>218.72653741020599</v>
      </c>
      <c r="Y11" s="342">
        <v>329.03445623126601</v>
      </c>
      <c r="Z11" s="130">
        <v>473.01710667332901</v>
      </c>
      <c r="AA11" s="2"/>
    </row>
    <row r="12" spans="1:51" ht="14.4">
      <c r="A12" s="196">
        <v>3</v>
      </c>
      <c r="B12" s="201">
        <v>2</v>
      </c>
      <c r="C12" s="201" t="s">
        <v>572</v>
      </c>
      <c r="D12" s="343">
        <v>0.10346139387845101</v>
      </c>
      <c r="E12" s="343">
        <v>0.15043188637608401</v>
      </c>
      <c r="F12" s="343">
        <v>0.22122162910704399</v>
      </c>
      <c r="G12" s="343">
        <v>0.325323376338084</v>
      </c>
      <c r="H12" s="343">
        <v>0.46240724558247598</v>
      </c>
      <c r="I12" s="343">
        <v>0.71968567300115205</v>
      </c>
      <c r="J12" s="343">
        <v>1</v>
      </c>
      <c r="K12" s="343">
        <v>1.50431886376084</v>
      </c>
      <c r="L12" s="343">
        <v>2.2374518320560699</v>
      </c>
      <c r="M12" s="343">
        <v>3.2532337633808401</v>
      </c>
      <c r="N12" s="343">
        <v>4.6768209011058604</v>
      </c>
      <c r="O12" s="343">
        <v>7.0354299039645598</v>
      </c>
      <c r="P12" s="343">
        <v>10.346139387845099</v>
      </c>
      <c r="Q12" s="343">
        <v>15.2147916607627</v>
      </c>
      <c r="R12" s="343">
        <v>22.1221629107045</v>
      </c>
      <c r="S12" s="343">
        <v>32.532337633808297</v>
      </c>
      <c r="T12" s="343">
        <v>47.301710667332898</v>
      </c>
      <c r="U12" s="343">
        <v>68.776239114488405</v>
      </c>
      <c r="V12" s="343">
        <v>102.29448417865601</v>
      </c>
      <c r="W12" s="343">
        <v>148.735210729351</v>
      </c>
      <c r="X12" s="343">
        <v>218.72653741020599</v>
      </c>
      <c r="Y12" s="343">
        <v>329.03445623126601</v>
      </c>
      <c r="Z12" s="131">
        <v>473.01710667332901</v>
      </c>
      <c r="AA12" s="2"/>
    </row>
    <row r="13" spans="1:51" ht="14.4">
      <c r="A13" s="196">
        <v>3</v>
      </c>
      <c r="B13" s="201">
        <v>3</v>
      </c>
      <c r="C13" s="201" t="s">
        <v>572</v>
      </c>
      <c r="D13" s="344">
        <v>0.10346139387845101</v>
      </c>
      <c r="E13" s="344">
        <v>0.15043188637608401</v>
      </c>
      <c r="F13" s="344">
        <v>0.22122162910704399</v>
      </c>
      <c r="G13" s="344">
        <v>0.325323376338084</v>
      </c>
      <c r="H13" s="344">
        <v>0.46240724558247598</v>
      </c>
      <c r="I13" s="344">
        <v>0.71968567300115205</v>
      </c>
      <c r="J13" s="344">
        <v>1</v>
      </c>
      <c r="K13" s="344">
        <v>1.50431886376084</v>
      </c>
      <c r="L13" s="344">
        <v>2.2374518320560699</v>
      </c>
      <c r="M13" s="344">
        <v>3.2532337633808401</v>
      </c>
      <c r="N13" s="344">
        <v>4.6768209011058604</v>
      </c>
      <c r="O13" s="344">
        <v>7.0354299039645598</v>
      </c>
      <c r="P13" s="344">
        <v>10.346139387845099</v>
      </c>
      <c r="Q13" s="344">
        <v>15.2147916607627</v>
      </c>
      <c r="R13" s="344">
        <v>22.1221629107045</v>
      </c>
      <c r="S13" s="344">
        <v>32.532337633808297</v>
      </c>
      <c r="T13" s="344">
        <v>47.301710667332898</v>
      </c>
      <c r="U13" s="344">
        <v>68.776239114488405</v>
      </c>
      <c r="V13" s="344">
        <v>102.29448417865601</v>
      </c>
      <c r="W13" s="344">
        <v>148.735210729351</v>
      </c>
      <c r="X13" s="344">
        <v>218.72653741020599</v>
      </c>
      <c r="Y13" s="344">
        <v>329.03445623126601</v>
      </c>
      <c r="Z13" s="132">
        <v>473.01710667332901</v>
      </c>
      <c r="AA13" s="2"/>
    </row>
    <row r="14" spans="1:51" ht="14.4">
      <c r="A14" s="196">
        <v>3</v>
      </c>
      <c r="B14" s="201">
        <v>4</v>
      </c>
      <c r="C14" s="201" t="s">
        <v>572</v>
      </c>
      <c r="D14" s="343">
        <v>0.10346139387845101</v>
      </c>
      <c r="E14" s="343">
        <v>0.15043188637608401</v>
      </c>
      <c r="F14" s="343">
        <v>0.22122162910704399</v>
      </c>
      <c r="G14" s="343">
        <v>0.325323376338084</v>
      </c>
      <c r="H14" s="343">
        <v>0.46240724558247598</v>
      </c>
      <c r="I14" s="343">
        <v>0.71968567300115205</v>
      </c>
      <c r="J14" s="343">
        <v>1</v>
      </c>
      <c r="K14" s="343">
        <v>1.50431886376084</v>
      </c>
      <c r="L14" s="343">
        <v>2.2374518320560699</v>
      </c>
      <c r="M14" s="343">
        <v>3.2532337633808401</v>
      </c>
      <c r="N14" s="343">
        <v>4.6768209011058604</v>
      </c>
      <c r="O14" s="343">
        <v>7.0354299039645598</v>
      </c>
      <c r="P14" s="343">
        <v>10.346139387845099</v>
      </c>
      <c r="Q14" s="343">
        <v>15.2147916607627</v>
      </c>
      <c r="R14" s="343">
        <v>22.1221629107045</v>
      </c>
      <c r="S14" s="343">
        <v>32.532337633808297</v>
      </c>
      <c r="T14" s="343">
        <v>47.301710667332898</v>
      </c>
      <c r="U14" s="343">
        <v>68.776239114488405</v>
      </c>
      <c r="V14" s="343">
        <v>102.29448417865601</v>
      </c>
      <c r="W14" s="343">
        <v>148.735210729351</v>
      </c>
      <c r="X14" s="343">
        <v>218.72653741020599</v>
      </c>
      <c r="Y14" s="345">
        <v>329.03445623126601</v>
      </c>
      <c r="Z14" s="133">
        <v>473.01710667332901</v>
      </c>
      <c r="AA14" s="2"/>
    </row>
    <row r="15" spans="1:51" ht="18" customHeight="1">
      <c r="A15" s="199">
        <v>4</v>
      </c>
      <c r="B15" s="200">
        <v>1</v>
      </c>
      <c r="C15" s="200" t="s">
        <v>572</v>
      </c>
      <c r="D15" s="266">
        <f>6.283185*Angular_frequency!C15</f>
        <v>6.1572762417201152E-2</v>
      </c>
      <c r="E15" s="266">
        <f>6.283185*Angular_frequency!D15</f>
        <v>0.1225433467986166</v>
      </c>
      <c r="F15" s="266">
        <f>6.283185*Angular_frequency!E15</f>
        <v>0.18370201204608161</v>
      </c>
      <c r="G15" s="266">
        <f>6.283185*Angular_frequency!F15</f>
        <v>0.24636921545484528</v>
      </c>
      <c r="H15" s="266">
        <f>6.283185*Angular_frequency!G15</f>
        <v>0.36932662415076628</v>
      </c>
      <c r="I15" s="266">
        <f>6.283185*Angular_frequency!H15</f>
        <v>0.63150624448963466</v>
      </c>
      <c r="J15" s="266">
        <f>6.283185*Angular_frequency!I15</f>
        <v>0.98578962419395011</v>
      </c>
      <c r="K15" s="266">
        <f>6.283185*Angular_frequency!J15</f>
        <v>1.5702978820388651</v>
      </c>
      <c r="L15" s="266">
        <f>6.283185*Angular_frequency!K15</f>
        <v>2.476191581335712</v>
      </c>
      <c r="M15" s="266">
        <f>6.283185*Angular_frequency!L15</f>
        <v>3.9046889240636977</v>
      </c>
      <c r="N15" s="266">
        <f>6.283185*Angular_frequency!M15</f>
        <v>6.2199120349754278</v>
      </c>
      <c r="O15" s="266">
        <f>6.283185*Angular_frequency!N15</f>
        <v>9.7093651899406446</v>
      </c>
      <c r="P15" s="266">
        <f>6.283185*Angular_frequency!O15</f>
        <v>15.623712645837921</v>
      </c>
      <c r="Q15" s="266">
        <f>6.283185*Angular_frequency!P15</f>
        <v>24.636921545484526</v>
      </c>
      <c r="R15" s="266">
        <f>6.283185*Angular_frequency!Q15</f>
        <v>39.244991804884883</v>
      </c>
      <c r="S15" s="266">
        <f>6.283185*Angular_frequency!R15</f>
        <v>61.885148944268735</v>
      </c>
      <c r="T15" s="266">
        <f>6.283185*Angular_frequency!S15</f>
        <v>98.578962419395012</v>
      </c>
      <c r="U15" s="266">
        <f>6.283185*Angular_frequency!T15</f>
        <v>153.88306792655865</v>
      </c>
      <c r="V15" s="266">
        <f>6.283185*Angular_frequency!U15</f>
        <v>242.65711726943786</v>
      </c>
      <c r="W15" s="266">
        <f>6.283185*Angular_frequency!V15</f>
        <v>394.44099433216644</v>
      </c>
      <c r="X15" s="346">
        <f>6.283185*Angular_frequency!W15</f>
        <v>621.99120349754276</v>
      </c>
      <c r="Y15" s="22"/>
      <c r="Z15" s="2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12"/>
      <c r="AV15" s="2"/>
    </row>
    <row r="16" spans="1:51" ht="14.4">
      <c r="A16" s="196">
        <v>4</v>
      </c>
      <c r="B16" s="201">
        <v>2</v>
      </c>
      <c r="C16" s="201" t="s">
        <v>572</v>
      </c>
      <c r="D16" s="66">
        <f>6.283185*Angular_frequency!C16</f>
        <v>6.1572762417201152E-2</v>
      </c>
      <c r="E16" s="66">
        <f>6.283185*Angular_frequency!D16</f>
        <v>0.1225433467986166</v>
      </c>
      <c r="F16" s="66">
        <f>6.283185*Angular_frequency!E16</f>
        <v>0.18370201204608161</v>
      </c>
      <c r="G16" s="66">
        <f>6.283185*Angular_frequency!F16</f>
        <v>0.24636921545484528</v>
      </c>
      <c r="H16" s="66">
        <f>6.283185*Angular_frequency!G16</f>
        <v>0.36932662415076628</v>
      </c>
      <c r="I16" s="66">
        <f>6.283185*Angular_frequency!H16</f>
        <v>0.63150624448963466</v>
      </c>
      <c r="J16" s="66">
        <f>6.283185*Angular_frequency!I16</f>
        <v>0.98578962419395011</v>
      </c>
      <c r="K16" s="66">
        <f>6.283185*Angular_frequency!J16</f>
        <v>1.5702978820388651</v>
      </c>
      <c r="L16" s="66">
        <f>6.283185*Angular_frequency!K16</f>
        <v>2.476191581335712</v>
      </c>
      <c r="M16" s="66">
        <f>6.283185*Angular_frequency!L16</f>
        <v>3.9046889240636977</v>
      </c>
      <c r="N16" s="66">
        <f>6.283185*Angular_frequency!M16</f>
        <v>6.2199120349754278</v>
      </c>
      <c r="O16" s="66">
        <f>6.283185*Angular_frequency!N16</f>
        <v>9.7093651899406446</v>
      </c>
      <c r="P16" s="66">
        <f>6.283185*Angular_frequency!O16</f>
        <v>15.623712645837921</v>
      </c>
      <c r="Q16" s="66">
        <f>6.283185*Angular_frequency!P16</f>
        <v>24.636921545484526</v>
      </c>
      <c r="R16" s="66">
        <f>6.283185*Angular_frequency!Q16</f>
        <v>39.244991804884883</v>
      </c>
      <c r="S16" s="66">
        <f>6.283185*Angular_frequency!R16</f>
        <v>61.885148944268735</v>
      </c>
      <c r="T16" s="66">
        <f>6.283185*Angular_frequency!S16</f>
        <v>98.578962419395012</v>
      </c>
      <c r="U16" s="66">
        <f>6.283185*Angular_frequency!T16</f>
        <v>153.88306792655865</v>
      </c>
      <c r="V16" s="66">
        <f>6.283185*Angular_frequency!U16</f>
        <v>242.65711726943786</v>
      </c>
      <c r="W16" s="66">
        <f>6.283185*Angular_frequency!V16</f>
        <v>394.44099433216644</v>
      </c>
      <c r="X16" s="347">
        <f>6.283185*Angular_frequency!W16</f>
        <v>621.99120349754276</v>
      </c>
      <c r="Y16" s="22"/>
      <c r="Z16" s="2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12"/>
      <c r="AV16" s="2"/>
    </row>
    <row r="17" spans="1:51" ht="14.4">
      <c r="A17" s="197">
        <v>4</v>
      </c>
      <c r="B17" s="202">
        <v>3</v>
      </c>
      <c r="C17" s="202" t="s">
        <v>572</v>
      </c>
      <c r="D17" s="68">
        <f>6.283185*Angular_frequency!C17</f>
        <v>6.1572762417201152E-2</v>
      </c>
      <c r="E17" s="68">
        <f>6.283185*Angular_frequency!D17</f>
        <v>0.1225433467986166</v>
      </c>
      <c r="F17" s="68">
        <f>6.283185*Angular_frequency!E17</f>
        <v>0.18370201204608161</v>
      </c>
      <c r="G17" s="68">
        <f>6.283185*Angular_frequency!F17</f>
        <v>0.24636921545484528</v>
      </c>
      <c r="H17" s="68">
        <f>6.283185*Angular_frequency!G17</f>
        <v>0.36932662415076628</v>
      </c>
      <c r="I17" s="68">
        <f>6.283185*Angular_frequency!H17</f>
        <v>0.63150624448963466</v>
      </c>
      <c r="J17" s="68">
        <f>6.283185*Angular_frequency!I17</f>
        <v>0.98578962419395011</v>
      </c>
      <c r="K17" s="68">
        <f>6.283185*Angular_frequency!J17</f>
        <v>1.5702978820388651</v>
      </c>
      <c r="L17" s="68">
        <f>6.283185*Angular_frequency!K17</f>
        <v>2.476191581335712</v>
      </c>
      <c r="M17" s="68">
        <f>6.283185*Angular_frequency!L17</f>
        <v>3.9046889240636977</v>
      </c>
      <c r="N17" s="68">
        <f>6.283185*Angular_frequency!M17</f>
        <v>6.2199120349754278</v>
      </c>
      <c r="O17" s="68">
        <f>6.283185*Angular_frequency!N17</f>
        <v>9.7093651899406446</v>
      </c>
      <c r="P17" s="68">
        <f>6.283185*Angular_frequency!O17</f>
        <v>15.623712645837921</v>
      </c>
      <c r="Q17" s="68">
        <f>6.283185*Angular_frequency!P17</f>
        <v>24.636921545484526</v>
      </c>
      <c r="R17" s="68">
        <f>6.283185*Angular_frequency!Q17</f>
        <v>39.244991804884883</v>
      </c>
      <c r="S17" s="68">
        <f>6.283185*Angular_frequency!R17</f>
        <v>61.885148944268735</v>
      </c>
      <c r="T17" s="68">
        <f>6.283185*Angular_frequency!S17</f>
        <v>98.578962419395012</v>
      </c>
      <c r="U17" s="68">
        <f>6.283185*Angular_frequency!T17</f>
        <v>153.88306792655865</v>
      </c>
      <c r="V17" s="68">
        <f>6.283185*Angular_frequency!U17</f>
        <v>242.65711726943786</v>
      </c>
      <c r="W17" s="68">
        <f>6.283185*Angular_frequency!V17</f>
        <v>394.44099433216644</v>
      </c>
      <c r="X17" s="348">
        <f>6.283185*Angular_frequency!W17</f>
        <v>621.99120349754276</v>
      </c>
      <c r="Y17" s="22"/>
      <c r="Z17" s="2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12"/>
      <c r="AV17" s="2"/>
    </row>
    <row r="18" spans="1:51" ht="14.4">
      <c r="A18" s="204">
        <v>5</v>
      </c>
      <c r="B18" s="201">
        <v>1</v>
      </c>
      <c r="C18" s="201" t="s">
        <v>572</v>
      </c>
      <c r="D18" s="343">
        <v>0.1</v>
      </c>
      <c r="E18" s="343">
        <v>0.120177348102179</v>
      </c>
      <c r="F18" s="343">
        <v>0.14442594996872399</v>
      </c>
      <c r="G18" s="343">
        <v>0.17224312920385301</v>
      </c>
      <c r="H18" s="343">
        <v>0.213436304443925</v>
      </c>
      <c r="I18" s="343">
        <v>0.248763775608522</v>
      </c>
      <c r="J18" s="343">
        <v>0.298957708565178</v>
      </c>
      <c r="K18" s="343">
        <v>0.36762936963128101</v>
      </c>
      <c r="L18" s="343">
        <v>0.441807227267633</v>
      </c>
      <c r="M18" s="343">
        <v>0.53503399206054303</v>
      </c>
      <c r="N18" s="343">
        <v>0.63808428501175996</v>
      </c>
      <c r="O18" s="343">
        <v>0.76098259329455098</v>
      </c>
      <c r="P18" s="343">
        <v>0.92155929022937599</v>
      </c>
      <c r="Q18" s="343">
        <v>1.1160196473499899</v>
      </c>
      <c r="R18" s="343">
        <v>1.35151353415493</v>
      </c>
      <c r="S18" s="343">
        <v>1.62421312458944</v>
      </c>
      <c r="T18" s="343">
        <v>1.9669420923252501</v>
      </c>
      <c r="U18" s="343">
        <v>2.3638188452620099</v>
      </c>
      <c r="V18" s="343">
        <v>2.7975955107325299</v>
      </c>
      <c r="W18" s="343">
        <v>3.4402132630397602</v>
      </c>
      <c r="X18" s="343">
        <v>4.0404538926578502</v>
      </c>
      <c r="Y18" s="349">
        <v>4.9685606860952198</v>
      </c>
      <c r="Z18" s="349">
        <v>5.9255309755456702</v>
      </c>
      <c r="AA18" s="223">
        <v>7.1758909706655896</v>
      </c>
      <c r="AB18" s="223">
        <v>8.5580044021228598</v>
      </c>
      <c r="AC18" s="223">
        <v>10.363848703103701</v>
      </c>
      <c r="AD18" s="223">
        <v>12.6472343328848</v>
      </c>
      <c r="AE18" s="223">
        <v>15.1991108295293</v>
      </c>
      <c r="AF18" s="223">
        <v>18.265888330039498</v>
      </c>
      <c r="AG18" s="223">
        <v>22.120215670064201</v>
      </c>
      <c r="AH18" s="223">
        <v>26.787853536006899</v>
      </c>
      <c r="AI18" s="223">
        <v>31.9473316166209</v>
      </c>
      <c r="AJ18" s="223">
        <v>38.6886119456085</v>
      </c>
      <c r="AK18" s="223">
        <v>46.852385427368603</v>
      </c>
      <c r="AL18" s="223">
        <v>56.305954329223503</v>
      </c>
      <c r="AM18" s="223">
        <v>68.711404338152903</v>
      </c>
      <c r="AN18" s="223">
        <v>80.084353105042496</v>
      </c>
      <c r="AO18" s="223">
        <v>97.728711517531494</v>
      </c>
      <c r="AP18" s="223">
        <v>115.662587748265</v>
      </c>
      <c r="AQ18" s="223">
        <v>143.32412216102901</v>
      </c>
      <c r="AR18" s="223">
        <v>170.92908370522699</v>
      </c>
      <c r="AS18" s="223">
        <v>206.99722496540099</v>
      </c>
      <c r="AT18" s="293">
        <v>276.91745564046403</v>
      </c>
      <c r="AU18" s="21"/>
      <c r="AV18" s="21"/>
      <c r="AW18" s="21"/>
      <c r="AX18" s="21"/>
      <c r="AY18" s="21"/>
    </row>
    <row r="19" spans="1:51" ht="14.4">
      <c r="A19" s="204">
        <v>5</v>
      </c>
      <c r="B19" s="201">
        <v>2</v>
      </c>
      <c r="C19" s="201" t="s">
        <v>572</v>
      </c>
      <c r="D19" s="344">
        <v>0.1</v>
      </c>
      <c r="E19" s="344">
        <v>0.120177348102179</v>
      </c>
      <c r="F19" s="344">
        <v>0.14442594996872399</v>
      </c>
      <c r="G19" s="344">
        <v>0.17224312920385301</v>
      </c>
      <c r="H19" s="344">
        <v>0.213436304443925</v>
      </c>
      <c r="I19" s="344">
        <v>0.248763775608522</v>
      </c>
      <c r="J19" s="344">
        <v>0.298957708565178</v>
      </c>
      <c r="K19" s="344">
        <v>0.36762936963128101</v>
      </c>
      <c r="L19" s="344">
        <v>0.441807227267633</v>
      </c>
      <c r="M19" s="344">
        <v>0.53503399206054303</v>
      </c>
      <c r="N19" s="344">
        <v>0.63808428501175996</v>
      </c>
      <c r="O19" s="344">
        <v>0.76098259329455098</v>
      </c>
      <c r="P19" s="344">
        <v>0.92155929022937599</v>
      </c>
      <c r="Q19" s="344">
        <v>1.1160196473499899</v>
      </c>
      <c r="R19" s="344">
        <v>1.35151353415493</v>
      </c>
      <c r="S19" s="344">
        <v>1.62421312458944</v>
      </c>
      <c r="T19" s="344">
        <v>1.9669420923252501</v>
      </c>
      <c r="U19" s="344">
        <v>2.3638188452620099</v>
      </c>
      <c r="V19" s="344">
        <v>2.7975955107325299</v>
      </c>
      <c r="W19" s="344">
        <v>3.4402132630397602</v>
      </c>
      <c r="X19" s="344">
        <v>4.0404538926578502</v>
      </c>
      <c r="Y19" s="344">
        <v>4.9685606860952198</v>
      </c>
      <c r="Z19" s="344">
        <v>5.9255309755456702</v>
      </c>
      <c r="AA19" s="21">
        <v>7.1758909706655896</v>
      </c>
      <c r="AB19" s="21">
        <v>8.5580044021228598</v>
      </c>
      <c r="AC19" s="21">
        <v>10.363848703103701</v>
      </c>
      <c r="AD19" s="21">
        <v>12.6472343328848</v>
      </c>
      <c r="AE19" s="21">
        <v>15.1991108295293</v>
      </c>
      <c r="AF19" s="21">
        <v>18.265888330039498</v>
      </c>
      <c r="AG19" s="21">
        <v>22.120215670064201</v>
      </c>
      <c r="AH19" s="21">
        <v>26.787853536006899</v>
      </c>
      <c r="AI19" s="21">
        <v>31.9473316166209</v>
      </c>
      <c r="AJ19" s="21">
        <v>38.6886119456085</v>
      </c>
      <c r="AK19" s="21">
        <v>46.852385427368603</v>
      </c>
      <c r="AL19" s="21">
        <v>56.305954329223503</v>
      </c>
      <c r="AM19" s="21">
        <v>68.711404338152903</v>
      </c>
      <c r="AN19" s="21">
        <v>80.084353105042496</v>
      </c>
      <c r="AO19" s="21">
        <v>97.728711517531494</v>
      </c>
      <c r="AP19" s="21">
        <v>115.662587748265</v>
      </c>
      <c r="AQ19" s="21">
        <v>143.32412216102901</v>
      </c>
      <c r="AR19" s="21">
        <v>170.92908370522699</v>
      </c>
      <c r="AS19" s="21">
        <v>206.99722496540099</v>
      </c>
      <c r="AT19" s="211">
        <v>276.91745564046403</v>
      </c>
      <c r="AU19" s="21"/>
      <c r="AV19" s="21"/>
      <c r="AW19" s="21"/>
      <c r="AX19" s="21"/>
      <c r="AY19" s="21"/>
    </row>
    <row r="20" spans="1:51" ht="14.4">
      <c r="A20" s="204">
        <v>5</v>
      </c>
      <c r="B20" s="201">
        <v>3</v>
      </c>
      <c r="C20" s="201" t="s">
        <v>572</v>
      </c>
      <c r="D20" s="343">
        <v>0.1</v>
      </c>
      <c r="E20" s="343">
        <v>0.120177348102179</v>
      </c>
      <c r="F20" s="343">
        <v>0.14442594996872399</v>
      </c>
      <c r="G20" s="343">
        <v>0.17224312920385301</v>
      </c>
      <c r="H20" s="343">
        <v>0.213436304443925</v>
      </c>
      <c r="I20" s="343">
        <v>0.248763775608522</v>
      </c>
      <c r="J20" s="343">
        <v>0.298957708565178</v>
      </c>
      <c r="K20" s="343">
        <v>0.36762936963128101</v>
      </c>
      <c r="L20" s="343">
        <v>0.441807227267633</v>
      </c>
      <c r="M20" s="343">
        <v>0.53503399206054303</v>
      </c>
      <c r="N20" s="343">
        <v>0.63808428501175996</v>
      </c>
      <c r="O20" s="343">
        <v>0.76098259329455098</v>
      </c>
      <c r="P20" s="343">
        <v>0.92155929022937599</v>
      </c>
      <c r="Q20" s="343">
        <v>1.1160196473499899</v>
      </c>
      <c r="R20" s="343">
        <v>1.35151353415493</v>
      </c>
      <c r="S20" s="343">
        <v>1.62421312458944</v>
      </c>
      <c r="T20" s="343">
        <v>1.9669420923252501</v>
      </c>
      <c r="U20" s="343">
        <v>2.3638188452620099</v>
      </c>
      <c r="V20" s="343">
        <v>2.7975955107325299</v>
      </c>
      <c r="W20" s="343">
        <v>3.4402132630397602</v>
      </c>
      <c r="X20" s="343">
        <v>4.0404538926578502</v>
      </c>
      <c r="Y20" s="343">
        <v>4.9685606860952198</v>
      </c>
      <c r="Z20" s="343">
        <v>5.9255309755456702</v>
      </c>
      <c r="AA20" s="21">
        <v>7.1758909706655896</v>
      </c>
      <c r="AB20" s="21">
        <v>8.5580044021228598</v>
      </c>
      <c r="AC20" s="21">
        <v>10.363848703103701</v>
      </c>
      <c r="AD20" s="21">
        <v>12.6472343328848</v>
      </c>
      <c r="AE20" s="21">
        <v>15.1991108295293</v>
      </c>
      <c r="AF20" s="21">
        <v>18.265888330039498</v>
      </c>
      <c r="AG20" s="21">
        <v>22.120215670064201</v>
      </c>
      <c r="AH20" s="21">
        <v>26.787853536006899</v>
      </c>
      <c r="AI20" s="21">
        <v>31.9473316166209</v>
      </c>
      <c r="AJ20" s="21">
        <v>38.6886119456085</v>
      </c>
      <c r="AK20" s="21">
        <v>46.852385427368603</v>
      </c>
      <c r="AL20" s="21">
        <v>56.305954329223503</v>
      </c>
      <c r="AM20" s="21">
        <v>68.711404338152903</v>
      </c>
      <c r="AN20" s="21">
        <v>80.084353105042496</v>
      </c>
      <c r="AO20" s="21">
        <v>97.728711517531494</v>
      </c>
      <c r="AP20" s="21">
        <v>115.662587748265</v>
      </c>
      <c r="AQ20" s="21">
        <v>143.32412216102901</v>
      </c>
      <c r="AR20" s="21">
        <v>170.92908370522699</v>
      </c>
      <c r="AS20" s="21">
        <v>206.99722496540099</v>
      </c>
      <c r="AT20" s="211">
        <v>276.91745564046403</v>
      </c>
      <c r="AU20" s="21"/>
      <c r="AV20" s="21"/>
      <c r="AW20" s="21"/>
      <c r="AX20" s="21"/>
      <c r="AY20" s="21"/>
    </row>
    <row r="21" spans="1:51" ht="15.75" customHeight="1">
      <c r="A21" s="204">
        <v>5</v>
      </c>
      <c r="B21" s="201">
        <v>4</v>
      </c>
      <c r="C21" s="201" t="s">
        <v>572</v>
      </c>
      <c r="D21" s="344">
        <v>0.1</v>
      </c>
      <c r="E21" s="344">
        <v>0.120177348102179</v>
      </c>
      <c r="F21" s="344">
        <v>0.14442594996872399</v>
      </c>
      <c r="G21" s="344">
        <v>0.17224312920385301</v>
      </c>
      <c r="H21" s="344">
        <v>0.213436304443925</v>
      </c>
      <c r="I21" s="344">
        <v>0.248763775608522</v>
      </c>
      <c r="J21" s="344">
        <v>0.298957708565178</v>
      </c>
      <c r="K21" s="344">
        <v>0.36762936963128101</v>
      </c>
      <c r="L21" s="344">
        <v>0.441807227267633</v>
      </c>
      <c r="M21" s="344">
        <v>0.53503399206054303</v>
      </c>
      <c r="N21" s="344">
        <v>0.63808428501175996</v>
      </c>
      <c r="O21" s="344">
        <v>0.76098259329455098</v>
      </c>
      <c r="P21" s="344">
        <v>0.92155929022937599</v>
      </c>
      <c r="Q21" s="344">
        <v>1.1160196473499899</v>
      </c>
      <c r="R21" s="344">
        <v>1.35151353415493</v>
      </c>
      <c r="S21" s="344">
        <v>1.62421312458944</v>
      </c>
      <c r="T21" s="344">
        <v>1.9669420923252501</v>
      </c>
      <c r="U21" s="344">
        <v>2.3638188452620099</v>
      </c>
      <c r="V21" s="344">
        <v>2.7975955107325299</v>
      </c>
      <c r="W21" s="344">
        <v>3.4402132630397602</v>
      </c>
      <c r="X21" s="344">
        <v>4.0404538926578502</v>
      </c>
      <c r="Y21" s="344">
        <v>4.9685606860952198</v>
      </c>
      <c r="Z21" s="344">
        <v>5.9255309755456702</v>
      </c>
      <c r="AA21" s="21">
        <v>7.1758909706655896</v>
      </c>
      <c r="AB21" s="21">
        <v>8.5580044021228598</v>
      </c>
      <c r="AC21" s="21">
        <v>10.363848703103701</v>
      </c>
      <c r="AD21" s="21">
        <v>12.6472343328848</v>
      </c>
      <c r="AE21" s="21">
        <v>15.1991108295293</v>
      </c>
      <c r="AF21" s="21">
        <v>18.265888330039498</v>
      </c>
      <c r="AG21" s="21">
        <v>22.120215670064201</v>
      </c>
      <c r="AH21" s="21">
        <v>26.787853536006899</v>
      </c>
      <c r="AI21" s="21">
        <v>31.9473316166209</v>
      </c>
      <c r="AJ21" s="21">
        <v>38.6886119456085</v>
      </c>
      <c r="AK21" s="21">
        <v>46.852385427368603</v>
      </c>
      <c r="AL21" s="21">
        <v>56.305954329223503</v>
      </c>
      <c r="AM21" s="21">
        <v>68.711404338152903</v>
      </c>
      <c r="AN21" s="21">
        <v>80.084353105042496</v>
      </c>
      <c r="AO21" s="21">
        <v>97.728711517531494</v>
      </c>
      <c r="AP21" s="21">
        <v>115.662587748265</v>
      </c>
      <c r="AQ21" s="21">
        <v>143.32412216102901</v>
      </c>
      <c r="AR21" s="21">
        <v>170.92908370522699</v>
      </c>
      <c r="AS21" s="21">
        <v>206.99722496540099</v>
      </c>
      <c r="AT21" s="211">
        <v>276.91745564046403</v>
      </c>
      <c r="AU21" s="21"/>
      <c r="AV21" s="21"/>
      <c r="AW21" s="21"/>
      <c r="AX21" s="21"/>
      <c r="AY21" s="21"/>
    </row>
    <row r="22" spans="1:51" ht="15.75" customHeight="1">
      <c r="A22" s="204">
        <v>5</v>
      </c>
      <c r="B22" s="201">
        <v>5</v>
      </c>
      <c r="C22" s="201" t="s">
        <v>572</v>
      </c>
      <c r="D22" s="343">
        <v>0.1</v>
      </c>
      <c r="E22" s="343">
        <v>0.120177348102179</v>
      </c>
      <c r="F22" s="343">
        <v>0.14442594996872399</v>
      </c>
      <c r="G22" s="343">
        <v>0.17224312920385301</v>
      </c>
      <c r="H22" s="343">
        <v>0.213436304443925</v>
      </c>
      <c r="I22" s="343">
        <v>0.248763775608522</v>
      </c>
      <c r="J22" s="343">
        <v>0.298957708565178</v>
      </c>
      <c r="K22" s="343">
        <v>0.36762936963128101</v>
      </c>
      <c r="L22" s="343">
        <v>0.441807227267633</v>
      </c>
      <c r="M22" s="343">
        <v>0.53503399206054303</v>
      </c>
      <c r="N22" s="343">
        <v>0.63808428501175996</v>
      </c>
      <c r="O22" s="343">
        <v>0.76098259329455098</v>
      </c>
      <c r="P22" s="343">
        <v>0.92155929022937599</v>
      </c>
      <c r="Q22" s="343">
        <v>1.1160196473499899</v>
      </c>
      <c r="R22" s="343">
        <v>1.35151353415493</v>
      </c>
      <c r="S22" s="343">
        <v>1.62421312458944</v>
      </c>
      <c r="T22" s="343">
        <v>1.9669420923252501</v>
      </c>
      <c r="U22" s="343">
        <v>2.3638188452620099</v>
      </c>
      <c r="V22" s="343">
        <v>2.7975955107325299</v>
      </c>
      <c r="W22" s="343">
        <v>3.4402132630397602</v>
      </c>
      <c r="X22" s="343">
        <v>4.0404538926578502</v>
      </c>
      <c r="Y22" s="343">
        <v>4.9685606860952198</v>
      </c>
      <c r="Z22" s="343">
        <v>5.9255309755456702</v>
      </c>
      <c r="AA22" s="21">
        <v>7.1758909706655896</v>
      </c>
      <c r="AB22" s="21">
        <v>8.5580044021228598</v>
      </c>
      <c r="AC22" s="21">
        <v>10.363848703103701</v>
      </c>
      <c r="AD22" s="21">
        <v>12.6472343328848</v>
      </c>
      <c r="AE22" s="21">
        <v>15.1991108295293</v>
      </c>
      <c r="AF22" s="21">
        <v>18.265888330039498</v>
      </c>
      <c r="AG22" s="21">
        <v>22.120215670064201</v>
      </c>
      <c r="AH22" s="21">
        <v>26.787853536006899</v>
      </c>
      <c r="AI22" s="21">
        <v>31.9473316166209</v>
      </c>
      <c r="AJ22" s="21">
        <v>38.6886119456085</v>
      </c>
      <c r="AK22" s="21">
        <v>46.852385427368603</v>
      </c>
      <c r="AL22" s="21">
        <v>56.305954329223503</v>
      </c>
      <c r="AM22" s="21">
        <v>68.711404338152903</v>
      </c>
      <c r="AN22" s="21">
        <v>80.084353105042496</v>
      </c>
      <c r="AO22" s="21">
        <v>97.728711517531494</v>
      </c>
      <c r="AP22" s="21">
        <v>115.662587748265</v>
      </c>
      <c r="AQ22" s="21">
        <v>143.32412216102901</v>
      </c>
      <c r="AR22" s="21">
        <v>170.92908370522699</v>
      </c>
      <c r="AS22" s="21">
        <v>206.99722496540099</v>
      </c>
      <c r="AT22" s="211">
        <v>276.91745564046403</v>
      </c>
      <c r="AU22" s="21"/>
      <c r="AV22" s="21"/>
      <c r="AW22" s="21"/>
      <c r="AX22" s="21"/>
      <c r="AY22" s="21"/>
    </row>
    <row r="23" spans="1:51" ht="15.75" customHeight="1">
      <c r="A23" s="204">
        <v>5</v>
      </c>
      <c r="B23" s="201">
        <v>6</v>
      </c>
      <c r="C23" s="201" t="s">
        <v>572</v>
      </c>
      <c r="D23" s="344">
        <v>0.1</v>
      </c>
      <c r="E23" s="344">
        <v>0.120177348102179</v>
      </c>
      <c r="F23" s="344">
        <v>0.14442594996872399</v>
      </c>
      <c r="G23" s="344">
        <v>0.17224312920385301</v>
      </c>
      <c r="H23" s="344">
        <v>0.213436304443925</v>
      </c>
      <c r="I23" s="344">
        <v>0.248763775608522</v>
      </c>
      <c r="J23" s="344">
        <v>0.298957708565178</v>
      </c>
      <c r="K23" s="344">
        <v>0.36762936963128101</v>
      </c>
      <c r="L23" s="344">
        <v>0.441807227267633</v>
      </c>
      <c r="M23" s="344">
        <v>0.53503399206054303</v>
      </c>
      <c r="N23" s="344">
        <v>0.63808428501175996</v>
      </c>
      <c r="O23" s="344">
        <v>0.76098259329455098</v>
      </c>
      <c r="P23" s="344">
        <v>0.92155929022937599</v>
      </c>
      <c r="Q23" s="344">
        <v>1.1160196473499899</v>
      </c>
      <c r="R23" s="344">
        <v>1.35151353415493</v>
      </c>
      <c r="S23" s="344">
        <v>1.62421312458944</v>
      </c>
      <c r="T23" s="344">
        <v>1.9669420923252501</v>
      </c>
      <c r="U23" s="344">
        <v>2.3638188452620099</v>
      </c>
      <c r="V23" s="344">
        <v>2.7975955107325299</v>
      </c>
      <c r="W23" s="344">
        <v>3.4402132630397602</v>
      </c>
      <c r="X23" s="344">
        <v>4.0404538926578502</v>
      </c>
      <c r="Y23" s="344">
        <v>4.9685606860952198</v>
      </c>
      <c r="Z23" s="344">
        <v>5.9255309755456702</v>
      </c>
      <c r="AA23" s="23">
        <v>7.1758909706655896</v>
      </c>
      <c r="AB23" s="23">
        <v>8.5580044021228598</v>
      </c>
      <c r="AC23" s="23">
        <v>10.363848703103701</v>
      </c>
      <c r="AD23" s="23">
        <v>12.6472343328848</v>
      </c>
      <c r="AE23" s="23">
        <v>15.1991108295293</v>
      </c>
      <c r="AF23" s="23">
        <v>18.265888330039498</v>
      </c>
      <c r="AG23" s="23">
        <v>22.120215670064201</v>
      </c>
      <c r="AH23" s="23">
        <v>26.787853536006899</v>
      </c>
      <c r="AI23" s="23">
        <v>31.9473316166209</v>
      </c>
      <c r="AJ23" s="23">
        <v>38.6886119456085</v>
      </c>
      <c r="AK23" s="23">
        <v>46.852385427368603</v>
      </c>
      <c r="AL23" s="23">
        <v>56.305954329223503</v>
      </c>
      <c r="AM23" s="23">
        <v>68.711404338152903</v>
      </c>
      <c r="AN23" s="23">
        <v>80.084353105042496</v>
      </c>
      <c r="AO23" s="23">
        <v>97.728711517531494</v>
      </c>
      <c r="AP23" s="23">
        <v>115.662587748265</v>
      </c>
      <c r="AQ23" s="23">
        <v>143.32412216102901</v>
      </c>
      <c r="AR23" s="23">
        <v>170.92908370522699</v>
      </c>
      <c r="AS23" s="23">
        <v>206.99722496540099</v>
      </c>
      <c r="AT23" s="212">
        <v>276.91745564046403</v>
      </c>
      <c r="AU23" s="21"/>
      <c r="AV23" s="21"/>
      <c r="AW23" s="21"/>
      <c r="AX23" s="21"/>
      <c r="AY23" s="21"/>
    </row>
    <row r="24" spans="1:51" ht="15.75" customHeight="1">
      <c r="A24" s="203">
        <v>6</v>
      </c>
      <c r="B24" s="200">
        <v>1</v>
      </c>
      <c r="C24" s="200" t="s">
        <v>574</v>
      </c>
      <c r="D24" s="349">
        <v>0.102983099197286</v>
      </c>
      <c r="E24" s="349">
        <v>0.12901443294311599</v>
      </c>
      <c r="F24" s="349">
        <v>0.16644723907633799</v>
      </c>
      <c r="G24" s="349">
        <v>0.218990629460591</v>
      </c>
      <c r="H24" s="349">
        <v>0.27977474632885402</v>
      </c>
      <c r="I24" s="349">
        <v>0.36094980249421399</v>
      </c>
      <c r="J24" s="349">
        <v>0.45218812069842801</v>
      </c>
      <c r="K24" s="349">
        <v>0.60670660559262002</v>
      </c>
      <c r="L24" s="349">
        <v>0.77510707692751502</v>
      </c>
      <c r="M24" s="349">
        <v>0.99024961186350602</v>
      </c>
      <c r="N24" s="349">
        <v>1.2775649214671101</v>
      </c>
      <c r="O24" s="349">
        <v>1.6004986757617301</v>
      </c>
      <c r="P24" s="349">
        <v>2.16855385825095</v>
      </c>
      <c r="Q24" s="349">
        <v>2.7977474632885402</v>
      </c>
      <c r="R24" s="349">
        <v>3.5743040182210501</v>
      </c>
      <c r="S24" s="349">
        <v>4.7026258361351099</v>
      </c>
      <c r="T24" s="349">
        <v>6.1268047805733099</v>
      </c>
      <c r="U24" s="349">
        <v>7.7510707692751497</v>
      </c>
      <c r="V24" s="349">
        <v>10.298309919728601</v>
      </c>
      <c r="W24" s="349">
        <v>13.0284759920612</v>
      </c>
      <c r="X24" s="349">
        <v>16.6447239076338</v>
      </c>
      <c r="Y24" s="349">
        <v>21.8990629460591</v>
      </c>
      <c r="Z24" s="349">
        <v>27.704683396135898</v>
      </c>
      <c r="AA24" s="223">
        <v>35.049421245590501</v>
      </c>
      <c r="AB24" s="223">
        <v>45.664054323381599</v>
      </c>
      <c r="AC24" s="223">
        <v>59.493303545235797</v>
      </c>
      <c r="AD24" s="223">
        <v>77.510707692751595</v>
      </c>
      <c r="AE24" s="223">
        <v>99.024961186350595</v>
      </c>
      <c r="AF24" s="223">
        <v>129.01443294311599</v>
      </c>
      <c r="AG24" s="223">
        <v>163.217212856327</v>
      </c>
      <c r="AH24" s="223">
        <v>212.64715391898099</v>
      </c>
      <c r="AI24" s="223">
        <v>277.04683396135903</v>
      </c>
      <c r="AJ24" s="223">
        <v>364.50385657304997</v>
      </c>
      <c r="AK24" s="223">
        <v>465.67734089720898</v>
      </c>
      <c r="AL24" s="293">
        <v>594.93303545235801</v>
      </c>
      <c r="AM24" s="96"/>
      <c r="AN24" s="96"/>
      <c r="AO24" s="96"/>
      <c r="AP24" s="96"/>
      <c r="AQ24" s="96"/>
      <c r="AR24" s="96"/>
      <c r="AS24" s="96"/>
      <c r="AT24" s="96"/>
      <c r="AU24" s="96"/>
    </row>
    <row r="25" spans="1:51" ht="15.75" customHeight="1">
      <c r="A25" s="204">
        <v>6</v>
      </c>
      <c r="B25" s="201">
        <v>2</v>
      </c>
      <c r="C25" s="201" t="s">
        <v>574</v>
      </c>
      <c r="D25" s="344">
        <v>0.102983099197286</v>
      </c>
      <c r="E25" s="344">
        <v>0.12901443294311599</v>
      </c>
      <c r="F25" s="344">
        <v>0.16644723907633799</v>
      </c>
      <c r="G25" s="344">
        <v>0.218990629460591</v>
      </c>
      <c r="H25" s="344">
        <v>0.27977474632885402</v>
      </c>
      <c r="I25" s="344">
        <v>0.36094980249421399</v>
      </c>
      <c r="J25" s="344">
        <v>0.45218812069842801</v>
      </c>
      <c r="K25" s="344">
        <v>0.60670660559262002</v>
      </c>
      <c r="L25" s="344">
        <v>0.77510707692751502</v>
      </c>
      <c r="M25" s="344">
        <v>0.99024961186350602</v>
      </c>
      <c r="N25" s="344">
        <v>1.2775649214671101</v>
      </c>
      <c r="O25" s="344">
        <v>1.6004986757617301</v>
      </c>
      <c r="P25" s="344">
        <v>2.16855385825095</v>
      </c>
      <c r="Q25" s="344">
        <v>2.7977474632885402</v>
      </c>
      <c r="R25" s="344">
        <v>3.5743040182210501</v>
      </c>
      <c r="S25" s="344">
        <v>4.7026258361351099</v>
      </c>
      <c r="T25" s="344">
        <v>6.1268047805733099</v>
      </c>
      <c r="U25" s="344">
        <v>7.7510707692751497</v>
      </c>
      <c r="V25" s="344">
        <v>10.298309919728601</v>
      </c>
      <c r="W25" s="344">
        <v>13.0284759920612</v>
      </c>
      <c r="X25" s="344">
        <v>16.6447239076338</v>
      </c>
      <c r="Y25" s="344">
        <v>21.8990629460591</v>
      </c>
      <c r="Z25" s="344">
        <v>27.704683396135898</v>
      </c>
      <c r="AA25" s="21">
        <v>35.049421245590501</v>
      </c>
      <c r="AB25" s="21">
        <v>45.664054323381599</v>
      </c>
      <c r="AC25" s="21">
        <v>59.493303545235797</v>
      </c>
      <c r="AD25" s="21">
        <v>77.510707692751595</v>
      </c>
      <c r="AE25" s="21">
        <v>99.024961186350595</v>
      </c>
      <c r="AF25" s="21">
        <v>129.01443294311599</v>
      </c>
      <c r="AG25" s="21">
        <v>163.217212856327</v>
      </c>
      <c r="AH25" s="21">
        <v>212.64715391898099</v>
      </c>
      <c r="AI25" s="21">
        <v>277.04683396135903</v>
      </c>
      <c r="AJ25" s="21">
        <v>364.50385657304997</v>
      </c>
      <c r="AK25" s="21">
        <v>465.67734089720898</v>
      </c>
      <c r="AL25" s="211">
        <v>594.93303545235801</v>
      </c>
    </row>
    <row r="26" spans="1:51" ht="15.75" customHeight="1">
      <c r="A26" s="204">
        <v>6</v>
      </c>
      <c r="B26" s="201">
        <v>3</v>
      </c>
      <c r="C26" s="201" t="s">
        <v>574</v>
      </c>
      <c r="D26" s="343">
        <v>0.102983099197286</v>
      </c>
      <c r="E26" s="343">
        <v>0.12901443294311599</v>
      </c>
      <c r="F26" s="343">
        <v>0.16644723907633799</v>
      </c>
      <c r="G26" s="343">
        <v>0.218990629460591</v>
      </c>
      <c r="H26" s="343">
        <v>0.27977474632885402</v>
      </c>
      <c r="I26" s="343">
        <v>0.36094980249421399</v>
      </c>
      <c r="J26" s="343">
        <v>0.45218812069842801</v>
      </c>
      <c r="K26" s="343">
        <v>0.60670660559262002</v>
      </c>
      <c r="L26" s="343">
        <v>0.77510707692751502</v>
      </c>
      <c r="M26" s="343">
        <v>0.99024961186350602</v>
      </c>
      <c r="N26" s="343">
        <v>1.2775649214671101</v>
      </c>
      <c r="O26" s="343">
        <v>1.6004986757617301</v>
      </c>
      <c r="P26" s="343">
        <v>2.16855385825095</v>
      </c>
      <c r="Q26" s="343">
        <v>2.7977474632885402</v>
      </c>
      <c r="R26" s="343">
        <v>3.5743040182210501</v>
      </c>
      <c r="S26" s="343">
        <v>4.7026258361351099</v>
      </c>
      <c r="T26" s="343">
        <v>6.1268047805733099</v>
      </c>
      <c r="U26" s="343">
        <v>7.7510707692751497</v>
      </c>
      <c r="V26" s="343">
        <v>10.298309919728601</v>
      </c>
      <c r="W26" s="343">
        <v>13.0284759920612</v>
      </c>
      <c r="X26" s="343">
        <v>16.6447239076338</v>
      </c>
      <c r="Y26" s="343">
        <v>21.8990629460591</v>
      </c>
      <c r="Z26" s="343">
        <v>27.704683396135898</v>
      </c>
      <c r="AA26" s="21">
        <v>35.049421245590501</v>
      </c>
      <c r="AB26" s="21">
        <v>45.664054323381599</v>
      </c>
      <c r="AC26" s="21">
        <v>59.493303545235797</v>
      </c>
      <c r="AD26" s="21">
        <v>77.510707692751595</v>
      </c>
      <c r="AE26" s="21">
        <v>99.024961186350595</v>
      </c>
      <c r="AF26" s="21">
        <v>129.01443294311599</v>
      </c>
      <c r="AG26" s="21">
        <v>163.217212856327</v>
      </c>
      <c r="AH26" s="21">
        <v>212.64715391898099</v>
      </c>
      <c r="AI26" s="21">
        <v>277.04683396135903</v>
      </c>
      <c r="AJ26" s="21">
        <v>364.50385657304997</v>
      </c>
      <c r="AK26" s="21">
        <v>465.67734089720898</v>
      </c>
      <c r="AL26" s="211">
        <v>594.93303545235801</v>
      </c>
    </row>
    <row r="27" spans="1:51" ht="15.75" customHeight="1">
      <c r="A27" s="204">
        <v>6</v>
      </c>
      <c r="B27" s="201">
        <v>4</v>
      </c>
      <c r="C27" s="201" t="s">
        <v>574</v>
      </c>
      <c r="D27" s="344">
        <v>0.102983099197286</v>
      </c>
      <c r="E27" s="344">
        <v>0.12901443294311599</v>
      </c>
      <c r="F27" s="344">
        <v>0.16644723907633799</v>
      </c>
      <c r="G27" s="344">
        <v>0.218990629460591</v>
      </c>
      <c r="H27" s="344">
        <v>0.27977474632885402</v>
      </c>
      <c r="I27" s="344">
        <v>0.36094980249421399</v>
      </c>
      <c r="J27" s="344">
        <v>0.45218812069842801</v>
      </c>
      <c r="K27" s="344">
        <v>0.60670660559262002</v>
      </c>
      <c r="L27" s="344">
        <v>0.77510707692751502</v>
      </c>
      <c r="M27" s="344">
        <v>0.99024961186350602</v>
      </c>
      <c r="N27" s="344">
        <v>1.2775649214671101</v>
      </c>
      <c r="O27" s="344">
        <v>1.6004986757617301</v>
      </c>
      <c r="P27" s="344">
        <v>2.16855385825095</v>
      </c>
      <c r="Q27" s="344">
        <v>2.7977474632885402</v>
      </c>
      <c r="R27" s="344">
        <v>3.5743040182210501</v>
      </c>
      <c r="S27" s="344">
        <v>4.7026258361351099</v>
      </c>
      <c r="T27" s="344">
        <v>6.1268047805733099</v>
      </c>
      <c r="U27" s="344">
        <v>7.7510707692751497</v>
      </c>
      <c r="V27" s="344">
        <v>10.298309919728601</v>
      </c>
      <c r="W27" s="344">
        <v>13.0284759920612</v>
      </c>
      <c r="X27" s="344">
        <v>16.6447239076338</v>
      </c>
      <c r="Y27" s="344">
        <v>21.8990629460591</v>
      </c>
      <c r="Z27" s="344">
        <v>27.704683396135898</v>
      </c>
      <c r="AA27" s="23">
        <v>35.049421245590501</v>
      </c>
      <c r="AB27" s="23">
        <v>45.664054323381599</v>
      </c>
      <c r="AC27" s="23">
        <v>59.493303545235797</v>
      </c>
      <c r="AD27" s="23">
        <v>77.510707692751595</v>
      </c>
      <c r="AE27" s="23">
        <v>99.024961186350595</v>
      </c>
      <c r="AF27" s="23">
        <v>129.01443294311599</v>
      </c>
      <c r="AG27" s="23">
        <v>163.217212856327</v>
      </c>
      <c r="AH27" s="23">
        <v>212.64715391898099</v>
      </c>
      <c r="AI27" s="23">
        <v>277.04683396135903</v>
      </c>
      <c r="AJ27" s="23">
        <v>364.50385657304997</v>
      </c>
      <c r="AK27" s="23">
        <v>465.67734089720898</v>
      </c>
      <c r="AL27" s="212">
        <v>594.93303545235801</v>
      </c>
    </row>
    <row r="28" spans="1:51" ht="15.75" customHeight="1">
      <c r="A28" s="203">
        <v>7</v>
      </c>
      <c r="B28" s="200">
        <v>1</v>
      </c>
      <c r="C28" s="200" t="s">
        <v>572</v>
      </c>
      <c r="D28" s="350">
        <v>7.1068089589057595E-2</v>
      </c>
      <c r="E28" s="350">
        <v>0.1</v>
      </c>
      <c r="F28" s="350">
        <v>0.147049690520796</v>
      </c>
      <c r="G28" s="350">
        <v>0.21152361090237501</v>
      </c>
      <c r="H28" s="350">
        <v>0.31449059016463299</v>
      </c>
      <c r="I28" s="350">
        <v>0.45739043814781299</v>
      </c>
      <c r="J28" s="350">
        <v>0.68004223365473404</v>
      </c>
      <c r="K28" s="350">
        <v>0.98904331302099402</v>
      </c>
      <c r="L28" s="350">
        <v>1.4704969052079599</v>
      </c>
      <c r="M28" s="350">
        <v>2.1386688339895299</v>
      </c>
      <c r="N28" s="350">
        <v>3.1797453764085799</v>
      </c>
      <c r="O28" s="350">
        <v>4.6245743955411998</v>
      </c>
      <c r="P28" s="350">
        <v>6.8757578631978298</v>
      </c>
      <c r="Q28" s="350">
        <v>10</v>
      </c>
      <c r="R28" s="350">
        <v>14.543851309140001</v>
      </c>
      <c r="S28" s="350">
        <v>21.152361090237498</v>
      </c>
      <c r="T28" s="350">
        <v>31.449059016463298</v>
      </c>
      <c r="U28" s="350">
        <v>46.758057353581599</v>
      </c>
      <c r="V28" s="350">
        <v>65.793322465756702</v>
      </c>
      <c r="W28" s="350">
        <v>101.107806587917</v>
      </c>
      <c r="X28" s="350">
        <v>140.71012824213699</v>
      </c>
      <c r="Y28" s="350">
        <v>213.86688339895301</v>
      </c>
      <c r="Z28" s="351"/>
    </row>
    <row r="29" spans="1:51" ht="15.75" customHeight="1">
      <c r="A29" s="204">
        <v>7</v>
      </c>
      <c r="B29" s="201">
        <v>2</v>
      </c>
      <c r="C29" s="201" t="s">
        <v>572</v>
      </c>
      <c r="D29" s="344">
        <v>0.14543851309139999</v>
      </c>
      <c r="E29" s="344">
        <v>0.32505864635467102</v>
      </c>
      <c r="F29" s="344">
        <v>0.69519279617756002</v>
      </c>
      <c r="G29" s="344">
        <v>1.50325789298109</v>
      </c>
      <c r="H29" s="344">
        <v>3.2149708051674399</v>
      </c>
      <c r="I29" s="344">
        <v>6.9519279617756</v>
      </c>
      <c r="J29" s="344">
        <v>14.543851309140001</v>
      </c>
      <c r="K29" s="344">
        <v>32.149708051674402</v>
      </c>
      <c r="L29" s="344">
        <v>67.259122376807596</v>
      </c>
      <c r="M29" s="344">
        <v>148.678716679898</v>
      </c>
      <c r="N29" s="344">
        <v>314.49059016463298</v>
      </c>
      <c r="O29" s="352"/>
      <c r="P29" s="342"/>
      <c r="Q29" s="342"/>
      <c r="R29" s="342"/>
      <c r="S29" s="342"/>
      <c r="T29" s="342"/>
      <c r="U29" s="342"/>
      <c r="V29" s="342"/>
      <c r="W29" s="342"/>
      <c r="X29" s="342"/>
      <c r="Y29" s="342"/>
      <c r="Z29" s="344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</row>
    <row r="30" spans="1:51" ht="15.75" customHeight="1">
      <c r="A30" s="203">
        <v>8</v>
      </c>
      <c r="B30" s="200">
        <v>1</v>
      </c>
      <c r="C30" s="200" t="s">
        <v>575</v>
      </c>
      <c r="D30" s="353"/>
      <c r="E30" s="244"/>
      <c r="F30" s="244"/>
      <c r="G30" s="244"/>
      <c r="H30" s="244"/>
      <c r="I30" s="244"/>
      <c r="J30" s="244"/>
      <c r="K30" s="244"/>
      <c r="L30" s="354"/>
      <c r="M30" s="354"/>
      <c r="N30" s="244"/>
      <c r="O30" s="274"/>
      <c r="P30" s="274"/>
      <c r="Q30" s="274"/>
      <c r="R30" s="274"/>
      <c r="S30" s="274"/>
      <c r="T30" s="274"/>
      <c r="U30" s="274"/>
      <c r="V30" s="274"/>
      <c r="W30" s="274"/>
      <c r="X30" s="274"/>
      <c r="Y30" s="274"/>
      <c r="Z30" s="274"/>
    </row>
    <row r="31" spans="1:51" ht="15.75" customHeight="1">
      <c r="A31" s="204">
        <v>8</v>
      </c>
      <c r="B31" s="201">
        <v>2</v>
      </c>
      <c r="C31" s="201" t="s">
        <v>575</v>
      </c>
      <c r="D31" s="355"/>
      <c r="E31" s="326"/>
      <c r="F31" s="326"/>
      <c r="G31" s="326"/>
      <c r="H31" s="326"/>
      <c r="I31" s="326"/>
      <c r="J31" s="326"/>
      <c r="K31" s="326"/>
      <c r="L31" s="356"/>
      <c r="M31" s="356"/>
      <c r="N31" s="326"/>
      <c r="O31" s="326"/>
      <c r="P31" s="326"/>
      <c r="Q31" s="326"/>
      <c r="R31" s="326"/>
      <c r="S31" s="326"/>
      <c r="T31" s="326"/>
      <c r="U31" s="326"/>
      <c r="V31" s="326"/>
      <c r="W31" s="326"/>
      <c r="X31" s="326"/>
      <c r="Y31" s="326"/>
      <c r="Z31" s="326"/>
    </row>
    <row r="32" spans="1:51" ht="15.75" customHeight="1">
      <c r="A32" s="204">
        <v>8</v>
      </c>
      <c r="B32" s="201">
        <v>3</v>
      </c>
      <c r="C32" s="201" t="s">
        <v>575</v>
      </c>
      <c r="D32" s="357"/>
      <c r="E32" s="274"/>
      <c r="F32" s="274"/>
      <c r="G32" s="274"/>
      <c r="H32" s="274"/>
      <c r="I32" s="274"/>
      <c r="J32" s="274"/>
      <c r="K32" s="274"/>
      <c r="L32" s="358"/>
      <c r="M32" s="358"/>
      <c r="N32" s="274"/>
      <c r="O32" s="274"/>
      <c r="P32" s="274"/>
      <c r="Q32" s="274"/>
      <c r="R32" s="274"/>
      <c r="S32" s="274"/>
      <c r="T32" s="274"/>
      <c r="U32" s="274"/>
      <c r="V32" s="274"/>
      <c r="W32" s="274"/>
      <c r="X32" s="274"/>
      <c r="Y32" s="274"/>
      <c r="Z32" s="274"/>
    </row>
    <row r="33" spans="1:48" ht="15.75" customHeight="1">
      <c r="A33" s="204">
        <v>8</v>
      </c>
      <c r="B33" s="201">
        <v>4</v>
      </c>
      <c r="C33" s="201" t="s">
        <v>575</v>
      </c>
      <c r="D33" s="355"/>
      <c r="E33" s="326"/>
      <c r="F33" s="326"/>
      <c r="G33" s="326"/>
      <c r="H33" s="326"/>
      <c r="I33" s="326"/>
      <c r="J33" s="326"/>
      <c r="K33" s="326"/>
      <c r="L33" s="356"/>
      <c r="M33" s="356"/>
      <c r="N33" s="326"/>
      <c r="O33" s="326"/>
      <c r="P33" s="326"/>
      <c r="Q33" s="326"/>
      <c r="R33" s="326"/>
      <c r="S33" s="326"/>
      <c r="T33" s="326"/>
      <c r="U33" s="326"/>
      <c r="V33" s="326"/>
      <c r="W33" s="326"/>
      <c r="X33" s="326"/>
      <c r="Y33" s="326"/>
      <c r="Z33" s="326"/>
    </row>
    <row r="34" spans="1:48" ht="15.75" customHeight="1">
      <c r="A34" s="203">
        <v>9</v>
      </c>
      <c r="B34" s="200">
        <v>1</v>
      </c>
      <c r="C34" s="201" t="s">
        <v>575</v>
      </c>
      <c r="D34" s="357"/>
      <c r="E34" s="274"/>
      <c r="F34" s="274"/>
      <c r="G34" s="274"/>
      <c r="H34" s="274"/>
      <c r="I34" s="274"/>
      <c r="J34" s="274"/>
      <c r="K34" s="274"/>
      <c r="L34" s="358"/>
      <c r="M34" s="358"/>
      <c r="N34" s="274"/>
      <c r="O34" s="274"/>
      <c r="P34" s="274"/>
      <c r="Q34" s="274"/>
      <c r="R34" s="274"/>
      <c r="S34" s="274"/>
      <c r="T34" s="274"/>
      <c r="U34" s="274"/>
      <c r="V34" s="274"/>
      <c r="W34" s="274"/>
      <c r="X34" s="274"/>
      <c r="Y34" s="274"/>
      <c r="Z34" s="274"/>
    </row>
    <row r="35" spans="1:48" ht="15.75" customHeight="1">
      <c r="A35" s="204">
        <v>9</v>
      </c>
      <c r="B35" s="201">
        <v>2</v>
      </c>
      <c r="C35" s="201" t="s">
        <v>575</v>
      </c>
      <c r="D35" s="355"/>
      <c r="E35" s="326"/>
      <c r="F35" s="326"/>
      <c r="G35" s="326"/>
      <c r="H35" s="326"/>
      <c r="I35" s="326"/>
      <c r="J35" s="326"/>
      <c r="K35" s="326"/>
      <c r="L35" s="356"/>
      <c r="M35" s="356"/>
      <c r="N35" s="326"/>
      <c r="O35" s="326"/>
      <c r="P35" s="326"/>
      <c r="Q35" s="326"/>
      <c r="R35" s="326"/>
      <c r="S35" s="326"/>
      <c r="T35" s="326"/>
      <c r="U35" s="326"/>
      <c r="V35" s="326"/>
      <c r="W35" s="326"/>
      <c r="X35" s="326"/>
      <c r="Y35" s="326"/>
      <c r="Z35" s="326"/>
    </row>
    <row r="36" spans="1:48" ht="15.75" customHeight="1">
      <c r="A36" s="204">
        <v>9</v>
      </c>
      <c r="B36" s="201">
        <v>3</v>
      </c>
      <c r="C36" s="201" t="s">
        <v>575</v>
      </c>
      <c r="D36" s="357"/>
      <c r="E36" s="274"/>
      <c r="F36" s="274"/>
      <c r="G36" s="274"/>
      <c r="H36" s="274"/>
      <c r="I36" s="274"/>
      <c r="J36" s="274"/>
      <c r="K36" s="274"/>
      <c r="L36" s="358"/>
      <c r="M36" s="358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</row>
    <row r="37" spans="1:48" ht="15.75" customHeight="1">
      <c r="A37" s="204">
        <v>9</v>
      </c>
      <c r="B37" s="201">
        <v>4</v>
      </c>
      <c r="C37" s="201" t="s">
        <v>575</v>
      </c>
      <c r="D37" s="355"/>
      <c r="E37" s="326"/>
      <c r="F37" s="326"/>
      <c r="G37" s="326"/>
      <c r="H37" s="326"/>
      <c r="I37" s="326"/>
      <c r="J37" s="326"/>
      <c r="K37" s="326"/>
      <c r="L37" s="356"/>
      <c r="M37" s="356"/>
      <c r="N37" s="326"/>
      <c r="O37" s="326"/>
      <c r="P37" s="326"/>
      <c r="Q37" s="326"/>
      <c r="R37" s="326"/>
      <c r="S37" s="326"/>
      <c r="T37" s="326"/>
      <c r="U37" s="326"/>
      <c r="V37" s="326"/>
      <c r="W37" s="326"/>
      <c r="X37" s="326"/>
      <c r="Y37" s="326"/>
      <c r="Z37" s="326"/>
    </row>
    <row r="38" spans="1:48" ht="15.75" customHeight="1">
      <c r="A38" s="199">
        <v>11</v>
      </c>
      <c r="B38" s="200" t="s">
        <v>221</v>
      </c>
      <c r="C38" s="200"/>
      <c r="D38" s="359">
        <f>6.283185*Angular_frequency!C38</f>
        <v>6.2831849999999996</v>
      </c>
      <c r="E38" s="359">
        <f>6.283185*Angular_frequency!D38</f>
        <v>62.831849999999996</v>
      </c>
      <c r="F38" s="359">
        <f>6.283185*Angular_frequency!E38</f>
        <v>125.66369999999999</v>
      </c>
      <c r="G38" s="359">
        <f>6.283185*Angular_frequency!F38</f>
        <v>188.49554999999998</v>
      </c>
      <c r="H38" s="359">
        <f>6.283185*Angular_frequency!G38</f>
        <v>251.32739999999998</v>
      </c>
      <c r="I38" s="359">
        <f>6.283185*Angular_frequency!H38</f>
        <v>314.15924999999999</v>
      </c>
      <c r="J38" s="359">
        <f>6.283185*Angular_frequency!I38</f>
        <v>376.99109999999996</v>
      </c>
      <c r="K38" s="359">
        <f>6.283185*Angular_frequency!J38</f>
        <v>439.82294999999999</v>
      </c>
      <c r="L38" s="359">
        <f>6.283185*Angular_frequency!K38</f>
        <v>502.65479999999997</v>
      </c>
      <c r="M38" s="359">
        <f>6.283185*Angular_frequency!L38</f>
        <v>565.48664999999994</v>
      </c>
      <c r="N38" s="360">
        <f>6.283185*Angular_frequency!M38</f>
        <v>628.31849999999997</v>
      </c>
      <c r="O38" s="448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12"/>
      <c r="AV38" s="2"/>
    </row>
    <row r="39" spans="1:48" ht="15.75" customHeight="1">
      <c r="A39" s="196">
        <v>11</v>
      </c>
      <c r="B39" s="201" t="s">
        <v>222</v>
      </c>
      <c r="C39" s="201"/>
      <c r="D39" s="26">
        <f>6.283185*Angular_frequency!C39</f>
        <v>6.2831849999999996</v>
      </c>
      <c r="E39" s="26">
        <f>6.283185*Angular_frequency!D39</f>
        <v>62.831849999999996</v>
      </c>
      <c r="F39" s="26">
        <f>6.283185*Angular_frequency!E39</f>
        <v>125.66369999999999</v>
      </c>
      <c r="G39" s="26">
        <f>6.283185*Angular_frequency!F39</f>
        <v>188.49554999999998</v>
      </c>
      <c r="H39" s="26">
        <f>6.283185*Angular_frequency!G39</f>
        <v>251.32739999999998</v>
      </c>
      <c r="I39" s="26">
        <f>6.283185*Angular_frequency!H39</f>
        <v>314.15924999999999</v>
      </c>
      <c r="J39" s="26">
        <f>6.283185*Angular_frequency!I39</f>
        <v>376.99109999999996</v>
      </c>
      <c r="K39" s="26">
        <f>6.283185*Angular_frequency!J39</f>
        <v>439.82294999999999</v>
      </c>
      <c r="L39" s="26">
        <f>6.283185*Angular_frequency!K39</f>
        <v>502.65479999999997</v>
      </c>
      <c r="M39" s="447">
        <f>6.283185*Angular_frequency!L39</f>
        <v>565.48664999999994</v>
      </c>
      <c r="N39" s="361">
        <f>6.283185*Angular_frequency!M39</f>
        <v>628.31849999999997</v>
      </c>
      <c r="O39" s="448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12"/>
      <c r="AV39" s="2"/>
    </row>
    <row r="40" spans="1:48" ht="15.75" customHeight="1">
      <c r="A40" s="196">
        <v>11</v>
      </c>
      <c r="B40" s="201" t="s">
        <v>223</v>
      </c>
      <c r="C40" s="201"/>
      <c r="D40" s="26">
        <f>6.283185*Angular_frequency!C40</f>
        <v>6.2831849999999996</v>
      </c>
      <c r="E40" s="26">
        <f>6.283185*Angular_frequency!D40</f>
        <v>62.831849999999996</v>
      </c>
      <c r="F40" s="26">
        <f>6.283185*Angular_frequency!E40</f>
        <v>125.66369999999999</v>
      </c>
      <c r="G40" s="26">
        <f>6.283185*Angular_frequency!F40</f>
        <v>188.49554999999998</v>
      </c>
      <c r="H40" s="26">
        <f>6.283185*Angular_frequency!G40</f>
        <v>251.32739999999998</v>
      </c>
      <c r="I40" s="26">
        <f>6.283185*Angular_frequency!H40</f>
        <v>314.15924999999999</v>
      </c>
      <c r="J40" s="26">
        <f>6.283185*Angular_frequency!I40</f>
        <v>376.99109999999996</v>
      </c>
      <c r="K40" s="26">
        <f>6.283185*Angular_frequency!J40</f>
        <v>439.82294999999999</v>
      </c>
      <c r="L40" s="26">
        <f>6.283185*Angular_frequency!K40</f>
        <v>502.65479999999997</v>
      </c>
      <c r="M40" s="447">
        <f>6.283185*Angular_frequency!L40</f>
        <v>565.48664999999994</v>
      </c>
      <c r="N40" s="361">
        <f>6.283185*Angular_frequency!M40</f>
        <v>628.31849999999997</v>
      </c>
      <c r="O40" s="448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12"/>
      <c r="AV40" s="2"/>
    </row>
    <row r="41" spans="1:48" ht="15.75" customHeight="1">
      <c r="A41" s="362">
        <v>11</v>
      </c>
      <c r="B41" s="202" t="s">
        <v>224</v>
      </c>
      <c r="C41" s="202"/>
      <c r="D41" s="29">
        <f>6.283185*Angular_frequency!C41</f>
        <v>6.2831849999999996</v>
      </c>
      <c r="E41" s="29">
        <f>6.283185*Angular_frequency!D41</f>
        <v>62.831849999999996</v>
      </c>
      <c r="F41" s="29">
        <f>6.283185*Angular_frequency!E41</f>
        <v>125.66369999999999</v>
      </c>
      <c r="G41" s="29">
        <f>6.283185*Angular_frequency!F41</f>
        <v>188.49554999999998</v>
      </c>
      <c r="H41" s="29">
        <f>6.283185*Angular_frequency!G41</f>
        <v>251.32739999999998</v>
      </c>
      <c r="I41" s="29">
        <f>6.283185*Angular_frequency!H41</f>
        <v>314.15924999999999</v>
      </c>
      <c r="J41" s="29">
        <f>6.283185*Angular_frequency!I41</f>
        <v>376.99109999999996</v>
      </c>
      <c r="K41" s="29">
        <f>6.283185*Angular_frequency!J41</f>
        <v>439.82294999999999</v>
      </c>
      <c r="L41" s="29">
        <f>6.283185*Angular_frequency!K41</f>
        <v>502.65479999999997</v>
      </c>
      <c r="M41" s="29">
        <f>6.283185*Angular_frequency!L41</f>
        <v>565.48664999999994</v>
      </c>
      <c r="N41" s="363">
        <f>6.283185*Angular_frequency!M41</f>
        <v>628.31849999999997</v>
      </c>
      <c r="O41" s="448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12"/>
      <c r="AV41" s="2"/>
    </row>
    <row r="42" spans="1:48" ht="15.75" customHeight="1">
      <c r="A42" s="204">
        <v>11</v>
      </c>
      <c r="B42" s="201" t="s">
        <v>225</v>
      </c>
      <c r="C42" s="201" t="s">
        <v>575</v>
      </c>
      <c r="D42" s="357"/>
      <c r="E42" s="274"/>
      <c r="F42" s="274"/>
      <c r="G42" s="274"/>
      <c r="H42" s="274"/>
      <c r="I42" s="274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4"/>
      <c r="U42" s="274"/>
      <c r="V42" s="274"/>
      <c r="W42" s="274"/>
      <c r="X42" s="274"/>
      <c r="Y42" s="274"/>
      <c r="Z42" s="274"/>
    </row>
    <row r="43" spans="1:48" ht="15.75" customHeight="1">
      <c r="A43" s="204">
        <v>11</v>
      </c>
      <c r="B43" s="201" t="s">
        <v>226</v>
      </c>
      <c r="C43" s="201" t="s">
        <v>575</v>
      </c>
      <c r="D43" s="355"/>
      <c r="E43" s="326"/>
      <c r="F43" s="326"/>
      <c r="G43" s="326"/>
      <c r="H43" s="326"/>
      <c r="I43" s="326"/>
      <c r="J43" s="326"/>
      <c r="K43" s="326"/>
      <c r="L43" s="326"/>
      <c r="M43" s="326"/>
      <c r="N43" s="326"/>
      <c r="O43" s="326"/>
      <c r="P43" s="326"/>
      <c r="Q43" s="326"/>
      <c r="R43" s="326"/>
      <c r="S43" s="326"/>
      <c r="T43" s="326"/>
      <c r="U43" s="326"/>
      <c r="V43" s="326"/>
      <c r="W43" s="326"/>
      <c r="X43" s="326"/>
      <c r="Y43" s="326"/>
      <c r="Z43" s="326"/>
    </row>
    <row r="44" spans="1:48" ht="15.75" customHeight="1">
      <c r="A44" s="204">
        <v>11</v>
      </c>
      <c r="B44" s="201" t="s">
        <v>227</v>
      </c>
      <c r="C44" s="201" t="s">
        <v>575</v>
      </c>
      <c r="D44" s="357"/>
      <c r="E44" s="274"/>
      <c r="F44" s="274"/>
      <c r="G44" s="274"/>
      <c r="H44" s="274"/>
      <c r="I44" s="274"/>
      <c r="J44" s="274"/>
      <c r="K44" s="274"/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</row>
    <row r="45" spans="1:48" ht="15.75" customHeight="1">
      <c r="A45" s="204">
        <v>11</v>
      </c>
      <c r="B45" s="201" t="s">
        <v>228</v>
      </c>
      <c r="C45" s="201" t="s">
        <v>575</v>
      </c>
      <c r="D45" s="355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6"/>
      <c r="P45" s="326"/>
      <c r="Q45" s="326"/>
      <c r="R45" s="326"/>
      <c r="S45" s="326"/>
      <c r="T45" s="326"/>
      <c r="U45" s="326"/>
      <c r="V45" s="326"/>
      <c r="W45" s="326"/>
      <c r="X45" s="326"/>
      <c r="Y45" s="326"/>
      <c r="Z45" s="326"/>
      <c r="AA45" s="2"/>
      <c r="AB45" s="2"/>
    </row>
    <row r="46" spans="1:48" ht="15.75" customHeight="1">
      <c r="A46" s="199">
        <v>12</v>
      </c>
      <c r="B46" s="200" t="s">
        <v>221</v>
      </c>
      <c r="C46" s="200" t="s">
        <v>574</v>
      </c>
      <c r="D46" s="364">
        <f>Angular_frequency!C46*6.283185</f>
        <v>6.3893853377617438E-2</v>
      </c>
      <c r="E46" s="350">
        <f>Angular_frequency!D46*6.283185</f>
        <v>9.2385693031742711E-2</v>
      </c>
      <c r="F46" s="350">
        <f>Angular_frequency!E46*6.283185</f>
        <v>0.13026604657928553</v>
      </c>
      <c r="G46" s="350">
        <f>Angular_frequency!F46*6.283185</f>
        <v>0.19806824430317382</v>
      </c>
      <c r="H46" s="350">
        <f>Angular_frequency!G46*6.283185</f>
        <v>0.29123261081092988</v>
      </c>
      <c r="I46" s="350">
        <f>Angular_frequency!H46*6.283185</f>
        <v>0.42821795925492778</v>
      </c>
      <c r="J46" s="350">
        <f>Angular_frequency!I46*6.283185</f>
        <v>0.62438165493146869</v>
      </c>
      <c r="K46" s="350">
        <f>Angular_frequency!J46*6.283185</f>
        <v>0.91806833488350914</v>
      </c>
      <c r="L46" s="350">
        <f>Angular_frequency!K46*6.283185</f>
        <v>1.3274575704088409</v>
      </c>
      <c r="M46" s="350">
        <f>Angular_frequency!L46*6.283185</f>
        <v>1.9682721130666399</v>
      </c>
      <c r="N46" s="350">
        <f>Angular_frequency!M46*6.283185</f>
        <v>2.9184323457379135</v>
      </c>
      <c r="O46" s="350">
        <f>Angular_frequency!N46*6.283185</f>
        <v>4.291160728538336</v>
      </c>
      <c r="P46" s="350">
        <f>Angular_frequency!O46*6.283185</f>
        <v>6.256911881798576</v>
      </c>
      <c r="Q46" s="350">
        <f>Angular_frequency!P46*6.283185</f>
        <v>9.0470168925574832</v>
      </c>
      <c r="R46" s="350">
        <f>Angular_frequency!Q46*6.283185</f>
        <v>13.527258413118803</v>
      </c>
      <c r="S46" s="350">
        <f>Angular_frequency!R46*6.283185</f>
        <v>19.724002256618487</v>
      </c>
      <c r="T46" s="350">
        <f>Angular_frequency!S46*6.283185</f>
        <v>29.739887636714165</v>
      </c>
      <c r="U46" s="350">
        <f>Angular_frequency!T46*6.283185</f>
        <v>42.642709455821894</v>
      </c>
      <c r="V46" s="350">
        <f>Angular_frequency!U46*6.283185</f>
        <v>63.22805719011361</v>
      </c>
      <c r="W46" s="350">
        <f>Angular_frequency!V46*6.283185</f>
        <v>90.659914561532631</v>
      </c>
      <c r="X46" s="350">
        <f>Angular_frequency!W46*6.283185</f>
        <v>134.4250948379831</v>
      </c>
      <c r="Y46" s="350">
        <f>Angular_frequency!X46*6.283185</f>
        <v>196.00430426901465</v>
      </c>
      <c r="Z46" s="350">
        <f>Angular_frequency!Y46*6.283185</f>
        <v>293.06870041749937</v>
      </c>
      <c r="AA46" s="350">
        <f>Angular_frequency!Z46*6.283185</f>
        <v>430.91795491917145</v>
      </c>
      <c r="AB46" s="134">
        <f>Angular_frequency!AA46*6.283185</f>
        <v>623.07446406603958</v>
      </c>
      <c r="AC46" s="2"/>
    </row>
    <row r="47" spans="1:48" ht="15.75" customHeight="1">
      <c r="A47" s="196">
        <v>12</v>
      </c>
      <c r="B47" s="201" t="s">
        <v>222</v>
      </c>
      <c r="C47" s="201" t="s">
        <v>574</v>
      </c>
      <c r="D47" s="365">
        <f>Angular_frequency!C47*6.283185</f>
        <v>6.3893853377617438E-2</v>
      </c>
      <c r="E47" s="366">
        <f>Angular_frequency!D47*6.283185</f>
        <v>9.2385693031742711E-2</v>
      </c>
      <c r="F47" s="366">
        <f>Angular_frequency!E47*6.283185</f>
        <v>0.13026604657928553</v>
      </c>
      <c r="G47" s="366">
        <f>Angular_frequency!F47*6.283185</f>
        <v>0.19806824430317382</v>
      </c>
      <c r="H47" s="366">
        <f>Angular_frequency!G47*6.283185</f>
        <v>0.29123261081092988</v>
      </c>
      <c r="I47" s="366">
        <f>Angular_frequency!H47*6.283185</f>
        <v>0.42821795925492778</v>
      </c>
      <c r="J47" s="366">
        <f>Angular_frequency!I47*6.283185</f>
        <v>0.62438165493146869</v>
      </c>
      <c r="K47" s="366">
        <f>Angular_frequency!J47*6.283185</f>
        <v>0.91806833488350914</v>
      </c>
      <c r="L47" s="366">
        <f>Angular_frequency!K47*6.283185</f>
        <v>1.3274575704088409</v>
      </c>
      <c r="M47" s="366">
        <f>Angular_frequency!L47*6.283185</f>
        <v>1.9682721130666399</v>
      </c>
      <c r="N47" s="366">
        <f>Angular_frequency!M47*6.283185</f>
        <v>2.9184323457379135</v>
      </c>
      <c r="O47" s="366">
        <f>Angular_frequency!N47*6.283185</f>
        <v>4.291160728538336</v>
      </c>
      <c r="P47" s="366">
        <f>Angular_frequency!O47*6.283185</f>
        <v>6.256911881798576</v>
      </c>
      <c r="Q47" s="366">
        <f>Angular_frequency!P47*6.283185</f>
        <v>9.0470168925574832</v>
      </c>
      <c r="R47" s="366">
        <f>Angular_frequency!Q47*6.283185</f>
        <v>13.527258413118803</v>
      </c>
      <c r="S47" s="366">
        <f>Angular_frequency!R47*6.283185</f>
        <v>19.724002256618487</v>
      </c>
      <c r="T47" s="366">
        <f>Angular_frequency!S47*6.283185</f>
        <v>29.739887636714165</v>
      </c>
      <c r="U47" s="366">
        <f>Angular_frequency!T47*6.283185</f>
        <v>42.642709455821894</v>
      </c>
      <c r="V47" s="366">
        <f>Angular_frequency!U47*6.283185</f>
        <v>63.22805719011361</v>
      </c>
      <c r="W47" s="366">
        <f>Angular_frequency!V47*6.283185</f>
        <v>90.659914561532631</v>
      </c>
      <c r="X47" s="366">
        <f>Angular_frequency!W47*6.283185</f>
        <v>134.4250948379831</v>
      </c>
      <c r="Y47" s="366">
        <f>Angular_frequency!X47*6.283185</f>
        <v>196.00430426901465</v>
      </c>
      <c r="Z47" s="366">
        <f>Angular_frequency!Y47*6.283185</f>
        <v>293.06870041749937</v>
      </c>
      <c r="AA47" s="366">
        <f>Angular_frequency!Z47*6.283185</f>
        <v>430.91795491917145</v>
      </c>
      <c r="AB47" s="135">
        <f>Angular_frequency!AA47*6.283185</f>
        <v>623.07446406603958</v>
      </c>
      <c r="AC47" s="2"/>
    </row>
    <row r="48" spans="1:48" ht="15.75" customHeight="1">
      <c r="A48" s="196">
        <v>12</v>
      </c>
      <c r="B48" s="201" t="s">
        <v>223</v>
      </c>
      <c r="C48" s="201" t="s">
        <v>574</v>
      </c>
      <c r="D48" s="365">
        <f>Angular_frequency!C48*6.283185</f>
        <v>6.3893853377617438E-2</v>
      </c>
      <c r="E48" s="366">
        <f>Angular_frequency!D48*6.283185</f>
        <v>9.2385693031742711E-2</v>
      </c>
      <c r="F48" s="366">
        <f>Angular_frequency!E48*6.283185</f>
        <v>0.13026604657928553</v>
      </c>
      <c r="G48" s="366">
        <f>Angular_frequency!F48*6.283185</f>
        <v>0.19806824430317382</v>
      </c>
      <c r="H48" s="366">
        <f>Angular_frequency!G48*6.283185</f>
        <v>0.29123261081092988</v>
      </c>
      <c r="I48" s="366">
        <f>Angular_frequency!H48*6.283185</f>
        <v>0.42821795925492778</v>
      </c>
      <c r="J48" s="366">
        <f>Angular_frequency!I48*6.283185</f>
        <v>0.62438165493146869</v>
      </c>
      <c r="K48" s="366">
        <f>Angular_frequency!J48*6.283185</f>
        <v>0.91806833488350914</v>
      </c>
      <c r="L48" s="366">
        <f>Angular_frequency!K48*6.283185</f>
        <v>1.3274575704088409</v>
      </c>
      <c r="M48" s="366">
        <f>Angular_frequency!L48*6.283185</f>
        <v>1.9682721130666399</v>
      </c>
      <c r="N48" s="366">
        <f>Angular_frequency!M48*6.283185</f>
        <v>2.9184323457379135</v>
      </c>
      <c r="O48" s="366">
        <f>Angular_frequency!N48*6.283185</f>
        <v>4.291160728538336</v>
      </c>
      <c r="P48" s="366">
        <f>Angular_frequency!O48*6.283185</f>
        <v>6.256911881798576</v>
      </c>
      <c r="Q48" s="366">
        <f>Angular_frequency!P48*6.283185</f>
        <v>9.0470168925574832</v>
      </c>
      <c r="R48" s="366">
        <f>Angular_frequency!Q48*6.283185</f>
        <v>13.527258413118803</v>
      </c>
      <c r="S48" s="366">
        <f>Angular_frequency!R48*6.283185</f>
        <v>19.724002256618487</v>
      </c>
      <c r="T48" s="366">
        <f>Angular_frequency!S48*6.283185</f>
        <v>29.739887636714165</v>
      </c>
      <c r="U48" s="366">
        <f>Angular_frequency!T48*6.283185</f>
        <v>42.642709455821894</v>
      </c>
      <c r="V48" s="366">
        <f>Angular_frequency!U48*6.283185</f>
        <v>63.22805719011361</v>
      </c>
      <c r="W48" s="366">
        <f>Angular_frequency!V48*6.283185</f>
        <v>90.659914561532631</v>
      </c>
      <c r="X48" s="366">
        <f>Angular_frequency!W48*6.283185</f>
        <v>134.4250948379831</v>
      </c>
      <c r="Y48" s="366">
        <f>Angular_frequency!X48*6.283185</f>
        <v>196.00430426901465</v>
      </c>
      <c r="Z48" s="366">
        <f>Angular_frequency!Y48*6.283185</f>
        <v>293.06870041749937</v>
      </c>
      <c r="AA48" s="366">
        <f>Angular_frequency!Z48*6.283185</f>
        <v>430.91795491917145</v>
      </c>
      <c r="AB48" s="135">
        <f>Angular_frequency!AA48*6.283185</f>
        <v>623.07446406603958</v>
      </c>
      <c r="AC48" s="2"/>
    </row>
    <row r="49" spans="1:46" ht="15.75" customHeight="1">
      <c r="A49" s="196">
        <v>12</v>
      </c>
      <c r="B49" s="201" t="s">
        <v>224</v>
      </c>
      <c r="C49" s="201" t="s">
        <v>574</v>
      </c>
      <c r="D49" s="365">
        <f>Angular_frequency!C49*6.283185</f>
        <v>6.3893853377617438E-2</v>
      </c>
      <c r="E49" s="366">
        <f>Angular_frequency!D49*6.283185</f>
        <v>9.2385693031742711E-2</v>
      </c>
      <c r="F49" s="366">
        <f>Angular_frequency!E49*6.283185</f>
        <v>0.13026604657928553</v>
      </c>
      <c r="G49" s="366">
        <f>Angular_frequency!F49*6.283185</f>
        <v>0.19806824430317382</v>
      </c>
      <c r="H49" s="366">
        <f>Angular_frequency!G49*6.283185</f>
        <v>0.29123261081092988</v>
      </c>
      <c r="I49" s="366">
        <f>Angular_frequency!H49*6.283185</f>
        <v>0.42821795925492778</v>
      </c>
      <c r="J49" s="366">
        <f>Angular_frequency!I49*6.283185</f>
        <v>0.62438165493146869</v>
      </c>
      <c r="K49" s="366">
        <f>Angular_frequency!J49*6.283185</f>
        <v>0.91806833488350914</v>
      </c>
      <c r="L49" s="366">
        <f>Angular_frequency!K49*6.283185</f>
        <v>1.3274575704088409</v>
      </c>
      <c r="M49" s="366">
        <f>Angular_frequency!L49*6.283185</f>
        <v>1.9682721130666399</v>
      </c>
      <c r="N49" s="366">
        <f>Angular_frequency!M49*6.283185</f>
        <v>2.9184323457379135</v>
      </c>
      <c r="O49" s="366">
        <f>Angular_frequency!N49*6.283185</f>
        <v>4.291160728538336</v>
      </c>
      <c r="P49" s="366">
        <f>Angular_frequency!O49*6.283185</f>
        <v>6.256911881798576</v>
      </c>
      <c r="Q49" s="366">
        <f>Angular_frequency!P49*6.283185</f>
        <v>9.0470168925574832</v>
      </c>
      <c r="R49" s="366">
        <f>Angular_frequency!Q49*6.283185</f>
        <v>13.527258413118803</v>
      </c>
      <c r="S49" s="366">
        <f>Angular_frequency!R49*6.283185</f>
        <v>19.724002256618487</v>
      </c>
      <c r="T49" s="366">
        <f>Angular_frequency!S49*6.283185</f>
        <v>29.739887636714165</v>
      </c>
      <c r="U49" s="366">
        <f>Angular_frequency!T49*6.283185</f>
        <v>42.642709455821894</v>
      </c>
      <c r="V49" s="366">
        <f>Angular_frequency!U49*6.283185</f>
        <v>63.22805719011361</v>
      </c>
      <c r="W49" s="366">
        <f>Angular_frequency!V49*6.283185</f>
        <v>90.659914561532631</v>
      </c>
      <c r="X49" s="366">
        <f>Angular_frequency!W49*6.283185</f>
        <v>134.4250948379831</v>
      </c>
      <c r="Y49" s="366">
        <f>Angular_frequency!X49*6.283185</f>
        <v>196.00430426901465</v>
      </c>
      <c r="Z49" s="366">
        <f>Angular_frequency!Y49*6.283185</f>
        <v>293.06870041749937</v>
      </c>
      <c r="AA49" s="366">
        <f>Angular_frequency!Z49*6.283185</f>
        <v>430.91795491917145</v>
      </c>
      <c r="AB49" s="135">
        <f>Angular_frequency!AA49*6.283185</f>
        <v>623.07446406603958</v>
      </c>
      <c r="AC49" s="2"/>
    </row>
    <row r="50" spans="1:46" ht="15.75" customHeight="1">
      <c r="A50" s="196">
        <v>12</v>
      </c>
      <c r="B50" s="201" t="s">
        <v>229</v>
      </c>
      <c r="C50" s="201" t="s">
        <v>574</v>
      </c>
      <c r="D50" s="367">
        <f>Angular_frequency!C50*6.283185</f>
        <v>6.3893853377617438E-2</v>
      </c>
      <c r="E50" s="368">
        <f>Angular_frequency!D50*6.283185</f>
        <v>9.2385693031742711E-2</v>
      </c>
      <c r="F50" s="368">
        <f>Angular_frequency!E50*6.283185</f>
        <v>0.13026604657928553</v>
      </c>
      <c r="G50" s="368">
        <f>Angular_frequency!F50*6.283185</f>
        <v>0.19806824430317382</v>
      </c>
      <c r="H50" s="368">
        <f>Angular_frequency!G50*6.283185</f>
        <v>0.29123261081092988</v>
      </c>
      <c r="I50" s="368">
        <f>Angular_frequency!H50*6.283185</f>
        <v>0.42821795925492778</v>
      </c>
      <c r="J50" s="368">
        <f>Angular_frequency!I50*6.283185</f>
        <v>0.62438165493146869</v>
      </c>
      <c r="K50" s="368">
        <f>Angular_frequency!J50*6.283185</f>
        <v>0.91806833488350914</v>
      </c>
      <c r="L50" s="368">
        <f>Angular_frequency!K50*6.283185</f>
        <v>1.3274575704088409</v>
      </c>
      <c r="M50" s="368">
        <f>Angular_frequency!L50*6.283185</f>
        <v>1.9682721130666399</v>
      </c>
      <c r="N50" s="368">
        <f>Angular_frequency!M50*6.283185</f>
        <v>2.9184323457379135</v>
      </c>
      <c r="O50" s="368">
        <f>Angular_frequency!N50*6.283185</f>
        <v>4.291160728538336</v>
      </c>
      <c r="P50" s="368">
        <f>Angular_frequency!O50*6.283185</f>
        <v>6.256911881798576</v>
      </c>
      <c r="Q50" s="368">
        <f>Angular_frequency!P50*6.283185</f>
        <v>9.0470168925574832</v>
      </c>
      <c r="R50" s="368">
        <f>Angular_frequency!Q50*6.283185</f>
        <v>13.527258413118803</v>
      </c>
      <c r="S50" s="368">
        <f>Angular_frequency!R50*6.283185</f>
        <v>19.724002256618487</v>
      </c>
      <c r="T50" s="368">
        <f>Angular_frequency!S50*6.283185</f>
        <v>29.739887636714165</v>
      </c>
      <c r="U50" s="368">
        <f>Angular_frequency!T50*6.283185</f>
        <v>42.642709455821894</v>
      </c>
      <c r="V50" s="368">
        <f>Angular_frequency!U50*6.283185</f>
        <v>63.22805719011361</v>
      </c>
      <c r="W50" s="368">
        <f>Angular_frequency!V50*6.283185</f>
        <v>90.659914561532631</v>
      </c>
      <c r="X50" s="368">
        <f>Angular_frequency!W50*6.283185</f>
        <v>134.4250948379831</v>
      </c>
      <c r="Y50" s="368">
        <f>Angular_frequency!X50*6.283185</f>
        <v>196.00430426901465</v>
      </c>
      <c r="Z50" s="368">
        <f>Angular_frequency!Y50*6.283185</f>
        <v>293.06870041749937</v>
      </c>
      <c r="AA50" s="368">
        <f>Angular_frequency!Z50*6.283185</f>
        <v>430.91795491917145</v>
      </c>
      <c r="AB50" s="136">
        <f>Angular_frequency!AA50*6.283185</f>
        <v>623.07446406603958</v>
      </c>
      <c r="AC50" s="2"/>
    </row>
    <row r="51" spans="1:46" ht="15.75" customHeight="1">
      <c r="A51" s="203">
        <v>12</v>
      </c>
      <c r="B51" s="200" t="s">
        <v>225</v>
      </c>
      <c r="C51" s="201" t="s">
        <v>575</v>
      </c>
      <c r="D51" s="369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26"/>
      <c r="U51" s="326"/>
      <c r="V51" s="326"/>
      <c r="W51" s="326"/>
      <c r="X51" s="326"/>
      <c r="Y51" s="326"/>
      <c r="Z51" s="326"/>
      <c r="AA51" s="2"/>
      <c r="AB51" s="2"/>
    </row>
    <row r="52" spans="1:46" ht="15.75" customHeight="1">
      <c r="A52" s="204">
        <v>12</v>
      </c>
      <c r="B52" s="201" t="s">
        <v>226</v>
      </c>
      <c r="C52" s="201" t="s">
        <v>575</v>
      </c>
      <c r="D52" s="259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</row>
    <row r="53" spans="1:46" ht="15.75" customHeight="1">
      <c r="A53" s="204">
        <v>12</v>
      </c>
      <c r="B53" s="201" t="s">
        <v>227</v>
      </c>
      <c r="C53" s="201" t="s">
        <v>575</v>
      </c>
      <c r="D53" s="369"/>
      <c r="E53" s="326"/>
      <c r="F53" s="326"/>
      <c r="G53" s="326"/>
      <c r="H53" s="326"/>
      <c r="I53" s="326"/>
      <c r="J53" s="326"/>
      <c r="K53" s="326"/>
      <c r="L53" s="326"/>
      <c r="M53" s="326"/>
      <c r="N53" s="326"/>
      <c r="O53" s="326"/>
      <c r="P53" s="326"/>
      <c r="Q53" s="326"/>
      <c r="R53" s="326"/>
      <c r="S53" s="326"/>
      <c r="T53" s="326"/>
      <c r="U53" s="326"/>
      <c r="V53" s="326"/>
      <c r="W53" s="326"/>
      <c r="X53" s="326"/>
      <c r="Y53" s="326"/>
      <c r="Z53" s="326"/>
    </row>
    <row r="54" spans="1:46" ht="15.75" customHeight="1">
      <c r="A54" s="204">
        <v>12</v>
      </c>
      <c r="B54" s="201" t="s">
        <v>228</v>
      </c>
      <c r="C54" s="201" t="s">
        <v>575</v>
      </c>
      <c r="D54" s="259"/>
      <c r="E54" s="274"/>
      <c r="F54" s="274"/>
      <c r="G54" s="274"/>
      <c r="H54" s="274"/>
      <c r="I54" s="274"/>
      <c r="J54" s="274"/>
      <c r="K54" s="274"/>
      <c r="L54" s="274"/>
      <c r="M54" s="274"/>
      <c r="N54" s="274"/>
      <c r="O54" s="274"/>
      <c r="P54" s="274"/>
      <c r="Q54" s="274"/>
      <c r="R54" s="274"/>
      <c r="S54" s="274"/>
      <c r="T54" s="274"/>
      <c r="U54" s="274"/>
      <c r="V54" s="274"/>
      <c r="W54" s="274"/>
      <c r="X54" s="274"/>
      <c r="Y54" s="274"/>
      <c r="Z54" s="274"/>
    </row>
    <row r="55" spans="1:46" ht="15.75" customHeight="1">
      <c r="A55" s="204">
        <v>12</v>
      </c>
      <c r="B55" s="201" t="s">
        <v>230</v>
      </c>
      <c r="C55" s="201" t="s">
        <v>575</v>
      </c>
      <c r="D55" s="369"/>
      <c r="E55" s="326"/>
      <c r="F55" s="326"/>
      <c r="G55" s="326"/>
      <c r="H55" s="326"/>
      <c r="I55" s="326"/>
      <c r="J55" s="326"/>
      <c r="K55" s="326"/>
      <c r="L55" s="326"/>
      <c r="M55" s="326"/>
      <c r="N55" s="326"/>
      <c r="O55" s="326"/>
      <c r="P55" s="326"/>
      <c r="Q55" s="326"/>
      <c r="R55" s="326"/>
      <c r="S55" s="326"/>
      <c r="T55" s="326"/>
      <c r="U55" s="326"/>
      <c r="V55" s="326"/>
      <c r="W55" s="326"/>
      <c r="X55" s="326"/>
      <c r="Y55" s="326"/>
      <c r="Z55" s="326"/>
    </row>
    <row r="56" spans="1:46" ht="15.75" customHeight="1">
      <c r="A56" s="203">
        <v>13</v>
      </c>
      <c r="B56" s="200">
        <v>1</v>
      </c>
      <c r="C56" s="200"/>
      <c r="D56" s="349">
        <v>0.51553025672583197</v>
      </c>
      <c r="E56" s="349">
        <v>0.574760139586875</v>
      </c>
      <c r="F56" s="349">
        <v>0.64736193128836494</v>
      </c>
      <c r="G56" s="349">
        <v>0.72913454016248402</v>
      </c>
      <c r="H56" s="349">
        <v>0.81567321766900003</v>
      </c>
      <c r="I56" s="349">
        <v>0.91248266109909704</v>
      </c>
      <c r="J56" s="349">
        <v>1.03475428361372</v>
      </c>
      <c r="K56" s="349">
        <v>1.16546100766585</v>
      </c>
      <c r="L56" s="349">
        <v>1.29495352405761</v>
      </c>
      <c r="M56" s="349">
        <v>1.46349313372846</v>
      </c>
      <c r="N56" s="349">
        <v>1.6539683569177099</v>
      </c>
      <c r="O56" s="349">
        <v>1.83150301570848</v>
      </c>
      <c r="P56" s="349">
        <v>2.0769223041159601</v>
      </c>
      <c r="Q56" s="349">
        <v>2.31554207165465</v>
      </c>
      <c r="R56" s="349">
        <v>2.6347613288793599</v>
      </c>
      <c r="S56" s="349">
        <v>2.9675756282842101</v>
      </c>
      <c r="T56" s="349">
        <v>3.3424299245093598</v>
      </c>
      <c r="U56" s="349">
        <v>3.7138019901048298</v>
      </c>
      <c r="V56" s="349">
        <v>4.1404845702896003</v>
      </c>
      <c r="W56" s="349">
        <v>4.6793731406980497</v>
      </c>
      <c r="X56" s="349">
        <v>5.3064037360798197</v>
      </c>
      <c r="Y56" s="349">
        <v>5.8560479863541897</v>
      </c>
      <c r="Z56" s="349">
        <v>6.6633592899835996</v>
      </c>
      <c r="AA56" s="223">
        <v>7.4542123753105303</v>
      </c>
      <c r="AB56" s="223">
        <v>8.42438840828145</v>
      </c>
      <c r="AC56" s="223">
        <v>9.3286505214771491</v>
      </c>
      <c r="AD56" s="223">
        <v>10.542781799870401</v>
      </c>
      <c r="AE56" s="223">
        <v>11.754052985754701</v>
      </c>
      <c r="AF56" s="223">
        <v>13.419994977144899</v>
      </c>
      <c r="AG56" s="223">
        <v>15.3220486591533</v>
      </c>
      <c r="AH56" s="223">
        <v>16.8517611267464</v>
      </c>
      <c r="AI56" s="223">
        <v>18.9804196172372</v>
      </c>
      <c r="AJ56" s="223">
        <v>21.377963177665698</v>
      </c>
      <c r="AK56" s="223">
        <v>24.0783564769342</v>
      </c>
      <c r="AL56" s="223">
        <v>27.119854488103002</v>
      </c>
      <c r="AM56" s="223">
        <v>30.338624430131301</v>
      </c>
      <c r="AN56" s="223">
        <v>34.170898694956499</v>
      </c>
      <c r="AO56" s="223">
        <v>38.487253115579897</v>
      </c>
      <c r="AP56" s="223">
        <v>43.793083012851199</v>
      </c>
      <c r="AQ56" s="223">
        <v>49.157516169684001</v>
      </c>
      <c r="AR56" s="223">
        <v>55.366930329961797</v>
      </c>
      <c r="AS56" s="223">
        <v>63.645417461403902</v>
      </c>
      <c r="AT56" s="293">
        <v>68.820099754706305</v>
      </c>
    </row>
    <row r="57" spans="1:46" ht="15.75" customHeight="1">
      <c r="A57" s="204">
        <v>13</v>
      </c>
      <c r="B57" s="201">
        <v>2</v>
      </c>
      <c r="C57" s="201"/>
      <c r="D57" s="344">
        <v>0.51553025672583197</v>
      </c>
      <c r="E57" s="344">
        <v>0.574760139586875</v>
      </c>
      <c r="F57" s="344">
        <v>0.64736193128836494</v>
      </c>
      <c r="G57" s="344">
        <v>0.72913454016248402</v>
      </c>
      <c r="H57" s="344">
        <v>0.81567321766900003</v>
      </c>
      <c r="I57" s="344">
        <v>0.91248266109909704</v>
      </c>
      <c r="J57" s="344">
        <v>1.03475428361372</v>
      </c>
      <c r="K57" s="344">
        <v>1.16546100766585</v>
      </c>
      <c r="L57" s="344">
        <v>1.29495352405761</v>
      </c>
      <c r="M57" s="344">
        <v>1.46349313372846</v>
      </c>
      <c r="N57" s="344">
        <v>1.6539683569177099</v>
      </c>
      <c r="O57" s="344">
        <v>1.83150301570848</v>
      </c>
      <c r="P57" s="344">
        <v>2.0769223041159601</v>
      </c>
      <c r="Q57" s="344">
        <v>2.31554207165465</v>
      </c>
      <c r="R57" s="344">
        <v>2.6347613288793599</v>
      </c>
      <c r="S57" s="344">
        <v>2.9675756282842101</v>
      </c>
      <c r="T57" s="344">
        <v>3.3424299245093598</v>
      </c>
      <c r="U57" s="344">
        <v>3.7138019901048298</v>
      </c>
      <c r="V57" s="344">
        <v>4.1404845702896003</v>
      </c>
      <c r="W57" s="344">
        <v>4.6793731406980497</v>
      </c>
      <c r="X57" s="344">
        <v>5.3064037360798197</v>
      </c>
      <c r="Y57" s="344">
        <v>5.8560479863541897</v>
      </c>
      <c r="Z57" s="344">
        <v>6.6633592899835996</v>
      </c>
      <c r="AA57" s="21">
        <v>7.4542123753105303</v>
      </c>
      <c r="AB57" s="21">
        <v>8.42438840828145</v>
      </c>
      <c r="AC57" s="21">
        <v>9.3286505214771491</v>
      </c>
      <c r="AD57" s="21">
        <v>10.542781799870401</v>
      </c>
      <c r="AE57" s="21">
        <v>11.754052985754701</v>
      </c>
      <c r="AF57" s="21">
        <v>13.419994977144899</v>
      </c>
      <c r="AG57" s="21">
        <v>15.3220486591533</v>
      </c>
      <c r="AH57" s="21">
        <v>16.8517611267464</v>
      </c>
      <c r="AI57" s="21">
        <v>18.9804196172372</v>
      </c>
      <c r="AJ57" s="21">
        <v>21.377963177665698</v>
      </c>
      <c r="AK57" s="21">
        <v>24.0783564769342</v>
      </c>
      <c r="AL57" s="21">
        <v>27.119854488103002</v>
      </c>
      <c r="AM57" s="21">
        <v>30.338624430131301</v>
      </c>
      <c r="AN57" s="21">
        <v>34.170898694956499</v>
      </c>
      <c r="AO57" s="21">
        <v>38.487253115579897</v>
      </c>
      <c r="AP57" s="21">
        <v>43.793083012851199</v>
      </c>
      <c r="AQ57" s="21">
        <v>49.157516169684001</v>
      </c>
      <c r="AR57" s="21">
        <v>55.366930329961797</v>
      </c>
      <c r="AS57" s="21">
        <v>63.645417461403902</v>
      </c>
      <c r="AT57" s="211">
        <v>68.820099754706305</v>
      </c>
    </row>
    <row r="58" spans="1:46" ht="15.75" customHeight="1">
      <c r="A58" s="204">
        <v>13</v>
      </c>
      <c r="B58" s="201">
        <v>3</v>
      </c>
      <c r="C58" s="201"/>
      <c r="D58" s="343">
        <v>0.51553025672583197</v>
      </c>
      <c r="E58" s="343">
        <v>0.574760139586875</v>
      </c>
      <c r="F58" s="343">
        <v>0.64736193128836494</v>
      </c>
      <c r="G58" s="343">
        <v>0.72913454016248402</v>
      </c>
      <c r="H58" s="343">
        <v>0.81567321766900003</v>
      </c>
      <c r="I58" s="343">
        <v>0.91248266109909704</v>
      </c>
      <c r="J58" s="343">
        <v>1.03475428361372</v>
      </c>
      <c r="K58" s="343">
        <v>1.16546100766585</v>
      </c>
      <c r="L58" s="343">
        <v>1.29495352405761</v>
      </c>
      <c r="M58" s="343">
        <v>1.46349313372846</v>
      </c>
      <c r="N58" s="343">
        <v>1.6539683569177099</v>
      </c>
      <c r="O58" s="343">
        <v>1.83150301570848</v>
      </c>
      <c r="P58" s="343">
        <v>2.0769223041159601</v>
      </c>
      <c r="Q58" s="343">
        <v>2.31554207165465</v>
      </c>
      <c r="R58" s="343">
        <v>2.6347613288793599</v>
      </c>
      <c r="S58" s="343">
        <v>2.9675756282842101</v>
      </c>
      <c r="T58" s="343">
        <v>3.3424299245093598</v>
      </c>
      <c r="U58" s="343">
        <v>3.7138019901048298</v>
      </c>
      <c r="V58" s="343">
        <v>4.1404845702896003</v>
      </c>
      <c r="W58" s="343">
        <v>4.6793731406980497</v>
      </c>
      <c r="X58" s="343">
        <v>5.3064037360798197</v>
      </c>
      <c r="Y58" s="343">
        <v>5.8560479863541897</v>
      </c>
      <c r="Z58" s="343">
        <v>6.6633592899835996</v>
      </c>
      <c r="AA58" s="21">
        <v>7.4542123753105303</v>
      </c>
      <c r="AB58" s="21">
        <v>8.42438840828145</v>
      </c>
      <c r="AC58" s="21">
        <v>9.3286505214771491</v>
      </c>
      <c r="AD58" s="21">
        <v>10.542781799870401</v>
      </c>
      <c r="AE58" s="21">
        <v>11.754052985754701</v>
      </c>
      <c r="AF58" s="21">
        <v>13.419994977144899</v>
      </c>
      <c r="AG58" s="21">
        <v>15.3220486591533</v>
      </c>
      <c r="AH58" s="21">
        <v>16.8517611267464</v>
      </c>
      <c r="AI58" s="21">
        <v>18.9804196172372</v>
      </c>
      <c r="AJ58" s="21">
        <v>21.377963177665698</v>
      </c>
      <c r="AK58" s="21">
        <v>24.0783564769342</v>
      </c>
      <c r="AL58" s="21">
        <v>27.119854488103002</v>
      </c>
      <c r="AM58" s="21">
        <v>30.338624430131301</v>
      </c>
      <c r="AN58" s="21">
        <v>34.170898694956499</v>
      </c>
      <c r="AO58" s="21">
        <v>38.487253115579897</v>
      </c>
      <c r="AP58" s="21">
        <v>43.793083012851199</v>
      </c>
      <c r="AQ58" s="21">
        <v>49.157516169684001</v>
      </c>
      <c r="AR58" s="21">
        <v>55.366930329961797</v>
      </c>
      <c r="AS58" s="21">
        <v>63.645417461403902</v>
      </c>
      <c r="AT58" s="211">
        <v>68.820099754706305</v>
      </c>
    </row>
    <row r="59" spans="1:46" ht="15.75" customHeight="1">
      <c r="A59" s="204">
        <v>13</v>
      </c>
      <c r="B59" s="201">
        <v>4</v>
      </c>
      <c r="C59" s="201"/>
      <c r="D59" s="344">
        <v>0.51553025672583197</v>
      </c>
      <c r="E59" s="344">
        <v>0.574760139586875</v>
      </c>
      <c r="F59" s="344">
        <v>0.64736193128836494</v>
      </c>
      <c r="G59" s="344">
        <v>0.72913454016248402</v>
      </c>
      <c r="H59" s="344">
        <v>0.81567321766900003</v>
      </c>
      <c r="I59" s="344">
        <v>0.91248266109909704</v>
      </c>
      <c r="J59" s="344">
        <v>1.03475428361372</v>
      </c>
      <c r="K59" s="344">
        <v>1.16546100766585</v>
      </c>
      <c r="L59" s="344">
        <v>1.29495352405761</v>
      </c>
      <c r="M59" s="344">
        <v>1.46349313372846</v>
      </c>
      <c r="N59" s="344">
        <v>1.6539683569177099</v>
      </c>
      <c r="O59" s="344">
        <v>1.83150301570848</v>
      </c>
      <c r="P59" s="344">
        <v>2.0769223041159601</v>
      </c>
      <c r="Q59" s="344">
        <v>2.31554207165465</v>
      </c>
      <c r="R59" s="344">
        <v>2.6347613288793599</v>
      </c>
      <c r="S59" s="344">
        <v>2.9675756282842101</v>
      </c>
      <c r="T59" s="344">
        <v>3.3424299245093598</v>
      </c>
      <c r="U59" s="344">
        <v>3.7138019901048298</v>
      </c>
      <c r="V59" s="344">
        <v>4.1404845702896003</v>
      </c>
      <c r="W59" s="344">
        <v>4.6793731406980497</v>
      </c>
      <c r="X59" s="344">
        <v>5.3064037360798197</v>
      </c>
      <c r="Y59" s="344">
        <v>5.8560479863541897</v>
      </c>
      <c r="Z59" s="344">
        <v>6.6633592899835996</v>
      </c>
      <c r="AA59" s="21">
        <v>7.4542123753105303</v>
      </c>
      <c r="AB59" s="21">
        <v>8.42438840828145</v>
      </c>
      <c r="AC59" s="21">
        <v>9.3286505214771491</v>
      </c>
      <c r="AD59" s="21">
        <v>10.542781799870401</v>
      </c>
      <c r="AE59" s="21">
        <v>11.754052985754701</v>
      </c>
      <c r="AF59" s="21">
        <v>13.419994977144899</v>
      </c>
      <c r="AG59" s="21">
        <v>15.3220486591533</v>
      </c>
      <c r="AH59" s="21">
        <v>16.8517611267464</v>
      </c>
      <c r="AI59" s="21">
        <v>18.9804196172372</v>
      </c>
      <c r="AJ59" s="21">
        <v>21.377963177665698</v>
      </c>
      <c r="AK59" s="21">
        <v>24.0783564769342</v>
      </c>
      <c r="AL59" s="21">
        <v>27.119854488103002</v>
      </c>
      <c r="AM59" s="21">
        <v>30.338624430131301</v>
      </c>
      <c r="AN59" s="21">
        <v>34.170898694956499</v>
      </c>
      <c r="AO59" s="21">
        <v>38.487253115579897</v>
      </c>
      <c r="AP59" s="21">
        <v>43.793083012851199</v>
      </c>
      <c r="AQ59" s="21">
        <v>49.157516169684001</v>
      </c>
      <c r="AR59" s="21">
        <v>55.366930329961797</v>
      </c>
      <c r="AS59" s="21">
        <v>63.645417461403902</v>
      </c>
      <c r="AT59" s="211">
        <v>68.820099754706305</v>
      </c>
    </row>
    <row r="60" spans="1:46" ht="15.75" customHeight="1">
      <c r="A60" s="204">
        <v>13</v>
      </c>
      <c r="B60" s="201">
        <v>5</v>
      </c>
      <c r="C60" s="201"/>
      <c r="D60" s="343">
        <v>0.51553025672583197</v>
      </c>
      <c r="E60" s="343">
        <v>0.574760139586875</v>
      </c>
      <c r="F60" s="343">
        <v>0.64736193128836494</v>
      </c>
      <c r="G60" s="343">
        <v>0.72913454016248402</v>
      </c>
      <c r="H60" s="343">
        <v>0.81567321766900003</v>
      </c>
      <c r="I60" s="343">
        <v>0.91248266109909704</v>
      </c>
      <c r="J60" s="343">
        <v>1.03475428361372</v>
      </c>
      <c r="K60" s="343">
        <v>1.16546100766585</v>
      </c>
      <c r="L60" s="343">
        <v>1.29495352405761</v>
      </c>
      <c r="M60" s="343">
        <v>1.46349313372846</v>
      </c>
      <c r="N60" s="343">
        <v>1.6539683569177099</v>
      </c>
      <c r="O60" s="343">
        <v>1.83150301570848</v>
      </c>
      <c r="P60" s="343">
        <v>2.0769223041159601</v>
      </c>
      <c r="Q60" s="343">
        <v>2.31554207165465</v>
      </c>
      <c r="R60" s="343">
        <v>2.6347613288793599</v>
      </c>
      <c r="S60" s="343">
        <v>2.9675756282842101</v>
      </c>
      <c r="T60" s="343">
        <v>3.3424299245093598</v>
      </c>
      <c r="U60" s="343">
        <v>3.7138019901048298</v>
      </c>
      <c r="V60" s="343">
        <v>4.1404845702896003</v>
      </c>
      <c r="W60" s="343">
        <v>4.6793731406980497</v>
      </c>
      <c r="X60" s="343">
        <v>5.3064037360798197</v>
      </c>
      <c r="Y60" s="343">
        <v>5.8560479863541897</v>
      </c>
      <c r="Z60" s="343">
        <v>6.6633592899835996</v>
      </c>
      <c r="AA60" s="21">
        <v>7.4542123753105303</v>
      </c>
      <c r="AB60" s="21">
        <v>8.42438840828145</v>
      </c>
      <c r="AC60" s="21">
        <v>9.3286505214771491</v>
      </c>
      <c r="AD60" s="21">
        <v>10.542781799870401</v>
      </c>
      <c r="AE60" s="21">
        <v>11.754052985754701</v>
      </c>
      <c r="AF60" s="21">
        <v>13.419994977144899</v>
      </c>
      <c r="AG60" s="21">
        <v>15.3220486591533</v>
      </c>
      <c r="AH60" s="21">
        <v>16.8517611267464</v>
      </c>
      <c r="AI60" s="21">
        <v>18.9804196172372</v>
      </c>
      <c r="AJ60" s="21">
        <v>21.377963177665698</v>
      </c>
      <c r="AK60" s="21">
        <v>24.0783564769342</v>
      </c>
      <c r="AL60" s="21">
        <v>27.119854488103002</v>
      </c>
      <c r="AM60" s="21">
        <v>30.338624430131301</v>
      </c>
      <c r="AN60" s="21">
        <v>34.170898694956499</v>
      </c>
      <c r="AO60" s="21">
        <v>38.487253115579897</v>
      </c>
      <c r="AP60" s="21">
        <v>43.793083012851199</v>
      </c>
      <c r="AQ60" s="21">
        <v>49.157516169684001</v>
      </c>
      <c r="AR60" s="21">
        <v>55.366930329961797</v>
      </c>
      <c r="AS60" s="21">
        <v>63.645417461403902</v>
      </c>
      <c r="AT60" s="211">
        <v>68.820099754706305</v>
      </c>
    </row>
    <row r="61" spans="1:46" ht="15.75" customHeight="1">
      <c r="A61" s="204">
        <v>13</v>
      </c>
      <c r="B61" s="201">
        <v>6</v>
      </c>
      <c r="C61" s="201"/>
      <c r="D61" s="344">
        <v>0.51553025672583197</v>
      </c>
      <c r="E61" s="344">
        <v>0.574760139586875</v>
      </c>
      <c r="F61" s="344">
        <v>0.64736193128836494</v>
      </c>
      <c r="G61" s="344">
        <v>0.72913454016248402</v>
      </c>
      <c r="H61" s="344">
        <v>0.81567321766900003</v>
      </c>
      <c r="I61" s="344">
        <v>0.91248266109909704</v>
      </c>
      <c r="J61" s="344">
        <v>1.03475428361372</v>
      </c>
      <c r="K61" s="344">
        <v>1.16546100766585</v>
      </c>
      <c r="L61" s="344">
        <v>1.29495352405761</v>
      </c>
      <c r="M61" s="344">
        <v>1.46349313372846</v>
      </c>
      <c r="N61" s="344">
        <v>1.6539683569177099</v>
      </c>
      <c r="O61" s="344">
        <v>1.83150301570848</v>
      </c>
      <c r="P61" s="344">
        <v>2.0769223041159601</v>
      </c>
      <c r="Q61" s="344">
        <v>2.31554207165465</v>
      </c>
      <c r="R61" s="344">
        <v>2.6347613288793599</v>
      </c>
      <c r="S61" s="344">
        <v>2.9675756282842101</v>
      </c>
      <c r="T61" s="344">
        <v>3.3424299245093598</v>
      </c>
      <c r="U61" s="344">
        <v>3.7138019901048298</v>
      </c>
      <c r="V61" s="344">
        <v>4.1404845702896003</v>
      </c>
      <c r="W61" s="344">
        <v>4.6793731406980497</v>
      </c>
      <c r="X61" s="344">
        <v>5.3064037360798197</v>
      </c>
      <c r="Y61" s="344">
        <v>5.8560479863541897</v>
      </c>
      <c r="Z61" s="344">
        <v>6.6633592899835996</v>
      </c>
      <c r="AA61" s="21">
        <v>7.4542123753105303</v>
      </c>
      <c r="AB61" s="21">
        <v>8.42438840828145</v>
      </c>
      <c r="AC61" s="21">
        <v>9.3286505214771491</v>
      </c>
      <c r="AD61" s="21">
        <v>10.542781799870401</v>
      </c>
      <c r="AE61" s="21">
        <v>11.754052985754701</v>
      </c>
      <c r="AF61" s="21">
        <v>13.419994977144899</v>
      </c>
      <c r="AG61" s="21">
        <v>15.3220486591533</v>
      </c>
      <c r="AH61" s="21">
        <v>16.8517611267464</v>
      </c>
      <c r="AI61" s="21">
        <v>18.9804196172372</v>
      </c>
      <c r="AJ61" s="21">
        <v>21.377963177665698</v>
      </c>
      <c r="AK61" s="21">
        <v>24.0783564769342</v>
      </c>
      <c r="AL61" s="21">
        <v>27.119854488103002</v>
      </c>
      <c r="AM61" s="21">
        <v>30.338624430131301</v>
      </c>
      <c r="AN61" s="21">
        <v>34.170898694956499</v>
      </c>
      <c r="AO61" s="21">
        <v>38.487253115579897</v>
      </c>
      <c r="AP61" s="21">
        <v>43.793083012851199</v>
      </c>
      <c r="AQ61" s="21">
        <v>49.157516169684001</v>
      </c>
      <c r="AR61" s="21">
        <v>55.366930329961797</v>
      </c>
      <c r="AS61" s="21">
        <v>63.645417461403902</v>
      </c>
      <c r="AT61" s="211">
        <v>68.820099754706305</v>
      </c>
    </row>
    <row r="62" spans="1:46" ht="15.75" customHeight="1">
      <c r="A62" s="204">
        <v>13</v>
      </c>
      <c r="B62" s="201">
        <v>7</v>
      </c>
      <c r="C62" s="201"/>
      <c r="D62" s="343">
        <v>0.51553025672583197</v>
      </c>
      <c r="E62" s="343">
        <v>0.574760139586875</v>
      </c>
      <c r="F62" s="343">
        <v>0.64736193128836494</v>
      </c>
      <c r="G62" s="343">
        <v>0.72913454016248402</v>
      </c>
      <c r="H62" s="343">
        <v>0.81567321766900003</v>
      </c>
      <c r="I62" s="343">
        <v>0.91248266109909704</v>
      </c>
      <c r="J62" s="343">
        <v>1.03475428361372</v>
      </c>
      <c r="K62" s="343">
        <v>1.16546100766585</v>
      </c>
      <c r="L62" s="343">
        <v>1.29495352405761</v>
      </c>
      <c r="M62" s="343">
        <v>1.46349313372846</v>
      </c>
      <c r="N62" s="343">
        <v>1.6539683569177099</v>
      </c>
      <c r="O62" s="343">
        <v>1.83150301570848</v>
      </c>
      <c r="P62" s="343">
        <v>2.0769223041159601</v>
      </c>
      <c r="Q62" s="343">
        <v>2.31554207165465</v>
      </c>
      <c r="R62" s="343">
        <v>2.6347613288793599</v>
      </c>
      <c r="S62" s="343">
        <v>2.9675756282842101</v>
      </c>
      <c r="T62" s="343">
        <v>3.3424299245093598</v>
      </c>
      <c r="U62" s="343">
        <v>3.7138019901048298</v>
      </c>
      <c r="V62" s="343">
        <v>4.1404845702896003</v>
      </c>
      <c r="W62" s="343">
        <v>4.6793731406980497</v>
      </c>
      <c r="X62" s="343">
        <v>5.3064037360798197</v>
      </c>
      <c r="Y62" s="343">
        <v>5.8560479863541897</v>
      </c>
      <c r="Z62" s="343">
        <v>6.6633592899835996</v>
      </c>
      <c r="AA62" s="21">
        <v>7.4542123753105303</v>
      </c>
      <c r="AB62" s="21">
        <v>8.42438840828145</v>
      </c>
      <c r="AC62" s="21">
        <v>9.3286505214771491</v>
      </c>
      <c r="AD62" s="21">
        <v>10.542781799870401</v>
      </c>
      <c r="AE62" s="21">
        <v>11.754052985754701</v>
      </c>
      <c r="AF62" s="21">
        <v>13.419994977144899</v>
      </c>
      <c r="AG62" s="21">
        <v>15.3220486591533</v>
      </c>
      <c r="AH62" s="21">
        <v>16.8517611267464</v>
      </c>
      <c r="AI62" s="21">
        <v>18.9804196172372</v>
      </c>
      <c r="AJ62" s="21">
        <v>21.377963177665698</v>
      </c>
      <c r="AK62" s="21">
        <v>24.0783564769342</v>
      </c>
      <c r="AL62" s="21">
        <v>27.119854488103002</v>
      </c>
      <c r="AM62" s="21">
        <v>30.338624430131301</v>
      </c>
      <c r="AN62" s="21">
        <v>34.170898694956499</v>
      </c>
      <c r="AO62" s="21">
        <v>38.487253115579897</v>
      </c>
      <c r="AP62" s="21">
        <v>43.793083012851199</v>
      </c>
      <c r="AQ62" s="21">
        <v>49.157516169684001</v>
      </c>
      <c r="AR62" s="21">
        <v>55.366930329961797</v>
      </c>
      <c r="AS62" s="21">
        <v>63.645417461403902</v>
      </c>
      <c r="AT62" s="211">
        <v>68.820099754706305</v>
      </c>
    </row>
    <row r="63" spans="1:46" ht="15.75" customHeight="1">
      <c r="A63" s="204">
        <v>13</v>
      </c>
      <c r="B63" s="201">
        <v>8</v>
      </c>
      <c r="C63" s="201"/>
      <c r="D63" s="344">
        <v>0.51553025672583197</v>
      </c>
      <c r="E63" s="344">
        <v>0.574760139586875</v>
      </c>
      <c r="F63" s="344">
        <v>0.64736193128836494</v>
      </c>
      <c r="G63" s="344">
        <v>0.72913454016248402</v>
      </c>
      <c r="H63" s="344">
        <v>0.81567321766900003</v>
      </c>
      <c r="I63" s="344">
        <v>0.91248266109909704</v>
      </c>
      <c r="J63" s="344">
        <v>1.03475428361372</v>
      </c>
      <c r="K63" s="344">
        <v>1.16546100766585</v>
      </c>
      <c r="L63" s="344">
        <v>1.29495352405761</v>
      </c>
      <c r="M63" s="344">
        <v>1.46349313372846</v>
      </c>
      <c r="N63" s="344">
        <v>1.6539683569177099</v>
      </c>
      <c r="O63" s="344">
        <v>1.83150301570848</v>
      </c>
      <c r="P63" s="344">
        <v>2.0769223041159601</v>
      </c>
      <c r="Q63" s="344">
        <v>2.31554207165465</v>
      </c>
      <c r="R63" s="344">
        <v>2.6347613288793599</v>
      </c>
      <c r="S63" s="344">
        <v>2.9675756282842101</v>
      </c>
      <c r="T63" s="344">
        <v>3.3424299245093598</v>
      </c>
      <c r="U63" s="344">
        <v>3.7138019901048298</v>
      </c>
      <c r="V63" s="344">
        <v>4.1404845702896003</v>
      </c>
      <c r="W63" s="344">
        <v>4.6793731406980497</v>
      </c>
      <c r="X63" s="344">
        <v>5.3064037360798197</v>
      </c>
      <c r="Y63" s="344">
        <v>5.8560479863541897</v>
      </c>
      <c r="Z63" s="344">
        <v>6.6633592899835996</v>
      </c>
      <c r="AA63" s="23">
        <v>7.4542123753105303</v>
      </c>
      <c r="AB63" s="23">
        <v>8.42438840828145</v>
      </c>
      <c r="AC63" s="23">
        <v>9.3286505214771491</v>
      </c>
      <c r="AD63" s="23">
        <v>10.542781799870401</v>
      </c>
      <c r="AE63" s="23">
        <v>11.754052985754701</v>
      </c>
      <c r="AF63" s="23">
        <v>13.419994977144899</v>
      </c>
      <c r="AG63" s="23">
        <v>15.3220486591533</v>
      </c>
      <c r="AH63" s="23">
        <v>16.8517611267464</v>
      </c>
      <c r="AI63" s="23">
        <v>18.9804196172372</v>
      </c>
      <c r="AJ63" s="23">
        <v>21.377963177665698</v>
      </c>
      <c r="AK63" s="23">
        <v>24.0783564769342</v>
      </c>
      <c r="AL63" s="23">
        <v>27.119854488103002</v>
      </c>
      <c r="AM63" s="23">
        <v>30.338624430131301</v>
      </c>
      <c r="AN63" s="23">
        <v>34.170898694956499</v>
      </c>
      <c r="AO63" s="23">
        <v>38.487253115579897</v>
      </c>
      <c r="AP63" s="23">
        <v>43.793083012851199</v>
      </c>
      <c r="AQ63" s="23">
        <v>49.157516169684001</v>
      </c>
      <c r="AR63" s="23">
        <v>55.366930329961797</v>
      </c>
      <c r="AS63" s="23">
        <v>63.645417461403902</v>
      </c>
      <c r="AT63" s="212">
        <v>68.820099754706305</v>
      </c>
    </row>
    <row r="64" spans="1:46" ht="15.75" customHeight="1">
      <c r="A64" s="199">
        <v>14</v>
      </c>
      <c r="B64" s="200">
        <v>1</v>
      </c>
      <c r="C64" s="200" t="s">
        <v>572</v>
      </c>
      <c r="D64" s="349">
        <v>1.4660177833749599</v>
      </c>
      <c r="E64" s="349">
        <v>2.42378322217687</v>
      </c>
      <c r="F64" s="349">
        <v>3.79414525395867</v>
      </c>
      <c r="G64" s="349">
        <v>5.9392845351937398</v>
      </c>
      <c r="H64" s="349">
        <v>9.3994282086104697</v>
      </c>
      <c r="I64" s="349">
        <v>14.7136903999174</v>
      </c>
      <c r="J64" s="349">
        <v>24.061860570751801</v>
      </c>
      <c r="K64" s="349">
        <v>38.0799305136442</v>
      </c>
      <c r="L64" s="349">
        <v>60.927058832994803</v>
      </c>
      <c r="M64" s="349">
        <v>95.374086673168307</v>
      </c>
      <c r="N64" s="349">
        <v>150.93756289699201</v>
      </c>
      <c r="O64" s="349">
        <v>236.275055550628</v>
      </c>
      <c r="P64" s="349">
        <v>357.92942381455799</v>
      </c>
      <c r="Q64" s="351"/>
      <c r="R64" s="244"/>
      <c r="S64" s="244"/>
      <c r="T64" s="244"/>
      <c r="U64" s="244"/>
      <c r="V64" s="244"/>
      <c r="W64" s="244"/>
      <c r="X64" s="244"/>
      <c r="Y64" s="244"/>
      <c r="Z64" s="244"/>
    </row>
    <row r="65" spans="1:26" ht="15.75" customHeight="1">
      <c r="A65" s="196">
        <v>14</v>
      </c>
      <c r="B65" s="201">
        <v>2</v>
      </c>
      <c r="C65" s="201" t="s">
        <v>572</v>
      </c>
      <c r="D65" s="344">
        <v>1.4660177833749599</v>
      </c>
      <c r="E65" s="344">
        <v>2.42378322217687</v>
      </c>
      <c r="F65" s="344">
        <v>3.79414525395867</v>
      </c>
      <c r="G65" s="344">
        <v>5.9392845351937398</v>
      </c>
      <c r="H65" s="344">
        <v>9.3994282086104697</v>
      </c>
      <c r="I65" s="344">
        <v>14.7136903999174</v>
      </c>
      <c r="J65" s="344">
        <v>24.061860570751801</v>
      </c>
      <c r="K65" s="344">
        <v>38.0799305136442</v>
      </c>
      <c r="L65" s="344">
        <v>60.927058832994803</v>
      </c>
      <c r="M65" s="344">
        <v>95.374086673168307</v>
      </c>
      <c r="N65" s="344">
        <v>150.93756289699201</v>
      </c>
      <c r="O65" s="344">
        <v>236.275055550628</v>
      </c>
      <c r="P65" s="344">
        <v>357.92942381455799</v>
      </c>
      <c r="Q65" s="338"/>
      <c r="R65" s="326"/>
      <c r="S65" s="326"/>
      <c r="T65" s="326"/>
      <c r="U65" s="326"/>
      <c r="V65" s="326"/>
      <c r="W65" s="326"/>
      <c r="X65" s="326"/>
      <c r="Y65" s="326"/>
      <c r="Z65" s="326"/>
    </row>
    <row r="66" spans="1:26" ht="15.75" customHeight="1">
      <c r="A66" s="196">
        <v>14</v>
      </c>
      <c r="B66" s="201">
        <v>3</v>
      </c>
      <c r="C66" s="201" t="s">
        <v>572</v>
      </c>
      <c r="D66" s="343">
        <v>1.4660177833749599</v>
      </c>
      <c r="E66" s="343">
        <v>2.42378322217687</v>
      </c>
      <c r="F66" s="343">
        <v>3.79414525395867</v>
      </c>
      <c r="G66" s="343">
        <v>5.9392845351937398</v>
      </c>
      <c r="H66" s="343">
        <v>9.3994282086104697</v>
      </c>
      <c r="I66" s="343">
        <v>14.7136903999174</v>
      </c>
      <c r="J66" s="343">
        <v>24.061860570751801</v>
      </c>
      <c r="K66" s="343">
        <v>38.0799305136442</v>
      </c>
      <c r="L66" s="343">
        <v>60.927058832994803</v>
      </c>
      <c r="M66" s="343">
        <v>95.374086673168307</v>
      </c>
      <c r="N66" s="343">
        <v>150.93756289699201</v>
      </c>
      <c r="O66" s="343">
        <v>236.275055550628</v>
      </c>
      <c r="P66" s="343">
        <v>357.92942381455799</v>
      </c>
      <c r="Q66" s="340"/>
      <c r="R66" s="274"/>
      <c r="S66" s="274"/>
      <c r="T66" s="274"/>
      <c r="U66" s="274"/>
      <c r="V66" s="274"/>
      <c r="W66" s="274"/>
      <c r="X66" s="274"/>
      <c r="Y66" s="274"/>
      <c r="Z66" s="274"/>
    </row>
    <row r="67" spans="1:26" ht="15.75" customHeight="1">
      <c r="A67" s="196">
        <v>14</v>
      </c>
      <c r="B67" s="201">
        <v>4</v>
      </c>
      <c r="C67" s="201" t="s">
        <v>572</v>
      </c>
      <c r="D67" s="344">
        <v>1.4660177833749599</v>
      </c>
      <c r="E67" s="344">
        <v>2.42378322217687</v>
      </c>
      <c r="F67" s="344">
        <v>3.79414525395867</v>
      </c>
      <c r="G67" s="344">
        <v>5.9392845351937398</v>
      </c>
      <c r="H67" s="344">
        <v>9.3994282086104697</v>
      </c>
      <c r="I67" s="344">
        <v>14.7136903999174</v>
      </c>
      <c r="J67" s="344">
        <v>24.061860570751801</v>
      </c>
      <c r="K67" s="344">
        <v>38.0799305136442</v>
      </c>
      <c r="L67" s="344">
        <v>60.927058832994803</v>
      </c>
      <c r="M67" s="344">
        <v>95.374086673168307</v>
      </c>
      <c r="N67" s="344">
        <v>150.93756289699201</v>
      </c>
      <c r="O67" s="344">
        <v>236.275055550628</v>
      </c>
      <c r="P67" s="344">
        <v>357.92942381455799</v>
      </c>
      <c r="Q67" s="338"/>
      <c r="R67" s="326"/>
      <c r="S67" s="326"/>
      <c r="T67" s="326"/>
      <c r="U67" s="326"/>
      <c r="V67" s="326"/>
      <c r="W67" s="326"/>
      <c r="X67" s="326"/>
      <c r="Y67" s="326"/>
      <c r="Z67" s="326"/>
    </row>
    <row r="68" spans="1:26" ht="15.75" customHeight="1">
      <c r="A68" s="196">
        <v>14</v>
      </c>
      <c r="B68" s="201">
        <v>5</v>
      </c>
      <c r="C68" s="201" t="s">
        <v>572</v>
      </c>
      <c r="D68" s="343">
        <v>1.4660177833749599</v>
      </c>
      <c r="E68" s="343">
        <v>2.42378322217687</v>
      </c>
      <c r="F68" s="343">
        <v>3.79414525395867</v>
      </c>
      <c r="G68" s="343">
        <v>5.9392845351937398</v>
      </c>
      <c r="H68" s="343">
        <v>9.3994282086104697</v>
      </c>
      <c r="I68" s="343">
        <v>14.7136903999174</v>
      </c>
      <c r="J68" s="343">
        <v>24.061860570751801</v>
      </c>
      <c r="K68" s="343">
        <v>38.0799305136442</v>
      </c>
      <c r="L68" s="343">
        <v>60.927058832994803</v>
      </c>
      <c r="M68" s="343">
        <v>95.374086673168307</v>
      </c>
      <c r="N68" s="343">
        <v>150.93756289699201</v>
      </c>
      <c r="O68" s="343">
        <v>236.275055550628</v>
      </c>
      <c r="P68" s="343">
        <v>357.92942381455799</v>
      </c>
      <c r="Q68" s="340"/>
      <c r="R68" s="274"/>
      <c r="S68" s="274"/>
      <c r="T68" s="274"/>
      <c r="U68" s="274"/>
      <c r="V68" s="274"/>
      <c r="W68" s="274"/>
      <c r="X68" s="274"/>
      <c r="Y68" s="274"/>
      <c r="Z68" s="274"/>
    </row>
    <row r="69" spans="1:26" ht="15.75" customHeight="1">
      <c r="A69" s="196">
        <v>14</v>
      </c>
      <c r="B69" s="201">
        <v>6</v>
      </c>
      <c r="C69" s="201" t="s">
        <v>572</v>
      </c>
      <c r="D69" s="344">
        <v>1.4660177833749599</v>
      </c>
      <c r="E69" s="344">
        <v>2.42378322217687</v>
      </c>
      <c r="F69" s="344">
        <v>3.79414525395867</v>
      </c>
      <c r="G69" s="344">
        <v>5.9392845351937398</v>
      </c>
      <c r="H69" s="344">
        <v>9.3994282086104697</v>
      </c>
      <c r="I69" s="344">
        <v>14.7136903999174</v>
      </c>
      <c r="J69" s="344">
        <v>24.061860570751801</v>
      </c>
      <c r="K69" s="344">
        <v>38.0799305136442</v>
      </c>
      <c r="L69" s="344">
        <v>60.927058832994803</v>
      </c>
      <c r="M69" s="344">
        <v>95.374086673168307</v>
      </c>
      <c r="N69" s="344">
        <v>150.93756289699201</v>
      </c>
      <c r="O69" s="344">
        <v>236.275055550628</v>
      </c>
      <c r="P69" s="344">
        <v>357.92942381455799</v>
      </c>
      <c r="Q69" s="338"/>
      <c r="R69" s="326"/>
      <c r="S69" s="326"/>
      <c r="T69" s="326"/>
      <c r="U69" s="326"/>
      <c r="V69" s="326"/>
      <c r="W69" s="326"/>
      <c r="X69" s="326"/>
      <c r="Y69" s="326"/>
      <c r="Z69" s="326"/>
    </row>
    <row r="70" spans="1:26" ht="15.75" customHeight="1">
      <c r="A70" s="196">
        <v>14</v>
      </c>
      <c r="B70" s="201">
        <v>7</v>
      </c>
      <c r="C70" s="201" t="s">
        <v>572</v>
      </c>
      <c r="D70" s="343">
        <v>1.4660177833749599</v>
      </c>
      <c r="E70" s="343">
        <v>2.42378322217687</v>
      </c>
      <c r="F70" s="343">
        <v>3.79414525395867</v>
      </c>
      <c r="G70" s="343">
        <v>5.9392845351937398</v>
      </c>
      <c r="H70" s="343">
        <v>9.3994282086104697</v>
      </c>
      <c r="I70" s="343">
        <v>14.7136903999174</v>
      </c>
      <c r="J70" s="343">
        <v>24.061860570751801</v>
      </c>
      <c r="K70" s="343">
        <v>38.0799305136442</v>
      </c>
      <c r="L70" s="343">
        <v>60.927058832994803</v>
      </c>
      <c r="M70" s="343">
        <v>95.374086673168307</v>
      </c>
      <c r="N70" s="343">
        <v>150.93756289699201</v>
      </c>
      <c r="O70" s="343">
        <v>236.275055550628</v>
      </c>
      <c r="P70" s="343">
        <v>357.92942381455799</v>
      </c>
      <c r="Q70" s="340"/>
      <c r="R70" s="274"/>
      <c r="S70" s="274"/>
      <c r="T70" s="274"/>
      <c r="U70" s="274"/>
      <c r="V70" s="274"/>
      <c r="W70" s="274"/>
      <c r="X70" s="274"/>
      <c r="Y70" s="274"/>
      <c r="Z70" s="274"/>
    </row>
    <row r="71" spans="1:26" ht="15.75" customHeight="1">
      <c r="A71" s="196">
        <v>14</v>
      </c>
      <c r="B71" s="201">
        <v>8</v>
      </c>
      <c r="C71" s="201" t="s">
        <v>572</v>
      </c>
      <c r="D71" s="344">
        <v>1.4660177833749599</v>
      </c>
      <c r="E71" s="344">
        <v>2.42378322217687</v>
      </c>
      <c r="F71" s="344">
        <v>3.79414525395867</v>
      </c>
      <c r="G71" s="344">
        <v>5.9392845351937398</v>
      </c>
      <c r="H71" s="344">
        <v>9.3994282086104697</v>
      </c>
      <c r="I71" s="344">
        <v>14.7136903999174</v>
      </c>
      <c r="J71" s="344">
        <v>24.061860570751801</v>
      </c>
      <c r="K71" s="344">
        <v>38.0799305136442</v>
      </c>
      <c r="L71" s="344">
        <v>60.927058832994803</v>
      </c>
      <c r="M71" s="344">
        <v>95.374086673168307</v>
      </c>
      <c r="N71" s="344">
        <v>150.93756289699201</v>
      </c>
      <c r="O71" s="344">
        <v>236.275055550628</v>
      </c>
      <c r="P71" s="344">
        <v>357.92942381455799</v>
      </c>
      <c r="Q71" s="338"/>
      <c r="R71" s="326"/>
      <c r="S71" s="326"/>
      <c r="T71" s="326"/>
      <c r="U71" s="326"/>
      <c r="V71" s="326"/>
      <c r="W71" s="326"/>
      <c r="X71" s="326"/>
      <c r="Y71" s="326"/>
      <c r="Z71" s="326"/>
    </row>
    <row r="72" spans="1:26" ht="15.75" customHeight="1">
      <c r="A72" s="196">
        <v>14</v>
      </c>
      <c r="B72" s="201">
        <v>9</v>
      </c>
      <c r="C72" s="201" t="s">
        <v>572</v>
      </c>
      <c r="D72" s="343">
        <v>1.4660177833749599</v>
      </c>
      <c r="E72" s="343">
        <v>2.42378322217687</v>
      </c>
      <c r="F72" s="343">
        <v>3.79414525395867</v>
      </c>
      <c r="G72" s="343">
        <v>5.9392845351937398</v>
      </c>
      <c r="H72" s="343">
        <v>9.3994282086104697</v>
      </c>
      <c r="I72" s="343">
        <v>14.7136903999174</v>
      </c>
      <c r="J72" s="343">
        <v>24.061860570751801</v>
      </c>
      <c r="K72" s="343">
        <v>38.0799305136442</v>
      </c>
      <c r="L72" s="343">
        <v>60.927058832994803</v>
      </c>
      <c r="M72" s="343">
        <v>95.374086673168307</v>
      </c>
      <c r="N72" s="343">
        <v>150.93756289699201</v>
      </c>
      <c r="O72" s="343">
        <v>236.275055550628</v>
      </c>
      <c r="P72" s="343">
        <v>357.92942381455799</v>
      </c>
      <c r="Q72" s="340"/>
      <c r="R72" s="274"/>
      <c r="S72" s="274"/>
      <c r="T72" s="274"/>
      <c r="U72" s="274"/>
      <c r="V72" s="274"/>
      <c r="W72" s="274"/>
      <c r="X72" s="274"/>
      <c r="Y72" s="274"/>
      <c r="Z72" s="274"/>
    </row>
    <row r="73" spans="1:26" ht="15.75" customHeight="1">
      <c r="A73" s="196">
        <v>14</v>
      </c>
      <c r="B73" s="201">
        <v>10</v>
      </c>
      <c r="C73" s="201" t="s">
        <v>572</v>
      </c>
      <c r="D73" s="344">
        <v>1.4660177833749599</v>
      </c>
      <c r="E73" s="344">
        <v>2.42378322217687</v>
      </c>
      <c r="F73" s="344">
        <v>3.79414525395867</v>
      </c>
      <c r="G73" s="344">
        <v>5.9392845351937398</v>
      </c>
      <c r="H73" s="344">
        <v>9.3994282086104697</v>
      </c>
      <c r="I73" s="344">
        <v>14.7136903999174</v>
      </c>
      <c r="J73" s="344">
        <v>24.061860570751801</v>
      </c>
      <c r="K73" s="344">
        <v>38.0799305136442</v>
      </c>
      <c r="L73" s="344">
        <v>60.927058832994803</v>
      </c>
      <c r="M73" s="344">
        <v>95.374086673168307</v>
      </c>
      <c r="N73" s="344">
        <v>150.93756289699201</v>
      </c>
      <c r="O73" s="344">
        <v>236.275055550628</v>
      </c>
      <c r="P73" s="344">
        <v>357.92942381455799</v>
      </c>
      <c r="Q73" s="338"/>
      <c r="R73" s="326"/>
      <c r="S73" s="326"/>
      <c r="T73" s="326"/>
      <c r="U73" s="326"/>
      <c r="V73" s="326"/>
      <c r="W73" s="326"/>
      <c r="X73" s="326"/>
      <c r="Y73" s="326"/>
      <c r="Z73" s="326"/>
    </row>
    <row r="74" spans="1:26" ht="15.75" customHeight="1">
      <c r="A74" s="199">
        <v>15</v>
      </c>
      <c r="B74" s="200">
        <v>1</v>
      </c>
      <c r="C74" s="200"/>
      <c r="D74" s="349">
        <v>1.4797715552584101</v>
      </c>
      <c r="E74" s="349">
        <v>2.3352421822689502</v>
      </c>
      <c r="F74" s="349">
        <v>3.7505047782463801</v>
      </c>
      <c r="G74" s="349">
        <v>5.7818398167551699</v>
      </c>
      <c r="H74" s="349">
        <v>9.3403689883800798</v>
      </c>
      <c r="I74" s="349">
        <v>14.913571066174701</v>
      </c>
      <c r="J74" s="349">
        <v>22.8569349813184</v>
      </c>
      <c r="K74" s="349">
        <v>38.920445002713699</v>
      </c>
      <c r="L74" s="349">
        <v>62.874678136849099</v>
      </c>
      <c r="M74" s="349">
        <v>88.786921572692407</v>
      </c>
      <c r="N74" s="349">
        <v>140.11552239504201</v>
      </c>
      <c r="O74" s="349">
        <v>234.43654725803901</v>
      </c>
      <c r="P74" s="349">
        <v>376.51588761529399</v>
      </c>
      <c r="Q74" s="340"/>
      <c r="R74" s="274"/>
      <c r="S74" s="274"/>
      <c r="T74" s="274"/>
      <c r="U74" s="274"/>
      <c r="V74" s="274"/>
      <c r="W74" s="274"/>
      <c r="X74" s="274"/>
      <c r="Y74" s="274"/>
      <c r="Z74" s="274"/>
    </row>
    <row r="75" spans="1:26" ht="15.75" customHeight="1">
      <c r="A75" s="196">
        <v>15</v>
      </c>
      <c r="B75" s="201">
        <v>2</v>
      </c>
      <c r="C75" s="201"/>
      <c r="D75" s="344">
        <v>1.4797715552584101</v>
      </c>
      <c r="E75" s="344">
        <v>2.3352421822689502</v>
      </c>
      <c r="F75" s="344">
        <v>3.7505047782463801</v>
      </c>
      <c r="G75" s="344">
        <v>5.7818398167551699</v>
      </c>
      <c r="H75" s="344">
        <v>9.3403689883800798</v>
      </c>
      <c r="I75" s="344">
        <v>14.913571066174701</v>
      </c>
      <c r="J75" s="344">
        <v>22.8569349813184</v>
      </c>
      <c r="K75" s="344">
        <v>38.920445002713699</v>
      </c>
      <c r="L75" s="344">
        <v>62.874678136849099</v>
      </c>
      <c r="M75" s="344">
        <v>88.786921572692407</v>
      </c>
      <c r="N75" s="344">
        <v>140.11552239504201</v>
      </c>
      <c r="O75" s="344">
        <v>234.43654725803901</v>
      </c>
      <c r="P75" s="344">
        <v>376.51588761529399</v>
      </c>
      <c r="Q75" s="338"/>
      <c r="R75" s="326"/>
      <c r="S75" s="326"/>
      <c r="T75" s="326"/>
      <c r="U75" s="326"/>
      <c r="V75" s="326"/>
      <c r="W75" s="326"/>
      <c r="X75" s="326"/>
      <c r="Y75" s="326"/>
      <c r="Z75" s="326"/>
    </row>
    <row r="76" spans="1:26" ht="15.75" customHeight="1">
      <c r="A76" s="196">
        <v>15</v>
      </c>
      <c r="B76" s="201">
        <v>3</v>
      </c>
      <c r="C76" s="201"/>
      <c r="D76" s="343">
        <v>1.4797715552584101</v>
      </c>
      <c r="E76" s="343">
        <v>2.3352421822689502</v>
      </c>
      <c r="F76" s="343">
        <v>3.7505047782463801</v>
      </c>
      <c r="G76" s="343">
        <v>5.7818398167551699</v>
      </c>
      <c r="H76" s="343">
        <v>9.3403689883800798</v>
      </c>
      <c r="I76" s="343">
        <v>14.913571066174701</v>
      </c>
      <c r="J76" s="343">
        <v>22.8569349813184</v>
      </c>
      <c r="K76" s="343">
        <v>38.920445002713699</v>
      </c>
      <c r="L76" s="343">
        <v>62.874678136849099</v>
      </c>
      <c r="M76" s="343">
        <v>88.786921572692407</v>
      </c>
      <c r="N76" s="343">
        <v>140.11552239504201</v>
      </c>
      <c r="O76" s="343">
        <v>234.43654725803901</v>
      </c>
      <c r="P76" s="343">
        <v>376.51588761529399</v>
      </c>
      <c r="Q76" s="340"/>
      <c r="R76" s="274"/>
      <c r="S76" s="274"/>
      <c r="T76" s="244"/>
      <c r="U76" s="274"/>
      <c r="V76" s="274"/>
      <c r="W76" s="274"/>
      <c r="X76" s="274"/>
      <c r="Y76" s="274"/>
      <c r="Z76" s="274"/>
    </row>
    <row r="77" spans="1:26" ht="15.75" customHeight="1">
      <c r="A77" s="196">
        <v>15</v>
      </c>
      <c r="B77" s="201">
        <v>4</v>
      </c>
      <c r="C77" s="201"/>
      <c r="D77" s="344">
        <v>1.4797715552584101</v>
      </c>
      <c r="E77" s="344">
        <v>2.3352421822689502</v>
      </c>
      <c r="F77" s="344">
        <v>3.7505047782463801</v>
      </c>
      <c r="G77" s="344">
        <v>5.7818398167551699</v>
      </c>
      <c r="H77" s="344">
        <v>9.3403689883800798</v>
      </c>
      <c r="I77" s="344">
        <v>14.913571066174701</v>
      </c>
      <c r="J77" s="344">
        <v>22.8569349813184</v>
      </c>
      <c r="K77" s="344">
        <v>38.920445002713699</v>
      </c>
      <c r="L77" s="344">
        <v>62.874678136849099</v>
      </c>
      <c r="M77" s="344">
        <v>88.786921572692407</v>
      </c>
      <c r="N77" s="344">
        <v>140.11552239504201</v>
      </c>
      <c r="O77" s="344">
        <v>234.43654725803901</v>
      </c>
      <c r="P77" s="344">
        <v>376.51588761529399</v>
      </c>
      <c r="Q77" s="338"/>
      <c r="R77" s="326"/>
      <c r="S77" s="326"/>
      <c r="T77" s="250"/>
      <c r="U77" s="326"/>
      <c r="V77" s="326"/>
      <c r="W77" s="326"/>
      <c r="X77" s="326"/>
      <c r="Y77" s="326"/>
      <c r="Z77" s="326"/>
    </row>
    <row r="78" spans="1:26" ht="15.75" customHeight="1">
      <c r="A78" s="196">
        <v>15</v>
      </c>
      <c r="B78" s="201">
        <v>5</v>
      </c>
      <c r="C78" s="201"/>
      <c r="D78" s="343">
        <v>1.4797715552584101</v>
      </c>
      <c r="E78" s="343">
        <v>2.3352421822689502</v>
      </c>
      <c r="F78" s="343">
        <v>3.7505047782463801</v>
      </c>
      <c r="G78" s="343">
        <v>5.7818398167551699</v>
      </c>
      <c r="H78" s="343">
        <v>9.3403689883800798</v>
      </c>
      <c r="I78" s="343">
        <v>14.913571066174701</v>
      </c>
      <c r="J78" s="343">
        <v>22.8569349813184</v>
      </c>
      <c r="K78" s="343">
        <v>38.920445002713699</v>
      </c>
      <c r="L78" s="343">
        <v>62.874678136849099</v>
      </c>
      <c r="M78" s="343">
        <v>88.786921572692407</v>
      </c>
      <c r="N78" s="343">
        <v>140.11552239504201</v>
      </c>
      <c r="O78" s="343">
        <v>234.43654725803901</v>
      </c>
      <c r="P78" s="343">
        <v>376.51588761529399</v>
      </c>
      <c r="Q78" s="340"/>
      <c r="R78" s="274"/>
      <c r="S78" s="274"/>
      <c r="T78" s="274"/>
      <c r="U78" s="274"/>
      <c r="V78" s="274"/>
      <c r="W78" s="274"/>
      <c r="X78" s="274"/>
      <c r="Y78" s="274"/>
      <c r="Z78" s="274"/>
    </row>
    <row r="79" spans="1:26" ht="15.75" customHeight="1">
      <c r="A79" s="196">
        <v>15</v>
      </c>
      <c r="B79" s="201">
        <v>6</v>
      </c>
      <c r="C79" s="201"/>
      <c r="D79" s="344">
        <v>1.4797715552584101</v>
      </c>
      <c r="E79" s="344">
        <v>2.3352421822689502</v>
      </c>
      <c r="F79" s="344">
        <v>3.7505047782463801</v>
      </c>
      <c r="G79" s="344">
        <v>5.7818398167551699</v>
      </c>
      <c r="H79" s="344">
        <v>9.3403689883800798</v>
      </c>
      <c r="I79" s="344">
        <v>14.913571066174701</v>
      </c>
      <c r="J79" s="344">
        <v>22.8569349813184</v>
      </c>
      <c r="K79" s="344">
        <v>38.920445002713699</v>
      </c>
      <c r="L79" s="344">
        <v>62.874678136849099</v>
      </c>
      <c r="M79" s="344">
        <v>88.786921572692407</v>
      </c>
      <c r="N79" s="344">
        <v>140.11552239504201</v>
      </c>
      <c r="O79" s="344">
        <v>234.43654725803901</v>
      </c>
      <c r="P79" s="344">
        <v>376.51588761529399</v>
      </c>
      <c r="Q79" s="338"/>
      <c r="R79" s="326"/>
      <c r="S79" s="326"/>
      <c r="T79" s="326"/>
      <c r="U79" s="326"/>
      <c r="V79" s="326"/>
      <c r="W79" s="326"/>
      <c r="X79" s="326"/>
      <c r="Y79" s="326"/>
      <c r="Z79" s="326"/>
    </row>
    <row r="80" spans="1:26" ht="15.75" customHeight="1">
      <c r="A80" s="272">
        <v>16</v>
      </c>
      <c r="B80" s="74">
        <v>1</v>
      </c>
      <c r="C80" s="74"/>
      <c r="D80" s="257"/>
      <c r="E80" s="257"/>
      <c r="F80" s="353"/>
      <c r="G80" s="353"/>
      <c r="H80" s="257"/>
      <c r="I80" s="257"/>
      <c r="J80" s="257"/>
      <c r="K80" s="257"/>
      <c r="L80" s="257"/>
      <c r="M80" s="257"/>
      <c r="N80" s="257"/>
      <c r="O80" s="257"/>
      <c r="P80" s="257"/>
      <c r="Q80" s="259"/>
      <c r="R80" s="259"/>
      <c r="S80" s="259"/>
      <c r="T80" s="259"/>
      <c r="U80" s="259"/>
      <c r="V80" s="259"/>
      <c r="W80" s="259"/>
      <c r="X80" s="259"/>
      <c r="Y80" s="259"/>
      <c r="Z80" s="259"/>
    </row>
    <row r="81" spans="1:29" ht="15.75" customHeight="1">
      <c r="A81" s="233">
        <v>16</v>
      </c>
      <c r="B81" s="75">
        <v>2</v>
      </c>
      <c r="C81" s="75"/>
      <c r="D81" s="369"/>
      <c r="E81" s="369"/>
      <c r="F81" s="355"/>
      <c r="G81" s="355"/>
      <c r="H81" s="369"/>
      <c r="I81" s="369"/>
      <c r="J81" s="369"/>
      <c r="K81" s="369"/>
      <c r="L81" s="369"/>
      <c r="M81" s="369"/>
      <c r="N81" s="369"/>
      <c r="O81" s="369"/>
      <c r="P81" s="369"/>
      <c r="Q81" s="369"/>
      <c r="R81" s="369"/>
      <c r="S81" s="369"/>
      <c r="T81" s="369"/>
      <c r="U81" s="369"/>
      <c r="V81" s="369"/>
      <c r="W81" s="369"/>
      <c r="X81" s="369"/>
      <c r="Y81" s="369"/>
      <c r="Z81" s="369"/>
    </row>
    <row r="82" spans="1:29" ht="15.75" customHeight="1">
      <c r="A82" s="233">
        <v>16</v>
      </c>
      <c r="B82" s="75">
        <v>3</v>
      </c>
      <c r="C82" s="75"/>
      <c r="D82" s="259"/>
      <c r="E82" s="259"/>
      <c r="F82" s="357"/>
      <c r="G82" s="357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</row>
    <row r="83" spans="1:29" ht="15.75" customHeight="1">
      <c r="A83" s="229">
        <v>17</v>
      </c>
      <c r="B83" s="74">
        <v>1</v>
      </c>
      <c r="C83" s="74"/>
      <c r="D83" s="250">
        <v>0.16</v>
      </c>
      <c r="E83" s="250">
        <v>0.25</v>
      </c>
      <c r="F83" s="250">
        <v>0.41</v>
      </c>
      <c r="G83" s="250">
        <v>0.66</v>
      </c>
      <c r="H83" s="250">
        <v>1.02</v>
      </c>
      <c r="I83" s="250">
        <v>1.6</v>
      </c>
      <c r="J83" s="250">
        <v>2.52</v>
      </c>
      <c r="K83" s="250">
        <v>3.97</v>
      </c>
      <c r="L83" s="250">
        <v>6.4</v>
      </c>
      <c r="M83" s="250">
        <v>10</v>
      </c>
      <c r="N83" s="137">
        <v>16</v>
      </c>
      <c r="O83" s="326"/>
      <c r="P83" s="326"/>
      <c r="Q83" s="326"/>
      <c r="R83" s="326"/>
      <c r="S83" s="326"/>
      <c r="T83" s="326"/>
      <c r="U83" s="326"/>
      <c r="V83" s="326"/>
      <c r="W83" s="326"/>
      <c r="X83" s="369"/>
      <c r="Y83" s="369"/>
      <c r="Z83" s="369"/>
    </row>
    <row r="84" spans="1:29" ht="15.75" customHeight="1">
      <c r="A84" s="228">
        <v>17</v>
      </c>
      <c r="B84" s="75">
        <v>2</v>
      </c>
      <c r="C84" s="75"/>
      <c r="D84" s="274">
        <v>0.16</v>
      </c>
      <c r="E84" s="274">
        <v>0.25</v>
      </c>
      <c r="F84" s="274">
        <v>0.41</v>
      </c>
      <c r="G84" s="274">
        <v>0.66</v>
      </c>
      <c r="H84" s="274">
        <v>1.02</v>
      </c>
      <c r="I84" s="274">
        <v>1.6</v>
      </c>
      <c r="J84" s="274">
        <v>2.5299999999999998</v>
      </c>
      <c r="K84" s="274">
        <v>3.97</v>
      </c>
      <c r="L84" s="274">
        <v>6.4</v>
      </c>
      <c r="M84" s="274">
        <v>10</v>
      </c>
      <c r="N84" s="138">
        <v>16</v>
      </c>
      <c r="O84" s="274"/>
      <c r="P84" s="274"/>
      <c r="Q84" s="274"/>
      <c r="R84" s="274"/>
      <c r="S84" s="274"/>
      <c r="T84" s="274"/>
      <c r="U84" s="274"/>
      <c r="V84" s="274"/>
      <c r="W84" s="274"/>
      <c r="X84" s="259"/>
      <c r="Y84" s="259"/>
      <c r="Z84" s="259"/>
    </row>
    <row r="85" spans="1:29" ht="15.75" customHeight="1">
      <c r="A85" s="228">
        <v>17</v>
      </c>
      <c r="B85" s="75">
        <v>3</v>
      </c>
      <c r="C85" s="75"/>
      <c r="D85" s="326">
        <v>0.16</v>
      </c>
      <c r="E85" s="326">
        <v>0.25</v>
      </c>
      <c r="F85" s="326">
        <v>0.41</v>
      </c>
      <c r="G85" s="326">
        <v>0.66</v>
      </c>
      <c r="H85" s="326">
        <v>1.02</v>
      </c>
      <c r="I85" s="326">
        <v>1.6</v>
      </c>
      <c r="J85" s="326">
        <v>2.54</v>
      </c>
      <c r="K85" s="326">
        <v>3.97</v>
      </c>
      <c r="L85" s="326">
        <v>6.4</v>
      </c>
      <c r="M85" s="326">
        <v>10</v>
      </c>
      <c r="N85" s="139">
        <v>16</v>
      </c>
      <c r="O85" s="326"/>
      <c r="P85" s="326"/>
      <c r="Q85" s="326"/>
      <c r="R85" s="326"/>
      <c r="S85" s="326"/>
      <c r="T85" s="326"/>
      <c r="U85" s="326"/>
      <c r="V85" s="326"/>
      <c r="W85" s="326"/>
      <c r="X85" s="369"/>
      <c r="Y85" s="369"/>
      <c r="Z85" s="369"/>
    </row>
    <row r="86" spans="1:29" ht="15.75" customHeight="1">
      <c r="A86" s="230">
        <v>17</v>
      </c>
      <c r="B86" s="231">
        <v>4</v>
      </c>
      <c r="C86" s="231"/>
      <c r="D86" s="275">
        <v>0.16</v>
      </c>
      <c r="E86" s="275">
        <v>0.25</v>
      </c>
      <c r="F86" s="275">
        <v>0.41</v>
      </c>
      <c r="G86" s="275">
        <v>0.66</v>
      </c>
      <c r="H86" s="275">
        <v>1.02</v>
      </c>
      <c r="I86" s="275">
        <v>1.6</v>
      </c>
      <c r="J86" s="275">
        <v>2.5499999999999998</v>
      </c>
      <c r="K86" s="275">
        <v>3.97</v>
      </c>
      <c r="L86" s="275">
        <v>6.4</v>
      </c>
      <c r="M86" s="275">
        <v>10</v>
      </c>
      <c r="N86" s="140">
        <v>16</v>
      </c>
      <c r="O86" s="274"/>
      <c r="P86" s="274"/>
      <c r="Q86" s="274"/>
      <c r="R86" s="274"/>
      <c r="S86" s="274"/>
      <c r="T86" s="274"/>
      <c r="U86" s="274"/>
      <c r="V86" s="274"/>
      <c r="W86" s="274"/>
      <c r="X86" s="259"/>
      <c r="Y86" s="259"/>
      <c r="Z86" s="259"/>
    </row>
    <row r="87" spans="1:29" ht="15.75" customHeight="1">
      <c r="A87" s="228">
        <v>18</v>
      </c>
      <c r="B87" s="75">
        <v>1</v>
      </c>
      <c r="C87" s="75" t="s">
        <v>572</v>
      </c>
      <c r="D87" s="326">
        <v>0.19</v>
      </c>
      <c r="E87" s="326">
        <v>0.28999999999999998</v>
      </c>
      <c r="F87" s="326">
        <v>0.41</v>
      </c>
      <c r="G87" s="326">
        <v>0.6</v>
      </c>
      <c r="H87" s="326">
        <v>0.83</v>
      </c>
      <c r="I87" s="326">
        <v>1.21</v>
      </c>
      <c r="J87" s="326">
        <v>1.82</v>
      </c>
      <c r="K87" s="326">
        <v>2.4900000000000002</v>
      </c>
      <c r="L87" s="326">
        <v>3.57</v>
      </c>
      <c r="M87" s="326">
        <v>5.1100000000000003</v>
      </c>
      <c r="N87" s="326">
        <v>7.5</v>
      </c>
      <c r="O87" s="250">
        <v>10.49</v>
      </c>
      <c r="P87" s="250">
        <v>15.77</v>
      </c>
      <c r="Q87" s="250">
        <v>22.6</v>
      </c>
      <c r="R87" s="250">
        <v>31.62</v>
      </c>
      <c r="S87" s="250">
        <v>46.42</v>
      </c>
      <c r="T87" s="250">
        <v>68.13</v>
      </c>
      <c r="U87" s="250">
        <v>100</v>
      </c>
      <c r="V87" s="250">
        <v>143.30000000000001</v>
      </c>
      <c r="W87" s="250">
        <v>205.35</v>
      </c>
      <c r="X87" s="370"/>
      <c r="Y87" s="369"/>
      <c r="Z87" s="369"/>
    </row>
    <row r="88" spans="1:29" ht="15.75" customHeight="1">
      <c r="A88" s="228">
        <v>18</v>
      </c>
      <c r="B88" s="75">
        <v>2</v>
      </c>
      <c r="C88" s="75" t="s">
        <v>572</v>
      </c>
      <c r="D88" s="274">
        <v>1.24</v>
      </c>
      <c r="E88" s="274">
        <v>1.78</v>
      </c>
      <c r="F88" s="274">
        <v>2.4900000000000002</v>
      </c>
      <c r="G88" s="274">
        <v>3.48</v>
      </c>
      <c r="H88" s="274">
        <v>4.87</v>
      </c>
      <c r="I88" s="274">
        <v>6.49</v>
      </c>
      <c r="J88" s="274">
        <v>9.5299999999999994</v>
      </c>
      <c r="K88" s="274">
        <v>13.02</v>
      </c>
      <c r="L88" s="274">
        <v>17.78</v>
      </c>
      <c r="M88" s="274">
        <v>26.1</v>
      </c>
      <c r="N88" s="274">
        <v>35.65</v>
      </c>
      <c r="O88" s="274">
        <v>51.09</v>
      </c>
      <c r="P88" s="274">
        <v>69.78</v>
      </c>
      <c r="Q88" s="274">
        <v>100</v>
      </c>
      <c r="R88" s="274">
        <v>133.35</v>
      </c>
      <c r="S88" s="274">
        <v>191.1</v>
      </c>
      <c r="T88" s="274">
        <v>273.83999999999997</v>
      </c>
      <c r="U88" s="274"/>
      <c r="V88" s="274"/>
      <c r="W88" s="274"/>
      <c r="X88" s="371"/>
      <c r="Y88" s="259"/>
      <c r="Z88" s="259"/>
    </row>
    <row r="89" spans="1:29" ht="15.75" customHeight="1">
      <c r="A89" s="229">
        <v>19</v>
      </c>
      <c r="B89" s="74">
        <v>1</v>
      </c>
      <c r="C89" s="74" t="s">
        <v>572</v>
      </c>
      <c r="D89" s="250"/>
      <c r="E89" s="250"/>
      <c r="F89" s="372"/>
      <c r="G89" s="372"/>
      <c r="H89" s="250"/>
      <c r="I89" s="250"/>
      <c r="J89" s="250"/>
      <c r="K89" s="250"/>
      <c r="L89" s="250"/>
      <c r="M89" s="250"/>
      <c r="N89" s="250"/>
      <c r="O89" s="250"/>
      <c r="P89" s="373"/>
      <c r="Q89" s="374"/>
      <c r="R89" s="374"/>
      <c r="S89" s="374"/>
      <c r="T89" s="374"/>
      <c r="U89" s="374"/>
      <c r="V89" s="374"/>
      <c r="W89" s="374"/>
      <c r="X89" s="369"/>
      <c r="Y89" s="369"/>
      <c r="Z89" s="369"/>
    </row>
    <row r="90" spans="1:29" ht="15.75" customHeight="1">
      <c r="A90" s="228">
        <v>19</v>
      </c>
      <c r="B90" s="75">
        <v>2</v>
      </c>
      <c r="C90" s="75" t="s">
        <v>572</v>
      </c>
      <c r="D90" s="274"/>
      <c r="E90" s="274"/>
      <c r="F90" s="366"/>
      <c r="G90" s="366"/>
      <c r="H90" s="274"/>
      <c r="I90" s="274"/>
      <c r="J90" s="274"/>
      <c r="K90" s="274"/>
      <c r="L90" s="274"/>
      <c r="M90" s="274"/>
      <c r="N90" s="274"/>
      <c r="O90" s="274"/>
      <c r="P90" s="371"/>
      <c r="Q90" s="259"/>
      <c r="R90" s="259"/>
      <c r="S90" s="259"/>
      <c r="T90" s="259"/>
      <c r="U90" s="259"/>
      <c r="V90" s="259"/>
      <c r="W90" s="259"/>
      <c r="X90" s="259"/>
      <c r="Y90" s="259"/>
      <c r="Z90" s="259"/>
    </row>
    <row r="91" spans="1:29" ht="15.75" customHeight="1">
      <c r="A91" s="228">
        <v>19</v>
      </c>
      <c r="B91" s="75">
        <v>3</v>
      </c>
      <c r="C91" s="75" t="s">
        <v>572</v>
      </c>
      <c r="D91" s="326"/>
      <c r="E91" s="326"/>
      <c r="F91" s="375"/>
      <c r="G91" s="375"/>
      <c r="H91" s="326"/>
      <c r="I91" s="326"/>
      <c r="J91" s="326"/>
      <c r="K91" s="326"/>
      <c r="L91" s="326"/>
      <c r="M91" s="326"/>
      <c r="N91" s="326"/>
      <c r="O91" s="326"/>
      <c r="P91" s="370"/>
      <c r="Q91" s="369"/>
      <c r="R91" s="369"/>
      <c r="S91" s="369"/>
      <c r="T91" s="369"/>
      <c r="U91" s="369"/>
      <c r="V91" s="369"/>
      <c r="W91" s="369"/>
      <c r="X91" s="369"/>
      <c r="Y91" s="369"/>
      <c r="Z91" s="369"/>
    </row>
    <row r="92" spans="1:29" ht="15.75" customHeight="1">
      <c r="A92" s="228">
        <v>19</v>
      </c>
      <c r="B92" s="75">
        <v>4</v>
      </c>
      <c r="C92" s="75" t="s">
        <v>572</v>
      </c>
      <c r="D92" s="274"/>
      <c r="E92" s="274"/>
      <c r="F92" s="366"/>
      <c r="G92" s="366"/>
      <c r="H92" s="274"/>
      <c r="I92" s="274"/>
      <c r="J92" s="274"/>
      <c r="K92" s="274"/>
      <c r="L92" s="274"/>
      <c r="M92" s="274"/>
      <c r="N92" s="274"/>
      <c r="O92" s="274"/>
      <c r="P92" s="371"/>
      <c r="Q92" s="259"/>
      <c r="R92" s="259"/>
      <c r="S92" s="259"/>
      <c r="T92" s="259"/>
      <c r="U92" s="259"/>
      <c r="V92" s="259"/>
      <c r="W92" s="259"/>
      <c r="X92" s="259"/>
      <c r="Y92" s="259"/>
      <c r="Z92" s="259"/>
    </row>
    <row r="93" spans="1:29" ht="15.75" customHeight="1">
      <c r="A93" s="230">
        <v>19</v>
      </c>
      <c r="B93" s="75">
        <v>5</v>
      </c>
      <c r="C93" s="75" t="s">
        <v>572</v>
      </c>
      <c r="D93" s="326"/>
      <c r="E93" s="326"/>
      <c r="F93" s="375"/>
      <c r="G93" s="375"/>
      <c r="H93" s="326"/>
      <c r="I93" s="326"/>
      <c r="J93" s="326"/>
      <c r="K93" s="326"/>
      <c r="L93" s="326"/>
      <c r="M93" s="326"/>
      <c r="N93" s="326"/>
      <c r="O93" s="326"/>
      <c r="P93" s="370"/>
      <c r="Q93" s="369"/>
      <c r="R93" s="369"/>
      <c r="S93" s="369"/>
      <c r="T93" s="369"/>
      <c r="U93" s="369"/>
      <c r="V93" s="369"/>
      <c r="W93" s="369"/>
      <c r="X93" s="369"/>
      <c r="Y93" s="369"/>
      <c r="Z93" s="369"/>
      <c r="AA93" s="2"/>
      <c r="AB93" s="2"/>
    </row>
    <row r="94" spans="1:29" ht="15.75" customHeight="1">
      <c r="A94" s="272">
        <v>20</v>
      </c>
      <c r="B94" s="200" t="s">
        <v>221</v>
      </c>
      <c r="C94" s="200"/>
      <c r="D94" s="307">
        <v>0.1</v>
      </c>
      <c r="E94" s="307">
        <v>0.24556039520355999</v>
      </c>
      <c r="F94" s="307">
        <v>0.61781862824222999</v>
      </c>
      <c r="G94" s="307">
        <v>1.55440468444548</v>
      </c>
      <c r="H94" s="307">
        <v>3.91081429496607</v>
      </c>
      <c r="I94" s="223">
        <v>9.8394379550954696</v>
      </c>
      <c r="J94" s="223">
        <v>25.057939345604101</v>
      </c>
      <c r="K94" s="223">
        <v>98.793231355898996</v>
      </c>
      <c r="L94" s="376"/>
      <c r="M94" s="234"/>
      <c r="N94" s="234"/>
      <c r="O94" s="234"/>
      <c r="P94" s="376"/>
      <c r="Q94" s="376"/>
      <c r="R94" s="234"/>
      <c r="S94" s="234"/>
      <c r="T94" s="234"/>
      <c r="U94" s="376"/>
      <c r="V94" s="376"/>
      <c r="W94" s="234"/>
      <c r="X94" s="234"/>
      <c r="Y94" s="234"/>
      <c r="Z94" s="376"/>
      <c r="AA94" s="234"/>
      <c r="AB94" s="235"/>
      <c r="AC94" s="2"/>
    </row>
    <row r="95" spans="1:29" ht="15.75" customHeight="1">
      <c r="A95" s="233">
        <v>20</v>
      </c>
      <c r="B95" s="201" t="s">
        <v>222</v>
      </c>
      <c r="C95" s="201"/>
      <c r="D95" s="21">
        <v>0.1</v>
      </c>
      <c r="E95" s="21">
        <v>0.156703667858656</v>
      </c>
      <c r="F95" s="21">
        <v>0.99193892886254598</v>
      </c>
      <c r="G95" s="21">
        <v>2.4655603947361699</v>
      </c>
      <c r="H95" s="21">
        <v>6.2790032424797699</v>
      </c>
      <c r="I95" s="96">
        <v>15.7976979126181</v>
      </c>
      <c r="J95" s="96">
        <v>61.5323748869342</v>
      </c>
      <c r="K95" s="96">
        <v>96.423582143358601</v>
      </c>
      <c r="L95" s="97"/>
      <c r="M95" s="2"/>
      <c r="N95" s="2"/>
      <c r="O95" s="2"/>
      <c r="P95" s="97"/>
      <c r="Q95" s="97"/>
      <c r="R95" s="2"/>
      <c r="S95" s="2"/>
      <c r="T95" s="2"/>
      <c r="U95" s="97"/>
      <c r="V95" s="97"/>
      <c r="W95" s="2"/>
      <c r="X95" s="2"/>
      <c r="Y95" s="2"/>
      <c r="Z95" s="97"/>
      <c r="AA95" s="2"/>
      <c r="AB95" s="236"/>
      <c r="AC95" s="2"/>
    </row>
    <row r="96" spans="1:29" ht="15.75" customHeight="1">
      <c r="A96" s="233">
        <v>20</v>
      </c>
      <c r="B96" s="201" t="s">
        <v>223</v>
      </c>
      <c r="C96" s="201"/>
      <c r="D96" s="96">
        <v>9.7601215457868901E-2</v>
      </c>
      <c r="E96" s="96">
        <v>0.31304479344083602</v>
      </c>
      <c r="F96" s="96">
        <v>0.74122016431039695</v>
      </c>
      <c r="G96" s="96">
        <v>3.1431405860308699</v>
      </c>
      <c r="H96" s="96">
        <v>7.4422622455649998</v>
      </c>
      <c r="I96" s="96">
        <v>23.2975918162848</v>
      </c>
      <c r="J96" s="96">
        <v>41.220536589744803</v>
      </c>
      <c r="K96" s="96">
        <v>97.601200000000006</v>
      </c>
      <c r="L96" s="97"/>
      <c r="M96" s="2"/>
      <c r="N96" s="2"/>
      <c r="O96" s="2"/>
      <c r="P96" s="97"/>
      <c r="Q96" s="97"/>
      <c r="R96" s="2"/>
      <c r="S96" s="2"/>
      <c r="T96" s="2"/>
      <c r="U96" s="97"/>
      <c r="V96" s="97"/>
      <c r="W96" s="2"/>
      <c r="X96" s="2"/>
      <c r="Y96" s="2"/>
      <c r="Z96" s="97"/>
      <c r="AA96" s="2"/>
      <c r="AB96" s="236"/>
      <c r="AC96" s="2"/>
    </row>
    <row r="97" spans="1:29" ht="15.75" customHeight="1">
      <c r="A97" s="233">
        <v>20</v>
      </c>
      <c r="B97" s="201" t="s">
        <v>224</v>
      </c>
      <c r="C97" s="201"/>
      <c r="D97" s="21">
        <v>0.1</v>
      </c>
      <c r="E97" s="21">
        <v>0.156703667858656</v>
      </c>
      <c r="F97" s="21">
        <v>0.99193892886254598</v>
      </c>
      <c r="G97" s="21">
        <v>2.4655603947361699</v>
      </c>
      <c r="H97" s="21">
        <v>6.2790032424797699</v>
      </c>
      <c r="I97" s="96">
        <v>15.7976979126181</v>
      </c>
      <c r="J97" s="96">
        <v>61.5323748869342</v>
      </c>
      <c r="K97" s="96">
        <v>96.423582143358601</v>
      </c>
      <c r="L97" s="97"/>
      <c r="M97" s="2"/>
      <c r="N97" s="2"/>
      <c r="O97" s="2"/>
      <c r="P97" s="97"/>
      <c r="Q97" s="97"/>
      <c r="R97" s="2"/>
      <c r="S97" s="2"/>
      <c r="T97" s="2"/>
      <c r="U97" s="97"/>
      <c r="V97" s="97"/>
      <c r="W97" s="2"/>
      <c r="X97" s="2"/>
      <c r="Y97" s="2"/>
      <c r="Z97" s="97"/>
      <c r="AA97" s="2"/>
      <c r="AB97" s="236"/>
      <c r="AC97" s="2"/>
    </row>
    <row r="98" spans="1:29" ht="15.75" customHeight="1">
      <c r="A98" s="233">
        <v>20</v>
      </c>
      <c r="B98" s="201" t="s">
        <v>225</v>
      </c>
      <c r="C98" s="201"/>
      <c r="D98" s="96">
        <v>9.7269999999999995E-2</v>
      </c>
      <c r="E98" s="96">
        <v>0.12937526846038699</v>
      </c>
      <c r="F98" s="96">
        <v>0.173652329579458</v>
      </c>
      <c r="G98" s="96">
        <v>0.23094865758781999</v>
      </c>
      <c r="H98" s="96">
        <v>0.30714982385082601</v>
      </c>
      <c r="I98" s="96">
        <v>0.40849345164831602</v>
      </c>
      <c r="J98" s="96">
        <v>0.548295552485765</v>
      </c>
      <c r="K98" s="96">
        <v>0.72920485498018195</v>
      </c>
      <c r="L98" s="96">
        <v>0.97876667844574705</v>
      </c>
      <c r="M98" s="96">
        <v>1.3137381139100499</v>
      </c>
      <c r="N98" s="96">
        <v>1.7153572610085099</v>
      </c>
      <c r="O98" s="96">
        <v>2.3024152903961701</v>
      </c>
      <c r="P98" s="96">
        <v>3.0903899648954098</v>
      </c>
      <c r="Q98" s="96">
        <v>4.1100595399089501</v>
      </c>
      <c r="R98" s="96">
        <v>5.4661744801146597</v>
      </c>
      <c r="S98" s="96">
        <v>7.3368994255983502</v>
      </c>
      <c r="T98" s="96">
        <v>9.7577108102580095</v>
      </c>
      <c r="U98" s="96">
        <v>12.8584309009932</v>
      </c>
      <c r="V98" s="96">
        <v>17.418565873262899</v>
      </c>
      <c r="W98" s="96">
        <v>23.1657957902279</v>
      </c>
      <c r="X98" s="21">
        <v>31.094018154569302</v>
      </c>
      <c r="Y98" s="21">
        <v>40.974855341396101</v>
      </c>
      <c r="Z98" s="21">
        <v>54.997950342038699</v>
      </c>
      <c r="AA98" s="21">
        <v>73.144534695700401</v>
      </c>
      <c r="AB98" s="211">
        <v>97.278342309736303</v>
      </c>
      <c r="AC98" s="2"/>
    </row>
    <row r="99" spans="1:29" ht="15.75" customHeight="1">
      <c r="A99" s="233">
        <v>20</v>
      </c>
      <c r="B99" s="201" t="s">
        <v>226</v>
      </c>
      <c r="C99" s="201"/>
      <c r="D99" s="32">
        <v>9.7278342309736504E-2</v>
      </c>
      <c r="E99" s="32">
        <v>0.152670593281933</v>
      </c>
      <c r="F99" s="32">
        <v>0.24630781387886</v>
      </c>
      <c r="G99" s="32">
        <v>0.38656020890200798</v>
      </c>
      <c r="H99" s="32">
        <v>0.60667500861282597</v>
      </c>
      <c r="I99" s="32">
        <v>0.96980491290866999</v>
      </c>
      <c r="J99" s="32">
        <v>1.5360952043218301</v>
      </c>
      <c r="K99" s="32">
        <v>2.4330547776496401</v>
      </c>
      <c r="L99" s="32">
        <v>3.8184828500034702</v>
      </c>
      <c r="M99" s="32">
        <v>6.16047485592411</v>
      </c>
      <c r="N99" s="32">
        <v>9.6683674372296302</v>
      </c>
      <c r="O99" s="32">
        <v>15.455431961653</v>
      </c>
      <c r="P99" s="32">
        <v>24.480196584911901</v>
      </c>
      <c r="Q99" s="32">
        <v>38.774767558228397</v>
      </c>
      <c r="R99" s="32">
        <v>60.853787292089301</v>
      </c>
      <c r="S99" s="32">
        <v>99.084506991156204</v>
      </c>
      <c r="T99" s="2"/>
      <c r="U99" s="2"/>
      <c r="V99" s="2"/>
      <c r="W99" s="2"/>
      <c r="X99" s="2"/>
      <c r="Y99" s="2"/>
      <c r="Z99" s="2"/>
      <c r="AA99" s="2"/>
      <c r="AB99" s="236"/>
      <c r="AC99" s="2"/>
    </row>
    <row r="100" spans="1:29" ht="15.75" customHeight="1">
      <c r="A100" s="233">
        <v>20</v>
      </c>
      <c r="B100" s="201" t="s">
        <v>227</v>
      </c>
      <c r="C100" s="201"/>
      <c r="D100" s="96">
        <v>9.6387644133333797E-2</v>
      </c>
      <c r="E100" s="96">
        <v>0.12937526846038699</v>
      </c>
      <c r="F100" s="96">
        <v>0.17048701095409499</v>
      </c>
      <c r="G100" s="96">
        <v>0.233082658897869</v>
      </c>
      <c r="H100" s="96">
        <v>0.31285246977541098</v>
      </c>
      <c r="I100" s="96">
        <v>0.41226825469207901</v>
      </c>
      <c r="J100" s="96">
        <v>0.54327560191187296</v>
      </c>
      <c r="K100" s="96">
        <v>0.74274398427981103</v>
      </c>
      <c r="L100" s="21">
        <v>1.2546869171799599</v>
      </c>
      <c r="M100" s="21">
        <v>1.69965113826852</v>
      </c>
      <c r="N100" s="21">
        <v>2.2813368393780502</v>
      </c>
      <c r="O100" s="21">
        <v>3.0340605382948298</v>
      </c>
      <c r="P100" s="21">
        <v>4.0724322321617796</v>
      </c>
      <c r="Q100" s="21">
        <v>5.3665341671306797</v>
      </c>
      <c r="R100" s="21">
        <v>7.4046981875412303</v>
      </c>
      <c r="S100" s="21">
        <v>9.6683674372296302</v>
      </c>
      <c r="T100" s="96">
        <v>12.8584309009932</v>
      </c>
      <c r="U100" s="96">
        <v>17.259078319399499</v>
      </c>
      <c r="V100" s="96">
        <v>22.7435174397183</v>
      </c>
      <c r="W100" s="96">
        <v>30.809315674965799</v>
      </c>
      <c r="X100" s="96">
        <v>40.974855341396101</v>
      </c>
      <c r="Y100" s="96">
        <v>54.494379116291803</v>
      </c>
      <c r="Z100" s="96">
        <v>72.474718499129906</v>
      </c>
      <c r="AA100" s="96">
        <v>98.177271242773799</v>
      </c>
      <c r="AB100" s="236"/>
      <c r="AC100" s="2"/>
    </row>
    <row r="101" spans="1:29" ht="15.75" customHeight="1">
      <c r="A101" s="233">
        <v>20</v>
      </c>
      <c r="B101" s="201" t="s">
        <v>228</v>
      </c>
      <c r="C101" s="201"/>
      <c r="D101" s="96">
        <v>9.7841180949089002E-2</v>
      </c>
      <c r="E101" s="96">
        <v>0.15335214006051601</v>
      </c>
      <c r="F101" s="96">
        <v>0.24417799921022301</v>
      </c>
      <c r="G101" s="96">
        <v>0.376726958756473</v>
      </c>
      <c r="H101" s="96">
        <v>0.60459855965556197</v>
      </c>
      <c r="I101" s="96">
        <v>1.5328500236423499</v>
      </c>
      <c r="J101" s="96">
        <v>2.4600281315711201</v>
      </c>
      <c r="K101" s="21">
        <v>3.8862633022462498</v>
      </c>
      <c r="L101" s="21">
        <v>6.1879762345611997</v>
      </c>
      <c r="M101" s="21">
        <v>9.5470474308631808</v>
      </c>
      <c r="N101" s="21">
        <v>15.565309093814699</v>
      </c>
      <c r="O101" s="21">
        <v>24.589511291799301</v>
      </c>
      <c r="P101" s="21">
        <v>38.540587150162999</v>
      </c>
      <c r="Q101" s="21">
        <v>60.885023047701402</v>
      </c>
      <c r="R101" s="21">
        <v>97.712732345747497</v>
      </c>
      <c r="S101" s="2"/>
      <c r="T101" s="2"/>
      <c r="U101" s="2"/>
      <c r="V101" s="2"/>
      <c r="W101" s="2"/>
      <c r="X101" s="2"/>
      <c r="Y101" s="2"/>
      <c r="Z101" s="2"/>
      <c r="AA101" s="2"/>
      <c r="AB101" s="236"/>
      <c r="AC101" s="2"/>
    </row>
    <row r="102" spans="1:29" ht="15.75" customHeight="1">
      <c r="A102" s="233">
        <v>20</v>
      </c>
      <c r="B102" s="201" t="s">
        <v>231</v>
      </c>
      <c r="C102" s="201"/>
      <c r="D102" s="96">
        <v>0.101775190930399</v>
      </c>
      <c r="E102" s="96">
        <v>0.13517797972835599</v>
      </c>
      <c r="F102" s="96">
        <v>0.23847043918164099</v>
      </c>
      <c r="G102" s="96">
        <v>0.31673683830819799</v>
      </c>
      <c r="H102" s="96">
        <v>0.55876205121047695</v>
      </c>
      <c r="I102" s="96">
        <v>1.0013905511180601</v>
      </c>
      <c r="J102" s="96">
        <v>1.31960369156694</v>
      </c>
      <c r="K102" s="96">
        <v>1.76657392109554</v>
      </c>
      <c r="L102" s="96">
        <v>3.16598170653198</v>
      </c>
      <c r="M102" s="96">
        <v>5.6293819976902002</v>
      </c>
      <c r="N102" s="96">
        <v>9.8529221778055902</v>
      </c>
      <c r="O102" s="96">
        <v>17.381756138725201</v>
      </c>
      <c r="P102" s="96">
        <v>23.2692411268632</v>
      </c>
      <c r="Q102" s="96">
        <v>31.150874189559602</v>
      </c>
      <c r="R102" s="96">
        <v>41.049778685089798</v>
      </c>
      <c r="S102" s="96">
        <v>73.567645632033305</v>
      </c>
      <c r="T102" s="96">
        <v>97.712732345747497</v>
      </c>
      <c r="U102" s="2"/>
      <c r="V102" s="2"/>
      <c r="W102" s="2"/>
      <c r="X102" s="2"/>
      <c r="Y102" s="2"/>
      <c r="Z102" s="2"/>
      <c r="AA102" s="2"/>
      <c r="AB102" s="236"/>
      <c r="AC102" s="2"/>
    </row>
    <row r="103" spans="1:29" ht="15.75" customHeight="1">
      <c r="A103" s="233">
        <v>20</v>
      </c>
      <c r="B103" s="201" t="s">
        <v>232</v>
      </c>
      <c r="C103" s="201"/>
      <c r="D103" s="96">
        <v>0.101775190930399</v>
      </c>
      <c r="E103" s="96">
        <v>0.157022574843277</v>
      </c>
      <c r="F103" s="96">
        <v>0.25200097953550099</v>
      </c>
      <c r="G103" s="96">
        <v>0.63388586387008095</v>
      </c>
      <c r="H103" s="96">
        <v>1.5819615060449701</v>
      </c>
      <c r="I103" s="96">
        <v>3.9480328387967001</v>
      </c>
      <c r="J103" s="96">
        <v>9.8529221778055902</v>
      </c>
      <c r="K103" s="96">
        <v>24.589511291799301</v>
      </c>
      <c r="L103" s="96">
        <v>60.885023047701402</v>
      </c>
      <c r="M103" s="96">
        <v>99.265684996793198</v>
      </c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36"/>
      <c r="AC103" s="2"/>
    </row>
    <row r="104" spans="1:29" ht="15.75" customHeight="1">
      <c r="A104" s="233">
        <v>20</v>
      </c>
      <c r="B104" s="201" t="s">
        <v>233</v>
      </c>
      <c r="C104" s="201"/>
      <c r="D104" s="96">
        <v>0.101775190930399</v>
      </c>
      <c r="E104" s="96">
        <v>0.17813365711203899</v>
      </c>
      <c r="F104" s="96">
        <v>0.31673683830819799</v>
      </c>
      <c r="G104" s="21">
        <v>0.73053868205783301</v>
      </c>
      <c r="H104" s="21">
        <v>1.31960369156694</v>
      </c>
      <c r="I104" s="21">
        <v>3.16598170653198</v>
      </c>
      <c r="J104" s="21">
        <v>5.4978009874522797</v>
      </c>
      <c r="K104" s="21">
        <v>9.7755529799156999</v>
      </c>
      <c r="L104" s="21">
        <v>17.519347215572001</v>
      </c>
      <c r="M104" s="21">
        <v>41.374669610129899</v>
      </c>
      <c r="N104" s="21">
        <v>100.051329189195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36"/>
      <c r="AC104" s="2"/>
    </row>
    <row r="105" spans="1:29" ht="15.75" customHeight="1">
      <c r="A105" s="233">
        <v>20</v>
      </c>
      <c r="B105" s="201" t="s">
        <v>234</v>
      </c>
      <c r="C105" s="201"/>
      <c r="D105" s="96">
        <v>0.159518141367955</v>
      </c>
      <c r="E105" s="96">
        <v>0.25200097953550099</v>
      </c>
      <c r="F105" s="96">
        <v>0.39810226755753703</v>
      </c>
      <c r="G105" s="96">
        <v>0.62890793411430201</v>
      </c>
      <c r="H105" s="96">
        <v>1.0013905511180601</v>
      </c>
      <c r="I105" s="96">
        <v>1.5572116748900799</v>
      </c>
      <c r="J105" s="96">
        <v>3.91702631309502</v>
      </c>
      <c r="K105" s="96">
        <v>9.93091626319673</v>
      </c>
      <c r="L105" s="96">
        <v>15.6885016622526</v>
      </c>
      <c r="M105" s="96">
        <v>39.153163813527897</v>
      </c>
      <c r="N105" s="96">
        <v>61.852671333457401</v>
      </c>
      <c r="O105" s="96">
        <v>98.486210005760199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36"/>
      <c r="AC105" s="2"/>
    </row>
    <row r="106" spans="1:29" ht="15.75" customHeight="1">
      <c r="A106" s="228">
        <v>20</v>
      </c>
      <c r="B106" s="75" t="s">
        <v>235</v>
      </c>
      <c r="C106" s="75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96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36"/>
      <c r="AC106" s="2"/>
    </row>
    <row r="107" spans="1:29" ht="15.75" customHeight="1">
      <c r="A107" s="228">
        <v>20</v>
      </c>
      <c r="B107" s="75" t="s">
        <v>236</v>
      </c>
      <c r="C107" s="75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96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36"/>
      <c r="AC107" s="2"/>
    </row>
    <row r="108" spans="1:29" ht="15.75" customHeight="1">
      <c r="A108" s="228">
        <v>20</v>
      </c>
      <c r="B108" s="75" t="s">
        <v>237</v>
      </c>
      <c r="C108" s="75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96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36"/>
      <c r="AC108" s="2"/>
    </row>
    <row r="109" spans="1:29" ht="15.75" customHeight="1">
      <c r="A109" s="228">
        <v>20</v>
      </c>
      <c r="B109" s="75" t="s">
        <v>238</v>
      </c>
      <c r="C109" s="75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36"/>
      <c r="AC109" s="2"/>
    </row>
    <row r="110" spans="1:29" ht="15.75" customHeight="1">
      <c r="A110" s="228">
        <v>20</v>
      </c>
      <c r="B110" s="75" t="s">
        <v>239</v>
      </c>
      <c r="C110" s="75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96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36"/>
      <c r="AC110" s="2"/>
    </row>
    <row r="111" spans="1:29" ht="15.75" customHeight="1">
      <c r="A111" s="228">
        <v>20</v>
      </c>
      <c r="B111" s="75" t="s">
        <v>240</v>
      </c>
      <c r="C111" s="75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96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36"/>
      <c r="AC111" s="2"/>
    </row>
    <row r="112" spans="1:29" ht="15.75" customHeight="1">
      <c r="A112" s="228">
        <v>20</v>
      </c>
      <c r="B112" s="75" t="s">
        <v>241</v>
      </c>
      <c r="C112" s="75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96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36"/>
      <c r="AC112" s="2"/>
    </row>
    <row r="113" spans="1:29" ht="15.75" customHeight="1">
      <c r="A113" s="228">
        <v>20</v>
      </c>
      <c r="B113" s="75" t="s">
        <v>242</v>
      </c>
      <c r="C113" s="75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96"/>
      <c r="P113" s="2"/>
      <c r="Q113" s="2"/>
      <c r="R113" s="2"/>
      <c r="S113" s="2"/>
      <c r="T113" s="2"/>
      <c r="U113" s="2"/>
      <c r="V113" s="2"/>
      <c r="W113" s="34"/>
      <c r="X113" s="34"/>
      <c r="Y113" s="34"/>
      <c r="Z113" s="34"/>
      <c r="AA113" s="34"/>
      <c r="AB113" s="237"/>
      <c r="AC113" s="2"/>
    </row>
    <row r="114" spans="1:29" ht="15.75" customHeight="1">
      <c r="A114" s="229">
        <v>21</v>
      </c>
      <c r="B114" s="74" t="s">
        <v>221</v>
      </c>
      <c r="C114" s="74" t="s">
        <v>572</v>
      </c>
      <c r="D114" s="234"/>
      <c r="E114" s="234"/>
      <c r="F114" s="376"/>
      <c r="G114" s="376"/>
      <c r="H114" s="234"/>
      <c r="I114" s="234"/>
      <c r="J114" s="234"/>
      <c r="K114" s="234"/>
      <c r="L114" s="234"/>
      <c r="M114" s="234"/>
      <c r="N114" s="234"/>
      <c r="O114" s="234"/>
      <c r="P114" s="234"/>
      <c r="Q114" s="234"/>
      <c r="R114" s="234"/>
      <c r="S114" s="234"/>
      <c r="T114" s="234"/>
      <c r="U114" s="234"/>
      <c r="V114" s="235"/>
      <c r="W114" s="2"/>
      <c r="X114" s="2"/>
      <c r="Y114" s="2"/>
      <c r="Z114" s="2"/>
      <c r="AA114" s="2"/>
      <c r="AB114" s="2"/>
    </row>
    <row r="115" spans="1:29" ht="15.75" customHeight="1">
      <c r="A115" s="228">
        <v>21</v>
      </c>
      <c r="B115" s="75" t="s">
        <v>222</v>
      </c>
      <c r="C115" s="75" t="s">
        <v>572</v>
      </c>
      <c r="D115" s="2"/>
      <c r="E115" s="2"/>
      <c r="F115" s="97"/>
      <c r="G115" s="97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36"/>
      <c r="W115" s="2"/>
    </row>
    <row r="116" spans="1:29" ht="15.75" customHeight="1">
      <c r="A116" s="228">
        <v>21</v>
      </c>
      <c r="B116" s="75" t="s">
        <v>223</v>
      </c>
      <c r="C116" s="75" t="s">
        <v>572</v>
      </c>
      <c r="D116" s="2"/>
      <c r="E116" s="2"/>
      <c r="F116" s="97"/>
      <c r="G116" s="97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36"/>
      <c r="W116" s="2"/>
    </row>
    <row r="117" spans="1:29" ht="15.75" customHeight="1">
      <c r="A117" s="228">
        <v>21</v>
      </c>
      <c r="B117" s="75" t="s">
        <v>224</v>
      </c>
      <c r="C117" s="75" t="s">
        <v>572</v>
      </c>
      <c r="D117" s="2"/>
      <c r="E117" s="2"/>
      <c r="F117" s="97"/>
      <c r="G117" s="97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36"/>
      <c r="W117" s="2"/>
    </row>
    <row r="118" spans="1:29" ht="15.75" customHeight="1">
      <c r="A118" s="228">
        <v>21</v>
      </c>
      <c r="B118" s="75" t="s">
        <v>229</v>
      </c>
      <c r="C118" s="75" t="s">
        <v>572</v>
      </c>
      <c r="D118" s="2"/>
      <c r="E118" s="2"/>
      <c r="F118" s="97"/>
      <c r="G118" s="97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36"/>
      <c r="W118" s="2"/>
    </row>
    <row r="119" spans="1:29" ht="15.75" customHeight="1">
      <c r="A119" s="228">
        <v>21</v>
      </c>
      <c r="B119" s="75" t="s">
        <v>243</v>
      </c>
      <c r="C119" s="75" t="s">
        <v>572</v>
      </c>
      <c r="D119" s="2"/>
      <c r="E119" s="2"/>
      <c r="F119" s="97"/>
      <c r="G119" s="97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36"/>
      <c r="W119" s="2"/>
    </row>
    <row r="120" spans="1:29" ht="15.75" customHeight="1">
      <c r="A120" s="228">
        <v>21</v>
      </c>
      <c r="B120" s="75" t="s">
        <v>244</v>
      </c>
      <c r="C120" s="75" t="s">
        <v>572</v>
      </c>
      <c r="D120" s="2"/>
      <c r="E120" s="2"/>
      <c r="F120" s="97"/>
      <c r="G120" s="97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36"/>
      <c r="W120" s="2"/>
    </row>
    <row r="121" spans="1:29" ht="15.75" customHeight="1">
      <c r="A121" s="228">
        <v>21</v>
      </c>
      <c r="B121" s="75" t="s">
        <v>245</v>
      </c>
      <c r="C121" s="75" t="s">
        <v>572</v>
      </c>
      <c r="D121" s="2"/>
      <c r="E121" s="2"/>
      <c r="F121" s="97"/>
      <c r="G121" s="97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36"/>
      <c r="W121" s="2"/>
    </row>
    <row r="122" spans="1:29" ht="15.75" customHeight="1">
      <c r="A122" s="229">
        <v>21</v>
      </c>
      <c r="B122" s="74" t="s">
        <v>225</v>
      </c>
      <c r="C122" s="75"/>
      <c r="D122" s="2">
        <v>0.98</v>
      </c>
      <c r="E122" s="2">
        <v>1.32</v>
      </c>
      <c r="F122" s="2">
        <v>1.79</v>
      </c>
      <c r="G122" s="2">
        <v>2.44</v>
      </c>
      <c r="H122" s="2">
        <v>3.32</v>
      </c>
      <c r="I122" s="2">
        <v>4.42</v>
      </c>
      <c r="J122" s="2">
        <v>6.27</v>
      </c>
      <c r="K122" s="2">
        <v>8.36</v>
      </c>
      <c r="L122" s="2">
        <v>11.49</v>
      </c>
      <c r="M122" s="2">
        <v>15.31</v>
      </c>
      <c r="N122" s="2">
        <v>21.25</v>
      </c>
      <c r="O122" s="2">
        <v>28.32</v>
      </c>
      <c r="P122" s="2">
        <v>38.130000000000003</v>
      </c>
      <c r="Q122" s="2">
        <v>52.41</v>
      </c>
      <c r="R122" s="2">
        <v>70.56</v>
      </c>
      <c r="S122" s="2">
        <v>95</v>
      </c>
      <c r="T122" s="2">
        <v>130.56</v>
      </c>
      <c r="U122" s="2">
        <v>181.28</v>
      </c>
      <c r="V122" s="236">
        <v>249</v>
      </c>
      <c r="W122" s="2"/>
    </row>
    <row r="123" spans="1:29" ht="15.75" customHeight="1">
      <c r="A123" s="228">
        <v>21</v>
      </c>
      <c r="B123" s="75" t="s">
        <v>226</v>
      </c>
      <c r="C123" s="75"/>
      <c r="D123" s="2">
        <v>0.98</v>
      </c>
      <c r="E123" s="2">
        <v>1.32</v>
      </c>
      <c r="F123" s="2">
        <v>1.79</v>
      </c>
      <c r="G123" s="2">
        <v>2.44</v>
      </c>
      <c r="H123" s="2">
        <v>3.32</v>
      </c>
      <c r="I123" s="2">
        <v>4.42</v>
      </c>
      <c r="J123" s="2">
        <v>6.27</v>
      </c>
      <c r="K123" s="2">
        <v>8.36</v>
      </c>
      <c r="L123" s="2">
        <v>11.49</v>
      </c>
      <c r="M123" s="2">
        <v>15.31</v>
      </c>
      <c r="N123" s="2">
        <v>21.25</v>
      </c>
      <c r="O123" s="2">
        <v>28.32</v>
      </c>
      <c r="P123" s="2">
        <v>38.130000000000003</v>
      </c>
      <c r="Q123" s="2">
        <v>52.41</v>
      </c>
      <c r="R123" s="2">
        <v>70.56</v>
      </c>
      <c r="S123" s="2">
        <v>95</v>
      </c>
      <c r="T123" s="2">
        <v>130.56</v>
      </c>
      <c r="U123" s="2">
        <v>181.28</v>
      </c>
      <c r="V123" s="236">
        <v>249</v>
      </c>
      <c r="W123" s="2"/>
    </row>
    <row r="124" spans="1:29" ht="15.75" customHeight="1">
      <c r="A124" s="228">
        <v>21</v>
      </c>
      <c r="B124" s="75" t="s">
        <v>227</v>
      </c>
      <c r="C124" s="75"/>
      <c r="D124" s="2">
        <v>0.98</v>
      </c>
      <c r="E124" s="2">
        <v>1.32</v>
      </c>
      <c r="F124" s="2">
        <v>1.79</v>
      </c>
      <c r="G124" s="2">
        <v>2.44</v>
      </c>
      <c r="H124" s="2">
        <v>3.32</v>
      </c>
      <c r="I124" s="2">
        <v>4.42</v>
      </c>
      <c r="J124" s="2">
        <v>6.27</v>
      </c>
      <c r="K124" s="2">
        <v>8.36</v>
      </c>
      <c r="L124" s="2">
        <v>11.49</v>
      </c>
      <c r="M124" s="2">
        <v>15.31</v>
      </c>
      <c r="N124" s="2">
        <v>21.25</v>
      </c>
      <c r="O124" s="2">
        <v>28.32</v>
      </c>
      <c r="P124" s="2">
        <v>38.130000000000003</v>
      </c>
      <c r="Q124" s="2">
        <v>52.41</v>
      </c>
      <c r="R124" s="2">
        <v>70.56</v>
      </c>
      <c r="S124" s="2">
        <v>95</v>
      </c>
      <c r="T124" s="2">
        <v>130.56</v>
      </c>
      <c r="U124" s="2">
        <v>181.28</v>
      </c>
      <c r="V124" s="236">
        <v>249</v>
      </c>
      <c r="W124" s="2"/>
    </row>
    <row r="125" spans="1:29" ht="15.75" customHeight="1">
      <c r="A125" s="228">
        <v>21</v>
      </c>
      <c r="B125" s="75" t="s">
        <v>228</v>
      </c>
      <c r="C125" s="75"/>
      <c r="D125" s="2">
        <v>0.98</v>
      </c>
      <c r="E125" s="2">
        <v>1.32</v>
      </c>
      <c r="F125" s="2">
        <v>1.79</v>
      </c>
      <c r="G125" s="2">
        <v>2.44</v>
      </c>
      <c r="H125" s="2">
        <v>3.32</v>
      </c>
      <c r="I125" s="2">
        <v>4.42</v>
      </c>
      <c r="J125" s="2">
        <v>6.27</v>
      </c>
      <c r="K125" s="2">
        <v>8.36</v>
      </c>
      <c r="L125" s="2">
        <v>11.49</v>
      </c>
      <c r="M125" s="2">
        <v>15.31</v>
      </c>
      <c r="N125" s="2">
        <v>21.25</v>
      </c>
      <c r="O125" s="2">
        <v>28.32</v>
      </c>
      <c r="P125" s="2">
        <v>38.130000000000003</v>
      </c>
      <c r="Q125" s="2">
        <v>52.41</v>
      </c>
      <c r="R125" s="2">
        <v>70.56</v>
      </c>
      <c r="S125" s="2">
        <v>95</v>
      </c>
      <c r="T125" s="2">
        <v>130.56</v>
      </c>
      <c r="U125" s="2">
        <v>181.28</v>
      </c>
      <c r="V125" s="236">
        <v>249</v>
      </c>
      <c r="W125" s="2"/>
    </row>
    <row r="126" spans="1:29" ht="15.75" customHeight="1">
      <c r="A126" s="228">
        <v>21</v>
      </c>
      <c r="B126" s="75" t="s">
        <v>230</v>
      </c>
      <c r="C126" s="75"/>
      <c r="D126" s="2">
        <v>0.98</v>
      </c>
      <c r="E126" s="2">
        <v>1.32</v>
      </c>
      <c r="F126" s="2">
        <v>1.79</v>
      </c>
      <c r="G126" s="2">
        <v>2.44</v>
      </c>
      <c r="H126" s="2">
        <v>3.32</v>
      </c>
      <c r="I126" s="2">
        <v>4.42</v>
      </c>
      <c r="J126" s="2">
        <v>6.27</v>
      </c>
      <c r="K126" s="2">
        <v>8.36</v>
      </c>
      <c r="L126" s="2">
        <v>11.49</v>
      </c>
      <c r="M126" s="2">
        <v>15.31</v>
      </c>
      <c r="N126" s="2">
        <v>21.25</v>
      </c>
      <c r="O126" s="2">
        <v>28.32</v>
      </c>
      <c r="P126" s="2">
        <v>38.130000000000003</v>
      </c>
      <c r="Q126" s="2">
        <v>52.41</v>
      </c>
      <c r="R126" s="2">
        <v>70.56</v>
      </c>
      <c r="S126" s="2">
        <v>95</v>
      </c>
      <c r="T126" s="2">
        <v>130.56</v>
      </c>
      <c r="U126" s="2">
        <v>181.28</v>
      </c>
      <c r="V126" s="236">
        <v>249</v>
      </c>
      <c r="W126" s="2"/>
    </row>
    <row r="127" spans="1:29" ht="15.75" customHeight="1">
      <c r="A127" s="228">
        <v>21</v>
      </c>
      <c r="B127" s="75" t="s">
        <v>246</v>
      </c>
      <c r="C127" s="75"/>
      <c r="D127" s="2">
        <v>0.98</v>
      </c>
      <c r="E127" s="2">
        <v>1.32</v>
      </c>
      <c r="F127" s="2">
        <v>1.79</v>
      </c>
      <c r="G127" s="2">
        <v>2.44</v>
      </c>
      <c r="H127" s="2">
        <v>3.32</v>
      </c>
      <c r="I127" s="2">
        <v>4.42</v>
      </c>
      <c r="J127" s="2">
        <v>6.27</v>
      </c>
      <c r="K127" s="2">
        <v>8.36</v>
      </c>
      <c r="L127" s="2">
        <v>11.49</v>
      </c>
      <c r="M127" s="2">
        <v>15.31</v>
      </c>
      <c r="N127" s="2">
        <v>21.25</v>
      </c>
      <c r="O127" s="2">
        <v>28.32</v>
      </c>
      <c r="P127" s="2">
        <v>38.130000000000003</v>
      </c>
      <c r="Q127" s="2">
        <v>52.41</v>
      </c>
      <c r="R127" s="2">
        <v>70.56</v>
      </c>
      <c r="S127" s="2">
        <v>95</v>
      </c>
      <c r="T127" s="2">
        <v>130.56</v>
      </c>
      <c r="U127" s="2">
        <v>181.28</v>
      </c>
      <c r="V127" s="236">
        <v>249</v>
      </c>
      <c r="W127" s="2"/>
    </row>
    <row r="128" spans="1:29" ht="15.75" customHeight="1">
      <c r="A128" s="228">
        <v>21</v>
      </c>
      <c r="B128" s="75" t="s">
        <v>247</v>
      </c>
      <c r="C128" s="75"/>
      <c r="D128" s="2">
        <v>0.98</v>
      </c>
      <c r="E128" s="2">
        <v>1.32</v>
      </c>
      <c r="F128" s="2">
        <v>1.79</v>
      </c>
      <c r="G128" s="2">
        <v>2.44</v>
      </c>
      <c r="H128" s="2">
        <v>3.32</v>
      </c>
      <c r="I128" s="2">
        <v>4.42</v>
      </c>
      <c r="J128" s="2">
        <v>6.27</v>
      </c>
      <c r="K128" s="2">
        <v>8.36</v>
      </c>
      <c r="L128" s="2">
        <v>11.49</v>
      </c>
      <c r="M128" s="2">
        <v>15.31</v>
      </c>
      <c r="N128" s="2">
        <v>21.25</v>
      </c>
      <c r="O128" s="2">
        <v>28.32</v>
      </c>
      <c r="P128" s="2">
        <v>38.130000000000003</v>
      </c>
      <c r="Q128" s="2">
        <v>52.41</v>
      </c>
      <c r="R128" s="2">
        <v>70.56</v>
      </c>
      <c r="S128" s="2">
        <v>95</v>
      </c>
      <c r="T128" s="2">
        <v>130.56</v>
      </c>
      <c r="U128" s="2">
        <v>181.28</v>
      </c>
      <c r="V128" s="236">
        <v>249</v>
      </c>
      <c r="W128" s="2"/>
    </row>
    <row r="129" spans="1:38" ht="15.75" customHeight="1">
      <c r="A129" s="230">
        <v>21</v>
      </c>
      <c r="B129" s="231" t="s">
        <v>248</v>
      </c>
      <c r="C129" s="231"/>
      <c r="D129" s="34">
        <v>0.98</v>
      </c>
      <c r="E129" s="34">
        <v>1.32</v>
      </c>
      <c r="F129" s="34">
        <v>1.79</v>
      </c>
      <c r="G129" s="34">
        <v>2.44</v>
      </c>
      <c r="H129" s="34">
        <v>3.32</v>
      </c>
      <c r="I129" s="34">
        <v>4.42</v>
      </c>
      <c r="J129" s="34">
        <v>6.27</v>
      </c>
      <c r="K129" s="34">
        <v>8.36</v>
      </c>
      <c r="L129" s="34">
        <v>11.49</v>
      </c>
      <c r="M129" s="34">
        <v>15.31</v>
      </c>
      <c r="N129" s="34">
        <v>21.25</v>
      </c>
      <c r="O129" s="34">
        <v>28.32</v>
      </c>
      <c r="P129" s="34">
        <v>38.130000000000003</v>
      </c>
      <c r="Q129" s="34">
        <v>52.41</v>
      </c>
      <c r="R129" s="34">
        <v>70.56</v>
      </c>
      <c r="S129" s="34">
        <v>95</v>
      </c>
      <c r="T129" s="34">
        <v>130.56</v>
      </c>
      <c r="U129" s="34">
        <v>181.28</v>
      </c>
      <c r="V129" s="237">
        <v>249</v>
      </c>
      <c r="W129" s="2"/>
    </row>
    <row r="130" spans="1:38" ht="15.75" customHeight="1">
      <c r="A130" s="228">
        <v>22</v>
      </c>
      <c r="B130" s="75">
        <v>1</v>
      </c>
      <c r="C130" s="75"/>
      <c r="D130" s="2">
        <v>0.1</v>
      </c>
      <c r="E130" s="2">
        <v>0.14000000000000001</v>
      </c>
      <c r="F130" s="2">
        <v>0.21</v>
      </c>
      <c r="G130" s="2">
        <v>0.3</v>
      </c>
      <c r="H130" s="2">
        <v>0.45</v>
      </c>
      <c r="I130" s="2">
        <v>0.61</v>
      </c>
      <c r="J130" s="2">
        <v>0.87</v>
      </c>
      <c r="K130" s="2">
        <v>1.29</v>
      </c>
      <c r="L130" s="2">
        <v>1.85</v>
      </c>
      <c r="M130" s="2">
        <v>2.62</v>
      </c>
      <c r="N130" s="2">
        <v>3.78</v>
      </c>
      <c r="O130" s="2">
        <v>5.28</v>
      </c>
      <c r="P130" s="2">
        <v>7.7</v>
      </c>
      <c r="Q130" s="2">
        <v>11.1</v>
      </c>
      <c r="R130" s="2">
        <v>16.18</v>
      </c>
      <c r="S130" s="2">
        <v>22.86</v>
      </c>
      <c r="T130" s="2">
        <v>34.75</v>
      </c>
      <c r="U130" s="2">
        <v>49.6</v>
      </c>
      <c r="V130" s="2">
        <v>70.790000000000006</v>
      </c>
      <c r="W130" s="235">
        <v>98.96</v>
      </c>
      <c r="X130" s="2"/>
    </row>
    <row r="131" spans="1:38" ht="15.75" customHeight="1">
      <c r="A131" s="228">
        <v>22</v>
      </c>
      <c r="B131" s="75">
        <v>2</v>
      </c>
      <c r="C131" s="75"/>
      <c r="D131" s="2">
        <v>0.1</v>
      </c>
      <c r="E131" s="2">
        <v>0.14000000000000001</v>
      </c>
      <c r="F131" s="2">
        <v>0.21</v>
      </c>
      <c r="G131" s="2">
        <v>0.3</v>
      </c>
      <c r="H131" s="2">
        <v>0.45</v>
      </c>
      <c r="I131" s="2">
        <v>0.61</v>
      </c>
      <c r="J131" s="2">
        <v>0.87</v>
      </c>
      <c r="K131" s="2">
        <v>1.29</v>
      </c>
      <c r="L131" s="2">
        <v>1.85</v>
      </c>
      <c r="M131" s="2">
        <v>2.62</v>
      </c>
      <c r="N131" s="2">
        <v>3.78</v>
      </c>
      <c r="O131" s="2">
        <v>5.28</v>
      </c>
      <c r="P131" s="2">
        <v>7.7</v>
      </c>
      <c r="Q131" s="2">
        <v>11.1</v>
      </c>
      <c r="R131" s="2">
        <v>16.18</v>
      </c>
      <c r="S131" s="2">
        <v>22.86</v>
      </c>
      <c r="T131" s="2">
        <v>34.75</v>
      </c>
      <c r="U131" s="2">
        <v>49.6</v>
      </c>
      <c r="V131" s="2">
        <v>70.790000000000006</v>
      </c>
      <c r="W131" s="236">
        <v>98.96</v>
      </c>
      <c r="X131" s="2"/>
    </row>
    <row r="132" spans="1:38" ht="15.75" customHeight="1">
      <c r="A132" s="228">
        <v>22</v>
      </c>
      <c r="B132" s="75">
        <v>3</v>
      </c>
      <c r="C132" s="75"/>
      <c r="D132" s="2">
        <v>0.1</v>
      </c>
      <c r="E132" s="2">
        <v>0.14000000000000001</v>
      </c>
      <c r="F132" s="2">
        <v>0.21</v>
      </c>
      <c r="G132" s="2">
        <v>0.3</v>
      </c>
      <c r="H132" s="2">
        <v>0.45</v>
      </c>
      <c r="I132" s="2">
        <v>0.61</v>
      </c>
      <c r="J132" s="2">
        <v>0.87</v>
      </c>
      <c r="K132" s="2">
        <v>1.29</v>
      </c>
      <c r="L132" s="2">
        <v>1.85</v>
      </c>
      <c r="M132" s="2">
        <v>2.62</v>
      </c>
      <c r="N132" s="2">
        <v>3.78</v>
      </c>
      <c r="O132" s="2">
        <v>5.28</v>
      </c>
      <c r="P132" s="2">
        <v>7.7</v>
      </c>
      <c r="Q132" s="2">
        <v>11.1</v>
      </c>
      <c r="R132" s="2">
        <v>16.18</v>
      </c>
      <c r="S132" s="2">
        <v>22.86</v>
      </c>
      <c r="T132" s="2">
        <v>34.75</v>
      </c>
      <c r="U132" s="2">
        <v>49.6</v>
      </c>
      <c r="V132" s="2">
        <v>70.790000000000006</v>
      </c>
      <c r="W132" s="236">
        <v>98.96</v>
      </c>
      <c r="X132" s="2"/>
    </row>
    <row r="133" spans="1:38" ht="15.75" customHeight="1">
      <c r="A133" s="228">
        <v>22</v>
      </c>
      <c r="B133" s="75">
        <v>4</v>
      </c>
      <c r="C133" s="75"/>
      <c r="D133" s="2">
        <v>0.1</v>
      </c>
      <c r="E133" s="2">
        <v>0.14000000000000001</v>
      </c>
      <c r="F133" s="2">
        <v>0.21</v>
      </c>
      <c r="G133" s="2">
        <v>0.3</v>
      </c>
      <c r="H133" s="2">
        <v>0.45</v>
      </c>
      <c r="I133" s="2">
        <v>0.61</v>
      </c>
      <c r="J133" s="2">
        <v>0.87</v>
      </c>
      <c r="K133" s="2">
        <v>1.29</v>
      </c>
      <c r="L133" s="2">
        <v>1.85</v>
      </c>
      <c r="M133" s="2">
        <v>2.62</v>
      </c>
      <c r="N133" s="2">
        <v>3.78</v>
      </c>
      <c r="O133" s="2">
        <v>5.28</v>
      </c>
      <c r="P133" s="2">
        <v>7.7</v>
      </c>
      <c r="Q133" s="2">
        <v>11.1</v>
      </c>
      <c r="R133" s="2">
        <v>16.18</v>
      </c>
      <c r="S133" s="2">
        <v>22.86</v>
      </c>
      <c r="T133" s="2">
        <v>34.75</v>
      </c>
      <c r="U133" s="2">
        <v>49.6</v>
      </c>
      <c r="V133" s="2">
        <v>70.790000000000006</v>
      </c>
      <c r="W133" s="236">
        <v>98.96</v>
      </c>
      <c r="X133" s="2"/>
    </row>
    <row r="134" spans="1:38" ht="15.75" customHeight="1">
      <c r="A134" s="228">
        <v>22</v>
      </c>
      <c r="B134" s="75">
        <v>5</v>
      </c>
      <c r="C134" s="75"/>
      <c r="D134" s="2">
        <v>0.1</v>
      </c>
      <c r="E134" s="2">
        <v>0.14000000000000001</v>
      </c>
      <c r="F134" s="2">
        <v>0.21</v>
      </c>
      <c r="G134" s="2">
        <v>0.3</v>
      </c>
      <c r="H134" s="2">
        <v>0.45</v>
      </c>
      <c r="I134" s="2">
        <v>0.61</v>
      </c>
      <c r="J134" s="2">
        <v>0.87</v>
      </c>
      <c r="K134" s="2">
        <v>1.29</v>
      </c>
      <c r="L134" s="2">
        <v>1.85</v>
      </c>
      <c r="M134" s="2">
        <v>2.62</v>
      </c>
      <c r="N134" s="2">
        <v>3.78</v>
      </c>
      <c r="O134" s="2">
        <v>5.28</v>
      </c>
      <c r="P134" s="2">
        <v>7.7</v>
      </c>
      <c r="Q134" s="2">
        <v>11.1</v>
      </c>
      <c r="R134" s="2">
        <v>16.18</v>
      </c>
      <c r="S134" s="2">
        <v>22.86</v>
      </c>
      <c r="T134" s="2">
        <v>34.75</v>
      </c>
      <c r="U134" s="2">
        <v>49.6</v>
      </c>
      <c r="V134" s="2">
        <v>70.790000000000006</v>
      </c>
      <c r="W134" s="236">
        <v>98.96</v>
      </c>
      <c r="X134" s="2"/>
    </row>
    <row r="135" spans="1:38" ht="15.75" customHeight="1">
      <c r="A135" s="228">
        <v>22</v>
      </c>
      <c r="B135" s="75">
        <v>6</v>
      </c>
      <c r="C135" s="75"/>
      <c r="D135" s="2">
        <v>0.1</v>
      </c>
      <c r="E135" s="2">
        <v>0.14000000000000001</v>
      </c>
      <c r="F135" s="2">
        <v>0.21</v>
      </c>
      <c r="G135" s="2">
        <v>0.3</v>
      </c>
      <c r="H135" s="2">
        <v>0.45</v>
      </c>
      <c r="I135" s="2">
        <v>0.61</v>
      </c>
      <c r="J135" s="2">
        <v>0.87</v>
      </c>
      <c r="K135" s="2">
        <v>1.29</v>
      </c>
      <c r="L135" s="2">
        <v>1.85</v>
      </c>
      <c r="M135" s="2">
        <v>2.62</v>
      </c>
      <c r="N135" s="2">
        <v>3.78</v>
      </c>
      <c r="O135" s="2">
        <v>5.28</v>
      </c>
      <c r="P135" s="2">
        <v>7.7</v>
      </c>
      <c r="Q135" s="2">
        <v>11.1</v>
      </c>
      <c r="R135" s="2">
        <v>16.18</v>
      </c>
      <c r="S135" s="2">
        <v>22.86</v>
      </c>
      <c r="T135" s="2">
        <v>34.75</v>
      </c>
      <c r="U135" s="2">
        <v>49.6</v>
      </c>
      <c r="V135" s="2">
        <v>70.790000000000006</v>
      </c>
      <c r="W135" s="236">
        <v>98.96</v>
      </c>
      <c r="X135" s="2"/>
    </row>
    <row r="136" spans="1:38" ht="15.75" customHeight="1">
      <c r="A136" s="228">
        <v>22</v>
      </c>
      <c r="B136" s="75">
        <v>7</v>
      </c>
      <c r="C136" s="75"/>
      <c r="D136" s="2">
        <v>0.1</v>
      </c>
      <c r="E136" s="2">
        <v>0.14000000000000001</v>
      </c>
      <c r="F136" s="2">
        <v>0.21</v>
      </c>
      <c r="G136" s="2">
        <v>0.3</v>
      </c>
      <c r="H136" s="2">
        <v>0.45</v>
      </c>
      <c r="I136" s="2">
        <v>0.61</v>
      </c>
      <c r="J136" s="2">
        <v>0.87</v>
      </c>
      <c r="K136" s="2">
        <v>1.29</v>
      </c>
      <c r="L136" s="2">
        <v>1.85</v>
      </c>
      <c r="M136" s="2">
        <v>2.62</v>
      </c>
      <c r="N136" s="2">
        <v>3.78</v>
      </c>
      <c r="O136" s="2">
        <v>5.28</v>
      </c>
      <c r="P136" s="2">
        <v>7.7</v>
      </c>
      <c r="Q136" s="2">
        <v>11.1</v>
      </c>
      <c r="R136" s="2">
        <v>16.18</v>
      </c>
      <c r="S136" s="2">
        <v>22.86</v>
      </c>
      <c r="T136" s="2">
        <v>34.75</v>
      </c>
      <c r="U136" s="2">
        <v>49.6</v>
      </c>
      <c r="V136" s="2">
        <v>70.790000000000006</v>
      </c>
      <c r="W136" s="236">
        <v>98.96</v>
      </c>
      <c r="X136" s="2"/>
    </row>
    <row r="137" spans="1:38" ht="15.75" customHeight="1">
      <c r="A137" s="230">
        <v>22</v>
      </c>
      <c r="B137" s="231">
        <v>8</v>
      </c>
      <c r="C137" s="231"/>
      <c r="D137" s="34">
        <v>0.1</v>
      </c>
      <c r="E137" s="34">
        <v>0.14000000000000001</v>
      </c>
      <c r="F137" s="34">
        <v>0.21</v>
      </c>
      <c r="G137" s="34">
        <v>0.3</v>
      </c>
      <c r="H137" s="34">
        <v>0.45</v>
      </c>
      <c r="I137" s="34">
        <v>0.61</v>
      </c>
      <c r="J137" s="34">
        <v>0.87</v>
      </c>
      <c r="K137" s="34">
        <v>1.29</v>
      </c>
      <c r="L137" s="34">
        <v>1.85</v>
      </c>
      <c r="M137" s="34">
        <v>2.62</v>
      </c>
      <c r="N137" s="34">
        <v>3.78</v>
      </c>
      <c r="O137" s="34">
        <v>5.28</v>
      </c>
      <c r="P137" s="34">
        <v>7.7</v>
      </c>
      <c r="Q137" s="34">
        <v>11.1</v>
      </c>
      <c r="R137" s="34">
        <v>16.18</v>
      </c>
      <c r="S137" s="34">
        <v>22.86</v>
      </c>
      <c r="T137" s="34">
        <v>34.75</v>
      </c>
      <c r="U137" s="34">
        <v>49.6</v>
      </c>
      <c r="V137" s="34">
        <v>70.790000000000006</v>
      </c>
      <c r="W137" s="237">
        <v>98.96</v>
      </c>
      <c r="X137" s="2"/>
    </row>
    <row r="138" spans="1:38" ht="15.75" customHeight="1">
      <c r="A138" s="228">
        <v>23</v>
      </c>
      <c r="B138" s="75">
        <v>1</v>
      </c>
      <c r="C138" s="75" t="s">
        <v>572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38" ht="15.75" customHeight="1">
      <c r="A139" s="228">
        <v>23</v>
      </c>
      <c r="B139" s="75">
        <v>2</v>
      </c>
      <c r="C139" s="75" t="s">
        <v>572</v>
      </c>
    </row>
    <row r="140" spans="1:38" ht="15.75" customHeight="1">
      <c r="A140" s="228">
        <v>23</v>
      </c>
      <c r="B140" s="75">
        <v>3</v>
      </c>
      <c r="C140" s="75" t="s">
        <v>572</v>
      </c>
    </row>
    <row r="141" spans="1:38" ht="15.75" customHeight="1">
      <c r="A141" s="228">
        <v>23</v>
      </c>
      <c r="B141" s="75">
        <v>4</v>
      </c>
      <c r="C141" s="75" t="s">
        <v>572</v>
      </c>
    </row>
    <row r="142" spans="1:38" ht="15.75" customHeight="1">
      <c r="A142" s="228">
        <v>23</v>
      </c>
      <c r="B142" s="75">
        <v>5</v>
      </c>
      <c r="C142" s="75" t="s">
        <v>572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</row>
    <row r="143" spans="1:38" ht="15.75" customHeight="1">
      <c r="A143" s="309">
        <v>24</v>
      </c>
      <c r="B143" s="310">
        <v>1</v>
      </c>
      <c r="C143" s="310" t="s">
        <v>574</v>
      </c>
      <c r="D143" s="234">
        <v>0.1</v>
      </c>
      <c r="E143" s="234">
        <v>0.12</v>
      </c>
      <c r="F143" s="234">
        <v>0.15</v>
      </c>
      <c r="G143" s="234">
        <v>0.19</v>
      </c>
      <c r="H143" s="234">
        <v>0.23</v>
      </c>
      <c r="I143" s="234">
        <v>0.28000000000000003</v>
      </c>
      <c r="J143" s="234">
        <v>0.35</v>
      </c>
      <c r="K143" s="234">
        <v>0.43</v>
      </c>
      <c r="L143" s="234">
        <v>0.52</v>
      </c>
      <c r="M143" s="234">
        <v>0.67</v>
      </c>
      <c r="N143" s="234">
        <v>0.82</v>
      </c>
      <c r="O143" s="234">
        <v>1</v>
      </c>
      <c r="P143" s="234">
        <v>1.22</v>
      </c>
      <c r="Q143" s="234">
        <v>1.53</v>
      </c>
      <c r="R143" s="234">
        <v>1.87</v>
      </c>
      <c r="S143" s="234">
        <v>2.2799999999999998</v>
      </c>
      <c r="T143" s="234">
        <v>2.82</v>
      </c>
      <c r="U143" s="234">
        <v>3.55</v>
      </c>
      <c r="V143" s="234">
        <v>4.32</v>
      </c>
      <c r="W143" s="234">
        <v>5.27</v>
      </c>
      <c r="X143" s="234">
        <v>6.74</v>
      </c>
      <c r="Y143" s="234">
        <v>8.2100000000000009</v>
      </c>
      <c r="Z143" s="234">
        <v>10.17</v>
      </c>
      <c r="AA143" s="234">
        <v>12.18</v>
      </c>
      <c r="AB143" s="234">
        <v>15.09</v>
      </c>
      <c r="AC143" s="234">
        <v>18.68</v>
      </c>
      <c r="AD143" s="234">
        <v>22.76</v>
      </c>
      <c r="AE143" s="234">
        <v>28.65</v>
      </c>
      <c r="AF143" s="234">
        <v>35.479999999999997</v>
      </c>
      <c r="AG143" s="234">
        <v>42.52</v>
      </c>
      <c r="AH143" s="234">
        <v>52.65</v>
      </c>
      <c r="AI143" s="234">
        <v>64.14</v>
      </c>
      <c r="AJ143" s="234">
        <v>82.09</v>
      </c>
      <c r="AK143" s="235">
        <v>96.76</v>
      </c>
      <c r="AL143" s="2"/>
    </row>
    <row r="144" spans="1:38" ht="15.75" customHeight="1">
      <c r="A144" s="238">
        <v>24</v>
      </c>
      <c r="B144" s="239">
        <v>2</v>
      </c>
      <c r="C144" s="239" t="s">
        <v>574</v>
      </c>
      <c r="D144" s="2">
        <v>0.1</v>
      </c>
      <c r="E144" s="2">
        <v>0.12</v>
      </c>
      <c r="F144" s="2">
        <v>0.15</v>
      </c>
      <c r="G144" s="2">
        <v>0.19</v>
      </c>
      <c r="H144" s="2">
        <v>0.23</v>
      </c>
      <c r="I144" s="2">
        <v>0.28000000000000003</v>
      </c>
      <c r="J144" s="2">
        <v>0.35</v>
      </c>
      <c r="K144" s="2">
        <v>0.43</v>
      </c>
      <c r="L144" s="2">
        <v>0.52</v>
      </c>
      <c r="M144" s="2">
        <v>0.67</v>
      </c>
      <c r="N144" s="2">
        <v>0.82</v>
      </c>
      <c r="O144" s="2">
        <v>1</v>
      </c>
      <c r="P144" s="2">
        <v>1.22</v>
      </c>
      <c r="Q144" s="2">
        <v>1.53</v>
      </c>
      <c r="R144" s="2">
        <v>1.87</v>
      </c>
      <c r="S144" s="2">
        <v>2.2799999999999998</v>
      </c>
      <c r="T144" s="2">
        <v>2.82</v>
      </c>
      <c r="U144" s="2">
        <v>3.55</v>
      </c>
      <c r="V144" s="2">
        <v>4.32</v>
      </c>
      <c r="W144" s="2">
        <v>5.27</v>
      </c>
      <c r="X144" s="2">
        <v>6.74</v>
      </c>
      <c r="Y144" s="2">
        <v>8.2100000000000009</v>
      </c>
      <c r="Z144" s="2">
        <v>10.17</v>
      </c>
      <c r="AA144" s="2">
        <v>12.18</v>
      </c>
      <c r="AB144" s="2">
        <v>15.09</v>
      </c>
      <c r="AC144" s="2">
        <v>18.68</v>
      </c>
      <c r="AD144" s="2">
        <v>22.76</v>
      </c>
      <c r="AE144" s="2">
        <v>28.65</v>
      </c>
      <c r="AF144" s="2">
        <v>35.479999999999997</v>
      </c>
      <c r="AG144" s="2">
        <v>42.52</v>
      </c>
      <c r="AH144" s="2">
        <v>52.65</v>
      </c>
      <c r="AI144" s="2">
        <v>64.14</v>
      </c>
      <c r="AJ144" s="2">
        <v>82.09</v>
      </c>
      <c r="AK144" s="236">
        <v>96.76</v>
      </c>
      <c r="AL144" s="2"/>
    </row>
    <row r="145" spans="1:38" ht="15.75" customHeight="1">
      <c r="A145" s="238">
        <v>24</v>
      </c>
      <c r="B145" s="239">
        <v>3</v>
      </c>
      <c r="C145" s="239" t="s">
        <v>574</v>
      </c>
      <c r="D145" s="2">
        <v>0.1</v>
      </c>
      <c r="E145" s="2">
        <v>0.12</v>
      </c>
      <c r="F145" s="2">
        <v>0.15</v>
      </c>
      <c r="G145" s="2">
        <v>0.19</v>
      </c>
      <c r="H145" s="2">
        <v>0.23</v>
      </c>
      <c r="I145" s="2">
        <v>0.28000000000000003</v>
      </c>
      <c r="J145" s="2">
        <v>0.35</v>
      </c>
      <c r="K145" s="2">
        <v>0.43</v>
      </c>
      <c r="L145" s="2">
        <v>0.52</v>
      </c>
      <c r="M145" s="2">
        <v>0.67</v>
      </c>
      <c r="N145" s="2">
        <v>0.82</v>
      </c>
      <c r="O145" s="2">
        <v>1</v>
      </c>
      <c r="P145" s="2">
        <v>1.22</v>
      </c>
      <c r="Q145" s="2">
        <v>1.53</v>
      </c>
      <c r="R145" s="2">
        <v>1.87</v>
      </c>
      <c r="S145" s="2">
        <v>2.2799999999999998</v>
      </c>
      <c r="T145" s="2">
        <v>2.82</v>
      </c>
      <c r="U145" s="2">
        <v>3.55</v>
      </c>
      <c r="V145" s="2">
        <v>4.32</v>
      </c>
      <c r="W145" s="2">
        <v>5.27</v>
      </c>
      <c r="X145" s="2">
        <v>6.74</v>
      </c>
      <c r="Y145" s="2">
        <v>8.2100000000000009</v>
      </c>
      <c r="Z145" s="2">
        <v>10.17</v>
      </c>
      <c r="AA145" s="2">
        <v>12.18</v>
      </c>
      <c r="AB145" s="2">
        <v>15.09</v>
      </c>
      <c r="AC145" s="2">
        <v>18.68</v>
      </c>
      <c r="AD145" s="2">
        <v>22.76</v>
      </c>
      <c r="AE145" s="2">
        <v>28.65</v>
      </c>
      <c r="AF145" s="2">
        <v>35.479999999999997</v>
      </c>
      <c r="AG145" s="2">
        <v>42.52</v>
      </c>
      <c r="AH145" s="2">
        <v>52.65</v>
      </c>
      <c r="AI145" s="2">
        <v>64.14</v>
      </c>
      <c r="AJ145" s="2">
        <v>82.09</v>
      </c>
      <c r="AK145" s="236">
        <v>96.76</v>
      </c>
      <c r="AL145" s="2"/>
    </row>
    <row r="146" spans="1:38" ht="15.75" customHeight="1">
      <c r="A146" s="238">
        <v>24</v>
      </c>
      <c r="B146" s="239">
        <v>4</v>
      </c>
      <c r="C146" s="239" t="s">
        <v>574</v>
      </c>
      <c r="D146" s="2">
        <v>0.1</v>
      </c>
      <c r="E146" s="2">
        <v>0.12</v>
      </c>
      <c r="F146" s="2">
        <v>0.15</v>
      </c>
      <c r="G146" s="2">
        <v>0.19</v>
      </c>
      <c r="H146" s="2">
        <v>0.23</v>
      </c>
      <c r="I146" s="2">
        <v>0.28000000000000003</v>
      </c>
      <c r="J146" s="2">
        <v>0.35</v>
      </c>
      <c r="K146" s="2">
        <v>0.43</v>
      </c>
      <c r="L146" s="2">
        <v>0.52</v>
      </c>
      <c r="M146" s="2">
        <v>0.67</v>
      </c>
      <c r="N146" s="2">
        <v>0.82</v>
      </c>
      <c r="O146" s="2">
        <v>1</v>
      </c>
      <c r="P146" s="2">
        <v>1.22</v>
      </c>
      <c r="Q146" s="2">
        <v>1.53</v>
      </c>
      <c r="R146" s="2">
        <v>1.87</v>
      </c>
      <c r="S146" s="2">
        <v>2.2799999999999998</v>
      </c>
      <c r="T146" s="2">
        <v>2.82</v>
      </c>
      <c r="U146" s="2">
        <v>3.55</v>
      </c>
      <c r="V146" s="2">
        <v>4.32</v>
      </c>
      <c r="W146" s="2">
        <v>5.27</v>
      </c>
      <c r="X146" s="2">
        <v>6.74</v>
      </c>
      <c r="Y146" s="2">
        <v>8.2100000000000009</v>
      </c>
      <c r="Z146" s="2">
        <v>10.17</v>
      </c>
      <c r="AA146" s="2">
        <v>12.18</v>
      </c>
      <c r="AB146" s="2">
        <v>15.09</v>
      </c>
      <c r="AC146" s="2">
        <v>18.68</v>
      </c>
      <c r="AD146" s="2">
        <v>22.76</v>
      </c>
      <c r="AE146" s="2">
        <v>28.65</v>
      </c>
      <c r="AF146" s="2">
        <v>35.479999999999997</v>
      </c>
      <c r="AG146" s="2">
        <v>42.52</v>
      </c>
      <c r="AH146" s="2">
        <v>52.65</v>
      </c>
      <c r="AI146" s="2">
        <v>64.14</v>
      </c>
      <c r="AJ146" s="2">
        <v>82.09</v>
      </c>
      <c r="AK146" s="236">
        <v>96.76</v>
      </c>
      <c r="AL146" s="2"/>
    </row>
    <row r="147" spans="1:38" ht="15.75" customHeight="1">
      <c r="A147" s="238">
        <v>24</v>
      </c>
      <c r="B147" s="239">
        <v>5</v>
      </c>
      <c r="C147" s="239" t="s">
        <v>574</v>
      </c>
      <c r="D147" s="2">
        <v>0.1</v>
      </c>
      <c r="E147" s="2">
        <v>0.12</v>
      </c>
      <c r="F147" s="2">
        <v>0.15</v>
      </c>
      <c r="G147" s="2">
        <v>0.19</v>
      </c>
      <c r="H147" s="2">
        <v>0.23</v>
      </c>
      <c r="I147" s="2">
        <v>0.28000000000000003</v>
      </c>
      <c r="J147" s="2">
        <v>0.35</v>
      </c>
      <c r="K147" s="2">
        <v>0.43</v>
      </c>
      <c r="L147" s="2">
        <v>0.52</v>
      </c>
      <c r="M147" s="2">
        <v>0.67</v>
      </c>
      <c r="N147" s="2">
        <v>0.82</v>
      </c>
      <c r="O147" s="2">
        <v>1</v>
      </c>
      <c r="P147" s="2">
        <v>1.22</v>
      </c>
      <c r="Q147" s="2">
        <v>1.53</v>
      </c>
      <c r="R147" s="2">
        <v>1.87</v>
      </c>
      <c r="S147" s="2">
        <v>2.2799999999999998</v>
      </c>
      <c r="T147" s="2">
        <v>2.82</v>
      </c>
      <c r="U147" s="2">
        <v>3.55</v>
      </c>
      <c r="V147" s="2">
        <v>4.32</v>
      </c>
      <c r="W147" s="2">
        <v>5.27</v>
      </c>
      <c r="X147" s="2">
        <v>6.74</v>
      </c>
      <c r="Y147" s="2">
        <v>8.2100000000000009</v>
      </c>
      <c r="Z147" s="2">
        <v>10.17</v>
      </c>
      <c r="AA147" s="2">
        <v>12.18</v>
      </c>
      <c r="AB147" s="2">
        <v>15.09</v>
      </c>
      <c r="AC147" s="2">
        <v>18.68</v>
      </c>
      <c r="AD147" s="2">
        <v>22.76</v>
      </c>
      <c r="AE147" s="2">
        <v>28.65</v>
      </c>
      <c r="AF147" s="2">
        <v>35.479999999999997</v>
      </c>
      <c r="AG147" s="2">
        <v>42.52</v>
      </c>
      <c r="AH147" s="2">
        <v>52.65</v>
      </c>
      <c r="AI147" s="2">
        <v>64.14</v>
      </c>
      <c r="AJ147" s="2">
        <v>82.09</v>
      </c>
      <c r="AK147" s="236">
        <v>96.76</v>
      </c>
      <c r="AL147" s="2"/>
    </row>
    <row r="148" spans="1:38" ht="15.75" customHeight="1">
      <c r="A148" s="238">
        <v>24</v>
      </c>
      <c r="B148" s="239">
        <v>6</v>
      </c>
      <c r="C148" s="239" t="s">
        <v>574</v>
      </c>
      <c r="D148" s="2">
        <v>0.1</v>
      </c>
      <c r="E148" s="2">
        <v>0.12</v>
      </c>
      <c r="F148" s="2">
        <v>0.15</v>
      </c>
      <c r="G148" s="2">
        <v>0.19</v>
      </c>
      <c r="H148" s="2">
        <v>0.23</v>
      </c>
      <c r="I148" s="2">
        <v>0.28000000000000003</v>
      </c>
      <c r="J148" s="2">
        <v>0.35</v>
      </c>
      <c r="K148" s="2">
        <v>0.43</v>
      </c>
      <c r="L148" s="2">
        <v>0.52</v>
      </c>
      <c r="M148" s="2">
        <v>0.67</v>
      </c>
      <c r="N148" s="2">
        <v>0.82</v>
      </c>
      <c r="O148" s="2">
        <v>1</v>
      </c>
      <c r="P148" s="2">
        <v>1.22</v>
      </c>
      <c r="Q148" s="2">
        <v>1.53</v>
      </c>
      <c r="R148" s="2">
        <v>1.87</v>
      </c>
      <c r="S148" s="2">
        <v>2.2799999999999998</v>
      </c>
      <c r="T148" s="2">
        <v>2.82</v>
      </c>
      <c r="U148" s="2">
        <v>3.55</v>
      </c>
      <c r="V148" s="2">
        <v>4.32</v>
      </c>
      <c r="W148" s="2">
        <v>5.27</v>
      </c>
      <c r="X148" s="2">
        <v>6.74</v>
      </c>
      <c r="Y148" s="2">
        <v>8.2100000000000009</v>
      </c>
      <c r="Z148" s="2">
        <v>10.17</v>
      </c>
      <c r="AA148" s="2">
        <v>12.18</v>
      </c>
      <c r="AB148" s="2">
        <v>15.09</v>
      </c>
      <c r="AC148" s="2">
        <v>18.68</v>
      </c>
      <c r="AD148" s="2">
        <v>22.76</v>
      </c>
      <c r="AE148" s="2">
        <v>28.65</v>
      </c>
      <c r="AF148" s="2">
        <v>35.479999999999997</v>
      </c>
      <c r="AG148" s="2">
        <v>42.52</v>
      </c>
      <c r="AH148" s="2">
        <v>52.65</v>
      </c>
      <c r="AI148" s="2">
        <v>64.14</v>
      </c>
      <c r="AJ148" s="2">
        <v>82.09</v>
      </c>
      <c r="AK148" s="236">
        <v>96.76</v>
      </c>
      <c r="AL148" s="2"/>
    </row>
    <row r="149" spans="1:38" ht="15.75" customHeight="1">
      <c r="A149" s="311">
        <v>24</v>
      </c>
      <c r="B149" s="312">
        <v>7</v>
      </c>
      <c r="C149" s="312" t="s">
        <v>574</v>
      </c>
      <c r="D149" s="34">
        <v>0.1</v>
      </c>
      <c r="E149" s="34">
        <v>0.12</v>
      </c>
      <c r="F149" s="34">
        <v>0.15</v>
      </c>
      <c r="G149" s="34">
        <v>0.19</v>
      </c>
      <c r="H149" s="34">
        <v>0.23</v>
      </c>
      <c r="I149" s="34">
        <v>0.28000000000000003</v>
      </c>
      <c r="J149" s="34">
        <v>0.35</v>
      </c>
      <c r="K149" s="34">
        <v>0.43</v>
      </c>
      <c r="L149" s="34">
        <v>0.52</v>
      </c>
      <c r="M149" s="34">
        <v>0.67</v>
      </c>
      <c r="N149" s="34">
        <v>0.82</v>
      </c>
      <c r="O149" s="34">
        <v>1</v>
      </c>
      <c r="P149" s="34">
        <v>1.22</v>
      </c>
      <c r="Q149" s="34">
        <v>1.53</v>
      </c>
      <c r="R149" s="34">
        <v>1.87</v>
      </c>
      <c r="S149" s="34">
        <v>2.2799999999999998</v>
      </c>
      <c r="T149" s="34">
        <v>2.82</v>
      </c>
      <c r="U149" s="34">
        <v>3.55</v>
      </c>
      <c r="V149" s="34">
        <v>4.32</v>
      </c>
      <c r="W149" s="34">
        <v>5.27</v>
      </c>
      <c r="X149" s="34">
        <v>6.74</v>
      </c>
      <c r="Y149" s="34">
        <v>8.2100000000000009</v>
      </c>
      <c r="Z149" s="34">
        <v>10.17</v>
      </c>
      <c r="AA149" s="34">
        <v>12.18</v>
      </c>
      <c r="AB149" s="34">
        <v>15.09</v>
      </c>
      <c r="AC149" s="34">
        <v>18.68</v>
      </c>
      <c r="AD149" s="34">
        <v>22.76</v>
      </c>
      <c r="AE149" s="34">
        <v>28.65</v>
      </c>
      <c r="AF149" s="34">
        <v>35.479999999999997</v>
      </c>
      <c r="AG149" s="34">
        <v>42.52</v>
      </c>
      <c r="AH149" s="34">
        <v>52.65</v>
      </c>
      <c r="AI149" s="34">
        <v>64.14</v>
      </c>
      <c r="AJ149" s="34">
        <v>82.09</v>
      </c>
      <c r="AK149" s="237">
        <v>96.76</v>
      </c>
      <c r="AL149" s="2"/>
    </row>
    <row r="150" spans="1:38" ht="15.75" customHeight="1">
      <c r="A150" s="228">
        <v>25</v>
      </c>
      <c r="B150" s="75">
        <v>1</v>
      </c>
      <c r="C150" s="75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</row>
    <row r="151" spans="1:38" ht="15.75" customHeight="1">
      <c r="A151" s="228">
        <v>25</v>
      </c>
      <c r="B151" s="75">
        <v>2</v>
      </c>
      <c r="C151" s="75"/>
    </row>
    <row r="152" spans="1:38" ht="15.75" customHeight="1">
      <c r="A152" s="228">
        <v>25</v>
      </c>
      <c r="B152" s="75">
        <v>3</v>
      </c>
      <c r="C152" s="75"/>
    </row>
    <row r="153" spans="1:38" ht="15.75" customHeight="1">
      <c r="A153" s="228">
        <v>25</v>
      </c>
      <c r="B153" s="75">
        <v>4</v>
      </c>
      <c r="C153" s="75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spans="1:38" ht="15.75" customHeight="1">
      <c r="A154" s="229">
        <v>26</v>
      </c>
      <c r="B154" s="200" t="s">
        <v>221</v>
      </c>
      <c r="C154" s="200" t="s">
        <v>574</v>
      </c>
      <c r="D154" s="234">
        <v>0.10199999999999999</v>
      </c>
      <c r="E154" s="234">
        <v>0.14899999999999999</v>
      </c>
      <c r="F154" s="234">
        <v>0.219</v>
      </c>
      <c r="G154" s="234">
        <v>0.318</v>
      </c>
      <c r="H154" s="234">
        <v>0.46800000000000003</v>
      </c>
      <c r="I154" s="234">
        <v>0.68799999999999994</v>
      </c>
      <c r="J154" s="234">
        <v>1</v>
      </c>
      <c r="K154" s="234">
        <v>1.4710000000000001</v>
      </c>
      <c r="L154" s="234">
        <v>2.1120000000000001</v>
      </c>
      <c r="M154" s="234">
        <v>3.181</v>
      </c>
      <c r="N154" s="234">
        <v>4.6790000000000003</v>
      </c>
      <c r="O154" s="234">
        <v>6.7990000000000004</v>
      </c>
      <c r="P154" s="234">
        <v>10</v>
      </c>
      <c r="Q154" s="234">
        <v>15.066000000000001</v>
      </c>
      <c r="R154" s="234">
        <v>22.428000000000001</v>
      </c>
      <c r="S154" s="234">
        <v>31.433</v>
      </c>
      <c r="T154" s="234">
        <v>46.79</v>
      </c>
      <c r="U154" s="234">
        <v>67.992000000000004</v>
      </c>
      <c r="V154" s="235">
        <v>100</v>
      </c>
      <c r="W154" s="2"/>
    </row>
    <row r="155" spans="1:38" ht="15.75" customHeight="1">
      <c r="A155" s="228">
        <v>26</v>
      </c>
      <c r="B155" s="201" t="s">
        <v>222</v>
      </c>
      <c r="C155" s="201" t="s">
        <v>574</v>
      </c>
      <c r="D155" s="2">
        <v>0.10199999999999999</v>
      </c>
      <c r="E155" s="2">
        <v>0.14899999999999999</v>
      </c>
      <c r="F155" s="2">
        <v>0.219</v>
      </c>
      <c r="G155" s="2">
        <v>0.318</v>
      </c>
      <c r="H155" s="2">
        <v>0.46800000000000003</v>
      </c>
      <c r="I155" s="2">
        <v>0.68799999999999994</v>
      </c>
      <c r="J155" s="2">
        <v>1</v>
      </c>
      <c r="K155" s="2">
        <v>1.4710000000000001</v>
      </c>
      <c r="L155" s="2">
        <v>2.1120000000000001</v>
      </c>
      <c r="M155" s="2">
        <v>3.181</v>
      </c>
      <c r="N155" s="2">
        <v>4.6790000000000003</v>
      </c>
      <c r="O155" s="2">
        <v>6.7990000000000004</v>
      </c>
      <c r="P155" s="2">
        <v>10</v>
      </c>
      <c r="Q155" s="2">
        <v>15.066000000000001</v>
      </c>
      <c r="R155" s="2">
        <v>22.428000000000001</v>
      </c>
      <c r="S155" s="2">
        <v>31.433</v>
      </c>
      <c r="T155" s="2">
        <v>46.79</v>
      </c>
      <c r="U155" s="2">
        <v>67.992000000000004</v>
      </c>
      <c r="V155" s="236">
        <v>100</v>
      </c>
      <c r="W155" s="2"/>
    </row>
    <row r="156" spans="1:38" ht="15.75" customHeight="1">
      <c r="A156" s="228">
        <v>26</v>
      </c>
      <c r="B156" s="201" t="s">
        <v>223</v>
      </c>
      <c r="C156" s="201" t="s">
        <v>574</v>
      </c>
      <c r="D156" s="2">
        <v>0.10199999999999999</v>
      </c>
      <c r="E156" s="2">
        <v>0.14899999999999999</v>
      </c>
      <c r="F156" s="2">
        <v>0.219</v>
      </c>
      <c r="G156" s="2">
        <v>0.318</v>
      </c>
      <c r="H156" s="2">
        <v>0.46800000000000003</v>
      </c>
      <c r="I156" s="2">
        <v>0.68799999999999994</v>
      </c>
      <c r="J156" s="2">
        <v>1</v>
      </c>
      <c r="K156" s="2">
        <v>1.4710000000000001</v>
      </c>
      <c r="L156" s="2">
        <v>2.1120000000000001</v>
      </c>
      <c r="M156" s="2">
        <v>3.181</v>
      </c>
      <c r="N156" s="2">
        <v>4.6790000000000003</v>
      </c>
      <c r="O156" s="2">
        <v>6.7990000000000004</v>
      </c>
      <c r="P156" s="2">
        <v>10</v>
      </c>
      <c r="Q156" s="2">
        <v>15.066000000000001</v>
      </c>
      <c r="R156" s="2">
        <v>22.428000000000001</v>
      </c>
      <c r="S156" s="2">
        <v>31.433</v>
      </c>
      <c r="T156" s="2">
        <v>46.79</v>
      </c>
      <c r="U156" s="2">
        <v>67.992000000000004</v>
      </c>
      <c r="V156" s="236">
        <v>100</v>
      </c>
      <c r="W156" s="2"/>
    </row>
    <row r="157" spans="1:38" ht="15.75" customHeight="1">
      <c r="A157" s="228">
        <v>26</v>
      </c>
      <c r="B157" s="201" t="s">
        <v>224</v>
      </c>
      <c r="C157" s="201" t="s">
        <v>574</v>
      </c>
      <c r="D157" s="2">
        <v>0.10199999999999999</v>
      </c>
      <c r="E157" s="2">
        <v>0.14899999999999999</v>
      </c>
      <c r="F157" s="2">
        <v>0.219</v>
      </c>
      <c r="G157" s="2">
        <v>0.318</v>
      </c>
      <c r="H157" s="2">
        <v>0.46800000000000003</v>
      </c>
      <c r="I157" s="2">
        <v>0.68799999999999994</v>
      </c>
      <c r="J157" s="2">
        <v>1</v>
      </c>
      <c r="K157" s="2">
        <v>1.4710000000000001</v>
      </c>
      <c r="L157" s="2">
        <v>2.1120000000000001</v>
      </c>
      <c r="M157" s="2">
        <v>3.181</v>
      </c>
      <c r="N157" s="2">
        <v>4.6790000000000003</v>
      </c>
      <c r="O157" s="2">
        <v>6.7990000000000004</v>
      </c>
      <c r="P157" s="2">
        <v>10</v>
      </c>
      <c r="Q157" s="2">
        <v>15.066000000000001</v>
      </c>
      <c r="R157" s="2">
        <v>22.428000000000001</v>
      </c>
      <c r="S157" s="2">
        <v>31.433</v>
      </c>
      <c r="T157" s="2">
        <v>46.79</v>
      </c>
      <c r="U157" s="2">
        <v>67.992000000000004</v>
      </c>
      <c r="V157" s="236">
        <v>100</v>
      </c>
      <c r="W157" s="2"/>
    </row>
    <row r="158" spans="1:38" ht="15.75" customHeight="1">
      <c r="A158" s="228">
        <v>26</v>
      </c>
      <c r="B158" s="201" t="s">
        <v>229</v>
      </c>
      <c r="C158" s="201" t="s">
        <v>574</v>
      </c>
      <c r="D158" s="2">
        <v>0.10199999999999999</v>
      </c>
      <c r="E158" s="2">
        <v>0.14899999999999999</v>
      </c>
      <c r="F158" s="2">
        <v>0.219</v>
      </c>
      <c r="G158" s="2">
        <v>0.318</v>
      </c>
      <c r="H158" s="2">
        <v>0.46800000000000003</v>
      </c>
      <c r="I158" s="2">
        <v>0.68799999999999994</v>
      </c>
      <c r="J158" s="2">
        <v>1</v>
      </c>
      <c r="K158" s="2">
        <v>1.4710000000000001</v>
      </c>
      <c r="L158" s="2">
        <v>2.1120000000000001</v>
      </c>
      <c r="M158" s="2">
        <v>3.181</v>
      </c>
      <c r="N158" s="2">
        <v>4.6790000000000003</v>
      </c>
      <c r="O158" s="2">
        <v>6.7990000000000004</v>
      </c>
      <c r="P158" s="2">
        <v>10</v>
      </c>
      <c r="Q158" s="2">
        <v>15.066000000000001</v>
      </c>
      <c r="R158" s="2">
        <v>22.428000000000001</v>
      </c>
      <c r="S158" s="2">
        <v>31.433</v>
      </c>
      <c r="T158" s="2">
        <v>46.79</v>
      </c>
      <c r="U158" s="2">
        <v>67.992000000000004</v>
      </c>
      <c r="V158" s="236">
        <v>100</v>
      </c>
      <c r="W158" s="2"/>
    </row>
    <row r="159" spans="1:38" ht="15.75" customHeight="1">
      <c r="A159" s="228">
        <v>26</v>
      </c>
      <c r="B159" s="201" t="s">
        <v>225</v>
      </c>
      <c r="C159" s="201" t="s">
        <v>575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36"/>
      <c r="W159" s="2"/>
    </row>
    <row r="160" spans="1:38" ht="15.75" customHeight="1">
      <c r="A160" s="228">
        <v>26</v>
      </c>
      <c r="B160" s="201" t="s">
        <v>226</v>
      </c>
      <c r="C160" s="201" t="s">
        <v>575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36"/>
      <c r="W160" s="2"/>
    </row>
    <row r="161" spans="1:23" ht="15.75" customHeight="1">
      <c r="A161" s="228">
        <v>26</v>
      </c>
      <c r="B161" s="201" t="s">
        <v>227</v>
      </c>
      <c r="C161" s="201" t="s">
        <v>575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36"/>
      <c r="W161" s="2"/>
    </row>
    <row r="162" spans="1:23" ht="15.75" customHeight="1">
      <c r="A162" s="228">
        <v>26</v>
      </c>
      <c r="B162" s="201" t="s">
        <v>228</v>
      </c>
      <c r="C162" s="201" t="s">
        <v>575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36"/>
      <c r="W162" s="2"/>
    </row>
    <row r="163" spans="1:23" ht="15.75" customHeight="1">
      <c r="A163" s="230">
        <v>26</v>
      </c>
      <c r="B163" s="231" t="s">
        <v>230</v>
      </c>
      <c r="C163" s="231" t="s">
        <v>575</v>
      </c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237"/>
      <c r="W163" s="2"/>
    </row>
    <row r="164" spans="1:23" ht="15.75" customHeight="1">
      <c r="A164" s="199">
        <v>27</v>
      </c>
      <c r="B164" s="200">
        <v>1</v>
      </c>
      <c r="C164" s="201" t="s">
        <v>575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spans="1:23" ht="15.75" customHeight="1">
      <c r="A165" s="196">
        <v>27</v>
      </c>
      <c r="B165" s="201">
        <v>2</v>
      </c>
      <c r="C165" s="201" t="s">
        <v>575</v>
      </c>
    </row>
    <row r="166" spans="1:23" ht="15.75" customHeight="1">
      <c r="A166" s="196">
        <v>27</v>
      </c>
      <c r="B166" s="201">
        <v>3</v>
      </c>
      <c r="C166" s="201" t="s">
        <v>575</v>
      </c>
    </row>
    <row r="167" spans="1:23" ht="15.75" customHeight="1">
      <c r="A167" s="196">
        <v>27</v>
      </c>
      <c r="B167" s="201">
        <v>4</v>
      </c>
      <c r="C167" s="201" t="s">
        <v>575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spans="1:23" ht="15.75" customHeight="1">
      <c r="A168" s="229">
        <v>28</v>
      </c>
      <c r="B168" s="74">
        <v>1</v>
      </c>
      <c r="C168" s="74"/>
      <c r="D168" s="234">
        <v>0.1</v>
      </c>
      <c r="E168" s="234">
        <v>0.15</v>
      </c>
      <c r="F168" s="234">
        <v>0.22</v>
      </c>
      <c r="G168" s="234">
        <v>0.32</v>
      </c>
      <c r="H168" s="234">
        <v>0.47</v>
      </c>
      <c r="I168" s="234">
        <v>0.71</v>
      </c>
      <c r="J168" s="234">
        <v>1.01</v>
      </c>
      <c r="K168" s="234">
        <v>1.53</v>
      </c>
      <c r="L168" s="234">
        <v>2.17</v>
      </c>
      <c r="M168" s="234">
        <v>3.24</v>
      </c>
      <c r="N168" s="234">
        <v>4.71</v>
      </c>
      <c r="O168" s="234">
        <v>6.95</v>
      </c>
      <c r="P168" s="234">
        <v>10.17</v>
      </c>
      <c r="Q168" s="234">
        <v>14.89</v>
      </c>
      <c r="R168" s="234">
        <v>21.95</v>
      </c>
      <c r="S168" s="234">
        <v>31.66</v>
      </c>
      <c r="T168" s="234">
        <v>48.42</v>
      </c>
      <c r="U168" s="234">
        <v>70.36</v>
      </c>
      <c r="V168" s="235">
        <v>99.27</v>
      </c>
      <c r="W168" s="2"/>
    </row>
    <row r="169" spans="1:23" ht="15.75" customHeight="1">
      <c r="A169" s="228">
        <v>28</v>
      </c>
      <c r="B169" s="75">
        <v>2</v>
      </c>
      <c r="C169" s="75"/>
      <c r="D169" s="2">
        <v>0.1</v>
      </c>
      <c r="E169" s="2">
        <v>0.15</v>
      </c>
      <c r="F169" s="2">
        <v>0.22</v>
      </c>
      <c r="G169" s="2">
        <v>0.32</v>
      </c>
      <c r="H169" s="2">
        <v>0.47</v>
      </c>
      <c r="I169" s="2">
        <v>0.71</v>
      </c>
      <c r="J169" s="2">
        <v>1.01</v>
      </c>
      <c r="K169" s="2">
        <v>1.53</v>
      </c>
      <c r="L169" s="2">
        <v>2.17</v>
      </c>
      <c r="M169" s="2">
        <v>3.24</v>
      </c>
      <c r="N169" s="2">
        <v>4.71</v>
      </c>
      <c r="O169" s="2">
        <v>6.95</v>
      </c>
      <c r="P169" s="32">
        <v>10.17</v>
      </c>
      <c r="Q169" s="2">
        <v>14.89</v>
      </c>
      <c r="R169" s="2">
        <v>21.95</v>
      </c>
      <c r="S169" s="2">
        <v>31.66</v>
      </c>
      <c r="T169" s="2">
        <v>48.42</v>
      </c>
      <c r="U169" s="2">
        <v>70.36</v>
      </c>
      <c r="V169" s="236">
        <v>99.27</v>
      </c>
      <c r="W169" s="2"/>
    </row>
    <row r="170" spans="1:23" ht="15.75" customHeight="1">
      <c r="A170" s="228">
        <v>28</v>
      </c>
      <c r="B170" s="75">
        <v>3</v>
      </c>
      <c r="C170" s="75"/>
      <c r="D170" s="2">
        <v>0.1</v>
      </c>
      <c r="E170" s="2">
        <v>0.15</v>
      </c>
      <c r="F170" s="2">
        <v>0.22</v>
      </c>
      <c r="G170" s="2">
        <v>0.32</v>
      </c>
      <c r="H170" s="2">
        <v>0.47</v>
      </c>
      <c r="I170" s="2">
        <v>0.71</v>
      </c>
      <c r="J170" s="2">
        <v>1.01</v>
      </c>
      <c r="K170" s="2">
        <v>1.53</v>
      </c>
      <c r="L170" s="2">
        <v>2.17</v>
      </c>
      <c r="M170" s="2">
        <v>3.24</v>
      </c>
      <c r="N170" s="2">
        <v>4.71</v>
      </c>
      <c r="O170" s="2">
        <v>6.95</v>
      </c>
      <c r="P170" s="2">
        <v>10.17</v>
      </c>
      <c r="Q170" s="2">
        <v>14.89</v>
      </c>
      <c r="R170" s="2">
        <v>21.95</v>
      </c>
      <c r="S170" s="2">
        <v>31.66</v>
      </c>
      <c r="T170" s="2">
        <v>48.42</v>
      </c>
      <c r="U170" s="2">
        <v>70.36</v>
      </c>
      <c r="V170" s="236">
        <v>99.27</v>
      </c>
      <c r="W170" s="2"/>
    </row>
    <row r="171" spans="1:23" ht="15.75" customHeight="1">
      <c r="A171" s="228">
        <v>28</v>
      </c>
      <c r="B171" s="75">
        <v>4</v>
      </c>
      <c r="C171" s="75"/>
      <c r="D171" s="2">
        <v>0.1</v>
      </c>
      <c r="E171" s="2">
        <v>0.15</v>
      </c>
      <c r="F171" s="2">
        <v>0.22</v>
      </c>
      <c r="G171" s="2">
        <v>0.32</v>
      </c>
      <c r="H171" s="2">
        <v>0.47</v>
      </c>
      <c r="I171" s="2">
        <v>0.71</v>
      </c>
      <c r="J171" s="2">
        <v>1.01</v>
      </c>
      <c r="K171" s="2">
        <v>1.53</v>
      </c>
      <c r="L171" s="2">
        <v>2.17</v>
      </c>
      <c r="M171" s="2">
        <v>3.24</v>
      </c>
      <c r="N171" s="2">
        <v>4.71</v>
      </c>
      <c r="O171" s="2">
        <v>6.95</v>
      </c>
      <c r="P171" s="2">
        <v>10.17</v>
      </c>
      <c r="Q171" s="2">
        <v>14.89</v>
      </c>
      <c r="R171" s="2">
        <v>21.95</v>
      </c>
      <c r="S171" s="2">
        <v>31.66</v>
      </c>
      <c r="T171" s="2">
        <v>48.42</v>
      </c>
      <c r="U171" s="2">
        <v>70.36</v>
      </c>
      <c r="V171" s="236">
        <v>99.27</v>
      </c>
      <c r="W171" s="2"/>
    </row>
    <row r="172" spans="1:23" ht="15.75" customHeight="1">
      <c r="A172" s="228">
        <v>28</v>
      </c>
      <c r="B172" s="75">
        <v>5</v>
      </c>
      <c r="C172" s="75"/>
      <c r="D172" s="2">
        <v>0.1</v>
      </c>
      <c r="E172" s="2">
        <v>0.15</v>
      </c>
      <c r="F172" s="2">
        <v>0.22</v>
      </c>
      <c r="G172" s="2">
        <v>0.32</v>
      </c>
      <c r="H172" s="2">
        <v>0.47</v>
      </c>
      <c r="I172" s="2">
        <v>0.71</v>
      </c>
      <c r="J172" s="2">
        <v>1.01</v>
      </c>
      <c r="K172" s="2">
        <v>1.53</v>
      </c>
      <c r="L172" s="2">
        <v>2.17</v>
      </c>
      <c r="M172" s="2">
        <v>3.24</v>
      </c>
      <c r="N172" s="2">
        <v>4.71</v>
      </c>
      <c r="O172" s="2">
        <v>6.95</v>
      </c>
      <c r="P172" s="2">
        <v>10.17</v>
      </c>
      <c r="Q172" s="2">
        <v>14.89</v>
      </c>
      <c r="R172" s="2">
        <v>21.95</v>
      </c>
      <c r="S172" s="2">
        <v>31.66</v>
      </c>
      <c r="T172" s="2">
        <v>48.42</v>
      </c>
      <c r="U172" s="2">
        <v>70.36</v>
      </c>
      <c r="V172" s="236">
        <v>99.27</v>
      </c>
      <c r="W172" s="2"/>
    </row>
    <row r="173" spans="1:23" ht="15.75" customHeight="1">
      <c r="A173" s="230">
        <v>28</v>
      </c>
      <c r="B173" s="231">
        <v>6</v>
      </c>
      <c r="C173" s="231"/>
      <c r="D173" s="34">
        <v>0.1</v>
      </c>
      <c r="E173" s="34">
        <v>0.15</v>
      </c>
      <c r="F173" s="34">
        <v>0.22</v>
      </c>
      <c r="G173" s="34">
        <v>0.32</v>
      </c>
      <c r="H173" s="34">
        <v>0.47</v>
      </c>
      <c r="I173" s="34">
        <v>0.71</v>
      </c>
      <c r="J173" s="34">
        <v>1.01</v>
      </c>
      <c r="K173" s="34">
        <v>1.53</v>
      </c>
      <c r="L173" s="34">
        <v>2.17</v>
      </c>
      <c r="M173" s="34">
        <v>3.24</v>
      </c>
      <c r="N173" s="34">
        <v>4.71</v>
      </c>
      <c r="O173" s="34">
        <v>6.95</v>
      </c>
      <c r="P173" s="34">
        <v>10.17</v>
      </c>
      <c r="Q173" s="34">
        <v>14.89</v>
      </c>
      <c r="R173" s="34">
        <v>21.95</v>
      </c>
      <c r="S173" s="34">
        <v>31.66</v>
      </c>
      <c r="T173" s="34">
        <v>48.42</v>
      </c>
      <c r="U173" s="34">
        <v>70.36</v>
      </c>
      <c r="V173" s="237">
        <v>99.27</v>
      </c>
      <c r="W173" s="2"/>
    </row>
    <row r="174" spans="1:23" ht="15.75" customHeight="1">
      <c r="A174" s="228">
        <v>29</v>
      </c>
      <c r="B174" s="75">
        <v>1</v>
      </c>
      <c r="C174" s="75" t="s">
        <v>574</v>
      </c>
      <c r="D174" s="2">
        <v>0.03</v>
      </c>
      <c r="E174" s="2">
        <v>0.06</v>
      </c>
      <c r="F174" s="2">
        <v>0.1</v>
      </c>
      <c r="G174" s="2">
        <v>0.18</v>
      </c>
      <c r="H174" s="2">
        <v>0.3</v>
      </c>
      <c r="I174" s="2">
        <v>0.56999999999999995</v>
      </c>
      <c r="J174" s="2">
        <v>0.99</v>
      </c>
      <c r="K174" s="2">
        <v>1.71</v>
      </c>
      <c r="L174" s="2">
        <v>2.99</v>
      </c>
      <c r="M174" s="2">
        <v>5.24</v>
      </c>
      <c r="N174" s="2">
        <v>9.56</v>
      </c>
      <c r="O174" s="2">
        <v>16.32</v>
      </c>
      <c r="P174" s="2">
        <v>30.18</v>
      </c>
      <c r="Q174" s="2">
        <v>49.48</v>
      </c>
      <c r="R174" s="2">
        <v>93.96</v>
      </c>
      <c r="S174" s="2">
        <v>160.34</v>
      </c>
      <c r="T174" s="2">
        <v>259.37</v>
      </c>
      <c r="U174" s="236">
        <v>486.02</v>
      </c>
      <c r="V174" s="2"/>
    </row>
    <row r="175" spans="1:23" ht="15.75" customHeight="1">
      <c r="A175" s="228">
        <v>29</v>
      </c>
      <c r="B175" s="75">
        <v>2</v>
      </c>
      <c r="C175" s="75" t="s">
        <v>574</v>
      </c>
      <c r="D175" s="2">
        <v>0.03</v>
      </c>
      <c r="E175" s="2">
        <v>0.06</v>
      </c>
      <c r="F175" s="2">
        <v>0.1</v>
      </c>
      <c r="G175" s="2">
        <v>0.18</v>
      </c>
      <c r="H175" s="2">
        <v>0.3</v>
      </c>
      <c r="I175" s="2">
        <v>0.56999999999999995</v>
      </c>
      <c r="J175" s="2">
        <v>0.99</v>
      </c>
      <c r="K175" s="2">
        <v>1.71</v>
      </c>
      <c r="L175" s="2">
        <v>2.99</v>
      </c>
      <c r="M175" s="2">
        <v>5.24</v>
      </c>
      <c r="N175" s="2">
        <v>9.56</v>
      </c>
      <c r="O175" s="2">
        <v>16.32</v>
      </c>
      <c r="P175" s="2">
        <v>30.18</v>
      </c>
      <c r="Q175" s="2">
        <v>49.48</v>
      </c>
      <c r="R175" s="2">
        <v>93.96</v>
      </c>
      <c r="S175" s="2">
        <v>160.34</v>
      </c>
      <c r="T175" s="2">
        <v>259.37</v>
      </c>
      <c r="U175" s="236">
        <v>486.02</v>
      </c>
      <c r="V175" s="2"/>
    </row>
    <row r="176" spans="1:23" ht="15.75" customHeight="1">
      <c r="A176" s="228">
        <v>29</v>
      </c>
      <c r="B176" s="75">
        <v>3</v>
      </c>
      <c r="C176" s="75" t="s">
        <v>574</v>
      </c>
      <c r="D176" s="2">
        <v>0.03</v>
      </c>
      <c r="E176" s="2">
        <v>0.06</v>
      </c>
      <c r="F176" s="2">
        <v>0.1</v>
      </c>
      <c r="G176" s="2">
        <v>0.18</v>
      </c>
      <c r="H176" s="2">
        <v>0.3</v>
      </c>
      <c r="I176" s="2">
        <v>0.56999999999999995</v>
      </c>
      <c r="J176" s="2">
        <v>0.99</v>
      </c>
      <c r="K176" s="2">
        <v>1.71</v>
      </c>
      <c r="L176" s="2">
        <v>2.99</v>
      </c>
      <c r="M176" s="2">
        <v>5.24</v>
      </c>
      <c r="N176" s="2">
        <v>9.56</v>
      </c>
      <c r="O176" s="2">
        <v>16.32</v>
      </c>
      <c r="P176" s="2">
        <v>30.18</v>
      </c>
      <c r="Q176" s="2">
        <v>49.48</v>
      </c>
      <c r="R176" s="2">
        <v>93.96</v>
      </c>
      <c r="S176" s="2">
        <v>160.34</v>
      </c>
      <c r="T176" s="2">
        <v>259.37</v>
      </c>
      <c r="U176" s="236">
        <v>486.02</v>
      </c>
      <c r="V176" s="2"/>
    </row>
    <row r="177" spans="1:48" ht="15.75" customHeight="1">
      <c r="A177" s="228">
        <v>29</v>
      </c>
      <c r="B177" s="75">
        <v>4</v>
      </c>
      <c r="C177" s="75" t="s">
        <v>574</v>
      </c>
      <c r="D177" s="2">
        <v>0.03</v>
      </c>
      <c r="E177" s="2">
        <v>0.06</v>
      </c>
      <c r="F177" s="2">
        <v>0.1</v>
      </c>
      <c r="G177" s="2">
        <v>0.18</v>
      </c>
      <c r="H177" s="2">
        <v>0.3</v>
      </c>
      <c r="I177" s="2">
        <v>0.56999999999999995</v>
      </c>
      <c r="J177" s="2">
        <v>0.99</v>
      </c>
      <c r="K177" s="2">
        <v>1.71</v>
      </c>
      <c r="L177" s="2">
        <v>2.99</v>
      </c>
      <c r="M177" s="2">
        <v>5.24</v>
      </c>
      <c r="N177" s="2">
        <v>9.56</v>
      </c>
      <c r="O177" s="2">
        <v>16.32</v>
      </c>
      <c r="P177" s="2">
        <v>30.18</v>
      </c>
      <c r="Q177" s="2">
        <v>49.48</v>
      </c>
      <c r="R177" s="2">
        <v>93.96</v>
      </c>
      <c r="S177" s="2">
        <v>160.34</v>
      </c>
      <c r="T177" s="2">
        <v>259.37</v>
      </c>
      <c r="U177" s="236">
        <v>486.02</v>
      </c>
      <c r="V177" s="2"/>
    </row>
    <row r="178" spans="1:48" ht="15.75" customHeight="1">
      <c r="A178" s="230">
        <v>29</v>
      </c>
      <c r="B178" s="231">
        <v>5</v>
      </c>
      <c r="C178" s="231" t="s">
        <v>574</v>
      </c>
      <c r="D178" s="34">
        <v>0.03</v>
      </c>
      <c r="E178" s="34">
        <v>0.06</v>
      </c>
      <c r="F178" s="34">
        <v>0.1</v>
      </c>
      <c r="G178" s="34">
        <v>0.18</v>
      </c>
      <c r="H178" s="34">
        <v>0.3</v>
      </c>
      <c r="I178" s="34">
        <v>0.56999999999999995</v>
      </c>
      <c r="J178" s="34">
        <v>0.99</v>
      </c>
      <c r="K178" s="34">
        <v>1.71</v>
      </c>
      <c r="L178" s="34">
        <v>2.99</v>
      </c>
      <c r="M178" s="34">
        <v>5.24</v>
      </c>
      <c r="N178" s="34">
        <v>9.56</v>
      </c>
      <c r="O178" s="34">
        <v>16.32</v>
      </c>
      <c r="P178" s="34">
        <v>30.18</v>
      </c>
      <c r="Q178" s="34">
        <v>49.48</v>
      </c>
      <c r="R178" s="34">
        <v>93.96</v>
      </c>
      <c r="S178" s="34">
        <v>160.34</v>
      </c>
      <c r="T178" s="34">
        <v>259.37</v>
      </c>
      <c r="U178" s="237">
        <v>486.02</v>
      </c>
      <c r="V178" s="2"/>
    </row>
    <row r="179" spans="1:48" ht="15.75" customHeight="1">
      <c r="A179" s="228">
        <v>30</v>
      </c>
      <c r="B179" s="75">
        <v>1</v>
      </c>
      <c r="C179" s="75" t="s">
        <v>572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48" ht="15.75" customHeight="1">
      <c r="A180" s="228">
        <v>30</v>
      </c>
      <c r="B180" s="75">
        <v>2</v>
      </c>
      <c r="C180" s="75" t="s">
        <v>572</v>
      </c>
    </row>
    <row r="181" spans="1:48" ht="15.75" customHeight="1">
      <c r="A181" s="228">
        <v>30</v>
      </c>
      <c r="B181" s="75">
        <v>3</v>
      </c>
      <c r="C181" s="75" t="s">
        <v>572</v>
      </c>
    </row>
    <row r="182" spans="1:48" ht="15.75" customHeight="1">
      <c r="A182" s="229">
        <v>31</v>
      </c>
      <c r="B182" s="74">
        <v>1</v>
      </c>
      <c r="C182" s="75"/>
    </row>
    <row r="183" spans="1:48" ht="15.75" customHeight="1">
      <c r="A183" s="228">
        <v>31</v>
      </c>
      <c r="B183" s="75">
        <v>2</v>
      </c>
      <c r="C183" s="75"/>
    </row>
    <row r="184" spans="1:48" ht="15.75" customHeight="1">
      <c r="A184" s="228">
        <v>31</v>
      </c>
      <c r="B184" s="75">
        <v>3</v>
      </c>
      <c r="C184" s="75"/>
    </row>
    <row r="185" spans="1:48" ht="15.75" customHeight="1">
      <c r="A185" s="228">
        <v>31</v>
      </c>
      <c r="B185" s="75">
        <v>4</v>
      </c>
      <c r="C185" s="75"/>
    </row>
    <row r="186" spans="1:48" ht="15.75" customHeight="1">
      <c r="A186" s="230">
        <v>31</v>
      </c>
      <c r="B186" s="231">
        <v>5</v>
      </c>
      <c r="C186" s="75"/>
    </row>
    <row r="187" spans="1:48" ht="15.75" customHeight="1">
      <c r="A187" s="199">
        <v>32</v>
      </c>
      <c r="B187" s="200">
        <v>1</v>
      </c>
      <c r="C187" s="201"/>
    </row>
    <row r="188" spans="1:48" ht="15.75" customHeight="1">
      <c r="A188" s="196">
        <v>32</v>
      </c>
      <c r="B188" s="201">
        <v>2</v>
      </c>
      <c r="C188" s="201" t="s">
        <v>572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48" ht="15.75" customHeight="1">
      <c r="A189" s="229">
        <v>33</v>
      </c>
      <c r="B189" s="200">
        <v>1</v>
      </c>
      <c r="C189" s="200" t="s">
        <v>572</v>
      </c>
      <c r="D189" s="234">
        <f>6.283185*Angular_frequency!C189</f>
        <v>6.2831849999999995E-2</v>
      </c>
      <c r="E189" s="234">
        <f>6.283185*Angular_frequency!D189</f>
        <v>9.4247774999999992E-2</v>
      </c>
      <c r="F189" s="234">
        <f>6.283185*Angular_frequency!E189</f>
        <v>0.13823006999999998</v>
      </c>
      <c r="G189" s="234">
        <f>6.283185*Angular_frequency!F189</f>
        <v>0.20106191999999998</v>
      </c>
      <c r="H189" s="234">
        <f>6.283185*Angular_frequency!G189</f>
        <v>0.28902650999999996</v>
      </c>
      <c r="I189" s="234">
        <f>6.283185*Angular_frequency!H189</f>
        <v>0.43353976500000002</v>
      </c>
      <c r="J189" s="234">
        <f>6.283185*Angular_frequency!I189</f>
        <v>0.64088486999999994</v>
      </c>
      <c r="K189" s="234">
        <f>6.283185*Angular_frequency!J189</f>
        <v>0.93619456499999987</v>
      </c>
      <c r="L189" s="234">
        <f>6.283185*Angular_frequency!K189</f>
        <v>1.3760175149999998</v>
      </c>
      <c r="M189" s="234">
        <f>6.283185*Angular_frequency!L189</f>
        <v>1.98548646</v>
      </c>
      <c r="N189" s="234">
        <f>6.283185*Angular_frequency!M189</f>
        <v>2.9153978399999998</v>
      </c>
      <c r="O189" s="234">
        <f>6.283185*Angular_frequency!N189</f>
        <v>4.3479640199999992</v>
      </c>
      <c r="P189" s="234">
        <f>6.283185*Angular_frequency!O189</f>
        <v>6.1889372249999992</v>
      </c>
      <c r="Q189" s="234">
        <f>6.283185*Angular_frequency!P189</f>
        <v>9.368228835</v>
      </c>
      <c r="R189" s="234">
        <f>6.283185*Angular_frequency!Q189</f>
        <v>13.533980489999999</v>
      </c>
      <c r="S189" s="234">
        <f>6.283185*Angular_frequency!R189</f>
        <v>19.867430969999997</v>
      </c>
      <c r="T189" s="234">
        <f>6.283185*Angular_frequency!S189</f>
        <v>28.720438634999997</v>
      </c>
      <c r="U189" s="234">
        <f>6.283185*Angular_frequency!T189</f>
        <v>42.153888164999998</v>
      </c>
      <c r="V189" s="234">
        <f>6.283185*Angular_frequency!U189</f>
        <v>62.831849999999996</v>
      </c>
      <c r="W189" s="234">
        <f>6.283185*Angular_frequency!V189</f>
        <v>90.817155990000003</v>
      </c>
      <c r="X189" s="234">
        <f>6.283185*Angular_frequency!W189</f>
        <v>135.36493763999999</v>
      </c>
      <c r="Y189" s="234">
        <f>6.283185*Angular_frequency!X189</f>
        <v>195.66466408499997</v>
      </c>
      <c r="Z189" s="234">
        <f>6.283185*Angular_frequency!Y189</f>
        <v>291.64031495999996</v>
      </c>
      <c r="AA189" s="234">
        <f>6.283185*Angular_frequency!Z189</f>
        <v>428.06711086500002</v>
      </c>
      <c r="AB189" s="235">
        <f>6.283185*Angular_frequency!AA189</f>
        <v>628.31849999999997</v>
      </c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2"/>
      <c r="AV189" s="2"/>
    </row>
    <row r="190" spans="1:48" ht="15.75" customHeight="1">
      <c r="A190" s="228">
        <v>33</v>
      </c>
      <c r="B190" s="201">
        <v>2</v>
      </c>
      <c r="C190" s="201" t="s">
        <v>572</v>
      </c>
      <c r="D190" s="2">
        <f>6.283185*Angular_frequency!C190</f>
        <v>6.2831849999999995E-2</v>
      </c>
      <c r="E190" s="2">
        <f>6.283185*Angular_frequency!D190</f>
        <v>9.4247774999999992E-2</v>
      </c>
      <c r="F190" s="2">
        <f>6.283185*Angular_frequency!E190</f>
        <v>0.13823006999999998</v>
      </c>
      <c r="G190" s="2">
        <f>6.283185*Angular_frequency!F190</f>
        <v>0.20106191999999998</v>
      </c>
      <c r="H190" s="2">
        <f>6.283185*Angular_frequency!G190</f>
        <v>0.28902650999999996</v>
      </c>
      <c r="I190" s="2">
        <f>6.283185*Angular_frequency!H190</f>
        <v>0.43353976500000002</v>
      </c>
      <c r="J190" s="2">
        <f>6.283185*Angular_frequency!I190</f>
        <v>0.64088486999999994</v>
      </c>
      <c r="K190" s="2">
        <f>6.283185*Angular_frequency!J190</f>
        <v>0.93619456499999987</v>
      </c>
      <c r="L190" s="2">
        <f>6.283185*Angular_frequency!K190</f>
        <v>1.3760175149999998</v>
      </c>
      <c r="M190" s="2">
        <f>6.283185*Angular_frequency!L190</f>
        <v>1.98548646</v>
      </c>
      <c r="N190" s="2">
        <f>6.283185*Angular_frequency!M190</f>
        <v>2.9153978399999998</v>
      </c>
      <c r="O190" s="2">
        <f>6.283185*Angular_frequency!N190</f>
        <v>4.3479640199999992</v>
      </c>
      <c r="P190" s="2">
        <f>6.283185*Angular_frequency!O190</f>
        <v>6.1889372249999992</v>
      </c>
      <c r="Q190" s="2">
        <f>6.283185*Angular_frequency!P190</f>
        <v>9.368228835</v>
      </c>
      <c r="R190" s="2">
        <f>6.283185*Angular_frequency!Q190</f>
        <v>13.533980489999999</v>
      </c>
      <c r="S190" s="2">
        <f>6.283185*Angular_frequency!R190</f>
        <v>19.867430969999997</v>
      </c>
      <c r="T190" s="2">
        <f>6.283185*Angular_frequency!S190</f>
        <v>28.720438634999997</v>
      </c>
      <c r="U190" s="2">
        <f>6.283185*Angular_frequency!T190</f>
        <v>42.153888164999998</v>
      </c>
      <c r="V190" s="2">
        <f>6.283185*Angular_frequency!U190</f>
        <v>62.831849999999996</v>
      </c>
      <c r="W190" s="2">
        <f>6.283185*Angular_frequency!V190</f>
        <v>90.817155990000003</v>
      </c>
      <c r="X190" s="2">
        <f>6.283185*Angular_frequency!W190</f>
        <v>135.36493763999999</v>
      </c>
      <c r="Y190" s="2">
        <f>6.283185*Angular_frequency!X190</f>
        <v>195.66466408499997</v>
      </c>
      <c r="Z190" s="2">
        <f>6.283185*Angular_frequency!Y190</f>
        <v>291.64031495999996</v>
      </c>
      <c r="AA190" s="2">
        <f>6.283185*Angular_frequency!Z190</f>
        <v>428.06711086500002</v>
      </c>
      <c r="AB190" s="236">
        <f>6.283185*Angular_frequency!AA190</f>
        <v>628.31849999999997</v>
      </c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2"/>
      <c r="AV190" s="2"/>
    </row>
    <row r="191" spans="1:48" ht="15.75" customHeight="1">
      <c r="A191" s="228">
        <v>33</v>
      </c>
      <c r="B191" s="201">
        <v>3</v>
      </c>
      <c r="C191" s="201" t="s">
        <v>572</v>
      </c>
      <c r="D191" s="2">
        <f>6.283185*Angular_frequency!C191</f>
        <v>6.2831849999999995E-2</v>
      </c>
      <c r="E191" s="2">
        <f>6.283185*Angular_frequency!D191</f>
        <v>9.4247774999999992E-2</v>
      </c>
      <c r="F191" s="2">
        <f>6.283185*Angular_frequency!E191</f>
        <v>0.13823006999999998</v>
      </c>
      <c r="G191" s="2">
        <f>6.283185*Angular_frequency!F191</f>
        <v>0.20106191999999998</v>
      </c>
      <c r="H191" s="2">
        <f>6.283185*Angular_frequency!G191</f>
        <v>0.28902650999999996</v>
      </c>
      <c r="I191" s="2">
        <f>6.283185*Angular_frequency!H191</f>
        <v>0.43353976500000002</v>
      </c>
      <c r="J191" s="2">
        <f>6.283185*Angular_frequency!I191</f>
        <v>0.64088486999999994</v>
      </c>
      <c r="K191" s="2">
        <f>6.283185*Angular_frequency!J191</f>
        <v>0.93619456499999987</v>
      </c>
      <c r="L191" s="2">
        <f>6.283185*Angular_frequency!K191</f>
        <v>1.3760175149999998</v>
      </c>
      <c r="M191" s="2">
        <f>6.283185*Angular_frequency!L191</f>
        <v>1.98548646</v>
      </c>
      <c r="N191" s="2">
        <f>6.283185*Angular_frequency!M191</f>
        <v>2.9153978399999998</v>
      </c>
      <c r="O191" s="2">
        <f>6.283185*Angular_frequency!N191</f>
        <v>4.3479640199999992</v>
      </c>
      <c r="P191" s="2">
        <f>6.283185*Angular_frequency!O191</f>
        <v>6.1889372249999992</v>
      </c>
      <c r="Q191" s="2">
        <f>6.283185*Angular_frequency!P191</f>
        <v>9.368228835</v>
      </c>
      <c r="R191" s="2">
        <f>6.283185*Angular_frequency!Q191</f>
        <v>13.533980489999999</v>
      </c>
      <c r="S191" s="2">
        <f>6.283185*Angular_frequency!R191</f>
        <v>19.867430969999997</v>
      </c>
      <c r="T191" s="2">
        <f>6.283185*Angular_frequency!S191</f>
        <v>28.720438634999997</v>
      </c>
      <c r="U191" s="2">
        <f>6.283185*Angular_frequency!T191</f>
        <v>42.153888164999998</v>
      </c>
      <c r="V191" s="2">
        <f>6.283185*Angular_frequency!U191</f>
        <v>62.831849999999996</v>
      </c>
      <c r="W191" s="2">
        <f>6.283185*Angular_frequency!V191</f>
        <v>90.817155990000003</v>
      </c>
      <c r="X191" s="2">
        <f>6.283185*Angular_frequency!W191</f>
        <v>135.36493763999999</v>
      </c>
      <c r="Y191" s="2">
        <f>6.283185*Angular_frequency!X191</f>
        <v>195.66466408499997</v>
      </c>
      <c r="Z191" s="2">
        <f>6.283185*Angular_frequency!Y191</f>
        <v>291.64031495999996</v>
      </c>
      <c r="AA191" s="2">
        <f>6.283185*Angular_frequency!Z191</f>
        <v>428.06711086500002</v>
      </c>
      <c r="AB191" s="236">
        <f>6.283185*Angular_frequency!AA191</f>
        <v>628.31849999999997</v>
      </c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2"/>
      <c r="AV191" s="2"/>
    </row>
    <row r="192" spans="1:48" ht="15.75" customHeight="1">
      <c r="A192" s="228">
        <v>33</v>
      </c>
      <c r="B192" s="201">
        <v>4</v>
      </c>
      <c r="C192" s="201" t="s">
        <v>572</v>
      </c>
      <c r="D192" s="2">
        <f>6.283185*Angular_frequency!C192</f>
        <v>6.2831849999999995E-2</v>
      </c>
      <c r="E192" s="2">
        <f>6.283185*Angular_frequency!D192</f>
        <v>9.4247774999999992E-2</v>
      </c>
      <c r="F192" s="2">
        <f>6.283185*Angular_frequency!E192</f>
        <v>0.13823006999999998</v>
      </c>
      <c r="G192" s="2">
        <f>6.283185*Angular_frequency!F192</f>
        <v>0.20106191999999998</v>
      </c>
      <c r="H192" s="2">
        <f>6.283185*Angular_frequency!G192</f>
        <v>0.28902650999999996</v>
      </c>
      <c r="I192" s="2">
        <f>6.283185*Angular_frequency!H192</f>
        <v>0.43353976500000002</v>
      </c>
      <c r="J192" s="2">
        <f>6.283185*Angular_frequency!I192</f>
        <v>0.64088486999999994</v>
      </c>
      <c r="K192" s="2">
        <f>6.283185*Angular_frequency!J192</f>
        <v>0.93619456499999987</v>
      </c>
      <c r="L192" s="2">
        <f>6.283185*Angular_frequency!K192</f>
        <v>1.3760175149999998</v>
      </c>
      <c r="M192" s="2">
        <f>6.283185*Angular_frequency!L192</f>
        <v>1.98548646</v>
      </c>
      <c r="N192" s="2">
        <f>6.283185*Angular_frequency!M192</f>
        <v>2.9153978399999998</v>
      </c>
      <c r="O192" s="2">
        <f>6.283185*Angular_frequency!N192</f>
        <v>4.3479640199999992</v>
      </c>
      <c r="P192" s="2">
        <f>6.283185*Angular_frequency!O192</f>
        <v>6.1889372249999992</v>
      </c>
      <c r="Q192" s="2">
        <f>6.283185*Angular_frequency!P192</f>
        <v>9.368228835</v>
      </c>
      <c r="R192" s="2">
        <f>6.283185*Angular_frequency!Q192</f>
        <v>13.533980489999999</v>
      </c>
      <c r="S192" s="2">
        <f>6.283185*Angular_frequency!R192</f>
        <v>19.867430969999997</v>
      </c>
      <c r="T192" s="2">
        <f>6.283185*Angular_frequency!S192</f>
        <v>28.720438634999997</v>
      </c>
      <c r="U192" s="2">
        <f>6.283185*Angular_frequency!T192</f>
        <v>42.153888164999998</v>
      </c>
      <c r="V192" s="2">
        <f>6.283185*Angular_frequency!U192</f>
        <v>62.831849999999996</v>
      </c>
      <c r="W192" s="2">
        <f>6.283185*Angular_frequency!V192</f>
        <v>90.817155990000003</v>
      </c>
      <c r="X192" s="34">
        <f>6.283185*Angular_frequency!W192</f>
        <v>135.36493763999999</v>
      </c>
      <c r="Y192" s="34">
        <f>6.283185*Angular_frequency!X192</f>
        <v>195.66466408499997</v>
      </c>
      <c r="Z192" s="34">
        <f>6.283185*Angular_frequency!Y192</f>
        <v>291.64031495999996</v>
      </c>
      <c r="AA192" s="34">
        <f>6.283185*Angular_frequency!Z192</f>
        <v>428.06711086500002</v>
      </c>
      <c r="AB192" s="237">
        <f>6.283185*Angular_frequency!AA192</f>
        <v>628.31849999999997</v>
      </c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2"/>
      <c r="AV192" s="2"/>
    </row>
    <row r="193" spans="1:48" ht="15.75" customHeight="1">
      <c r="A193" s="199">
        <v>34</v>
      </c>
      <c r="B193" s="200">
        <v>1</v>
      </c>
      <c r="C193" s="200" t="s">
        <v>572</v>
      </c>
      <c r="D193" s="234">
        <f>6.283185*Angular_frequency!C193</f>
        <v>0.6283185</v>
      </c>
      <c r="E193" s="234">
        <f>6.283185*Angular_frequency!D193</f>
        <v>0.98646004499999995</v>
      </c>
      <c r="F193" s="234">
        <f>6.283185*Angular_frequency!E193</f>
        <v>1.5707962499999999</v>
      </c>
      <c r="G193" s="234">
        <f>6.283185*Angular_frequency!F193</f>
        <v>2.513274</v>
      </c>
      <c r="H193" s="234">
        <f>6.283185*Angular_frequency!G193</f>
        <v>3.8955746999999996</v>
      </c>
      <c r="I193" s="234">
        <f>6.283185*Angular_frequency!H193</f>
        <v>6.2203531499999993</v>
      </c>
      <c r="J193" s="234">
        <f>6.283185*Angular_frequency!I193</f>
        <v>9.8457508949999983</v>
      </c>
      <c r="K193" s="234">
        <f>6.283185*Angular_frequency!J193</f>
        <v>15.871325309999998</v>
      </c>
      <c r="L193" s="234">
        <f>6.283185*Angular_frequency!K193</f>
        <v>24.868846229999999</v>
      </c>
      <c r="M193" s="234">
        <f>6.283185*Angular_frequency!L193</f>
        <v>39.72229557</v>
      </c>
      <c r="N193" s="234">
        <f>6.283185*Angular_frequency!M193</f>
        <v>62.234947424999994</v>
      </c>
      <c r="O193" s="234">
        <f>6.283185*Angular_frequency!N193</f>
        <v>100.348747635</v>
      </c>
      <c r="P193" s="234">
        <f>6.283185*Angular_frequency!O193</f>
        <v>154.24590856499998</v>
      </c>
      <c r="Q193" s="234">
        <f>6.283185*Angular_frequency!P193</f>
        <v>246.344834295</v>
      </c>
      <c r="R193" s="234">
        <f>6.283185*Angular_frequency!Q193</f>
        <v>393.42162877499999</v>
      </c>
      <c r="S193" s="234">
        <f>6.283185*Angular_frequency!R193</f>
        <v>616.42443079499992</v>
      </c>
      <c r="T193" s="234">
        <f>6.283185*Angular_frequency!S193</f>
        <v>984.46827535499983</v>
      </c>
      <c r="U193" s="234">
        <f>6.283185*Angular_frequency!T193</f>
        <v>1542.4842183899998</v>
      </c>
      <c r="V193" s="234">
        <f>6.283185*Angular_frequency!U193</f>
        <v>2440.0120628999998</v>
      </c>
      <c r="W193" s="235">
        <f>6.283185*Angular_frequency!V193</f>
        <v>3972.0033623399995</v>
      </c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2"/>
      <c r="AV193" s="2"/>
    </row>
    <row r="194" spans="1:48" ht="15.75" customHeight="1">
      <c r="A194" s="196">
        <v>34</v>
      </c>
      <c r="B194" s="201">
        <v>2</v>
      </c>
      <c r="C194" s="201" t="s">
        <v>572</v>
      </c>
      <c r="D194" s="2">
        <f>6.283185*Angular_frequency!C194</f>
        <v>0.6283185</v>
      </c>
      <c r="E194" s="2">
        <f>6.283185*Angular_frequency!D194</f>
        <v>0.98646004499999995</v>
      </c>
      <c r="F194" s="2">
        <f>6.283185*Angular_frequency!E194</f>
        <v>1.5707962499999999</v>
      </c>
      <c r="G194" s="2">
        <f>6.283185*Angular_frequency!F194</f>
        <v>2.513274</v>
      </c>
      <c r="H194" s="2">
        <f>6.283185*Angular_frequency!G194</f>
        <v>3.8955746999999996</v>
      </c>
      <c r="I194" s="2">
        <f>6.283185*Angular_frequency!H194</f>
        <v>6.2203531499999993</v>
      </c>
      <c r="J194" s="2">
        <f>6.283185*Angular_frequency!I194</f>
        <v>9.8457508949999983</v>
      </c>
      <c r="K194" s="2">
        <f>6.283185*Angular_frequency!J194</f>
        <v>15.871325309999998</v>
      </c>
      <c r="L194" s="2">
        <f>6.283185*Angular_frequency!K194</f>
        <v>24.868846229999999</v>
      </c>
      <c r="M194" s="2">
        <f>6.283185*Angular_frequency!L194</f>
        <v>39.72229557</v>
      </c>
      <c r="N194" s="2">
        <f>6.283185*Angular_frequency!M194</f>
        <v>62.234947424999994</v>
      </c>
      <c r="O194" s="2">
        <f>6.283185*Angular_frequency!N194</f>
        <v>100.348747635</v>
      </c>
      <c r="P194" s="2">
        <f>6.283185*Angular_frequency!O194</f>
        <v>154.24590856499998</v>
      </c>
      <c r="Q194" s="2">
        <f>6.283185*Angular_frequency!P194</f>
        <v>246.344834295</v>
      </c>
      <c r="R194" s="2">
        <f>6.283185*Angular_frequency!Q194</f>
        <v>393.42162877499999</v>
      </c>
      <c r="S194" s="2">
        <f>6.283185*Angular_frequency!R194</f>
        <v>616.42443079499992</v>
      </c>
      <c r="T194" s="2">
        <f>6.283185*Angular_frequency!S194</f>
        <v>984.46827535499983</v>
      </c>
      <c r="U194" s="2">
        <f>6.283185*Angular_frequency!T194</f>
        <v>1542.4842183899998</v>
      </c>
      <c r="V194" s="2">
        <f>6.283185*Angular_frequency!U194</f>
        <v>2440.0120628999998</v>
      </c>
      <c r="W194" s="236">
        <f>6.283185*Angular_frequency!V194</f>
        <v>3972.0033623399995</v>
      </c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2"/>
      <c r="AV194" s="2"/>
    </row>
    <row r="195" spans="1:48" ht="15.75" customHeight="1">
      <c r="A195" s="196">
        <v>34</v>
      </c>
      <c r="B195" s="201">
        <v>3</v>
      </c>
      <c r="C195" s="201" t="s">
        <v>572</v>
      </c>
      <c r="D195" s="2">
        <f>6.283185*Angular_frequency!C195</f>
        <v>0.6283185</v>
      </c>
      <c r="E195" s="2">
        <f>6.283185*Angular_frequency!D195</f>
        <v>0.98646004499999995</v>
      </c>
      <c r="F195" s="2">
        <f>6.283185*Angular_frequency!E195</f>
        <v>1.5707962499999999</v>
      </c>
      <c r="G195" s="2">
        <f>6.283185*Angular_frequency!F195</f>
        <v>2.513274</v>
      </c>
      <c r="H195" s="2">
        <f>6.283185*Angular_frequency!G195</f>
        <v>3.8955746999999996</v>
      </c>
      <c r="I195" s="2">
        <f>6.283185*Angular_frequency!H195</f>
        <v>6.2203531499999993</v>
      </c>
      <c r="J195" s="2">
        <f>6.283185*Angular_frequency!I195</f>
        <v>9.8457508949999983</v>
      </c>
      <c r="K195" s="2">
        <f>6.283185*Angular_frequency!J195</f>
        <v>15.871325309999998</v>
      </c>
      <c r="L195" s="2">
        <f>6.283185*Angular_frequency!K195</f>
        <v>24.868846229999999</v>
      </c>
      <c r="M195" s="2">
        <f>6.283185*Angular_frequency!L195</f>
        <v>39.72229557</v>
      </c>
      <c r="N195" s="2">
        <f>6.283185*Angular_frequency!M195</f>
        <v>62.234947424999994</v>
      </c>
      <c r="O195" s="2">
        <f>6.283185*Angular_frequency!N195</f>
        <v>100.348747635</v>
      </c>
      <c r="P195" s="2">
        <f>6.283185*Angular_frequency!O195</f>
        <v>154.24590856499998</v>
      </c>
      <c r="Q195" s="2">
        <f>6.283185*Angular_frequency!P195</f>
        <v>246.344834295</v>
      </c>
      <c r="R195" s="2">
        <f>6.283185*Angular_frequency!Q195</f>
        <v>393.42162877499999</v>
      </c>
      <c r="S195" s="2">
        <f>6.283185*Angular_frequency!R195</f>
        <v>616.42443079499992</v>
      </c>
      <c r="T195" s="2">
        <f>6.283185*Angular_frequency!S195</f>
        <v>984.46827535499983</v>
      </c>
      <c r="U195" s="2">
        <f>6.283185*Angular_frequency!T195</f>
        <v>1542.4842183899998</v>
      </c>
      <c r="V195" s="2">
        <f>6.283185*Angular_frequency!U195</f>
        <v>2440.0120628999998</v>
      </c>
      <c r="W195" s="236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2"/>
      <c r="AV195" s="2"/>
    </row>
    <row r="196" spans="1:48" ht="15.75" customHeight="1">
      <c r="A196" s="197">
        <v>34</v>
      </c>
      <c r="B196" s="202">
        <v>4</v>
      </c>
      <c r="C196" s="202" t="s">
        <v>572</v>
      </c>
      <c r="D196" s="34">
        <f>6.283185*Angular_frequency!C196</f>
        <v>0.6283185</v>
      </c>
      <c r="E196" s="34">
        <f>6.283185*Angular_frequency!D196</f>
        <v>0.98646004499999995</v>
      </c>
      <c r="F196" s="34">
        <f>6.283185*Angular_frequency!E196</f>
        <v>1.5707962499999999</v>
      </c>
      <c r="G196" s="34">
        <f>6.283185*Angular_frequency!F196</f>
        <v>2.513274</v>
      </c>
      <c r="H196" s="34">
        <f>6.283185*Angular_frequency!G196</f>
        <v>3.8955746999999996</v>
      </c>
      <c r="I196" s="34">
        <f>6.283185*Angular_frequency!H196</f>
        <v>6.2203531499999993</v>
      </c>
      <c r="J196" s="34">
        <f>6.283185*Angular_frequency!I196</f>
        <v>9.8457508949999983</v>
      </c>
      <c r="K196" s="34">
        <f>6.283185*Angular_frequency!J196</f>
        <v>15.871325309999998</v>
      </c>
      <c r="L196" s="34">
        <f>6.283185*Angular_frequency!K196</f>
        <v>24.868846229999999</v>
      </c>
      <c r="M196" s="34">
        <f>6.283185*Angular_frequency!L196</f>
        <v>39.72229557</v>
      </c>
      <c r="N196" s="34">
        <f>6.283185*Angular_frequency!M196</f>
        <v>62.234947424999994</v>
      </c>
      <c r="O196" s="34">
        <f>6.283185*Angular_frequency!N196</f>
        <v>100.348747635</v>
      </c>
      <c r="P196" s="34">
        <f>6.283185*Angular_frequency!O196</f>
        <v>154.24590856499998</v>
      </c>
      <c r="Q196" s="34">
        <f>6.283185*Angular_frequency!P196</f>
        <v>246.344834295</v>
      </c>
      <c r="R196" s="34">
        <f>6.283185*Angular_frequency!Q196</f>
        <v>393.42162877499999</v>
      </c>
      <c r="S196" s="34">
        <f>6.283185*Angular_frequency!R196</f>
        <v>616.42443079499992</v>
      </c>
      <c r="T196" s="34">
        <f>6.283185*Angular_frequency!S196</f>
        <v>984.46827535499983</v>
      </c>
      <c r="U196" s="34">
        <f>6.283185*Angular_frequency!T196</f>
        <v>1542.4842183899998</v>
      </c>
      <c r="V196" s="34">
        <f>6.283185*Angular_frequency!U196</f>
        <v>2440.0120628999998</v>
      </c>
      <c r="W196" s="237">
        <f>6.283185*Angular_frequency!V196</f>
        <v>3972.0033623399995</v>
      </c>
      <c r="X196" s="456"/>
      <c r="Y196" s="456"/>
      <c r="Z196" s="456"/>
      <c r="AA196" s="456"/>
      <c r="AB196" s="456"/>
      <c r="AC196" s="456"/>
      <c r="AD196" s="456"/>
      <c r="AE196" s="456"/>
      <c r="AF196" s="456"/>
      <c r="AG196" s="456"/>
      <c r="AH196" s="456"/>
      <c r="AI196" s="456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2"/>
      <c r="AV196" s="2"/>
    </row>
    <row r="197" spans="1:48" ht="15.75" customHeight="1">
      <c r="A197" s="228">
        <v>35</v>
      </c>
      <c r="B197" s="75">
        <v>1</v>
      </c>
      <c r="C197" s="75"/>
      <c r="D197" s="2">
        <v>1.0999999999999999E-2</v>
      </c>
      <c r="E197" s="2">
        <v>1.4E-2</v>
      </c>
      <c r="F197" s="2">
        <v>1.7999999999999999E-2</v>
      </c>
      <c r="G197" s="2">
        <v>2.4E-2</v>
      </c>
      <c r="H197" s="2">
        <v>3.3000000000000002E-2</v>
      </c>
      <c r="I197" s="2">
        <v>4.2000000000000003E-2</v>
      </c>
      <c r="J197" s="2">
        <v>0.06</v>
      </c>
      <c r="K197" s="2">
        <v>7.5999999999999998E-2</v>
      </c>
      <c r="L197" s="2">
        <v>9.9000000000000005E-2</v>
      </c>
      <c r="M197" s="2">
        <v>0.129</v>
      </c>
      <c r="N197" s="2">
        <v>0.17699999999999999</v>
      </c>
      <c r="O197" s="2">
        <v>0.23799999999999999</v>
      </c>
      <c r="P197" s="2">
        <v>0.32600000000000001</v>
      </c>
      <c r="Q197" s="2">
        <v>0.40600000000000003</v>
      </c>
      <c r="R197" s="2">
        <v>0.56999999999999995</v>
      </c>
      <c r="S197" s="2">
        <v>0.74</v>
      </c>
      <c r="T197" s="458">
        <v>1.0169999999999999</v>
      </c>
      <c r="U197" s="456">
        <v>1.35</v>
      </c>
      <c r="V197" s="458">
        <v>1.794</v>
      </c>
      <c r="W197" s="458">
        <v>2.3319999999999999</v>
      </c>
      <c r="X197" s="457">
        <v>3.2719999999999998</v>
      </c>
      <c r="Y197" s="457">
        <v>4.1609999999999996</v>
      </c>
      <c r="Z197" s="457">
        <v>5.5279999999999996</v>
      </c>
      <c r="AA197" s="457">
        <v>7.2649999999999997</v>
      </c>
      <c r="AB197" s="457">
        <v>9.9730000000000008</v>
      </c>
      <c r="AC197" s="457">
        <v>13.395</v>
      </c>
      <c r="AD197" s="457">
        <v>17.41</v>
      </c>
      <c r="AE197" s="457">
        <v>24.163</v>
      </c>
      <c r="AF197" s="457">
        <v>30.728999999999999</v>
      </c>
      <c r="AG197" s="457">
        <v>40.380000000000003</v>
      </c>
      <c r="AH197" s="457">
        <v>56.658000000000001</v>
      </c>
      <c r="AI197" s="457">
        <v>76.099000000000004</v>
      </c>
      <c r="AJ197" s="377">
        <v>100</v>
      </c>
      <c r="AK197" s="2"/>
    </row>
    <row r="198" spans="1:48" ht="15.75" customHeight="1">
      <c r="A198" s="228">
        <v>35</v>
      </c>
      <c r="B198" s="75">
        <v>2</v>
      </c>
      <c r="C198" s="75"/>
      <c r="D198" s="2">
        <v>1.0999999999999999E-2</v>
      </c>
      <c r="E198" s="2">
        <v>1.4E-2</v>
      </c>
      <c r="F198" s="2">
        <v>1.7999999999999999E-2</v>
      </c>
      <c r="G198" s="2">
        <v>2.4E-2</v>
      </c>
      <c r="H198" s="2">
        <v>3.3000000000000002E-2</v>
      </c>
      <c r="I198" s="2">
        <v>4.2000000000000003E-2</v>
      </c>
      <c r="J198" s="2">
        <v>0.06</v>
      </c>
      <c r="K198" s="2">
        <v>7.5999999999999998E-2</v>
      </c>
      <c r="L198" s="2">
        <v>9.9000000000000005E-2</v>
      </c>
      <c r="M198" s="2">
        <v>0.129</v>
      </c>
      <c r="N198" s="2">
        <v>0.17699999999999999</v>
      </c>
      <c r="O198" s="2">
        <v>0.23799999999999999</v>
      </c>
      <c r="P198" s="2">
        <v>0.32600000000000001</v>
      </c>
      <c r="Q198" s="2">
        <v>0.40600000000000003</v>
      </c>
      <c r="R198" s="2">
        <v>0.56999999999999995</v>
      </c>
      <c r="S198" s="2">
        <v>0.74</v>
      </c>
      <c r="T198" s="458">
        <v>1.0169999999999999</v>
      </c>
      <c r="U198" s="456">
        <v>1.35</v>
      </c>
      <c r="V198" s="458">
        <v>1.794</v>
      </c>
      <c r="W198" s="458">
        <v>2.3319999999999999</v>
      </c>
      <c r="X198" s="458">
        <v>3.2719999999999998</v>
      </c>
      <c r="Y198" s="458">
        <v>4.1609999999999996</v>
      </c>
      <c r="Z198" s="458">
        <v>5.5279999999999996</v>
      </c>
      <c r="AA198" s="458">
        <v>7.2649999999999997</v>
      </c>
      <c r="AB198" s="458">
        <v>9.9730000000000008</v>
      </c>
      <c r="AC198" s="458">
        <v>13.395</v>
      </c>
      <c r="AD198" s="458">
        <v>17.41</v>
      </c>
      <c r="AE198" s="458">
        <v>24.163</v>
      </c>
      <c r="AF198" s="458">
        <v>30.728999999999999</v>
      </c>
      <c r="AG198" s="458">
        <v>40.380000000000003</v>
      </c>
      <c r="AH198" s="458">
        <v>56.658000000000001</v>
      </c>
      <c r="AI198" s="458">
        <v>76.099000000000004</v>
      </c>
      <c r="AJ198" s="378">
        <v>100</v>
      </c>
      <c r="AK198" s="2"/>
    </row>
    <row r="199" spans="1:48" ht="15.75" customHeight="1">
      <c r="A199" s="228">
        <v>35</v>
      </c>
      <c r="B199" s="75">
        <v>3</v>
      </c>
      <c r="C199" s="75"/>
      <c r="D199" s="2">
        <v>1.0999999999999999E-2</v>
      </c>
      <c r="E199" s="2">
        <v>1.4E-2</v>
      </c>
      <c r="F199" s="2">
        <v>1.7999999999999999E-2</v>
      </c>
      <c r="G199" s="2">
        <v>2.4E-2</v>
      </c>
      <c r="H199" s="2">
        <v>3.3000000000000002E-2</v>
      </c>
      <c r="I199" s="2">
        <v>4.2000000000000003E-2</v>
      </c>
      <c r="J199" s="2">
        <v>0.06</v>
      </c>
      <c r="K199" s="2">
        <v>7.5999999999999998E-2</v>
      </c>
      <c r="L199" s="2">
        <v>9.9000000000000005E-2</v>
      </c>
      <c r="M199" s="2">
        <v>0.129</v>
      </c>
      <c r="N199" s="2">
        <v>0.17699999999999999</v>
      </c>
      <c r="O199" s="2">
        <v>0.23799999999999999</v>
      </c>
      <c r="P199" s="2">
        <v>0.32600000000000001</v>
      </c>
      <c r="Q199" s="2">
        <v>0.40600000000000003</v>
      </c>
      <c r="R199" s="2">
        <v>0.56999999999999995</v>
      </c>
      <c r="S199" s="2">
        <v>0.74</v>
      </c>
      <c r="T199" s="458">
        <v>1.0169999999999999</v>
      </c>
      <c r="U199" s="456">
        <v>1.35</v>
      </c>
      <c r="V199" s="458">
        <v>1.794</v>
      </c>
      <c r="W199" s="458">
        <v>2.3319999999999999</v>
      </c>
      <c r="X199" s="458">
        <v>3.2719999999999998</v>
      </c>
      <c r="Y199" s="458">
        <v>4.1609999999999996</v>
      </c>
      <c r="Z199" s="458">
        <v>5.5279999999999996</v>
      </c>
      <c r="AA199" s="458">
        <v>7.2649999999999997</v>
      </c>
      <c r="AB199" s="458">
        <v>9.9730000000000008</v>
      </c>
      <c r="AC199" s="458">
        <v>13.395</v>
      </c>
      <c r="AD199" s="458">
        <v>17.41</v>
      </c>
      <c r="AE199" s="458">
        <v>24.163</v>
      </c>
      <c r="AF199" s="458">
        <v>30.728999999999999</v>
      </c>
      <c r="AG199" s="458">
        <v>40.380000000000003</v>
      </c>
      <c r="AH199" s="458">
        <v>56.658000000000001</v>
      </c>
      <c r="AI199" s="458">
        <v>76.099000000000004</v>
      </c>
      <c r="AJ199" s="378">
        <v>100</v>
      </c>
      <c r="AK199" s="2"/>
    </row>
    <row r="200" spans="1:48" ht="15.75" customHeight="1">
      <c r="A200" s="230">
        <v>35</v>
      </c>
      <c r="B200" s="231">
        <v>4</v>
      </c>
      <c r="C200" s="231"/>
      <c r="D200" s="34">
        <v>1.0999999999999999E-2</v>
      </c>
      <c r="E200" s="34">
        <v>1.4E-2</v>
      </c>
      <c r="F200" s="34">
        <v>1.7999999999999999E-2</v>
      </c>
      <c r="G200" s="34">
        <v>2.4E-2</v>
      </c>
      <c r="H200" s="34">
        <v>3.3000000000000002E-2</v>
      </c>
      <c r="I200" s="34">
        <v>4.2000000000000003E-2</v>
      </c>
      <c r="J200" s="34">
        <v>0.06</v>
      </c>
      <c r="K200" s="34">
        <v>7.5999999999999998E-2</v>
      </c>
      <c r="L200" s="34">
        <v>9.9000000000000005E-2</v>
      </c>
      <c r="M200" s="34">
        <v>0.129</v>
      </c>
      <c r="N200" s="34">
        <v>0.17699999999999999</v>
      </c>
      <c r="O200" s="34">
        <v>0.23799999999999999</v>
      </c>
      <c r="P200" s="34">
        <v>0.32600000000000001</v>
      </c>
      <c r="Q200" s="34">
        <v>0.40600000000000003</v>
      </c>
      <c r="R200" s="34">
        <v>0.56999999999999995</v>
      </c>
      <c r="S200" s="34">
        <v>0.74</v>
      </c>
      <c r="T200" s="119">
        <v>1.0169999999999999</v>
      </c>
      <c r="U200" s="34">
        <v>1.35</v>
      </c>
      <c r="V200" s="119">
        <v>1.794</v>
      </c>
      <c r="W200" s="119">
        <v>2.3319999999999999</v>
      </c>
      <c r="X200" s="119">
        <v>3.2719999999999998</v>
      </c>
      <c r="Y200" s="119">
        <v>4.1609999999999996</v>
      </c>
      <c r="Z200" s="119">
        <v>5.5279999999999996</v>
      </c>
      <c r="AA200" s="119">
        <v>7.2649999999999997</v>
      </c>
      <c r="AB200" s="119">
        <v>9.9730000000000008</v>
      </c>
      <c r="AC200" s="119">
        <v>13.395</v>
      </c>
      <c r="AD200" s="119">
        <v>17.41</v>
      </c>
      <c r="AE200" s="119">
        <v>24.163</v>
      </c>
      <c r="AF200" s="119">
        <v>30.728999999999999</v>
      </c>
      <c r="AG200" s="119">
        <v>40.380000000000003</v>
      </c>
      <c r="AH200" s="119">
        <v>56.658000000000001</v>
      </c>
      <c r="AI200" s="119">
        <v>76.099000000000004</v>
      </c>
      <c r="AJ200" s="379">
        <v>100</v>
      </c>
      <c r="AK200" s="2"/>
    </row>
    <row r="201" spans="1:48" ht="15.75" customHeight="1">
      <c r="A201" s="233">
        <v>36</v>
      </c>
      <c r="B201" s="75">
        <v>1</v>
      </c>
      <c r="C201" s="75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456"/>
      <c r="U201" s="456"/>
      <c r="V201" s="456"/>
      <c r="W201" s="456"/>
      <c r="X201" s="456"/>
      <c r="Y201" s="456"/>
      <c r="Z201" s="456"/>
      <c r="AA201" s="456"/>
      <c r="AB201" s="456"/>
      <c r="AC201" s="456"/>
      <c r="AD201" s="456"/>
      <c r="AE201" s="456"/>
      <c r="AF201" s="456"/>
      <c r="AG201" s="456"/>
      <c r="AH201" s="456"/>
      <c r="AI201" s="456"/>
      <c r="AJ201" s="456"/>
    </row>
    <row r="202" spans="1:48" ht="15.75" customHeight="1">
      <c r="A202" s="233">
        <v>36</v>
      </c>
      <c r="B202" s="75">
        <v>2</v>
      </c>
      <c r="C202" s="75"/>
    </row>
    <row r="203" spans="1:48" ht="15.75" customHeight="1">
      <c r="A203" s="233">
        <v>36</v>
      </c>
      <c r="B203" s="75">
        <v>3</v>
      </c>
      <c r="C203" s="75"/>
    </row>
    <row r="204" spans="1:48" ht="15.75" customHeight="1">
      <c r="A204" s="241">
        <v>36</v>
      </c>
      <c r="B204" s="75">
        <v>4</v>
      </c>
      <c r="C204" s="75"/>
    </row>
    <row r="205" spans="1:48" ht="15.75" customHeight="1">
      <c r="A205" s="233">
        <v>37</v>
      </c>
      <c r="B205" s="200">
        <v>1</v>
      </c>
      <c r="C205" s="201" t="s">
        <v>575</v>
      </c>
    </row>
    <row r="206" spans="1:48" ht="15.75" customHeight="1">
      <c r="A206" s="233">
        <v>37</v>
      </c>
      <c r="B206" s="201">
        <v>2</v>
      </c>
      <c r="C206" s="201" t="s">
        <v>575</v>
      </c>
    </row>
    <row r="207" spans="1:48" ht="15.75" customHeight="1">
      <c r="A207" s="233">
        <v>37</v>
      </c>
      <c r="B207" s="201">
        <v>3</v>
      </c>
      <c r="C207" s="201" t="s">
        <v>575</v>
      </c>
    </row>
    <row r="208" spans="1:48" ht="15.75" customHeight="1">
      <c r="A208" s="233">
        <v>37</v>
      </c>
      <c r="B208" s="201">
        <v>4</v>
      </c>
      <c r="C208" s="201" t="s">
        <v>575</v>
      </c>
    </row>
    <row r="209" spans="1:48" ht="15.75" customHeight="1">
      <c r="A209" s="233">
        <v>37</v>
      </c>
      <c r="B209" s="201">
        <v>5</v>
      </c>
      <c r="C209" s="201" t="s">
        <v>575</v>
      </c>
    </row>
    <row r="210" spans="1:48" ht="15.75" customHeight="1">
      <c r="A210" s="233">
        <v>37</v>
      </c>
      <c r="B210" s="201">
        <v>6</v>
      </c>
      <c r="C210" s="201" t="s">
        <v>575</v>
      </c>
    </row>
    <row r="211" spans="1:48" ht="15.75" customHeight="1">
      <c r="A211" s="233">
        <v>37</v>
      </c>
      <c r="B211" s="201">
        <v>7</v>
      </c>
      <c r="C211" s="201" t="s">
        <v>575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48" ht="15.75" customHeight="1">
      <c r="A212" s="229">
        <v>38</v>
      </c>
      <c r="B212" s="74">
        <v>1</v>
      </c>
      <c r="C212" s="74"/>
      <c r="D212" s="234">
        <f>6.283185*Angular_frequency!C212</f>
        <v>0.62203531499999998</v>
      </c>
      <c r="E212" s="234">
        <f>6.283185*Angular_frequency!D212</f>
        <v>0.78539812499999995</v>
      </c>
      <c r="F212" s="234">
        <f>6.283185*Angular_frequency!E212</f>
        <v>0.98017685999999993</v>
      </c>
      <c r="G212" s="234">
        <f>6.283185*Angular_frequency!F212</f>
        <v>1.2377874449999999</v>
      </c>
      <c r="H212" s="234">
        <f>6.283185*Angular_frequency!G212</f>
        <v>1.6084953599999998</v>
      </c>
      <c r="I212" s="234">
        <f>6.283185*Angular_frequency!H212</f>
        <v>1.9792032749999999</v>
      </c>
      <c r="J212" s="234">
        <f>6.283185*Angular_frequency!I212</f>
        <v>2.506990815</v>
      </c>
      <c r="K212" s="234">
        <f>6.283185*Angular_frequency!J212</f>
        <v>3.1415924999999998</v>
      </c>
      <c r="L212" s="234">
        <f>6.283185*Angular_frequency!K212</f>
        <v>3.9081410699999997</v>
      </c>
      <c r="M212" s="234">
        <f>6.283185*Angular_frequency!L212</f>
        <v>4.9888488899999999</v>
      </c>
      <c r="N212" s="234">
        <f>6.283185*Angular_frequency!M212</f>
        <v>6.3146009249999988</v>
      </c>
      <c r="O212" s="234">
        <f>6.283185*Angular_frequency!N212</f>
        <v>7.9859281349999991</v>
      </c>
      <c r="P212" s="234">
        <f>6.283185*Angular_frequency!O212</f>
        <v>10.203892440000001</v>
      </c>
      <c r="Q212" s="234">
        <f>6.283185*Angular_frequency!P212</f>
        <v>12.553803629999999</v>
      </c>
      <c r="R212" s="234">
        <f>6.283185*Angular_frequency!Q212</f>
        <v>15.739378424999998</v>
      </c>
      <c r="S212" s="234">
        <f>6.283185*Angular_frequency!R212</f>
        <v>20.294687549999999</v>
      </c>
      <c r="T212" s="234">
        <f>6.283185*Angular_frequency!S212</f>
        <v>25.201855034999998</v>
      </c>
      <c r="U212" s="234">
        <f>6.283185*Angular_frequency!T212</f>
        <v>31.591854179999995</v>
      </c>
      <c r="V212" s="234">
        <f>6.283185*Angular_frequency!U212</f>
        <v>40.356897255</v>
      </c>
      <c r="W212" s="234">
        <f>6.283185*Angular_frequency!V212</f>
        <v>51.559816109999993</v>
      </c>
      <c r="X212" s="235">
        <f>6.283185*Angular_frequency!W212</f>
        <v>64.025655149999992</v>
      </c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2"/>
      <c r="AV212" s="2"/>
    </row>
    <row r="213" spans="1:48" ht="15.75" customHeight="1">
      <c r="A213" s="228">
        <v>38</v>
      </c>
      <c r="B213" s="75">
        <v>2</v>
      </c>
      <c r="C213" s="75"/>
      <c r="D213" s="2">
        <f>6.283185*Angular_frequency!C213</f>
        <v>0.62203531499999998</v>
      </c>
      <c r="E213" s="2">
        <f>6.283185*Angular_frequency!D213</f>
        <v>0.78539812499999995</v>
      </c>
      <c r="F213" s="2">
        <f>6.283185*Angular_frequency!E213</f>
        <v>0.98017685999999993</v>
      </c>
      <c r="G213" s="2">
        <f>6.283185*Angular_frequency!F213</f>
        <v>1.2377874449999999</v>
      </c>
      <c r="H213" s="2">
        <f>6.283185*Angular_frequency!G213</f>
        <v>1.6084953599999998</v>
      </c>
      <c r="I213" s="2">
        <f>6.283185*Angular_frequency!H213</f>
        <v>1.9792032749999999</v>
      </c>
      <c r="J213" s="2">
        <f>6.283185*Angular_frequency!I213</f>
        <v>2.506990815</v>
      </c>
      <c r="K213" s="2">
        <f>6.283185*Angular_frequency!J213</f>
        <v>3.1415924999999998</v>
      </c>
      <c r="L213" s="2">
        <f>6.283185*Angular_frequency!K213</f>
        <v>3.9081410699999997</v>
      </c>
      <c r="M213" s="2">
        <f>6.283185*Angular_frequency!L213</f>
        <v>4.9888488899999999</v>
      </c>
      <c r="N213" s="2">
        <f>6.283185*Angular_frequency!M213</f>
        <v>6.3146009249999988</v>
      </c>
      <c r="O213" s="2">
        <f>6.283185*Angular_frequency!N213</f>
        <v>7.9859281349999991</v>
      </c>
      <c r="P213" s="2">
        <f>6.283185*Angular_frequency!O213</f>
        <v>10.203892440000001</v>
      </c>
      <c r="Q213" s="2">
        <f>6.283185*Angular_frequency!P213</f>
        <v>12.553803629999999</v>
      </c>
      <c r="R213" s="2">
        <f>6.283185*Angular_frequency!Q213</f>
        <v>15.739378424999998</v>
      </c>
      <c r="S213" s="2">
        <f>6.283185*Angular_frequency!R213</f>
        <v>20.294687549999999</v>
      </c>
      <c r="T213" s="2">
        <f>6.283185*Angular_frequency!S213</f>
        <v>25.201855034999998</v>
      </c>
      <c r="U213" s="2">
        <f>6.283185*Angular_frequency!T213</f>
        <v>31.591854179999995</v>
      </c>
      <c r="V213" s="2">
        <f>6.283185*Angular_frequency!U213</f>
        <v>40.356897255</v>
      </c>
      <c r="W213" s="2">
        <f>6.283185*Angular_frequency!V213</f>
        <v>51.559816109999993</v>
      </c>
      <c r="X213" s="236">
        <f>6.283185*Angular_frequency!W213</f>
        <v>64.025655149999992</v>
      </c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2"/>
      <c r="AV213" s="2"/>
    </row>
    <row r="214" spans="1:48" ht="15.75" customHeight="1">
      <c r="A214" s="228">
        <v>38</v>
      </c>
      <c r="B214" s="75">
        <v>3</v>
      </c>
      <c r="C214" s="75"/>
      <c r="D214" s="2">
        <f>6.283185*Angular_frequency!C214</f>
        <v>0.62203531499999998</v>
      </c>
      <c r="E214" s="2">
        <f>6.283185*Angular_frequency!D214</f>
        <v>0.78539812499999995</v>
      </c>
      <c r="F214" s="2">
        <f>6.283185*Angular_frequency!E214</f>
        <v>0.98017685999999993</v>
      </c>
      <c r="G214" s="2">
        <f>6.283185*Angular_frequency!F214</f>
        <v>1.2377874449999999</v>
      </c>
      <c r="H214" s="2">
        <f>6.283185*Angular_frequency!G214</f>
        <v>1.6084953599999998</v>
      </c>
      <c r="I214" s="2">
        <f>6.283185*Angular_frequency!H214</f>
        <v>1.9792032749999999</v>
      </c>
      <c r="J214" s="2">
        <f>6.283185*Angular_frequency!I214</f>
        <v>2.506990815</v>
      </c>
      <c r="K214" s="2">
        <f>6.283185*Angular_frequency!J214</f>
        <v>3.1415924999999998</v>
      </c>
      <c r="L214" s="2">
        <f>6.283185*Angular_frequency!K214</f>
        <v>3.9081410699999997</v>
      </c>
      <c r="M214" s="2">
        <f>6.283185*Angular_frequency!L214</f>
        <v>4.9888488899999999</v>
      </c>
      <c r="N214" s="2">
        <f>6.283185*Angular_frequency!M214</f>
        <v>6.3146009249999988</v>
      </c>
      <c r="O214" s="2">
        <f>6.283185*Angular_frequency!N214</f>
        <v>7.9859281349999991</v>
      </c>
      <c r="P214" s="2">
        <f>6.283185*Angular_frequency!O214</f>
        <v>10.203892440000001</v>
      </c>
      <c r="Q214" s="2">
        <f>6.283185*Angular_frequency!P214</f>
        <v>12.553803629999999</v>
      </c>
      <c r="R214" s="2">
        <f>6.283185*Angular_frequency!Q214</f>
        <v>15.739378424999998</v>
      </c>
      <c r="S214" s="2">
        <f>6.283185*Angular_frequency!R214</f>
        <v>20.294687549999999</v>
      </c>
      <c r="T214" s="2">
        <f>6.283185*Angular_frequency!S214</f>
        <v>25.201855034999998</v>
      </c>
      <c r="U214" s="2">
        <f>6.283185*Angular_frequency!T214</f>
        <v>31.591854179999995</v>
      </c>
      <c r="V214" s="2">
        <f>6.283185*Angular_frequency!U214</f>
        <v>40.356897255</v>
      </c>
      <c r="W214" s="2">
        <f>6.283185*Angular_frequency!V214</f>
        <v>51.559816109999993</v>
      </c>
      <c r="X214" s="236">
        <f>6.283185*Angular_frequency!W214</f>
        <v>64.025655149999992</v>
      </c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2"/>
      <c r="AV214" s="2"/>
    </row>
    <row r="215" spans="1:48" ht="15.75" customHeight="1">
      <c r="A215" s="228">
        <v>38</v>
      </c>
      <c r="B215" s="75">
        <v>4</v>
      </c>
      <c r="C215" s="75"/>
      <c r="D215" s="2">
        <f>6.283185*Angular_frequency!C215</f>
        <v>0.62203531499999998</v>
      </c>
      <c r="E215" s="2">
        <f>6.283185*Angular_frequency!D215</f>
        <v>0.78539812499999995</v>
      </c>
      <c r="F215" s="2">
        <f>6.283185*Angular_frequency!E215</f>
        <v>0.98017685999999993</v>
      </c>
      <c r="G215" s="2">
        <f>6.283185*Angular_frequency!F215</f>
        <v>1.2377874449999999</v>
      </c>
      <c r="H215" s="2">
        <f>6.283185*Angular_frequency!G215</f>
        <v>1.6084953599999998</v>
      </c>
      <c r="I215" s="2">
        <f>6.283185*Angular_frequency!H215</f>
        <v>1.9792032749999999</v>
      </c>
      <c r="J215" s="2">
        <f>6.283185*Angular_frequency!I215</f>
        <v>2.506990815</v>
      </c>
      <c r="K215" s="2">
        <f>6.283185*Angular_frequency!J215</f>
        <v>3.1415924999999998</v>
      </c>
      <c r="L215" s="2">
        <f>6.283185*Angular_frequency!K215</f>
        <v>3.9081410699999997</v>
      </c>
      <c r="M215" s="2">
        <f>6.283185*Angular_frequency!L215</f>
        <v>4.9888488899999999</v>
      </c>
      <c r="N215" s="2">
        <f>6.283185*Angular_frequency!M215</f>
        <v>6.3146009249999988</v>
      </c>
      <c r="O215" s="2">
        <f>6.283185*Angular_frequency!N215</f>
        <v>7.9859281349999991</v>
      </c>
      <c r="P215" s="2">
        <f>6.283185*Angular_frequency!O215</f>
        <v>10.203892440000001</v>
      </c>
      <c r="Q215" s="2">
        <f>6.283185*Angular_frequency!P215</f>
        <v>12.553803629999999</v>
      </c>
      <c r="R215" s="2">
        <f>6.283185*Angular_frequency!Q215</f>
        <v>15.739378424999998</v>
      </c>
      <c r="S215" s="2">
        <f>6.283185*Angular_frequency!R215</f>
        <v>20.294687549999999</v>
      </c>
      <c r="T215" s="2">
        <f>6.283185*Angular_frequency!S215</f>
        <v>25.201855034999998</v>
      </c>
      <c r="U215" s="2">
        <f>6.283185*Angular_frequency!T215</f>
        <v>31.591854179999995</v>
      </c>
      <c r="V215" s="2">
        <f>6.283185*Angular_frequency!U215</f>
        <v>40.356897255</v>
      </c>
      <c r="W215" s="2">
        <f>6.283185*Angular_frequency!V215</f>
        <v>51.559816109999993</v>
      </c>
      <c r="X215" s="236">
        <f>6.283185*Angular_frequency!W215</f>
        <v>64.025655149999992</v>
      </c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2"/>
      <c r="AV215" s="2"/>
    </row>
    <row r="216" spans="1:48" ht="15.75" customHeight="1">
      <c r="A216" s="228">
        <v>38</v>
      </c>
      <c r="B216" s="75">
        <v>5</v>
      </c>
      <c r="C216" s="75"/>
      <c r="D216" s="2">
        <f>6.283185*Angular_frequency!C216</f>
        <v>0.62203531499999998</v>
      </c>
      <c r="E216" s="2">
        <f>6.283185*Angular_frequency!D216</f>
        <v>0.78539812499999995</v>
      </c>
      <c r="F216" s="2">
        <f>6.283185*Angular_frequency!E216</f>
        <v>0.98017685999999993</v>
      </c>
      <c r="G216" s="2">
        <f>6.283185*Angular_frequency!F216</f>
        <v>1.2377874449999999</v>
      </c>
      <c r="H216" s="2">
        <f>6.283185*Angular_frequency!G216</f>
        <v>1.6084953599999998</v>
      </c>
      <c r="I216" s="2">
        <f>6.283185*Angular_frequency!H216</f>
        <v>1.9792032749999999</v>
      </c>
      <c r="J216" s="2">
        <f>6.283185*Angular_frequency!I216</f>
        <v>2.506990815</v>
      </c>
      <c r="K216" s="2">
        <f>6.283185*Angular_frequency!J216</f>
        <v>3.1415924999999998</v>
      </c>
      <c r="L216" s="2">
        <f>6.283185*Angular_frequency!K216</f>
        <v>3.9081410699999997</v>
      </c>
      <c r="M216" s="2">
        <f>6.283185*Angular_frequency!L216</f>
        <v>4.9888488899999999</v>
      </c>
      <c r="N216" s="2">
        <f>6.283185*Angular_frequency!M216</f>
        <v>6.3146009249999988</v>
      </c>
      <c r="O216" s="2">
        <f>6.283185*Angular_frequency!N216</f>
        <v>7.9859281349999991</v>
      </c>
      <c r="P216" s="2">
        <f>6.283185*Angular_frequency!O216</f>
        <v>10.203892440000001</v>
      </c>
      <c r="Q216" s="2">
        <f>6.283185*Angular_frequency!P216</f>
        <v>12.553803629999999</v>
      </c>
      <c r="R216" s="2">
        <f>6.283185*Angular_frequency!Q216</f>
        <v>15.739378424999998</v>
      </c>
      <c r="S216" s="2">
        <f>6.283185*Angular_frequency!R216</f>
        <v>20.294687549999999</v>
      </c>
      <c r="T216" s="2">
        <f>6.283185*Angular_frequency!S216</f>
        <v>25.201855034999998</v>
      </c>
      <c r="U216" s="2">
        <f>6.283185*Angular_frequency!T216</f>
        <v>31.591854179999995</v>
      </c>
      <c r="V216" s="2">
        <f>6.283185*Angular_frequency!U216</f>
        <v>40.356897255</v>
      </c>
      <c r="W216" s="2">
        <f>6.283185*Angular_frequency!V216</f>
        <v>51.559816109999993</v>
      </c>
      <c r="X216" s="236">
        <f>6.283185*Angular_frequency!W216</f>
        <v>64.025655149999992</v>
      </c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2"/>
      <c r="AV216" s="2"/>
    </row>
    <row r="217" spans="1:48" ht="15.75" customHeight="1">
      <c r="A217" s="230">
        <v>38</v>
      </c>
      <c r="B217" s="231">
        <v>6</v>
      </c>
      <c r="C217" s="231"/>
      <c r="D217" s="34">
        <f>6.283185*Angular_frequency!C217</f>
        <v>0.62203531499999998</v>
      </c>
      <c r="E217" s="34">
        <f>6.283185*Angular_frequency!D217</f>
        <v>0.78539812499999995</v>
      </c>
      <c r="F217" s="34">
        <f>6.283185*Angular_frequency!E217</f>
        <v>0.98017685999999993</v>
      </c>
      <c r="G217" s="34">
        <f>6.283185*Angular_frequency!F217</f>
        <v>1.2377874449999999</v>
      </c>
      <c r="H217" s="34">
        <f>6.283185*Angular_frequency!G217</f>
        <v>1.6084953599999998</v>
      </c>
      <c r="I217" s="34">
        <f>6.283185*Angular_frequency!H217</f>
        <v>1.9792032749999999</v>
      </c>
      <c r="J217" s="34">
        <f>6.283185*Angular_frequency!I217</f>
        <v>2.506990815</v>
      </c>
      <c r="K217" s="34">
        <f>6.283185*Angular_frequency!J217</f>
        <v>3.1415924999999998</v>
      </c>
      <c r="L217" s="34">
        <f>6.283185*Angular_frequency!K217</f>
        <v>3.9081410699999997</v>
      </c>
      <c r="M217" s="34">
        <f>6.283185*Angular_frequency!L217</f>
        <v>4.9888488899999999</v>
      </c>
      <c r="N217" s="34">
        <f>6.283185*Angular_frequency!M217</f>
        <v>6.3146009249999988</v>
      </c>
      <c r="O217" s="34">
        <f>6.283185*Angular_frequency!N217</f>
        <v>7.9859281349999991</v>
      </c>
      <c r="P217" s="34">
        <f>6.283185*Angular_frequency!O217</f>
        <v>10.203892440000001</v>
      </c>
      <c r="Q217" s="34">
        <f>6.283185*Angular_frequency!P217</f>
        <v>12.553803629999999</v>
      </c>
      <c r="R217" s="34">
        <f>6.283185*Angular_frequency!Q217</f>
        <v>15.739378424999998</v>
      </c>
      <c r="S217" s="34">
        <f>6.283185*Angular_frequency!R217</f>
        <v>20.294687549999999</v>
      </c>
      <c r="T217" s="34">
        <f>6.283185*Angular_frequency!S217</f>
        <v>25.201855034999998</v>
      </c>
      <c r="U217" s="34">
        <f>6.283185*Angular_frequency!T217</f>
        <v>31.591854179999995</v>
      </c>
      <c r="V217" s="34">
        <f>6.283185*Angular_frequency!U217</f>
        <v>40.356897255</v>
      </c>
      <c r="W217" s="34">
        <f>6.283185*Angular_frequency!V217</f>
        <v>51.559816109999993</v>
      </c>
      <c r="X217" s="237">
        <f>6.283185*Angular_frequency!W217</f>
        <v>64.025655149999992</v>
      </c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2"/>
      <c r="AV217" s="2"/>
    </row>
    <row r="218" spans="1:48" ht="15.75" customHeight="1">
      <c r="A218" s="229">
        <v>39</v>
      </c>
      <c r="B218" s="74">
        <v>1</v>
      </c>
      <c r="C218" s="74"/>
      <c r="D218" s="141">
        <v>0.104</v>
      </c>
      <c r="E218" s="224">
        <v>0.161</v>
      </c>
      <c r="F218" s="224">
        <v>0.29099999999999998</v>
      </c>
      <c r="G218" s="224">
        <v>0.57699999999999996</v>
      </c>
      <c r="H218" s="224">
        <v>1.458</v>
      </c>
      <c r="I218" s="224">
        <v>3.5739999999999998</v>
      </c>
      <c r="J218" s="224">
        <v>7.8310000000000004</v>
      </c>
      <c r="K218" s="224">
        <v>17.513000000000002</v>
      </c>
      <c r="L218" s="224">
        <v>35.734999999999999</v>
      </c>
      <c r="M218" s="224">
        <v>84.957999999999998</v>
      </c>
      <c r="N218" s="24">
        <v>206.13900000000001</v>
      </c>
      <c r="O218" s="302">
        <v>339.60500000000002</v>
      </c>
      <c r="P218" s="2"/>
      <c r="Q218" s="2"/>
      <c r="R218" s="2"/>
      <c r="S218" s="2"/>
      <c r="T218" s="2"/>
      <c r="U218" s="2"/>
      <c r="V218" s="2"/>
      <c r="W218" s="2"/>
      <c r="X218" s="2"/>
    </row>
    <row r="219" spans="1:48" ht="15.75" customHeight="1">
      <c r="A219" s="228">
        <v>39</v>
      </c>
      <c r="B219" s="75">
        <v>2</v>
      </c>
      <c r="C219" s="75"/>
      <c r="D219" s="142">
        <v>0.104</v>
      </c>
      <c r="E219" s="24">
        <v>0.161</v>
      </c>
      <c r="F219" s="24">
        <v>0.29099999999999998</v>
      </c>
      <c r="G219" s="24">
        <v>0.57699999999999996</v>
      </c>
      <c r="H219" s="24">
        <v>1.458</v>
      </c>
      <c r="I219" s="24">
        <v>3.5739999999999998</v>
      </c>
      <c r="J219" s="24">
        <v>7.8310000000000004</v>
      </c>
      <c r="K219" s="24">
        <v>17.513000000000002</v>
      </c>
      <c r="L219" s="24">
        <v>35.734999999999999</v>
      </c>
      <c r="M219" s="24">
        <v>84.957999999999998</v>
      </c>
      <c r="N219" s="24">
        <v>206.13900000000001</v>
      </c>
      <c r="O219" s="302">
        <v>339.60500000000002</v>
      </c>
      <c r="P219" s="2"/>
    </row>
    <row r="220" spans="1:48" ht="15.75" customHeight="1">
      <c r="A220" s="228">
        <v>39</v>
      </c>
      <c r="B220" s="75">
        <v>3</v>
      </c>
      <c r="C220" s="75"/>
      <c r="D220" s="142">
        <v>0.104</v>
      </c>
      <c r="E220" s="24">
        <v>0.161</v>
      </c>
      <c r="F220" s="24">
        <v>0.29099999999999998</v>
      </c>
      <c r="G220" s="24">
        <v>0.57699999999999996</v>
      </c>
      <c r="H220" s="24">
        <v>1.458</v>
      </c>
      <c r="I220" s="24">
        <v>3.5739999999999998</v>
      </c>
      <c r="J220" s="24">
        <v>7.8310000000000004</v>
      </c>
      <c r="K220" s="24">
        <v>17.513000000000002</v>
      </c>
      <c r="L220" s="24">
        <v>35.734999999999999</v>
      </c>
      <c r="M220" s="24">
        <v>84.957999999999998</v>
      </c>
      <c r="N220" s="24">
        <v>206.13900000000001</v>
      </c>
      <c r="O220" s="302">
        <v>339.60500000000002</v>
      </c>
      <c r="P220" s="2"/>
    </row>
    <row r="221" spans="1:48" ht="15.75" customHeight="1">
      <c r="A221" s="228">
        <v>39</v>
      </c>
      <c r="B221" s="75">
        <v>4</v>
      </c>
      <c r="C221" s="75"/>
      <c r="D221" s="142">
        <v>0.104</v>
      </c>
      <c r="E221" s="24">
        <v>0.161</v>
      </c>
      <c r="F221" s="24">
        <v>0.29099999999999998</v>
      </c>
      <c r="G221" s="24">
        <v>0.57699999999999996</v>
      </c>
      <c r="H221" s="24">
        <v>1.458</v>
      </c>
      <c r="I221" s="24">
        <v>3.5739999999999998</v>
      </c>
      <c r="J221" s="24">
        <v>7.8310000000000004</v>
      </c>
      <c r="K221" s="24">
        <v>17.513000000000002</v>
      </c>
      <c r="L221" s="24">
        <v>35.734999999999999</v>
      </c>
      <c r="M221" s="24">
        <v>84.957999999999998</v>
      </c>
      <c r="N221" s="24">
        <v>206.13900000000001</v>
      </c>
      <c r="O221" s="302">
        <v>339.60500000000002</v>
      </c>
      <c r="P221" s="2"/>
    </row>
    <row r="222" spans="1:48" ht="15.75" customHeight="1">
      <c r="A222" s="228">
        <v>39</v>
      </c>
      <c r="B222" s="75">
        <v>5</v>
      </c>
      <c r="C222" s="75"/>
      <c r="D222" s="142">
        <v>9.5000000000000001E-2</v>
      </c>
      <c r="E222" s="24">
        <v>0.152</v>
      </c>
      <c r="F222" s="24">
        <v>0.41199999999999998</v>
      </c>
      <c r="G222" s="24">
        <v>1.839</v>
      </c>
      <c r="H222" s="24">
        <v>7.8079999999999998</v>
      </c>
      <c r="I222" s="24">
        <v>39.484000000000002</v>
      </c>
      <c r="J222" s="24">
        <v>134.12299999999999</v>
      </c>
      <c r="K222" s="24">
        <v>353.99599999999998</v>
      </c>
      <c r="L222" s="24"/>
      <c r="M222" s="24"/>
      <c r="N222" s="24"/>
      <c r="O222" s="302"/>
      <c r="P222" s="2"/>
    </row>
    <row r="223" spans="1:48" ht="15.75" customHeight="1">
      <c r="A223" s="228">
        <v>39</v>
      </c>
      <c r="B223" s="75">
        <v>6</v>
      </c>
      <c r="C223" s="75"/>
      <c r="D223" s="142">
        <v>9.5000000000000001E-2</v>
      </c>
      <c r="E223" s="24">
        <v>0.152</v>
      </c>
      <c r="F223" s="24">
        <v>0.41199999999999998</v>
      </c>
      <c r="G223" s="24">
        <v>1.839</v>
      </c>
      <c r="H223" s="24">
        <v>7.8079999999999998</v>
      </c>
      <c r="I223" s="24">
        <v>39.484000000000002</v>
      </c>
      <c r="J223" s="24">
        <v>134.12299999999999</v>
      </c>
      <c r="K223" s="24">
        <v>353.99599999999998</v>
      </c>
      <c r="L223" s="24"/>
      <c r="M223" s="24"/>
      <c r="N223" s="24"/>
      <c r="O223" s="302"/>
      <c r="P223" s="2"/>
    </row>
    <row r="224" spans="1:48" ht="15.75" customHeight="1">
      <c r="A224" s="228">
        <v>39</v>
      </c>
      <c r="B224" s="75">
        <v>7</v>
      </c>
      <c r="C224" s="75"/>
      <c r="D224" s="142">
        <v>9.5000000000000001E-2</v>
      </c>
      <c r="E224" s="24">
        <v>0.152</v>
      </c>
      <c r="F224" s="24">
        <v>0.41199999999999998</v>
      </c>
      <c r="G224" s="24">
        <v>1.839</v>
      </c>
      <c r="H224" s="24">
        <v>7.8079999999999998</v>
      </c>
      <c r="I224" s="24">
        <v>39.484000000000002</v>
      </c>
      <c r="J224" s="24">
        <v>134.12299999999999</v>
      </c>
      <c r="K224" s="24">
        <v>353.99599999999998</v>
      </c>
      <c r="L224" s="24"/>
      <c r="M224" s="24"/>
      <c r="N224" s="24"/>
      <c r="O224" s="302"/>
      <c r="P224" s="2"/>
    </row>
    <row r="225" spans="1:48" ht="15.75" customHeight="1">
      <c r="A225" s="230">
        <v>39</v>
      </c>
      <c r="B225" s="231">
        <v>8</v>
      </c>
      <c r="C225" s="231"/>
      <c r="D225" s="143">
        <v>9.5000000000000001E-2</v>
      </c>
      <c r="E225" s="31">
        <v>0.152</v>
      </c>
      <c r="F225" s="31">
        <v>0.41199999999999998</v>
      </c>
      <c r="G225" s="31">
        <v>1.839</v>
      </c>
      <c r="H225" s="31">
        <v>7.8079999999999998</v>
      </c>
      <c r="I225" s="31">
        <v>39.484000000000002</v>
      </c>
      <c r="J225" s="31">
        <v>134.12299999999999</v>
      </c>
      <c r="K225" s="31">
        <v>353.99599999999998</v>
      </c>
      <c r="L225" s="31"/>
      <c r="M225" s="31"/>
      <c r="N225" s="31"/>
      <c r="O225" s="305"/>
      <c r="P225" s="2"/>
    </row>
    <row r="226" spans="1:48" ht="15.75" customHeight="1">
      <c r="A226" s="228">
        <v>40</v>
      </c>
      <c r="B226" s="75">
        <v>1</v>
      </c>
      <c r="C226" s="75" t="s">
        <v>575</v>
      </c>
      <c r="D226" s="2"/>
      <c r="E226" s="116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spans="1:48" ht="15.75" customHeight="1">
      <c r="A227" s="228">
        <v>40</v>
      </c>
      <c r="B227" s="75">
        <v>2</v>
      </c>
      <c r="C227" s="75" t="s">
        <v>575</v>
      </c>
    </row>
    <row r="228" spans="1:48" ht="15.75" customHeight="1">
      <c r="A228" s="228">
        <v>40</v>
      </c>
      <c r="B228" s="75">
        <v>3</v>
      </c>
      <c r="C228" s="75" t="s">
        <v>575</v>
      </c>
    </row>
    <row r="229" spans="1:48" ht="15.75" customHeight="1">
      <c r="A229" s="228">
        <v>40</v>
      </c>
      <c r="B229" s="75">
        <v>4</v>
      </c>
      <c r="C229" s="75" t="s">
        <v>575</v>
      </c>
    </row>
    <row r="230" spans="1:48" ht="15.75" customHeight="1">
      <c r="A230" s="228">
        <v>40</v>
      </c>
      <c r="B230" s="75">
        <v>5</v>
      </c>
      <c r="C230" s="75" t="s">
        <v>575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48" ht="15.75" customHeight="1">
      <c r="A231" s="199">
        <v>41</v>
      </c>
      <c r="B231" s="200">
        <v>1</v>
      </c>
      <c r="C231" s="200" t="s">
        <v>572</v>
      </c>
      <c r="D231" s="234">
        <v>0.1</v>
      </c>
      <c r="E231" s="234">
        <v>0.13800000000000001</v>
      </c>
      <c r="F231" s="234">
        <v>0.187</v>
      </c>
      <c r="G231" s="234">
        <v>0.249</v>
      </c>
      <c r="H231" s="234">
        <v>0.34399999999999997</v>
      </c>
      <c r="I231" s="234">
        <v>0.46800000000000003</v>
      </c>
      <c r="J231" s="234">
        <v>0.628</v>
      </c>
      <c r="K231" s="234">
        <v>0.86099999999999999</v>
      </c>
      <c r="L231" s="234">
        <v>1.181</v>
      </c>
      <c r="M231" s="234">
        <v>1.607</v>
      </c>
      <c r="N231" s="234">
        <v>2.1880000000000002</v>
      </c>
      <c r="O231" s="234">
        <v>2.9580000000000002</v>
      </c>
      <c r="P231" s="234">
        <v>3.944</v>
      </c>
      <c r="Q231" s="234">
        <v>5.407</v>
      </c>
      <c r="R231" s="234">
        <v>7.26</v>
      </c>
      <c r="S231" s="234">
        <v>10.023</v>
      </c>
      <c r="T231" s="234">
        <v>13.457000000000001</v>
      </c>
      <c r="U231" s="234">
        <v>18.45</v>
      </c>
      <c r="V231" s="234">
        <v>24.943000000000001</v>
      </c>
      <c r="W231" s="234">
        <v>34.198999999999998</v>
      </c>
      <c r="X231" s="234">
        <v>45.911999999999999</v>
      </c>
      <c r="Y231" s="234">
        <v>62.948</v>
      </c>
      <c r="Z231" s="234">
        <v>85.103999999999999</v>
      </c>
      <c r="AA231" s="235">
        <v>100</v>
      </c>
      <c r="AB231" s="2"/>
    </row>
    <row r="232" spans="1:48" ht="15.75" customHeight="1">
      <c r="A232" s="196">
        <v>41</v>
      </c>
      <c r="B232" s="201">
        <v>2</v>
      </c>
      <c r="C232" s="201" t="s">
        <v>572</v>
      </c>
      <c r="D232" s="2">
        <v>0.1</v>
      </c>
      <c r="E232" s="2">
        <v>0.13800000000000001</v>
      </c>
      <c r="F232" s="2">
        <v>0.187</v>
      </c>
      <c r="G232" s="2">
        <v>0.249</v>
      </c>
      <c r="H232" s="2">
        <v>0.34399999999999997</v>
      </c>
      <c r="I232" s="2">
        <v>0.46800000000000003</v>
      </c>
      <c r="J232" s="2">
        <v>0.628</v>
      </c>
      <c r="K232" s="2">
        <v>0.86099999999999999</v>
      </c>
      <c r="L232" s="2">
        <v>1.181</v>
      </c>
      <c r="M232" s="2">
        <v>1.607</v>
      </c>
      <c r="N232" s="2">
        <v>2.1880000000000002</v>
      </c>
      <c r="O232" s="2">
        <v>2.9580000000000002</v>
      </c>
      <c r="P232" s="2">
        <v>3.944</v>
      </c>
      <c r="Q232" s="2">
        <v>5.407</v>
      </c>
      <c r="R232" s="2">
        <v>7.26</v>
      </c>
      <c r="S232" s="2">
        <v>10.023</v>
      </c>
      <c r="T232" s="2">
        <v>13.457000000000001</v>
      </c>
      <c r="U232" s="2">
        <v>18.45</v>
      </c>
      <c r="V232" s="2">
        <v>24.943000000000001</v>
      </c>
      <c r="W232" s="2">
        <v>34.198999999999998</v>
      </c>
      <c r="X232" s="2">
        <v>45.911999999999999</v>
      </c>
      <c r="Y232" s="2">
        <v>62.948</v>
      </c>
      <c r="Z232" s="2">
        <v>85.103999999999999</v>
      </c>
      <c r="AA232" s="236">
        <v>100</v>
      </c>
      <c r="AB232" s="2"/>
    </row>
    <row r="233" spans="1:48" ht="15.75" customHeight="1">
      <c r="A233" s="196">
        <v>41</v>
      </c>
      <c r="B233" s="201">
        <v>3</v>
      </c>
      <c r="C233" s="201" t="s">
        <v>572</v>
      </c>
      <c r="D233" s="2">
        <v>0.1</v>
      </c>
      <c r="E233" s="2">
        <v>0.13800000000000001</v>
      </c>
      <c r="F233" s="2">
        <v>0.187</v>
      </c>
      <c r="G233" s="2">
        <v>0.249</v>
      </c>
      <c r="H233" s="2">
        <v>0.34399999999999997</v>
      </c>
      <c r="I233" s="2">
        <v>0.46800000000000003</v>
      </c>
      <c r="J233" s="2">
        <v>0.628</v>
      </c>
      <c r="K233" s="2">
        <v>0.86099999999999999</v>
      </c>
      <c r="L233" s="2">
        <v>1.181</v>
      </c>
      <c r="M233" s="2">
        <v>1.607</v>
      </c>
      <c r="N233" s="2">
        <v>2.1880000000000002</v>
      </c>
      <c r="O233" s="2">
        <v>2.9580000000000002</v>
      </c>
      <c r="P233" s="2">
        <v>3.944</v>
      </c>
      <c r="Q233" s="2">
        <v>5.407</v>
      </c>
      <c r="R233" s="2">
        <v>7.26</v>
      </c>
      <c r="S233" s="2">
        <v>10.023</v>
      </c>
      <c r="T233" s="2">
        <v>13.457000000000001</v>
      </c>
      <c r="U233" s="2">
        <v>18.45</v>
      </c>
      <c r="V233" s="2">
        <v>24.943000000000001</v>
      </c>
      <c r="W233" s="2">
        <v>34.198999999999998</v>
      </c>
      <c r="X233" s="2">
        <v>45.911999999999999</v>
      </c>
      <c r="Y233" s="2">
        <v>62.948</v>
      </c>
      <c r="Z233" s="2">
        <v>85.103999999999999</v>
      </c>
      <c r="AA233" s="236">
        <v>100</v>
      </c>
      <c r="AB233" s="2"/>
    </row>
    <row r="234" spans="1:48" ht="15.75" customHeight="1">
      <c r="A234" s="196">
        <v>41</v>
      </c>
      <c r="B234" s="201">
        <v>4</v>
      </c>
      <c r="C234" s="201" t="s">
        <v>572</v>
      </c>
      <c r="D234" s="2">
        <v>0.1</v>
      </c>
      <c r="E234" s="2">
        <v>0.13800000000000001</v>
      </c>
      <c r="F234" s="2">
        <v>0.187</v>
      </c>
      <c r="G234" s="2">
        <v>0.249</v>
      </c>
      <c r="H234" s="2">
        <v>0.34399999999999997</v>
      </c>
      <c r="I234" s="2">
        <v>0.46800000000000003</v>
      </c>
      <c r="J234" s="2">
        <v>0.628</v>
      </c>
      <c r="K234" s="2">
        <v>0.86099999999999999</v>
      </c>
      <c r="L234" s="2">
        <v>1.181</v>
      </c>
      <c r="M234" s="2">
        <v>1.607</v>
      </c>
      <c r="N234" s="2">
        <v>2.1880000000000002</v>
      </c>
      <c r="O234" s="2">
        <v>2.9580000000000002</v>
      </c>
      <c r="P234" s="2">
        <v>3.944</v>
      </c>
      <c r="Q234" s="2">
        <v>5.407</v>
      </c>
      <c r="R234" s="2">
        <v>7.26</v>
      </c>
      <c r="S234" s="2">
        <v>10.023</v>
      </c>
      <c r="T234" s="2">
        <v>13.457000000000001</v>
      </c>
      <c r="U234" s="2">
        <v>18.45</v>
      </c>
      <c r="V234" s="2">
        <v>24.943000000000001</v>
      </c>
      <c r="W234" s="2">
        <v>34.198999999999998</v>
      </c>
      <c r="X234" s="2">
        <v>45.911999999999999</v>
      </c>
      <c r="Y234" s="2">
        <v>62.948</v>
      </c>
      <c r="Z234" s="2">
        <v>85.103999999999999</v>
      </c>
      <c r="AA234" s="236">
        <v>100</v>
      </c>
      <c r="AB234" s="2"/>
    </row>
    <row r="235" spans="1:48" ht="15.75" customHeight="1">
      <c r="A235" s="196">
        <v>41</v>
      </c>
      <c r="B235" s="201">
        <v>5</v>
      </c>
      <c r="C235" s="201" t="s">
        <v>572</v>
      </c>
      <c r="D235" s="2">
        <v>0.1</v>
      </c>
      <c r="E235" s="2">
        <v>0.13800000000000001</v>
      </c>
      <c r="F235" s="2">
        <v>0.187</v>
      </c>
      <c r="G235" s="2">
        <v>0.249</v>
      </c>
      <c r="H235" s="2">
        <v>0.34399999999999997</v>
      </c>
      <c r="I235" s="2">
        <v>0.46800000000000003</v>
      </c>
      <c r="J235" s="2">
        <v>0.628</v>
      </c>
      <c r="K235" s="2">
        <v>0.86099999999999999</v>
      </c>
      <c r="L235" s="2">
        <v>1.181</v>
      </c>
      <c r="M235" s="2">
        <v>1.607</v>
      </c>
      <c r="N235" s="2">
        <v>2.1880000000000002</v>
      </c>
      <c r="O235" s="2">
        <v>2.9580000000000002</v>
      </c>
      <c r="P235" s="2">
        <v>3.944</v>
      </c>
      <c r="Q235" s="2">
        <v>5.407</v>
      </c>
      <c r="R235" s="2">
        <v>7.26</v>
      </c>
      <c r="S235" s="2">
        <v>10.023</v>
      </c>
      <c r="T235" s="2">
        <v>13.457000000000001</v>
      </c>
      <c r="U235" s="2">
        <v>18.45</v>
      </c>
      <c r="V235" s="2">
        <v>24.943000000000001</v>
      </c>
      <c r="W235" s="2">
        <v>34.198999999999998</v>
      </c>
      <c r="X235" s="2">
        <v>45.911999999999999</v>
      </c>
      <c r="Y235" s="2">
        <v>62.948</v>
      </c>
      <c r="Z235" s="2">
        <v>85.103999999999999</v>
      </c>
      <c r="AA235" s="236">
        <v>100</v>
      </c>
      <c r="AB235" s="2"/>
    </row>
    <row r="236" spans="1:48" ht="15.75" customHeight="1">
      <c r="A236" s="196">
        <v>41</v>
      </c>
      <c r="B236" s="201">
        <v>6</v>
      </c>
      <c r="C236" s="201" t="s">
        <v>572</v>
      </c>
      <c r="D236" s="2">
        <v>0.1</v>
      </c>
      <c r="E236" s="2">
        <v>0.13800000000000001</v>
      </c>
      <c r="F236" s="2">
        <v>0.187</v>
      </c>
      <c r="G236" s="2">
        <v>0.249</v>
      </c>
      <c r="H236" s="2">
        <v>0.34399999999999997</v>
      </c>
      <c r="I236" s="2">
        <v>0.46800000000000003</v>
      </c>
      <c r="J236" s="2">
        <v>0.628</v>
      </c>
      <c r="K236" s="2">
        <v>0.86099999999999999</v>
      </c>
      <c r="L236" s="2">
        <v>1.181</v>
      </c>
      <c r="M236" s="2">
        <v>1.607</v>
      </c>
      <c r="N236" s="2">
        <v>2.1880000000000002</v>
      </c>
      <c r="O236" s="2">
        <v>2.9580000000000002</v>
      </c>
      <c r="P236" s="2">
        <v>3.944</v>
      </c>
      <c r="Q236" s="2">
        <v>5.407</v>
      </c>
      <c r="R236" s="2">
        <v>7.26</v>
      </c>
      <c r="S236" s="2">
        <v>10.023</v>
      </c>
      <c r="T236" s="2">
        <v>13.457000000000001</v>
      </c>
      <c r="U236" s="2">
        <v>18.45</v>
      </c>
      <c r="V236" s="2">
        <v>24.943000000000001</v>
      </c>
      <c r="W236" s="2">
        <v>34.198999999999998</v>
      </c>
      <c r="X236" s="2">
        <v>45.911999999999999</v>
      </c>
      <c r="Y236" s="34">
        <v>62.948</v>
      </c>
      <c r="Z236" s="34">
        <v>85.103999999999999</v>
      </c>
      <c r="AA236" s="237">
        <v>100</v>
      </c>
      <c r="AB236" s="2"/>
    </row>
    <row r="237" spans="1:48" ht="15.75" customHeight="1">
      <c r="A237" s="199">
        <v>42</v>
      </c>
      <c r="B237" s="200" t="s">
        <v>221</v>
      </c>
      <c r="C237" s="200" t="s">
        <v>572</v>
      </c>
      <c r="D237" s="234">
        <f>6.283185*Angular_frequency!C237</f>
        <v>6.2831849999999995E-2</v>
      </c>
      <c r="E237" s="234">
        <f>6.283185*Angular_frequency!D237</f>
        <v>0.10053095999999999</v>
      </c>
      <c r="F237" s="234">
        <f>6.283185*Angular_frequency!E237</f>
        <v>0.157079625</v>
      </c>
      <c r="G237" s="234">
        <f>6.283185*Angular_frequency!F237</f>
        <v>0.25132739999999998</v>
      </c>
      <c r="H237" s="234">
        <f>6.283185*Angular_frequency!G237</f>
        <v>0.39584065499999999</v>
      </c>
      <c r="I237" s="234">
        <f>6.283185*Angular_frequency!H237</f>
        <v>0.6283185</v>
      </c>
      <c r="J237" s="234">
        <f>6.283185*Angular_frequency!I237</f>
        <v>0.98646004499999995</v>
      </c>
      <c r="K237" s="234">
        <f>6.283185*Angular_frequency!J237</f>
        <v>1.589645805</v>
      </c>
      <c r="L237" s="234">
        <f>6.283185*Angular_frequency!K237</f>
        <v>2.4630085199999998</v>
      </c>
      <c r="M237" s="234">
        <f>6.283185*Angular_frequency!L237</f>
        <v>3.9332738099999998</v>
      </c>
      <c r="N237" s="234">
        <f>6.283185*Angular_frequency!M237</f>
        <v>6.2266363349999994</v>
      </c>
      <c r="O237" s="234">
        <f>6.283185*Angular_frequency!N237</f>
        <v>9.9399986699999996</v>
      </c>
      <c r="P237" s="234">
        <f>6.283185*Angular_frequency!O237</f>
        <v>15.576015614999999</v>
      </c>
      <c r="Q237" s="234">
        <f>6.283185*Angular_frequency!P237</f>
        <v>24.642651569999998</v>
      </c>
      <c r="R237" s="234">
        <f>6.283185*Angular_frequency!Q237</f>
        <v>39.351587654999996</v>
      </c>
      <c r="S237" s="234">
        <f>6.283185*Angular_frequency!R237</f>
        <v>62.247513794999996</v>
      </c>
      <c r="T237" s="234">
        <f>6.283185*Angular_frequency!S237</f>
        <v>99.393703514999999</v>
      </c>
      <c r="U237" s="234">
        <f>6.283185*Angular_frequency!T237</f>
        <v>157.23670462499999</v>
      </c>
      <c r="V237" s="234">
        <f>6.283185*Angular_frequency!U237</f>
        <v>244.12686998999999</v>
      </c>
      <c r="W237" s="234">
        <f>6.283185*Angular_frequency!V237</f>
        <v>393.484460625</v>
      </c>
      <c r="X237" s="235">
        <f>6.283185*Angular_frequency!W237</f>
        <v>628.31849999999997</v>
      </c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2"/>
      <c r="AV237" s="2"/>
    </row>
    <row r="238" spans="1:48" ht="15.75" customHeight="1">
      <c r="A238" s="196">
        <v>42</v>
      </c>
      <c r="B238" s="201" t="s">
        <v>222</v>
      </c>
      <c r="C238" s="201" t="s">
        <v>572</v>
      </c>
      <c r="D238" s="2">
        <f>6.283185*Angular_frequency!C238</f>
        <v>6.2831849999999995E-2</v>
      </c>
      <c r="E238" s="2">
        <f>6.283185*Angular_frequency!D238</f>
        <v>0.10053095999999999</v>
      </c>
      <c r="F238" s="2">
        <f>6.283185*Angular_frequency!E238</f>
        <v>0.157079625</v>
      </c>
      <c r="G238" s="2">
        <f>6.283185*Angular_frequency!F238</f>
        <v>0.25132739999999998</v>
      </c>
      <c r="H238" s="2">
        <f>6.283185*Angular_frequency!G238</f>
        <v>0.39584065499999999</v>
      </c>
      <c r="I238" s="2">
        <f>6.283185*Angular_frequency!H238</f>
        <v>0.6283185</v>
      </c>
      <c r="J238" s="2">
        <f>6.283185*Angular_frequency!I238</f>
        <v>0.98646004499999995</v>
      </c>
      <c r="K238" s="2">
        <f>6.283185*Angular_frequency!J238</f>
        <v>1.589645805</v>
      </c>
      <c r="L238" s="2">
        <f>6.283185*Angular_frequency!K238</f>
        <v>2.4630085199999998</v>
      </c>
      <c r="M238" s="2">
        <f>6.283185*Angular_frequency!L238</f>
        <v>3.9332738099999998</v>
      </c>
      <c r="N238" s="2">
        <f>6.283185*Angular_frequency!M238</f>
        <v>6.2266363349999994</v>
      </c>
      <c r="O238" s="2">
        <f>6.283185*Angular_frequency!N238</f>
        <v>9.9399986699999996</v>
      </c>
      <c r="P238" s="2">
        <f>6.283185*Angular_frequency!O238</f>
        <v>15.576015614999999</v>
      </c>
      <c r="Q238" s="2">
        <f>6.283185*Angular_frequency!P238</f>
        <v>24.642651569999998</v>
      </c>
      <c r="R238" s="2">
        <f>6.283185*Angular_frequency!Q238</f>
        <v>39.351587654999996</v>
      </c>
      <c r="S238" s="2">
        <f>6.283185*Angular_frequency!R238</f>
        <v>62.247513794999996</v>
      </c>
      <c r="T238" s="2">
        <f>6.283185*Angular_frequency!S238</f>
        <v>99.393703514999999</v>
      </c>
      <c r="U238" s="2">
        <f>6.283185*Angular_frequency!T238</f>
        <v>157.23670462499999</v>
      </c>
      <c r="V238" s="2">
        <f>6.283185*Angular_frequency!U238</f>
        <v>244.12686998999999</v>
      </c>
      <c r="W238" s="2">
        <f>6.283185*Angular_frequency!V238</f>
        <v>393.484460625</v>
      </c>
      <c r="X238" s="236">
        <f>6.283185*Angular_frequency!W238</f>
        <v>628.31849999999997</v>
      </c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2"/>
      <c r="AV238" s="2"/>
    </row>
    <row r="239" spans="1:48" ht="15.75" customHeight="1">
      <c r="A239" s="196">
        <v>42</v>
      </c>
      <c r="B239" s="201" t="s">
        <v>223</v>
      </c>
      <c r="C239" s="201" t="s">
        <v>572</v>
      </c>
      <c r="D239" s="2">
        <f>6.283185*Angular_frequency!C239</f>
        <v>6.2831849999999995E-2</v>
      </c>
      <c r="E239" s="2">
        <f>6.283185*Angular_frequency!D239</f>
        <v>0.10053095999999999</v>
      </c>
      <c r="F239" s="2">
        <f>6.283185*Angular_frequency!E239</f>
        <v>0.157079625</v>
      </c>
      <c r="G239" s="2">
        <f>6.283185*Angular_frequency!F239</f>
        <v>0.25132739999999998</v>
      </c>
      <c r="H239" s="2">
        <f>6.283185*Angular_frequency!G239</f>
        <v>0.39584065499999999</v>
      </c>
      <c r="I239" s="2">
        <f>6.283185*Angular_frequency!H239</f>
        <v>0.6283185</v>
      </c>
      <c r="J239" s="2">
        <f>6.283185*Angular_frequency!I239</f>
        <v>0.98646004499999995</v>
      </c>
      <c r="K239" s="2">
        <f>6.283185*Angular_frequency!J239</f>
        <v>1.589645805</v>
      </c>
      <c r="L239" s="2">
        <f>6.283185*Angular_frequency!K239</f>
        <v>2.4630085199999998</v>
      </c>
      <c r="M239" s="2">
        <f>6.283185*Angular_frequency!L239</f>
        <v>3.9332738099999998</v>
      </c>
      <c r="N239" s="2">
        <f>6.283185*Angular_frequency!M239</f>
        <v>6.2266363349999994</v>
      </c>
      <c r="O239" s="2">
        <f>6.283185*Angular_frequency!N239</f>
        <v>9.9399986699999996</v>
      </c>
      <c r="P239" s="2">
        <f>6.283185*Angular_frequency!O239</f>
        <v>15.576015614999999</v>
      </c>
      <c r="Q239" s="2">
        <f>6.283185*Angular_frequency!P239</f>
        <v>24.642651569999998</v>
      </c>
      <c r="R239" s="2">
        <f>6.283185*Angular_frequency!Q239</f>
        <v>39.351587654999996</v>
      </c>
      <c r="S239" s="2">
        <f>6.283185*Angular_frequency!R239</f>
        <v>62.247513794999996</v>
      </c>
      <c r="T239" s="2">
        <f>6.283185*Angular_frequency!S239</f>
        <v>99.393703514999999</v>
      </c>
      <c r="U239" s="2">
        <f>6.283185*Angular_frequency!T239</f>
        <v>157.23670462499999</v>
      </c>
      <c r="V239" s="2">
        <f>6.283185*Angular_frequency!U239</f>
        <v>244.12686998999999</v>
      </c>
      <c r="W239" s="2">
        <f>6.283185*Angular_frequency!V239</f>
        <v>393.484460625</v>
      </c>
      <c r="X239" s="236">
        <f>6.283185*Angular_frequency!W239</f>
        <v>628.31849999999997</v>
      </c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2"/>
      <c r="AV239" s="2"/>
    </row>
    <row r="240" spans="1:48" ht="15.75" customHeight="1">
      <c r="A240" s="196">
        <v>42</v>
      </c>
      <c r="B240" s="201" t="s">
        <v>225</v>
      </c>
      <c r="C240" s="201" t="s">
        <v>575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36"/>
      <c r="Y240" s="2"/>
    </row>
    <row r="241" spans="1:25" ht="15.75" customHeight="1">
      <c r="A241" s="196">
        <v>42</v>
      </c>
      <c r="B241" s="201" t="s">
        <v>226</v>
      </c>
      <c r="C241" s="201" t="s">
        <v>575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36"/>
      <c r="Y241" s="2"/>
    </row>
    <row r="242" spans="1:25" ht="15.75" customHeight="1">
      <c r="A242" s="197">
        <v>42</v>
      </c>
      <c r="B242" s="202" t="s">
        <v>227</v>
      </c>
      <c r="C242" s="202" t="s">
        <v>575</v>
      </c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237"/>
      <c r="Y242" s="2"/>
    </row>
    <row r="243" spans="1:25" ht="15.75" customHeight="1">
      <c r="A243" s="228">
        <v>43</v>
      </c>
      <c r="B243" s="75">
        <v>1</v>
      </c>
      <c r="C243" s="75" t="s">
        <v>574</v>
      </c>
      <c r="D243" s="2">
        <v>0.10100000000000001</v>
      </c>
      <c r="E243" s="2">
        <v>0.158</v>
      </c>
      <c r="F243" s="2">
        <v>0.255</v>
      </c>
      <c r="G243" s="2">
        <v>0.39900000000000002</v>
      </c>
      <c r="H243" s="2">
        <v>0.63900000000000001</v>
      </c>
      <c r="I243" s="2">
        <v>1.002</v>
      </c>
      <c r="J243" s="2">
        <v>1.583</v>
      </c>
      <c r="K243" s="2">
        <v>2.4990000000000001</v>
      </c>
      <c r="L243" s="2">
        <v>3.9740000000000002</v>
      </c>
      <c r="M243" s="2">
        <v>6.319</v>
      </c>
      <c r="N243" s="2">
        <v>9.9760000000000009</v>
      </c>
      <c r="O243" s="2">
        <v>15.864000000000001</v>
      </c>
      <c r="P243" s="2">
        <v>24.692</v>
      </c>
      <c r="Q243" s="2">
        <v>39.545999999999999</v>
      </c>
      <c r="R243" s="2">
        <v>63.335999999999999</v>
      </c>
      <c r="S243" s="236">
        <v>100</v>
      </c>
      <c r="T243" s="2"/>
      <c r="U243" s="2"/>
      <c r="V243" s="2"/>
      <c r="W243" s="2"/>
      <c r="X243" s="2"/>
    </row>
    <row r="244" spans="1:25" ht="15.75" customHeight="1">
      <c r="A244" s="228">
        <v>43</v>
      </c>
      <c r="B244" s="75">
        <v>2</v>
      </c>
      <c r="C244" s="75" t="s">
        <v>574</v>
      </c>
      <c r="D244" s="2">
        <v>0.10100000000000001</v>
      </c>
      <c r="E244" s="2">
        <v>0.158</v>
      </c>
      <c r="F244" s="2">
        <v>0.255</v>
      </c>
      <c r="G244" s="2">
        <v>0.39900000000000002</v>
      </c>
      <c r="H244" s="2">
        <v>0.63900000000000001</v>
      </c>
      <c r="I244" s="2">
        <v>1.002</v>
      </c>
      <c r="J244" s="2">
        <v>1.583</v>
      </c>
      <c r="K244" s="2">
        <v>2.4990000000000001</v>
      </c>
      <c r="L244" s="2">
        <v>3.9740000000000002</v>
      </c>
      <c r="M244" s="2">
        <v>6.319</v>
      </c>
      <c r="N244" s="2">
        <v>9.9760000000000009</v>
      </c>
      <c r="O244" s="2">
        <v>15.864000000000001</v>
      </c>
      <c r="P244" s="2">
        <v>24.692</v>
      </c>
      <c r="Q244" s="2">
        <v>39.545999999999999</v>
      </c>
      <c r="R244" s="2">
        <v>63.335999999999999</v>
      </c>
      <c r="S244" s="236">
        <v>100</v>
      </c>
      <c r="T244" s="2"/>
    </row>
    <row r="245" spans="1:25" ht="15.75" customHeight="1">
      <c r="A245" s="228">
        <v>43</v>
      </c>
      <c r="B245" s="75">
        <v>3</v>
      </c>
      <c r="C245" s="75" t="s">
        <v>574</v>
      </c>
      <c r="D245" s="2">
        <v>0.10100000000000001</v>
      </c>
      <c r="E245" s="2">
        <v>0.158</v>
      </c>
      <c r="F245" s="2">
        <v>0.255</v>
      </c>
      <c r="G245" s="2">
        <v>0.39900000000000002</v>
      </c>
      <c r="H245" s="2">
        <v>0.63900000000000001</v>
      </c>
      <c r="I245" s="2">
        <v>1.002</v>
      </c>
      <c r="J245" s="2">
        <v>1.583</v>
      </c>
      <c r="K245" s="2">
        <v>2.4990000000000001</v>
      </c>
      <c r="L245" s="2">
        <v>3.9740000000000002</v>
      </c>
      <c r="M245" s="2">
        <v>6.319</v>
      </c>
      <c r="N245" s="2">
        <v>9.9760000000000009</v>
      </c>
      <c r="O245" s="34">
        <v>15.864000000000001</v>
      </c>
      <c r="P245" s="34">
        <v>24.692</v>
      </c>
      <c r="Q245" s="34">
        <v>39.545999999999999</v>
      </c>
      <c r="R245" s="34">
        <v>63.335999999999999</v>
      </c>
      <c r="S245" s="237">
        <v>100</v>
      </c>
      <c r="T245" s="2"/>
    </row>
    <row r="246" spans="1:25" ht="15.75" customHeight="1">
      <c r="A246" s="229">
        <v>44</v>
      </c>
      <c r="B246" s="74" t="s">
        <v>221</v>
      </c>
      <c r="C246" s="74"/>
      <c r="D246" s="234">
        <v>1</v>
      </c>
      <c r="E246" s="234">
        <v>1.5880000000000001</v>
      </c>
      <c r="F246" s="234">
        <v>2.5230000000000001</v>
      </c>
      <c r="G246" s="234">
        <v>4.03</v>
      </c>
      <c r="H246" s="234">
        <v>6.2960000000000003</v>
      </c>
      <c r="I246" s="234">
        <v>9.89</v>
      </c>
      <c r="J246" s="234">
        <v>16.059999999999999</v>
      </c>
      <c r="K246" s="234">
        <v>25.369</v>
      </c>
      <c r="L246" s="234">
        <v>40.075000000000003</v>
      </c>
      <c r="M246" s="234">
        <v>62.957000000000001</v>
      </c>
      <c r="N246" s="235">
        <v>100</v>
      </c>
      <c r="O246" s="2"/>
      <c r="P246" s="2"/>
      <c r="Q246" s="2"/>
      <c r="R246" s="2"/>
      <c r="S246" s="2"/>
    </row>
    <row r="247" spans="1:25" ht="15.75" customHeight="1">
      <c r="A247" s="228">
        <v>44</v>
      </c>
      <c r="B247" s="75" t="s">
        <v>222</v>
      </c>
      <c r="C247" s="75"/>
      <c r="D247" s="2">
        <v>1</v>
      </c>
      <c r="E247" s="2">
        <v>1.5880000000000001</v>
      </c>
      <c r="F247" s="2">
        <v>2.5230000000000001</v>
      </c>
      <c r="G247" s="2">
        <v>4.03</v>
      </c>
      <c r="H247" s="2">
        <v>6.2960000000000003</v>
      </c>
      <c r="I247" s="2">
        <v>9.89</v>
      </c>
      <c r="J247" s="2">
        <v>16.059999999999999</v>
      </c>
      <c r="K247" s="2">
        <v>25.369</v>
      </c>
      <c r="L247" s="2">
        <v>40.075000000000003</v>
      </c>
      <c r="M247" s="2">
        <v>62.957000000000001</v>
      </c>
      <c r="N247" s="236">
        <v>100</v>
      </c>
      <c r="O247" s="2"/>
    </row>
    <row r="248" spans="1:25" ht="15.75" customHeight="1">
      <c r="A248" s="228">
        <v>44</v>
      </c>
      <c r="B248" s="75" t="s">
        <v>223</v>
      </c>
      <c r="C248" s="75"/>
      <c r="D248" s="2">
        <v>1</v>
      </c>
      <c r="E248" s="2">
        <v>1.5880000000000001</v>
      </c>
      <c r="F248" s="2">
        <v>2.5230000000000001</v>
      </c>
      <c r="G248" s="2">
        <v>4.03</v>
      </c>
      <c r="H248" s="2">
        <v>6.2960000000000003</v>
      </c>
      <c r="I248" s="2">
        <v>9.89</v>
      </c>
      <c r="J248" s="2">
        <v>16.059999999999999</v>
      </c>
      <c r="K248" s="2">
        <v>25.369</v>
      </c>
      <c r="L248" s="2">
        <v>40.075000000000003</v>
      </c>
      <c r="M248" s="2">
        <v>62.957000000000001</v>
      </c>
      <c r="N248" s="236">
        <v>100</v>
      </c>
      <c r="O248" s="2"/>
    </row>
    <row r="249" spans="1:25" ht="15.75" customHeight="1">
      <c r="A249" s="228">
        <v>44</v>
      </c>
      <c r="B249" s="75" t="s">
        <v>224</v>
      </c>
      <c r="C249" s="75"/>
      <c r="D249" s="2">
        <v>1</v>
      </c>
      <c r="E249" s="2">
        <v>1.5880000000000001</v>
      </c>
      <c r="F249" s="2">
        <v>2.5230000000000001</v>
      </c>
      <c r="G249" s="2">
        <v>4.03</v>
      </c>
      <c r="H249" s="2">
        <v>6.2960000000000003</v>
      </c>
      <c r="I249" s="2">
        <v>9.89</v>
      </c>
      <c r="J249" s="2">
        <v>16.059999999999999</v>
      </c>
      <c r="K249" s="2">
        <v>25.369</v>
      </c>
      <c r="L249" s="2">
        <v>40.075000000000003</v>
      </c>
      <c r="M249" s="2">
        <v>62.957000000000001</v>
      </c>
      <c r="N249" s="236">
        <v>100</v>
      </c>
      <c r="O249" s="2"/>
    </row>
    <row r="250" spans="1:25" ht="15.75" customHeight="1">
      <c r="A250" s="228">
        <v>44</v>
      </c>
      <c r="B250" s="75" t="s">
        <v>229</v>
      </c>
      <c r="C250" s="75"/>
      <c r="D250" s="2">
        <v>1</v>
      </c>
      <c r="E250" s="2">
        <v>1.5880000000000001</v>
      </c>
      <c r="F250" s="2">
        <v>2.5230000000000001</v>
      </c>
      <c r="G250" s="2">
        <v>4.03</v>
      </c>
      <c r="H250" s="2">
        <v>6.2960000000000003</v>
      </c>
      <c r="I250" s="2">
        <v>9.89</v>
      </c>
      <c r="J250" s="2">
        <v>16.059999999999999</v>
      </c>
      <c r="K250" s="2">
        <v>25.369</v>
      </c>
      <c r="L250" s="2">
        <v>40.075000000000003</v>
      </c>
      <c r="M250" s="2">
        <v>62.957000000000001</v>
      </c>
      <c r="N250" s="236">
        <v>100</v>
      </c>
      <c r="O250" s="2"/>
    </row>
    <row r="251" spans="1:25" ht="15.75" customHeight="1">
      <c r="A251" s="228">
        <v>44</v>
      </c>
      <c r="B251" s="75" t="s">
        <v>225</v>
      </c>
      <c r="C251" s="75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36"/>
      <c r="O251" s="2"/>
    </row>
    <row r="252" spans="1:25" ht="15.75" customHeight="1">
      <c r="A252" s="228">
        <v>44</v>
      </c>
      <c r="B252" s="75" t="s">
        <v>226</v>
      </c>
      <c r="C252" s="75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36"/>
      <c r="O252" s="2"/>
    </row>
    <row r="253" spans="1:25" ht="15.75" customHeight="1">
      <c r="A253" s="228">
        <v>44</v>
      </c>
      <c r="B253" s="75" t="s">
        <v>227</v>
      </c>
      <c r="C253" s="75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36"/>
      <c r="O253" s="2"/>
    </row>
    <row r="254" spans="1:25" ht="15.75" customHeight="1">
      <c r="A254" s="228">
        <v>44</v>
      </c>
      <c r="B254" s="75" t="s">
        <v>228</v>
      </c>
      <c r="C254" s="75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36"/>
      <c r="O254" s="2"/>
    </row>
    <row r="255" spans="1:25" ht="15.75" customHeight="1">
      <c r="A255" s="230">
        <v>44</v>
      </c>
      <c r="B255" s="231" t="s">
        <v>230</v>
      </c>
      <c r="C255" s="231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237"/>
      <c r="O255" s="2"/>
    </row>
    <row r="256" spans="1:25" ht="15.75" customHeight="1">
      <c r="A256" s="196">
        <v>45</v>
      </c>
      <c r="B256" s="201" t="s">
        <v>221</v>
      </c>
      <c r="C256" s="201" t="s">
        <v>572</v>
      </c>
      <c r="D256" s="2">
        <v>6.4000000000000001E-2</v>
      </c>
      <c r="E256" s="2">
        <v>0.16300000000000001</v>
      </c>
      <c r="F256" s="2">
        <v>0.40500000000000003</v>
      </c>
      <c r="G256" s="2">
        <v>1.026</v>
      </c>
      <c r="H256" s="2">
        <v>2.573</v>
      </c>
      <c r="I256" s="2">
        <v>6.5270000000000001</v>
      </c>
      <c r="J256" s="2">
        <v>16.754999999999999</v>
      </c>
      <c r="K256" s="2">
        <v>43.01</v>
      </c>
      <c r="L256" s="2">
        <v>111.714</v>
      </c>
      <c r="M256" s="236">
        <v>315.11200000000002</v>
      </c>
      <c r="N256" s="2"/>
    </row>
    <row r="257" spans="1:48" ht="15.75" customHeight="1">
      <c r="A257" s="196">
        <v>45</v>
      </c>
      <c r="B257" s="201" t="s">
        <v>222</v>
      </c>
      <c r="C257" s="201" t="s">
        <v>572</v>
      </c>
      <c r="D257" s="2">
        <v>6.4000000000000001E-2</v>
      </c>
      <c r="E257" s="2">
        <v>0.16300000000000001</v>
      </c>
      <c r="F257" s="2">
        <v>0.40500000000000003</v>
      </c>
      <c r="G257" s="2">
        <v>1.026</v>
      </c>
      <c r="H257" s="2">
        <v>2.573</v>
      </c>
      <c r="I257" s="2">
        <v>6.5270000000000001</v>
      </c>
      <c r="J257" s="2">
        <v>16.754999999999999</v>
      </c>
      <c r="K257" s="2">
        <v>43.01</v>
      </c>
      <c r="L257" s="2">
        <v>111.714</v>
      </c>
      <c r="M257" s="236">
        <v>315.11200000000002</v>
      </c>
      <c r="N257" s="2"/>
    </row>
    <row r="258" spans="1:48" ht="15.75" customHeight="1">
      <c r="A258" s="196">
        <v>45</v>
      </c>
      <c r="B258" s="201" t="s">
        <v>223</v>
      </c>
      <c r="C258" s="201" t="s">
        <v>572</v>
      </c>
      <c r="D258" s="2">
        <v>6.4000000000000001E-2</v>
      </c>
      <c r="E258" s="2">
        <v>0.16300000000000001</v>
      </c>
      <c r="F258" s="2">
        <v>0.40500000000000003</v>
      </c>
      <c r="G258" s="2">
        <v>1.026</v>
      </c>
      <c r="H258" s="2">
        <v>2.573</v>
      </c>
      <c r="I258" s="2">
        <v>6.5270000000000001</v>
      </c>
      <c r="J258" s="2">
        <v>16.754999999999999</v>
      </c>
      <c r="K258" s="2">
        <v>43.01</v>
      </c>
      <c r="L258" s="2">
        <v>111.714</v>
      </c>
      <c r="M258" s="236">
        <v>315.11200000000002</v>
      </c>
      <c r="N258" s="2"/>
    </row>
    <row r="259" spans="1:48" ht="15.75" customHeight="1">
      <c r="A259" s="196">
        <v>45</v>
      </c>
      <c r="B259" s="201" t="s">
        <v>224</v>
      </c>
      <c r="C259" s="201" t="s">
        <v>572</v>
      </c>
      <c r="D259" s="2">
        <v>6.4000000000000001E-2</v>
      </c>
      <c r="E259" s="2">
        <v>0.16300000000000001</v>
      </c>
      <c r="F259" s="2">
        <v>0.40500000000000003</v>
      </c>
      <c r="G259" s="2">
        <v>1.026</v>
      </c>
      <c r="H259" s="2">
        <v>2.573</v>
      </c>
      <c r="I259" s="2">
        <v>6.5270000000000001</v>
      </c>
      <c r="J259" s="2">
        <v>16.754999999999999</v>
      </c>
      <c r="K259" s="2">
        <v>43.01</v>
      </c>
      <c r="L259" s="2">
        <v>111.714</v>
      </c>
      <c r="M259" s="236">
        <v>315.11200000000002</v>
      </c>
      <c r="N259" s="2"/>
    </row>
    <row r="260" spans="1:48" ht="15.75" customHeight="1">
      <c r="A260" s="196">
        <v>45</v>
      </c>
      <c r="B260" s="201" t="s">
        <v>225</v>
      </c>
      <c r="C260" s="201" t="s">
        <v>572</v>
      </c>
      <c r="D260" s="2"/>
      <c r="E260" s="2"/>
      <c r="F260" s="2"/>
      <c r="G260" s="2"/>
      <c r="H260" s="2"/>
      <c r="I260" s="2"/>
      <c r="J260" s="2"/>
      <c r="K260" s="2"/>
      <c r="L260" s="2"/>
      <c r="M260" s="236"/>
      <c r="N260" s="2"/>
    </row>
    <row r="261" spans="1:48" ht="15.75" customHeight="1">
      <c r="A261" s="196">
        <v>45</v>
      </c>
      <c r="B261" s="201" t="s">
        <v>226</v>
      </c>
      <c r="C261" s="201" t="s">
        <v>572</v>
      </c>
      <c r="D261" s="2"/>
      <c r="E261" s="2"/>
      <c r="F261" s="2"/>
      <c r="G261" s="2"/>
      <c r="H261" s="2"/>
      <c r="I261" s="2"/>
      <c r="J261" s="2"/>
      <c r="K261" s="2"/>
      <c r="L261" s="2"/>
      <c r="M261" s="236"/>
      <c r="N261" s="2"/>
    </row>
    <row r="262" spans="1:48" ht="15.75" customHeight="1">
      <c r="A262" s="196">
        <v>45</v>
      </c>
      <c r="B262" s="201" t="s">
        <v>227</v>
      </c>
      <c r="C262" s="201" t="s">
        <v>572</v>
      </c>
      <c r="D262" s="2"/>
      <c r="E262" s="2"/>
      <c r="F262" s="2"/>
      <c r="G262" s="2"/>
      <c r="H262" s="2"/>
      <c r="I262" s="2"/>
      <c r="J262" s="2"/>
      <c r="K262" s="2"/>
      <c r="L262" s="2"/>
      <c r="M262" s="236"/>
      <c r="N262" s="2"/>
    </row>
    <row r="263" spans="1:48" ht="15.75" customHeight="1">
      <c r="A263" s="196">
        <v>45</v>
      </c>
      <c r="B263" s="201" t="s">
        <v>228</v>
      </c>
      <c r="C263" s="201" t="s">
        <v>572</v>
      </c>
      <c r="D263" s="2"/>
      <c r="E263" s="2"/>
      <c r="F263" s="2"/>
      <c r="G263" s="2"/>
      <c r="H263" s="2"/>
      <c r="I263" s="2"/>
      <c r="J263" s="2"/>
      <c r="K263" s="2"/>
      <c r="L263" s="2"/>
      <c r="M263" s="236"/>
      <c r="N263" s="2"/>
      <c r="O263" s="2"/>
      <c r="P263" s="2"/>
      <c r="Q263" s="2"/>
      <c r="R263" s="2"/>
      <c r="S263" s="2"/>
      <c r="T263" s="2"/>
      <c r="U263" s="2"/>
      <c r="V263" s="2"/>
    </row>
    <row r="264" spans="1:48" ht="15.75" customHeight="1">
      <c r="A264" s="199">
        <v>46</v>
      </c>
      <c r="B264" s="200">
        <v>1</v>
      </c>
      <c r="C264" s="200" t="s">
        <v>575</v>
      </c>
      <c r="D264" s="234">
        <v>0.1</v>
      </c>
      <c r="E264" s="234">
        <v>0.14499999999999999</v>
      </c>
      <c r="F264" s="234">
        <v>0.216</v>
      </c>
      <c r="G264" s="234">
        <v>0.31900000000000001</v>
      </c>
      <c r="H264" s="234">
        <v>0.46700000000000003</v>
      </c>
      <c r="I264" s="234">
        <v>0.68300000000000005</v>
      </c>
      <c r="J264" s="234">
        <v>1.016</v>
      </c>
      <c r="K264" s="234">
        <v>1.464</v>
      </c>
      <c r="L264" s="234">
        <v>2.1960000000000002</v>
      </c>
      <c r="M264" s="234">
        <v>3.1619999999999999</v>
      </c>
      <c r="N264" s="234">
        <v>4.7050000000000001</v>
      </c>
      <c r="O264" s="234">
        <v>6.8869999999999996</v>
      </c>
      <c r="P264" s="234">
        <v>10.246</v>
      </c>
      <c r="Q264" s="234">
        <v>14.757999999999999</v>
      </c>
      <c r="R264" s="234">
        <v>21.779</v>
      </c>
      <c r="S264" s="234">
        <v>31.88</v>
      </c>
      <c r="T264" s="234">
        <v>46.290999999999997</v>
      </c>
      <c r="U264" s="234">
        <v>68.313999999999993</v>
      </c>
      <c r="V264" s="235">
        <v>100</v>
      </c>
      <c r="W264" s="2"/>
    </row>
    <row r="265" spans="1:48" ht="15.75" customHeight="1">
      <c r="A265" s="196">
        <v>46</v>
      </c>
      <c r="B265" s="201">
        <v>2</v>
      </c>
      <c r="C265" s="201" t="s">
        <v>575</v>
      </c>
      <c r="D265" s="2">
        <v>0.1</v>
      </c>
      <c r="E265" s="2">
        <v>0.14499999999999999</v>
      </c>
      <c r="F265" s="2">
        <v>0.216</v>
      </c>
      <c r="G265" s="2">
        <v>0.31900000000000001</v>
      </c>
      <c r="H265" s="2">
        <v>0.46700000000000003</v>
      </c>
      <c r="I265" s="2">
        <v>0.68300000000000005</v>
      </c>
      <c r="J265" s="2">
        <v>1.016</v>
      </c>
      <c r="K265" s="2">
        <v>1.464</v>
      </c>
      <c r="L265" s="2">
        <v>2.1960000000000002</v>
      </c>
      <c r="M265" s="2">
        <v>3.1619999999999999</v>
      </c>
      <c r="N265" s="2">
        <v>4.7050000000000001</v>
      </c>
      <c r="O265" s="2">
        <v>6.8869999999999996</v>
      </c>
      <c r="P265" s="2">
        <v>10.246</v>
      </c>
      <c r="Q265" s="2">
        <v>14.757999999999999</v>
      </c>
      <c r="R265" s="2">
        <v>21.779</v>
      </c>
      <c r="S265" s="2">
        <v>31.88</v>
      </c>
      <c r="T265" s="2">
        <v>46.290999999999997</v>
      </c>
      <c r="U265" s="2">
        <v>68.313999999999993</v>
      </c>
      <c r="V265" s="236">
        <v>100</v>
      </c>
      <c r="W265" s="2"/>
    </row>
    <row r="266" spans="1:48" ht="15.75" customHeight="1">
      <c r="A266" s="196">
        <v>46</v>
      </c>
      <c r="B266" s="201">
        <v>3</v>
      </c>
      <c r="C266" s="201" t="s">
        <v>575</v>
      </c>
      <c r="D266" s="2">
        <v>0.1</v>
      </c>
      <c r="E266" s="2">
        <v>0.14499999999999999</v>
      </c>
      <c r="F266" s="2">
        <v>0.216</v>
      </c>
      <c r="G266" s="2">
        <v>0.31900000000000001</v>
      </c>
      <c r="H266" s="2">
        <v>0.46700000000000003</v>
      </c>
      <c r="I266" s="2">
        <v>0.68300000000000005</v>
      </c>
      <c r="J266" s="2">
        <v>1.016</v>
      </c>
      <c r="K266" s="2">
        <v>1.464</v>
      </c>
      <c r="L266" s="2">
        <v>2.1960000000000002</v>
      </c>
      <c r="M266" s="2">
        <v>3.1619999999999999</v>
      </c>
      <c r="N266" s="2">
        <v>4.7050000000000001</v>
      </c>
      <c r="O266" s="2">
        <v>6.8869999999999996</v>
      </c>
      <c r="P266" s="2">
        <v>10.246</v>
      </c>
      <c r="Q266" s="2">
        <v>14.757999999999999</v>
      </c>
      <c r="R266" s="2">
        <v>21.779</v>
      </c>
      <c r="S266" s="2">
        <v>31.88</v>
      </c>
      <c r="T266" s="2">
        <v>46.290999999999997</v>
      </c>
      <c r="U266" s="2">
        <v>68.313999999999993</v>
      </c>
      <c r="V266" s="236">
        <v>100</v>
      </c>
      <c r="W266" s="2"/>
    </row>
    <row r="267" spans="1:48" ht="15.75" customHeight="1">
      <c r="A267" s="196">
        <v>46</v>
      </c>
      <c r="B267" s="201">
        <v>4</v>
      </c>
      <c r="C267" s="201" t="s">
        <v>575</v>
      </c>
      <c r="D267" s="2">
        <v>0.1</v>
      </c>
      <c r="E267" s="2">
        <v>0.14499999999999999</v>
      </c>
      <c r="F267" s="2">
        <v>0.216</v>
      </c>
      <c r="G267" s="2">
        <v>0.31900000000000001</v>
      </c>
      <c r="H267" s="2">
        <v>0.46700000000000003</v>
      </c>
      <c r="I267" s="2">
        <v>0.68300000000000005</v>
      </c>
      <c r="J267" s="2">
        <v>1.016</v>
      </c>
      <c r="K267" s="2">
        <v>1.464</v>
      </c>
      <c r="L267" s="2">
        <v>2.1960000000000002</v>
      </c>
      <c r="M267" s="2">
        <v>3.1619999999999999</v>
      </c>
      <c r="N267" s="2">
        <v>4.7050000000000001</v>
      </c>
      <c r="O267" s="2">
        <v>6.8869999999999996</v>
      </c>
      <c r="P267" s="2">
        <v>10.246</v>
      </c>
      <c r="Q267" s="2">
        <v>14.757999999999999</v>
      </c>
      <c r="R267" s="2">
        <v>21.779</v>
      </c>
      <c r="S267" s="2">
        <v>31.88</v>
      </c>
      <c r="T267" s="2">
        <v>46.290999999999997</v>
      </c>
      <c r="U267" s="2">
        <v>68.313999999999993</v>
      </c>
      <c r="V267" s="236">
        <v>100</v>
      </c>
      <c r="W267" s="2"/>
    </row>
    <row r="268" spans="1:48" ht="15.75" customHeight="1">
      <c r="A268" s="196">
        <v>46</v>
      </c>
      <c r="B268" s="201">
        <v>5</v>
      </c>
      <c r="C268" s="201" t="s">
        <v>575</v>
      </c>
      <c r="D268" s="2">
        <v>0.1</v>
      </c>
      <c r="E268" s="2">
        <v>0.14499999999999999</v>
      </c>
      <c r="F268" s="2">
        <v>0.216</v>
      </c>
      <c r="G268" s="2">
        <v>0.31900000000000001</v>
      </c>
      <c r="H268" s="2">
        <v>0.46700000000000003</v>
      </c>
      <c r="I268" s="2">
        <v>0.68300000000000005</v>
      </c>
      <c r="J268" s="2">
        <v>1.016</v>
      </c>
      <c r="K268" s="2">
        <v>1.464</v>
      </c>
      <c r="L268" s="2">
        <v>2.1960000000000002</v>
      </c>
      <c r="M268" s="2">
        <v>3.1619999999999999</v>
      </c>
      <c r="N268" s="2">
        <v>4.7050000000000001</v>
      </c>
      <c r="O268" s="2">
        <v>6.8869999999999996</v>
      </c>
      <c r="P268" s="2">
        <v>10.246</v>
      </c>
      <c r="Q268" s="2">
        <v>14.757999999999999</v>
      </c>
      <c r="R268" s="2">
        <v>21.779</v>
      </c>
      <c r="S268" s="2">
        <v>31.88</v>
      </c>
      <c r="T268" s="2">
        <v>46.290999999999997</v>
      </c>
      <c r="U268" s="2">
        <v>68.313999999999993</v>
      </c>
      <c r="V268" s="236">
        <v>100</v>
      </c>
      <c r="W268" s="2"/>
    </row>
    <row r="269" spans="1:48" ht="15.75" customHeight="1">
      <c r="A269" s="196">
        <v>46</v>
      </c>
      <c r="B269" s="201">
        <v>6</v>
      </c>
      <c r="C269" s="201" t="s">
        <v>575</v>
      </c>
      <c r="D269" s="2">
        <v>0.1</v>
      </c>
      <c r="E269" s="2">
        <v>0.14499999999999999</v>
      </c>
      <c r="F269" s="2">
        <v>0.216</v>
      </c>
      <c r="G269" s="2">
        <v>0.31900000000000001</v>
      </c>
      <c r="H269" s="2">
        <v>0.46700000000000003</v>
      </c>
      <c r="I269" s="2">
        <v>0.68300000000000005</v>
      </c>
      <c r="J269" s="2">
        <v>1.016</v>
      </c>
      <c r="K269" s="2">
        <v>1.464</v>
      </c>
      <c r="L269" s="2">
        <v>2.1960000000000002</v>
      </c>
      <c r="M269" s="2">
        <v>3.1619999999999999</v>
      </c>
      <c r="N269" s="2">
        <v>4.7050000000000001</v>
      </c>
      <c r="O269" s="2">
        <v>6.8869999999999996</v>
      </c>
      <c r="P269" s="2">
        <v>10.246</v>
      </c>
      <c r="Q269" s="2">
        <v>14.757999999999999</v>
      </c>
      <c r="R269" s="2">
        <v>21.779</v>
      </c>
      <c r="S269" s="2">
        <v>31.88</v>
      </c>
      <c r="T269" s="2">
        <v>46.290999999999997</v>
      </c>
      <c r="U269" s="2">
        <v>68.313999999999993</v>
      </c>
      <c r="V269" s="236">
        <v>100</v>
      </c>
      <c r="W269" s="2"/>
      <c r="X269" s="2"/>
      <c r="Y269" s="2"/>
      <c r="Z269" s="2"/>
      <c r="AA269" s="2"/>
      <c r="AB269" s="2"/>
    </row>
    <row r="270" spans="1:48" ht="15.75" customHeight="1">
      <c r="A270" s="199">
        <v>47</v>
      </c>
      <c r="B270" s="200" t="s">
        <v>221</v>
      </c>
      <c r="C270" s="200"/>
      <c r="D270" s="234">
        <f>6.283185*Angular_frequency!C270</f>
        <v>0.6283185</v>
      </c>
      <c r="E270" s="234">
        <f>6.283185*Angular_frequency!D270</f>
        <v>0.84822997499999997</v>
      </c>
      <c r="F270" s="234">
        <f>6.283185*Angular_frequency!E270</f>
        <v>1.137256485</v>
      </c>
      <c r="G270" s="234">
        <f>6.283185*Angular_frequency!F270</f>
        <v>1.5268139549999999</v>
      </c>
      <c r="H270" s="234">
        <f>6.283185*Angular_frequency!G270</f>
        <v>1.99805283</v>
      </c>
      <c r="I270" s="234">
        <f>6.283185*Angular_frequency!H270</f>
        <v>2.6200881449999995</v>
      </c>
      <c r="J270" s="234">
        <f>6.283185*Angular_frequency!I270</f>
        <v>3.5688490799999992</v>
      </c>
      <c r="K270" s="234">
        <f>6.283185*Angular_frequency!J270</f>
        <v>4.78778697</v>
      </c>
      <c r="L270" s="234">
        <f>6.283185*Angular_frequency!K270</f>
        <v>6.5282292149999988</v>
      </c>
      <c r="M270" s="234">
        <f>6.283185*Angular_frequency!L270</f>
        <v>8.6142466349999989</v>
      </c>
      <c r="N270" s="234">
        <f>6.283185*Angular_frequency!M270</f>
        <v>11.177786114999998</v>
      </c>
      <c r="O270" s="234">
        <f>6.283185*Angular_frequency!N270</f>
        <v>15.11734311</v>
      </c>
      <c r="P270" s="234">
        <f>6.283185*Angular_frequency!O270</f>
        <v>19.628669939999998</v>
      </c>
      <c r="Q270" s="234">
        <f>6.283185*Angular_frequency!P270</f>
        <v>26.54017344</v>
      </c>
      <c r="R270" s="234">
        <f>6.283185*Angular_frequency!Q270</f>
        <v>35.311499699999999</v>
      </c>
      <c r="S270" s="234">
        <f>6.283185*Angular_frequency!R270</f>
        <v>47.745922815</v>
      </c>
      <c r="T270" s="234">
        <f>6.283185*Angular_frequency!S270</f>
        <v>64.566009059999999</v>
      </c>
      <c r="U270" s="234">
        <f>6.283185*Angular_frequency!T270</f>
        <v>84.502555064999996</v>
      </c>
      <c r="V270" s="234">
        <f>6.283185*Angular_frequency!U270</f>
        <v>112.41874601999999</v>
      </c>
      <c r="W270" s="234">
        <f>6.283185*Angular_frequency!V270</f>
        <v>150.77759044499999</v>
      </c>
      <c r="X270" s="234">
        <f>6.283185*Angular_frequency!W270</f>
        <v>200.590681125</v>
      </c>
      <c r="Y270" s="234">
        <f>6.283185*Angular_frequency!X270</f>
        <v>271.24509645000001</v>
      </c>
      <c r="Z270" s="234"/>
      <c r="AA270" s="234"/>
      <c r="AB270" s="235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12"/>
      <c r="AV270" s="2"/>
    </row>
    <row r="271" spans="1:48" ht="15.75" customHeight="1">
      <c r="A271" s="196">
        <v>47</v>
      </c>
      <c r="B271" s="201">
        <v>2</v>
      </c>
      <c r="C271" s="201"/>
      <c r="D271" s="2">
        <f>6.283185*Angular_frequency!C271</f>
        <v>0.6283185</v>
      </c>
      <c r="E271" s="2">
        <f>6.283185*Angular_frequency!D271</f>
        <v>0.84822997499999997</v>
      </c>
      <c r="F271" s="2">
        <f>6.283185*Angular_frequency!E271</f>
        <v>1.137256485</v>
      </c>
      <c r="G271" s="2">
        <f>6.283185*Angular_frequency!F271</f>
        <v>1.5268139549999999</v>
      </c>
      <c r="H271" s="2">
        <f>6.283185*Angular_frequency!G271</f>
        <v>1.99805283</v>
      </c>
      <c r="I271" s="2">
        <f>6.283185*Angular_frequency!H271</f>
        <v>2.6200881449999995</v>
      </c>
      <c r="J271" s="2">
        <f>6.283185*Angular_frequency!I271</f>
        <v>3.5688490799999992</v>
      </c>
      <c r="K271" s="2">
        <f>6.283185*Angular_frequency!J271</f>
        <v>4.78778697</v>
      </c>
      <c r="L271" s="2">
        <f>6.283185*Angular_frequency!K271</f>
        <v>6.5282292149999988</v>
      </c>
      <c r="M271" s="2">
        <f>6.283185*Angular_frequency!L271</f>
        <v>8.6142466349999989</v>
      </c>
      <c r="N271" s="2">
        <f>6.283185*Angular_frequency!M271</f>
        <v>11.177786114999998</v>
      </c>
      <c r="O271" s="2">
        <f>6.283185*Angular_frequency!N271</f>
        <v>15.11734311</v>
      </c>
      <c r="P271" s="2">
        <f>6.283185*Angular_frequency!O271</f>
        <v>19.628669939999998</v>
      </c>
      <c r="Q271" s="2">
        <f>6.283185*Angular_frequency!P271</f>
        <v>26.54017344</v>
      </c>
      <c r="R271" s="2">
        <f>6.283185*Angular_frequency!Q271</f>
        <v>35.311499699999999</v>
      </c>
      <c r="S271" s="2">
        <f>6.283185*Angular_frequency!R271</f>
        <v>47.745922815</v>
      </c>
      <c r="T271" s="2">
        <f>6.283185*Angular_frequency!S271</f>
        <v>64.566009059999999</v>
      </c>
      <c r="U271" s="2">
        <f>6.283185*Angular_frequency!T271</f>
        <v>84.502555064999996</v>
      </c>
      <c r="V271" s="2">
        <f>6.283185*Angular_frequency!U271</f>
        <v>112.41874601999999</v>
      </c>
      <c r="W271" s="2">
        <f>6.283185*Angular_frequency!V271</f>
        <v>150.77759044499999</v>
      </c>
      <c r="X271" s="2">
        <f>6.283185*Angular_frequency!W271</f>
        <v>200.590681125</v>
      </c>
      <c r="Y271" s="2">
        <f>6.283185*Angular_frequency!X271</f>
        <v>271.24509645000001</v>
      </c>
      <c r="Z271" s="2">
        <f>6.283185*Angular_frequency!Y271</f>
        <v>363.80897786999998</v>
      </c>
      <c r="AA271" s="2">
        <f>6.283185*Angular_frequency!Z271</f>
        <v>480.06046673999992</v>
      </c>
      <c r="AB271" s="236">
        <f>6.283185*Angular_frequency!AA271</f>
        <v>628.31849999999997</v>
      </c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12"/>
      <c r="AV271" s="2"/>
    </row>
    <row r="272" spans="1:48" ht="15.75" customHeight="1">
      <c r="A272" s="196">
        <v>47</v>
      </c>
      <c r="B272" s="201">
        <v>3</v>
      </c>
      <c r="C272" s="201"/>
      <c r="D272" s="2">
        <f>6.283185*Angular_frequency!C272</f>
        <v>0.6283185</v>
      </c>
      <c r="E272" s="2">
        <f>6.283185*Angular_frequency!D272</f>
        <v>0.84822997499999997</v>
      </c>
      <c r="F272" s="2">
        <f>6.283185*Angular_frequency!E272</f>
        <v>1.137256485</v>
      </c>
      <c r="G272" s="2">
        <f>6.283185*Angular_frequency!F272</f>
        <v>1.5268139549999999</v>
      </c>
      <c r="H272" s="2">
        <f>6.283185*Angular_frequency!G272</f>
        <v>1.99805283</v>
      </c>
      <c r="I272" s="2">
        <f>6.283185*Angular_frequency!H272</f>
        <v>2.6200881449999995</v>
      </c>
      <c r="J272" s="2">
        <f>6.283185*Angular_frequency!I272</f>
        <v>3.5688490799999992</v>
      </c>
      <c r="K272" s="2">
        <f>6.283185*Angular_frequency!J272</f>
        <v>4.78778697</v>
      </c>
      <c r="L272" s="2">
        <f>6.283185*Angular_frequency!K272</f>
        <v>6.5282292149999988</v>
      </c>
      <c r="M272" s="2">
        <f>6.283185*Angular_frequency!L272</f>
        <v>8.6142466349999989</v>
      </c>
      <c r="N272" s="2">
        <f>6.283185*Angular_frequency!M272</f>
        <v>11.177786114999998</v>
      </c>
      <c r="O272" s="2">
        <f>6.283185*Angular_frequency!N272</f>
        <v>15.11734311</v>
      </c>
      <c r="P272" s="2">
        <f>6.283185*Angular_frequency!O272</f>
        <v>19.628669939999998</v>
      </c>
      <c r="Q272" s="2">
        <f>6.283185*Angular_frequency!P272</f>
        <v>26.54017344</v>
      </c>
      <c r="R272" s="2">
        <f>6.283185*Angular_frequency!Q272</f>
        <v>35.311499699999999</v>
      </c>
      <c r="S272" s="2">
        <f>6.283185*Angular_frequency!R272</f>
        <v>47.745922815</v>
      </c>
      <c r="T272" s="2">
        <f>6.283185*Angular_frequency!S272</f>
        <v>64.566009059999999</v>
      </c>
      <c r="U272" s="2">
        <f>6.283185*Angular_frequency!T272</f>
        <v>84.502555064999996</v>
      </c>
      <c r="V272" s="2">
        <f>6.283185*Angular_frequency!U272</f>
        <v>112.41874601999999</v>
      </c>
      <c r="W272" s="2">
        <f>6.283185*Angular_frequency!V272</f>
        <v>150.77759044499999</v>
      </c>
      <c r="X272" s="2">
        <f>6.283185*Angular_frequency!W272</f>
        <v>200.590681125</v>
      </c>
      <c r="Y272" s="2">
        <f>6.283185*Angular_frequency!X272</f>
        <v>271.24509645000001</v>
      </c>
      <c r="Z272" s="2">
        <f>6.283185*Angular_frequency!Y272</f>
        <v>363.80897786999998</v>
      </c>
      <c r="AA272" s="2">
        <f>6.283185*Angular_frequency!Z272</f>
        <v>480.06046673999992</v>
      </c>
      <c r="AB272" s="236">
        <f>6.283185*Angular_frequency!AA272</f>
        <v>628.31849999999997</v>
      </c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12"/>
      <c r="AV272" s="2"/>
    </row>
    <row r="273" spans="1:48" ht="15.75" customHeight="1">
      <c r="A273" s="196">
        <v>47</v>
      </c>
      <c r="B273" s="201" t="s">
        <v>224</v>
      </c>
      <c r="C273" s="201"/>
      <c r="D273" s="2">
        <f>6.283185*Angular_frequency!C273</f>
        <v>0.6283185</v>
      </c>
      <c r="E273" s="2">
        <f>6.283185*Angular_frequency!D273</f>
        <v>0.84822997499999997</v>
      </c>
      <c r="F273" s="2">
        <f>6.283185*Angular_frequency!E273</f>
        <v>1.137256485</v>
      </c>
      <c r="G273" s="2">
        <f>6.283185*Angular_frequency!F273</f>
        <v>1.5268139549999999</v>
      </c>
      <c r="H273" s="2">
        <f>6.283185*Angular_frequency!G273</f>
        <v>1.99805283</v>
      </c>
      <c r="I273" s="2">
        <f>6.283185*Angular_frequency!H273</f>
        <v>2.6200881449999995</v>
      </c>
      <c r="J273" s="2">
        <f>6.283185*Angular_frequency!I273</f>
        <v>3.5688490799999992</v>
      </c>
      <c r="K273" s="2">
        <f>6.283185*Angular_frequency!J273</f>
        <v>4.78778697</v>
      </c>
      <c r="L273" s="2">
        <f>6.283185*Angular_frequency!K273</f>
        <v>6.5282292149999988</v>
      </c>
      <c r="M273" s="2">
        <f>6.283185*Angular_frequency!L273</f>
        <v>8.6142466349999989</v>
      </c>
      <c r="N273" s="2">
        <f>6.283185*Angular_frequency!M273</f>
        <v>11.177786114999998</v>
      </c>
      <c r="O273" s="2">
        <f>6.283185*Angular_frequency!N273</f>
        <v>15.11734311</v>
      </c>
      <c r="P273" s="2">
        <f>6.283185*Angular_frequency!O273</f>
        <v>19.628669939999998</v>
      </c>
      <c r="Q273" s="2">
        <f>6.283185*Angular_frequency!P273</f>
        <v>26.54017344</v>
      </c>
      <c r="R273" s="2">
        <f>6.283185*Angular_frequency!Q273</f>
        <v>35.311499699999999</v>
      </c>
      <c r="S273" s="2">
        <f>6.283185*Angular_frequency!R273</f>
        <v>47.745922815</v>
      </c>
      <c r="T273" s="2">
        <f>6.283185*Angular_frequency!S273</f>
        <v>64.566009059999999</v>
      </c>
      <c r="U273" s="2">
        <f>6.283185*Angular_frequency!T273</f>
        <v>84.502555064999996</v>
      </c>
      <c r="V273" s="2">
        <f>6.283185*Angular_frequency!U273</f>
        <v>112.41874601999999</v>
      </c>
      <c r="W273" s="2">
        <f>6.283185*Angular_frequency!V273</f>
        <v>150.77759044499999</v>
      </c>
      <c r="X273" s="2">
        <f>6.283185*Angular_frequency!W273</f>
        <v>200.590681125</v>
      </c>
      <c r="Y273" s="2">
        <f>6.283185*Angular_frequency!X273</f>
        <v>271.24509645000001</v>
      </c>
      <c r="Z273" s="2"/>
      <c r="AA273" s="2"/>
      <c r="AB273" s="236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12"/>
      <c r="AV273" s="2"/>
    </row>
    <row r="274" spans="1:48" ht="15.75" customHeight="1">
      <c r="A274" s="196">
        <v>47</v>
      </c>
      <c r="B274" s="201">
        <v>5</v>
      </c>
      <c r="C274" s="201"/>
      <c r="D274" s="2">
        <f>6.283185*Angular_frequency!C274</f>
        <v>0.6283185</v>
      </c>
      <c r="E274" s="2">
        <f>6.283185*Angular_frequency!D274</f>
        <v>0.84822997499999997</v>
      </c>
      <c r="F274" s="2">
        <f>6.283185*Angular_frequency!E274</f>
        <v>1.137256485</v>
      </c>
      <c r="G274" s="2">
        <f>6.283185*Angular_frequency!F274</f>
        <v>1.5268139549999999</v>
      </c>
      <c r="H274" s="2">
        <f>6.283185*Angular_frequency!G274</f>
        <v>1.99805283</v>
      </c>
      <c r="I274" s="2">
        <f>6.283185*Angular_frequency!H274</f>
        <v>2.6200881449999995</v>
      </c>
      <c r="J274" s="2">
        <f>6.283185*Angular_frequency!I274</f>
        <v>3.5688490799999992</v>
      </c>
      <c r="K274" s="2">
        <f>6.283185*Angular_frequency!J274</f>
        <v>4.78778697</v>
      </c>
      <c r="L274" s="2">
        <f>6.283185*Angular_frequency!K274</f>
        <v>6.5282292149999988</v>
      </c>
      <c r="M274" s="2">
        <f>6.283185*Angular_frequency!L274</f>
        <v>8.6142466349999989</v>
      </c>
      <c r="N274" s="2">
        <f>6.283185*Angular_frequency!M274</f>
        <v>11.177786114999998</v>
      </c>
      <c r="O274" s="2">
        <f>6.283185*Angular_frequency!N274</f>
        <v>15.11734311</v>
      </c>
      <c r="P274" s="2">
        <f>6.283185*Angular_frequency!O274</f>
        <v>19.628669939999998</v>
      </c>
      <c r="Q274" s="2">
        <f>6.283185*Angular_frequency!P274</f>
        <v>26.54017344</v>
      </c>
      <c r="R274" s="2">
        <f>6.283185*Angular_frequency!Q274</f>
        <v>35.311499699999999</v>
      </c>
      <c r="S274" s="2">
        <f>6.283185*Angular_frequency!R274</f>
        <v>47.745922815</v>
      </c>
      <c r="T274" s="2">
        <f>6.283185*Angular_frequency!S274</f>
        <v>64.566009059999999</v>
      </c>
      <c r="U274" s="2">
        <f>6.283185*Angular_frequency!T274</f>
        <v>84.502555064999996</v>
      </c>
      <c r="V274" s="2">
        <f>6.283185*Angular_frequency!U274</f>
        <v>112.41874601999999</v>
      </c>
      <c r="W274" s="2">
        <f>6.283185*Angular_frequency!V274</f>
        <v>150.77759044499999</v>
      </c>
      <c r="X274" s="2">
        <f>6.283185*Angular_frequency!W274</f>
        <v>200.590681125</v>
      </c>
      <c r="Y274" s="2">
        <f>6.283185*Angular_frequency!X274</f>
        <v>271.24509645000001</v>
      </c>
      <c r="Z274" s="2">
        <f>6.283185*Angular_frequency!Y274</f>
        <v>363.80897786999998</v>
      </c>
      <c r="AA274" s="2">
        <f>6.283185*Angular_frequency!Z274</f>
        <v>480.06046673999992</v>
      </c>
      <c r="AB274" s="236">
        <f>6.283185*Angular_frequency!AA274</f>
        <v>628.31849999999997</v>
      </c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12"/>
      <c r="AV274" s="2"/>
    </row>
    <row r="275" spans="1:48" ht="15.75" customHeight="1">
      <c r="A275" s="196">
        <v>47</v>
      </c>
      <c r="B275" s="201" t="s">
        <v>225</v>
      </c>
      <c r="C275" s="201" t="s">
        <v>575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36"/>
      <c r="AC275" s="2"/>
    </row>
    <row r="276" spans="1:48" ht="15.75" customHeight="1">
      <c r="A276" s="196">
        <v>47</v>
      </c>
      <c r="B276" s="201" t="s">
        <v>228</v>
      </c>
      <c r="C276" s="201" t="s">
        <v>575</v>
      </c>
      <c r="D276" s="2"/>
      <c r="E276" s="2"/>
      <c r="F276" s="2"/>
      <c r="G276" s="2"/>
      <c r="H276" s="2"/>
      <c r="I276" s="2"/>
      <c r="J276" s="2"/>
      <c r="K276" s="2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237"/>
      <c r="AC276" s="2"/>
    </row>
    <row r="277" spans="1:48" ht="15.75" customHeight="1">
      <c r="A277" s="199">
        <v>48</v>
      </c>
      <c r="B277" s="200">
        <v>1</v>
      </c>
      <c r="C277" s="200"/>
      <c r="D277" s="234">
        <v>0.1</v>
      </c>
      <c r="E277" s="234">
        <v>0.251</v>
      </c>
      <c r="F277" s="234">
        <v>0.35899999999999999</v>
      </c>
      <c r="G277" s="234">
        <v>0.95399999999999996</v>
      </c>
      <c r="H277" s="234">
        <v>3.569</v>
      </c>
      <c r="I277" s="234">
        <v>12.494999999999999</v>
      </c>
      <c r="J277" s="234">
        <v>38.911999999999999</v>
      </c>
      <c r="K277" s="235">
        <v>100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48" ht="15.75" customHeight="1">
      <c r="A278" s="196">
        <v>48</v>
      </c>
      <c r="B278" s="201">
        <v>2</v>
      </c>
      <c r="C278" s="201"/>
      <c r="D278" s="2">
        <v>0.1</v>
      </c>
      <c r="E278" s="2">
        <v>0.251</v>
      </c>
      <c r="F278" s="2">
        <v>0.35899999999999999</v>
      </c>
      <c r="G278" s="2">
        <v>0.95399999999999996</v>
      </c>
      <c r="H278" s="2">
        <v>3.569</v>
      </c>
      <c r="I278" s="2">
        <v>12.494999999999999</v>
      </c>
      <c r="J278" s="2">
        <v>38.911999999999999</v>
      </c>
      <c r="K278" s="236">
        <v>100</v>
      </c>
      <c r="L278" s="2"/>
    </row>
    <row r="279" spans="1:48" ht="15.75" customHeight="1">
      <c r="A279" s="196">
        <v>48</v>
      </c>
      <c r="B279" s="201">
        <v>3</v>
      </c>
      <c r="C279" s="201"/>
      <c r="D279" s="2">
        <v>0.1</v>
      </c>
      <c r="E279" s="2">
        <v>0.251</v>
      </c>
      <c r="F279" s="2">
        <v>0.35899999999999999</v>
      </c>
      <c r="G279" s="2">
        <v>0.95399999999999996</v>
      </c>
      <c r="H279" s="2">
        <v>3.569</v>
      </c>
      <c r="I279" s="2">
        <v>12.494999999999999</v>
      </c>
      <c r="J279" s="2">
        <v>38.911999999999999</v>
      </c>
      <c r="K279" s="236">
        <v>100</v>
      </c>
      <c r="L279" s="2"/>
    </row>
    <row r="280" spans="1:48" ht="15.75" customHeight="1">
      <c r="A280" s="196">
        <v>48</v>
      </c>
      <c r="B280" s="201">
        <v>4</v>
      </c>
      <c r="C280" s="201"/>
      <c r="D280" s="2">
        <v>0.1</v>
      </c>
      <c r="E280" s="2">
        <v>0.27500000000000002</v>
      </c>
      <c r="F280" s="2">
        <v>0.85499999999999998</v>
      </c>
      <c r="G280" s="2">
        <v>2.57</v>
      </c>
      <c r="H280" s="2">
        <v>9.8940000000000001</v>
      </c>
      <c r="I280" s="2">
        <v>24.369</v>
      </c>
      <c r="J280" s="2">
        <v>51.991999999999997</v>
      </c>
      <c r="K280" s="236">
        <v>100</v>
      </c>
      <c r="L280" s="2"/>
    </row>
    <row r="281" spans="1:48" ht="15.75" customHeight="1">
      <c r="A281" s="196">
        <v>48</v>
      </c>
      <c r="B281" s="201">
        <v>5</v>
      </c>
      <c r="C281" s="201"/>
      <c r="D281" s="2">
        <v>0.1</v>
      </c>
      <c r="E281" s="2">
        <v>0.27500000000000002</v>
      </c>
      <c r="F281" s="2">
        <v>0.85499999999999998</v>
      </c>
      <c r="G281" s="2">
        <v>2.57</v>
      </c>
      <c r="H281" s="2">
        <v>9.8940000000000001</v>
      </c>
      <c r="I281" s="2">
        <v>24.369</v>
      </c>
      <c r="J281" s="2">
        <v>51.991999999999997</v>
      </c>
      <c r="K281" s="236">
        <v>100</v>
      </c>
      <c r="L281" s="2"/>
    </row>
    <row r="282" spans="1:48" ht="15.75" customHeight="1">
      <c r="A282" s="196">
        <v>48</v>
      </c>
      <c r="B282" s="201">
        <v>6</v>
      </c>
      <c r="C282" s="201"/>
      <c r="D282" s="2">
        <v>0.1</v>
      </c>
      <c r="E282" s="2">
        <v>0.27500000000000002</v>
      </c>
      <c r="F282" s="2">
        <v>0.85499999999999998</v>
      </c>
      <c r="G282" s="2">
        <v>2.57</v>
      </c>
      <c r="H282" s="2">
        <v>9.8940000000000001</v>
      </c>
      <c r="I282" s="2">
        <v>24.369</v>
      </c>
      <c r="J282" s="2">
        <v>51.991999999999997</v>
      </c>
      <c r="K282" s="236">
        <v>100</v>
      </c>
      <c r="L282" s="2"/>
    </row>
    <row r="283" spans="1:48" ht="15.75" customHeight="1">
      <c r="A283" s="196">
        <v>48</v>
      </c>
      <c r="B283" s="201">
        <v>7</v>
      </c>
      <c r="C283" s="201"/>
      <c r="D283" s="2">
        <v>0.1</v>
      </c>
      <c r="E283" s="2">
        <v>0.27500000000000002</v>
      </c>
      <c r="F283" s="2">
        <v>0.85499999999999998</v>
      </c>
      <c r="G283" s="2">
        <v>2.57</v>
      </c>
      <c r="H283" s="2">
        <v>9.8940000000000001</v>
      </c>
      <c r="I283" s="2">
        <v>24.369</v>
      </c>
      <c r="J283" s="2">
        <v>51.991999999999997</v>
      </c>
      <c r="K283" s="236">
        <v>100</v>
      </c>
      <c r="L283" s="2"/>
    </row>
    <row r="284" spans="1:48" ht="15.75" customHeight="1">
      <c r="A284" s="196">
        <v>48</v>
      </c>
      <c r="B284" s="201">
        <v>8</v>
      </c>
      <c r="C284" s="201"/>
      <c r="D284" s="2">
        <v>0.1</v>
      </c>
      <c r="E284" s="2">
        <v>0.31</v>
      </c>
      <c r="F284" s="2">
        <v>0.80600000000000005</v>
      </c>
      <c r="G284" s="2">
        <v>2.625</v>
      </c>
      <c r="H284" s="2">
        <v>9.6560000000000006</v>
      </c>
      <c r="I284" s="2">
        <v>29.244</v>
      </c>
      <c r="J284" s="2">
        <v>65.664000000000001</v>
      </c>
      <c r="K284" s="236">
        <v>100</v>
      </c>
      <c r="L284" s="2"/>
    </row>
    <row r="285" spans="1:48" ht="15.75" customHeight="1">
      <c r="A285" s="196">
        <v>48</v>
      </c>
      <c r="B285" s="201">
        <v>9</v>
      </c>
      <c r="C285" s="201"/>
      <c r="D285" s="2">
        <v>0.1</v>
      </c>
      <c r="E285" s="2">
        <v>0.31</v>
      </c>
      <c r="F285" s="2">
        <v>0.80600000000000005</v>
      </c>
      <c r="G285" s="2">
        <v>2.625</v>
      </c>
      <c r="H285" s="2">
        <v>9.6560000000000006</v>
      </c>
      <c r="I285" s="2">
        <v>29.244</v>
      </c>
      <c r="J285" s="2">
        <v>65.664000000000001</v>
      </c>
      <c r="K285" s="236">
        <v>100</v>
      </c>
      <c r="L285" s="2"/>
    </row>
    <row r="286" spans="1:48" ht="15.75" customHeight="1">
      <c r="A286" s="196">
        <v>48</v>
      </c>
      <c r="B286" s="201">
        <v>10</v>
      </c>
      <c r="C286" s="201"/>
      <c r="D286" s="2">
        <v>0.1</v>
      </c>
      <c r="E286" s="2">
        <v>0.31</v>
      </c>
      <c r="F286" s="2">
        <v>0.80600000000000005</v>
      </c>
      <c r="G286" s="2">
        <v>2.625</v>
      </c>
      <c r="H286" s="2">
        <v>9.6560000000000006</v>
      </c>
      <c r="I286" s="2">
        <v>29.244</v>
      </c>
      <c r="J286" s="2">
        <v>65.664000000000001</v>
      </c>
      <c r="K286" s="236">
        <v>100</v>
      </c>
      <c r="L286" s="2"/>
    </row>
    <row r="287" spans="1:48" ht="15.75" customHeight="1">
      <c r="A287" s="196">
        <v>48</v>
      </c>
      <c r="B287" s="201">
        <v>11</v>
      </c>
      <c r="C287" s="201"/>
      <c r="D287" s="2">
        <v>0.1</v>
      </c>
      <c r="E287" s="2">
        <v>0.31</v>
      </c>
      <c r="F287" s="2">
        <v>0.80600000000000005</v>
      </c>
      <c r="G287" s="2">
        <v>2.625</v>
      </c>
      <c r="H287" s="2">
        <v>9.6560000000000006</v>
      </c>
      <c r="I287" s="2">
        <v>29.244</v>
      </c>
      <c r="J287" s="2">
        <v>65.664000000000001</v>
      </c>
      <c r="K287" s="236">
        <v>100</v>
      </c>
      <c r="L287" s="2"/>
    </row>
    <row r="288" spans="1:48" ht="15.75" customHeight="1">
      <c r="A288" s="196">
        <v>48</v>
      </c>
      <c r="B288" s="201">
        <v>12</v>
      </c>
      <c r="C288" s="201"/>
      <c r="D288" s="2">
        <v>0.1</v>
      </c>
      <c r="E288" s="2">
        <v>0.31</v>
      </c>
      <c r="F288" s="2">
        <v>0.80600000000000005</v>
      </c>
      <c r="G288" s="2">
        <v>2.625</v>
      </c>
      <c r="H288" s="2">
        <v>9.6560000000000006</v>
      </c>
      <c r="I288" s="2">
        <v>29.244</v>
      </c>
      <c r="J288" s="2">
        <v>65.664000000000001</v>
      </c>
      <c r="K288" s="236">
        <v>100</v>
      </c>
      <c r="L288" s="2"/>
      <c r="M288" s="2"/>
      <c r="N288" s="2"/>
      <c r="O288" s="2"/>
      <c r="P288" s="2"/>
      <c r="Q288" s="2"/>
      <c r="R288" s="2"/>
      <c r="S288" s="2"/>
    </row>
    <row r="289" spans="1:48" ht="15.75" customHeight="1">
      <c r="A289" s="309">
        <v>49</v>
      </c>
      <c r="B289" s="74">
        <v>1</v>
      </c>
      <c r="C289" s="74"/>
      <c r="D289" s="234">
        <f>6.283185*Angular_frequency!C289</f>
        <v>6.2831849999999995E-2</v>
      </c>
      <c r="E289" s="234">
        <f>6.283185*Angular_frequency!D289</f>
        <v>0.11309732999999998</v>
      </c>
      <c r="F289" s="234">
        <f>6.283185*Angular_frequency!E289</f>
        <v>0.19477873499999998</v>
      </c>
      <c r="G289" s="234">
        <f>6.283185*Angular_frequency!F289</f>
        <v>0.34557517499999996</v>
      </c>
      <c r="H289" s="234">
        <f>6.283185*Angular_frequency!G289</f>
        <v>0.60946894499999993</v>
      </c>
      <c r="I289" s="234">
        <f>6.283185*Angular_frequency!H289</f>
        <v>1.0869910049999998</v>
      </c>
      <c r="J289" s="234">
        <f>6.283185*Angular_frequency!I289</f>
        <v>1.9540705349999998</v>
      </c>
      <c r="K289" s="234">
        <f>6.283185*Angular_frequency!J289</f>
        <v>3.4620349350000001</v>
      </c>
      <c r="L289" s="234">
        <f>6.283185*Angular_frequency!K289</f>
        <v>6.1952204099999992</v>
      </c>
      <c r="M289" s="234">
        <f>6.283185*Angular_frequency!L289</f>
        <v>10.976724194999999</v>
      </c>
      <c r="N289" s="234">
        <f>6.283185*Angular_frequency!M289</f>
        <v>19.27681158</v>
      </c>
      <c r="O289" s="234">
        <f>6.283185*Angular_frequency!N289</f>
        <v>34.846544010000002</v>
      </c>
      <c r="P289" s="234">
        <f>6.283185*Angular_frequency!O289</f>
        <v>61.179372344999997</v>
      </c>
      <c r="Q289" s="234">
        <f>6.283185*Angular_frequency!P289</f>
        <v>109.51591454999999</v>
      </c>
      <c r="R289" s="234">
        <f>6.283185*Angular_frequency!Q289</f>
        <v>194.16298286999998</v>
      </c>
      <c r="S289" s="235">
        <f>6.283185*Angular_frequency!R289</f>
        <v>344.23057340999998</v>
      </c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2"/>
      <c r="AV289" s="2"/>
    </row>
    <row r="290" spans="1:48" ht="15.75" customHeight="1">
      <c r="A290" s="238">
        <v>49</v>
      </c>
      <c r="B290" s="75">
        <v>2</v>
      </c>
      <c r="C290" s="75" t="s">
        <v>574</v>
      </c>
      <c r="D290" s="2">
        <f>6.283185*Angular_frequency!C290</f>
        <v>6.2831849999999995E-2</v>
      </c>
      <c r="E290" s="2">
        <f>6.283185*Angular_frequency!D290</f>
        <v>0.11309732999999998</v>
      </c>
      <c r="F290" s="2">
        <f>6.283185*Angular_frequency!E290</f>
        <v>0.19477873499999998</v>
      </c>
      <c r="G290" s="2">
        <f>6.283185*Angular_frequency!F290</f>
        <v>0.34557517499999996</v>
      </c>
      <c r="H290" s="2">
        <f>6.283185*Angular_frequency!G290</f>
        <v>0.60946894499999993</v>
      </c>
      <c r="I290" s="2">
        <f>6.283185*Angular_frequency!H290</f>
        <v>1.0869910049999998</v>
      </c>
      <c r="J290" s="2">
        <f>6.283185*Angular_frequency!I290</f>
        <v>1.9540705349999998</v>
      </c>
      <c r="K290" s="2">
        <f>6.283185*Angular_frequency!J290</f>
        <v>3.4620349350000001</v>
      </c>
      <c r="L290" s="2">
        <f>6.283185*Angular_frequency!K290</f>
        <v>6.1952204099999992</v>
      </c>
      <c r="M290" s="2">
        <f>6.283185*Angular_frequency!L290</f>
        <v>10.976724194999999</v>
      </c>
      <c r="N290" s="2">
        <f>6.283185*Angular_frequency!M290</f>
        <v>19.27681158</v>
      </c>
      <c r="O290" s="2">
        <f>6.283185*Angular_frequency!N290</f>
        <v>34.846544010000002</v>
      </c>
      <c r="P290" s="2">
        <f>6.283185*Angular_frequency!O290</f>
        <v>61.179372344999997</v>
      </c>
      <c r="Q290" s="2">
        <f>6.283185*Angular_frequency!P290</f>
        <v>109.51591454999999</v>
      </c>
      <c r="R290" s="2">
        <f>6.283185*Angular_frequency!Q290</f>
        <v>194.16298286999998</v>
      </c>
      <c r="S290" s="236">
        <f>6.283185*Angular_frequency!R290</f>
        <v>344.23057340999998</v>
      </c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2"/>
      <c r="AV290" s="2"/>
    </row>
    <row r="291" spans="1:48" ht="15.75" customHeight="1">
      <c r="A291" s="238">
        <v>49</v>
      </c>
      <c r="B291" s="75">
        <v>3</v>
      </c>
      <c r="C291" s="75" t="s">
        <v>574</v>
      </c>
      <c r="D291" s="2">
        <f>6.283185*Angular_frequency!C291</f>
        <v>6.2831849999999995E-2</v>
      </c>
      <c r="E291" s="2">
        <f>6.283185*Angular_frequency!D291</f>
        <v>0.11309732999999998</v>
      </c>
      <c r="F291" s="2">
        <f>6.283185*Angular_frequency!E291</f>
        <v>0.19477873499999998</v>
      </c>
      <c r="G291" s="2">
        <f>6.283185*Angular_frequency!F291</f>
        <v>0.34557517499999996</v>
      </c>
      <c r="H291" s="2">
        <f>6.283185*Angular_frequency!G291</f>
        <v>0.60946894499999993</v>
      </c>
      <c r="I291" s="2">
        <f>6.283185*Angular_frequency!H291</f>
        <v>1.0869910049999998</v>
      </c>
      <c r="J291" s="2">
        <f>6.283185*Angular_frequency!I291</f>
        <v>1.9540705349999998</v>
      </c>
      <c r="K291" s="2">
        <f>6.283185*Angular_frequency!J291</f>
        <v>3.4620349350000001</v>
      </c>
      <c r="L291" s="2">
        <f>6.283185*Angular_frequency!K291</f>
        <v>6.1952204099999992</v>
      </c>
      <c r="M291" s="2">
        <f>6.283185*Angular_frequency!L291</f>
        <v>10.976724194999999</v>
      </c>
      <c r="N291" s="2">
        <f>6.283185*Angular_frequency!M291</f>
        <v>19.27681158</v>
      </c>
      <c r="O291" s="2">
        <f>6.283185*Angular_frequency!N291</f>
        <v>34.846544010000002</v>
      </c>
      <c r="P291" s="2">
        <f>6.283185*Angular_frequency!O291</f>
        <v>61.179372344999997</v>
      </c>
      <c r="Q291" s="2">
        <f>6.283185*Angular_frequency!P291</f>
        <v>109.51591454999999</v>
      </c>
      <c r="R291" s="2">
        <f>6.283185*Angular_frequency!Q291</f>
        <v>194.16298286999998</v>
      </c>
      <c r="S291" s="236">
        <f>6.283185*Angular_frequency!R291</f>
        <v>344.23057340999998</v>
      </c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2"/>
      <c r="AV291" s="2"/>
    </row>
    <row r="292" spans="1:48" ht="15.75" customHeight="1">
      <c r="A292" s="311">
        <v>49</v>
      </c>
      <c r="B292" s="231">
        <v>4</v>
      </c>
      <c r="C292" s="231" t="s">
        <v>574</v>
      </c>
      <c r="D292" s="34">
        <f>6.283185*Angular_frequency!C292</f>
        <v>6.2831849999999995E-2</v>
      </c>
      <c r="E292" s="34">
        <f>6.283185*Angular_frequency!D292</f>
        <v>0.11309732999999998</v>
      </c>
      <c r="F292" s="34">
        <f>6.283185*Angular_frequency!E292</f>
        <v>0.19477873499999998</v>
      </c>
      <c r="G292" s="34">
        <f>6.283185*Angular_frequency!F292</f>
        <v>0.34557517499999996</v>
      </c>
      <c r="H292" s="34">
        <f>6.283185*Angular_frequency!G292</f>
        <v>0.60946894499999993</v>
      </c>
      <c r="I292" s="34">
        <f>6.283185*Angular_frequency!H292</f>
        <v>1.0869910049999998</v>
      </c>
      <c r="J292" s="34">
        <f>6.283185*Angular_frequency!I292</f>
        <v>1.9540705349999998</v>
      </c>
      <c r="K292" s="34">
        <f>6.283185*Angular_frequency!J292</f>
        <v>3.4620349350000001</v>
      </c>
      <c r="L292" s="34">
        <f>6.283185*Angular_frequency!K292</f>
        <v>6.1952204099999992</v>
      </c>
      <c r="M292" s="34">
        <f>6.283185*Angular_frequency!L292</f>
        <v>10.976724194999999</v>
      </c>
      <c r="N292" s="34">
        <f>6.283185*Angular_frequency!M292</f>
        <v>19.27681158</v>
      </c>
      <c r="O292" s="34">
        <f>6.283185*Angular_frequency!N292</f>
        <v>34.846544010000002</v>
      </c>
      <c r="P292" s="34">
        <f>6.283185*Angular_frequency!O292</f>
        <v>61.179372344999997</v>
      </c>
      <c r="Q292" s="34">
        <f>6.283185*Angular_frequency!P292</f>
        <v>109.51591454999999</v>
      </c>
      <c r="R292" s="34">
        <f>6.283185*Angular_frequency!Q292</f>
        <v>194.16298286999998</v>
      </c>
      <c r="S292" s="237">
        <f>6.283185*Angular_frequency!R292</f>
        <v>344.23057340999998</v>
      </c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2"/>
      <c r="AV292" s="2"/>
    </row>
    <row r="293" spans="1:48" ht="15.75" customHeight="1">
      <c r="A293" s="228">
        <v>50</v>
      </c>
      <c r="B293" s="75">
        <v>1</v>
      </c>
      <c r="C293" s="75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48" ht="15.75" customHeight="1">
      <c r="A294" s="228">
        <v>50</v>
      </c>
      <c r="B294" s="75">
        <v>2</v>
      </c>
      <c r="C294" s="75"/>
    </row>
    <row r="295" spans="1:48" ht="15.75" customHeight="1">
      <c r="A295" s="228">
        <v>50</v>
      </c>
      <c r="B295" s="75">
        <v>3</v>
      </c>
      <c r="C295" s="75"/>
    </row>
    <row r="296" spans="1:48" ht="15.75" customHeight="1">
      <c r="A296" s="228">
        <v>50</v>
      </c>
      <c r="B296" s="75">
        <v>4</v>
      </c>
      <c r="C296" s="75"/>
    </row>
    <row r="297" spans="1:48" ht="15.75" customHeight="1">
      <c r="A297" s="229">
        <v>51</v>
      </c>
      <c r="B297" s="74">
        <v>1</v>
      </c>
      <c r="C297" s="75" t="s">
        <v>575</v>
      </c>
    </row>
    <row r="298" spans="1:48" ht="15.75" customHeight="1">
      <c r="A298" s="228">
        <v>51</v>
      </c>
      <c r="B298" s="75">
        <v>2</v>
      </c>
      <c r="C298" s="75" t="s">
        <v>575</v>
      </c>
    </row>
    <row r="299" spans="1:48" ht="15.75" customHeight="1">
      <c r="A299" s="228">
        <v>51</v>
      </c>
      <c r="B299" s="75">
        <v>3</v>
      </c>
      <c r="C299" s="75" t="s">
        <v>575</v>
      </c>
    </row>
    <row r="300" spans="1:48" ht="15.75" customHeight="1">
      <c r="A300" s="228">
        <v>51</v>
      </c>
      <c r="B300" s="75">
        <v>4</v>
      </c>
      <c r="C300" s="75" t="s">
        <v>575</v>
      </c>
    </row>
    <row r="301" spans="1:48" ht="15.75" customHeight="1">
      <c r="A301" s="228">
        <v>51</v>
      </c>
      <c r="B301" s="75">
        <v>5</v>
      </c>
      <c r="C301" s="75" t="s">
        <v>575</v>
      </c>
    </row>
    <row r="302" spans="1:48" ht="15.75" customHeight="1">
      <c r="A302" s="228">
        <v>51</v>
      </c>
      <c r="B302" s="75">
        <v>6</v>
      </c>
      <c r="C302" s="75" t="s">
        <v>575</v>
      </c>
    </row>
    <row r="303" spans="1:48" ht="15.75" customHeight="1">
      <c r="A303" s="228">
        <v>51</v>
      </c>
      <c r="B303" s="75">
        <v>7</v>
      </c>
      <c r="C303" s="75" t="s">
        <v>575</v>
      </c>
    </row>
    <row r="304" spans="1:48" ht="15.75" customHeight="1">
      <c r="A304" s="272">
        <v>52</v>
      </c>
      <c r="B304" s="200">
        <v>1</v>
      </c>
      <c r="C304" s="201" t="s">
        <v>572</v>
      </c>
    </row>
    <row r="305" spans="1:20" ht="15.75" customHeight="1">
      <c r="A305" s="233">
        <v>52</v>
      </c>
      <c r="B305" s="201">
        <v>2</v>
      </c>
      <c r="C305" s="201" t="s">
        <v>572</v>
      </c>
    </row>
    <row r="306" spans="1:20" ht="15.75" customHeight="1">
      <c r="A306" s="233">
        <v>52</v>
      </c>
      <c r="B306" s="201">
        <v>3</v>
      </c>
      <c r="C306" s="201" t="s">
        <v>575</v>
      </c>
    </row>
    <row r="307" spans="1:20" ht="15.75" customHeight="1">
      <c r="A307" s="241">
        <v>52</v>
      </c>
      <c r="B307" s="202">
        <v>4</v>
      </c>
      <c r="C307" s="201" t="s">
        <v>575</v>
      </c>
    </row>
    <row r="308" spans="1:20" ht="15.75" customHeight="1">
      <c r="A308" s="233">
        <v>53</v>
      </c>
      <c r="B308" s="201">
        <v>1</v>
      </c>
      <c r="C308" s="201"/>
    </row>
    <row r="309" spans="1:20" ht="15.75" customHeight="1">
      <c r="A309" s="233">
        <v>53</v>
      </c>
      <c r="B309" s="201">
        <v>2</v>
      </c>
      <c r="C309" s="201"/>
    </row>
    <row r="310" spans="1:20" ht="15.75" customHeight="1">
      <c r="A310" s="233">
        <v>53</v>
      </c>
      <c r="B310" s="201">
        <v>3</v>
      </c>
      <c r="C310" s="201"/>
    </row>
    <row r="311" spans="1:20" ht="15.75" customHeight="1">
      <c r="A311" s="233">
        <v>53</v>
      </c>
      <c r="B311" s="201">
        <v>4</v>
      </c>
      <c r="C311" s="201"/>
    </row>
    <row r="312" spans="1:20" ht="15.75" customHeight="1">
      <c r="A312" s="241">
        <v>53</v>
      </c>
      <c r="B312" s="202">
        <v>5</v>
      </c>
      <c r="C312" s="201"/>
    </row>
    <row r="313" spans="1:20" ht="15.75" customHeight="1">
      <c r="A313" s="229">
        <v>54</v>
      </c>
      <c r="B313" s="200">
        <v>1</v>
      </c>
      <c r="C313" s="201" t="s">
        <v>575</v>
      </c>
    </row>
    <row r="314" spans="1:20" ht="15.75" customHeight="1">
      <c r="A314" s="228">
        <v>54</v>
      </c>
      <c r="B314" s="201">
        <v>2</v>
      </c>
      <c r="C314" s="201" t="s">
        <v>575</v>
      </c>
    </row>
    <row r="315" spans="1:20" ht="15.75" customHeight="1">
      <c r="A315" s="228">
        <v>54</v>
      </c>
      <c r="B315" s="201">
        <v>3</v>
      </c>
      <c r="C315" s="201" t="s">
        <v>575</v>
      </c>
    </row>
    <row r="316" spans="1:20" ht="15.75" customHeight="1">
      <c r="A316" s="228">
        <v>54</v>
      </c>
      <c r="B316" s="201">
        <v>4</v>
      </c>
      <c r="C316" s="201" t="s">
        <v>575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20" ht="15.75" customHeight="1">
      <c r="A317" s="199">
        <v>55</v>
      </c>
      <c r="B317" s="200" t="s">
        <v>221</v>
      </c>
      <c r="C317" s="200"/>
      <c r="D317" s="227">
        <v>0.1</v>
      </c>
      <c r="E317" s="227">
        <v>0.161</v>
      </c>
      <c r="F317" s="227">
        <v>0.255</v>
      </c>
      <c r="G317" s="227">
        <v>0.40300000000000002</v>
      </c>
      <c r="H317" s="227">
        <v>0.63800000000000001</v>
      </c>
      <c r="I317" s="227">
        <v>1.034</v>
      </c>
      <c r="J317" s="227">
        <v>1.5980000000000001</v>
      </c>
      <c r="K317" s="227">
        <v>2.4990000000000001</v>
      </c>
      <c r="L317" s="227">
        <v>4.0019999999999998</v>
      </c>
      <c r="M317" s="227">
        <v>6.4080000000000004</v>
      </c>
      <c r="N317" s="227">
        <v>10.023999999999999</v>
      </c>
      <c r="O317" s="227">
        <v>16.052</v>
      </c>
      <c r="P317" s="227">
        <v>25.404</v>
      </c>
      <c r="Q317" s="227">
        <v>40.206000000000003</v>
      </c>
      <c r="R317" s="227">
        <v>62.887999999999998</v>
      </c>
      <c r="S317" s="215">
        <v>100</v>
      </c>
      <c r="T317" s="2"/>
    </row>
    <row r="318" spans="1:20" ht="15.75" customHeight="1">
      <c r="A318" s="196">
        <v>55</v>
      </c>
      <c r="B318" s="201" t="s">
        <v>222</v>
      </c>
      <c r="C318" s="201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218"/>
      <c r="T318" s="2"/>
    </row>
    <row r="319" spans="1:20" ht="15.75" customHeight="1">
      <c r="A319" s="196">
        <v>55</v>
      </c>
      <c r="B319" s="201" t="s">
        <v>223</v>
      </c>
      <c r="C319" s="201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218"/>
      <c r="T319" s="2"/>
    </row>
    <row r="320" spans="1:20" ht="15.75" customHeight="1">
      <c r="A320" s="196">
        <v>55</v>
      </c>
      <c r="B320" s="201" t="s">
        <v>225</v>
      </c>
      <c r="C320" s="201"/>
      <c r="D320" s="12">
        <v>0.1</v>
      </c>
      <c r="E320" s="12">
        <v>0.161</v>
      </c>
      <c r="F320" s="12">
        <v>0.255</v>
      </c>
      <c r="G320" s="12">
        <v>0.40300000000000002</v>
      </c>
      <c r="H320" s="12">
        <v>0.63800000000000001</v>
      </c>
      <c r="I320" s="12">
        <v>1.034</v>
      </c>
      <c r="J320" s="12">
        <v>1.5980000000000001</v>
      </c>
      <c r="K320" s="12">
        <v>2.4990000000000001</v>
      </c>
      <c r="L320" s="12">
        <v>4.0019999999999998</v>
      </c>
      <c r="M320" s="12">
        <v>6.4080000000000004</v>
      </c>
      <c r="N320" s="12">
        <v>10.023999999999999</v>
      </c>
      <c r="O320" s="12">
        <v>16.052</v>
      </c>
      <c r="P320" s="12">
        <v>25.404</v>
      </c>
      <c r="Q320" s="12">
        <v>40.206000000000003</v>
      </c>
      <c r="R320" s="12">
        <v>62.887999999999998</v>
      </c>
      <c r="S320" s="218">
        <v>100</v>
      </c>
      <c r="T320" s="2"/>
    </row>
    <row r="321" spans="1:48" ht="15.75" customHeight="1">
      <c r="A321" s="196">
        <v>55</v>
      </c>
      <c r="B321" s="201" t="s">
        <v>226</v>
      </c>
      <c r="C321" s="201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218"/>
      <c r="T321" s="2"/>
    </row>
    <row r="322" spans="1:48" ht="15.75" customHeight="1">
      <c r="A322" s="196">
        <v>55</v>
      </c>
      <c r="B322" s="201" t="s">
        <v>227</v>
      </c>
      <c r="C322" s="201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218"/>
      <c r="T322" s="2"/>
    </row>
    <row r="323" spans="1:48" ht="15.75" customHeight="1">
      <c r="A323" s="196">
        <v>55</v>
      </c>
      <c r="B323" s="201" t="s">
        <v>231</v>
      </c>
      <c r="C323" s="201"/>
      <c r="D323" s="12">
        <v>0.1</v>
      </c>
      <c r="E323" s="12">
        <v>0.161</v>
      </c>
      <c r="F323" s="12">
        <v>0.255</v>
      </c>
      <c r="G323" s="12">
        <v>0.40300000000000002</v>
      </c>
      <c r="H323" s="12">
        <v>0.63800000000000001</v>
      </c>
      <c r="I323" s="12">
        <v>1.034</v>
      </c>
      <c r="J323" s="12">
        <v>1.5980000000000001</v>
      </c>
      <c r="K323" s="12">
        <v>2.4990000000000001</v>
      </c>
      <c r="L323" s="12">
        <v>4.0019999999999998</v>
      </c>
      <c r="M323" s="12">
        <v>6.4080000000000004</v>
      </c>
      <c r="N323" s="12">
        <v>10.023999999999999</v>
      </c>
      <c r="O323" s="12">
        <v>16.052</v>
      </c>
      <c r="P323" s="12">
        <v>25.404</v>
      </c>
      <c r="Q323" s="12">
        <v>40.206000000000003</v>
      </c>
      <c r="R323" s="12">
        <v>62.887999999999998</v>
      </c>
      <c r="S323" s="218">
        <v>100</v>
      </c>
      <c r="T323" s="2"/>
    </row>
    <row r="324" spans="1:48" ht="15.75" customHeight="1">
      <c r="A324" s="196">
        <v>55</v>
      </c>
      <c r="B324" s="201" t="s">
        <v>232</v>
      </c>
      <c r="C324" s="201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218"/>
      <c r="T324" s="2"/>
    </row>
    <row r="325" spans="1:48" ht="15.75" customHeight="1">
      <c r="A325" s="196">
        <v>55</v>
      </c>
      <c r="B325" s="201" t="s">
        <v>233</v>
      </c>
      <c r="C325" s="201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218"/>
      <c r="T325" s="2"/>
    </row>
    <row r="326" spans="1:48" ht="15.75" customHeight="1">
      <c r="A326" s="199">
        <v>56</v>
      </c>
      <c r="B326" s="200" t="s">
        <v>221</v>
      </c>
      <c r="C326" s="200" t="s">
        <v>572</v>
      </c>
      <c r="D326" s="234"/>
      <c r="E326" s="234"/>
      <c r="F326" s="234"/>
      <c r="G326" s="234"/>
      <c r="H326" s="234"/>
      <c r="I326" s="234"/>
      <c r="J326" s="234"/>
      <c r="K326" s="234"/>
      <c r="L326" s="234"/>
      <c r="M326" s="234"/>
      <c r="N326" s="234"/>
      <c r="O326" s="234"/>
      <c r="P326" s="234"/>
      <c r="Q326" s="234"/>
      <c r="R326" s="234"/>
      <c r="S326" s="235"/>
      <c r="T326" s="2"/>
    </row>
    <row r="327" spans="1:48" ht="15.75" customHeight="1">
      <c r="A327" s="197">
        <v>56</v>
      </c>
      <c r="B327" s="202" t="s">
        <v>225</v>
      </c>
      <c r="C327" s="202"/>
      <c r="D327" s="27">
        <v>0.10199999999999999</v>
      </c>
      <c r="E327" s="27">
        <v>0.16</v>
      </c>
      <c r="F327" s="27">
        <v>0.252</v>
      </c>
      <c r="G327" s="27">
        <v>0.39600000000000002</v>
      </c>
      <c r="H327" s="27">
        <v>0.63400000000000001</v>
      </c>
      <c r="I327" s="27">
        <v>1.016</v>
      </c>
      <c r="J327" s="27">
        <v>1.597</v>
      </c>
      <c r="K327" s="27">
        <v>2.581</v>
      </c>
      <c r="L327" s="27">
        <v>4.0579999999999998</v>
      </c>
      <c r="M327" s="27">
        <v>6.62</v>
      </c>
      <c r="N327" s="27">
        <v>10.313000000000001</v>
      </c>
      <c r="O327" s="27">
        <v>16.065000000000001</v>
      </c>
      <c r="P327" s="27">
        <v>25.728999999999999</v>
      </c>
      <c r="Q327" s="27">
        <v>40.828000000000003</v>
      </c>
      <c r="R327" s="27">
        <v>65.39</v>
      </c>
      <c r="S327" s="221">
        <v>100</v>
      </c>
      <c r="T327" s="2"/>
    </row>
    <row r="328" spans="1:48" ht="15.75" customHeight="1">
      <c r="A328" s="196">
        <v>57</v>
      </c>
      <c r="B328" s="201">
        <v>1</v>
      </c>
      <c r="C328" s="201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48" ht="15.75" customHeight="1">
      <c r="A329" s="196">
        <v>57</v>
      </c>
      <c r="B329" s="201">
        <v>2</v>
      </c>
      <c r="C329" s="201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pans="1:48" ht="15.75" customHeight="1">
      <c r="A330" s="229">
        <v>58</v>
      </c>
      <c r="B330" s="74">
        <v>1</v>
      </c>
      <c r="C330" s="74" t="s">
        <v>572</v>
      </c>
      <c r="D330" s="234">
        <v>1</v>
      </c>
      <c r="E330" s="234">
        <v>1.581</v>
      </c>
      <c r="F330" s="234">
        <v>2.5499999999999998</v>
      </c>
      <c r="G330" s="234">
        <v>3.9220000000000002</v>
      </c>
      <c r="H330" s="234">
        <v>6.37</v>
      </c>
      <c r="I330" s="234">
        <v>10</v>
      </c>
      <c r="J330" s="234">
        <v>15.805999999999999</v>
      </c>
      <c r="K330" s="234">
        <v>24.981999999999999</v>
      </c>
      <c r="L330" s="234">
        <v>40.302999999999997</v>
      </c>
      <c r="M330" s="234">
        <v>62.41</v>
      </c>
      <c r="N330" s="235">
        <v>100</v>
      </c>
      <c r="O330" s="2"/>
    </row>
    <row r="331" spans="1:48" ht="15.75" customHeight="1">
      <c r="A331" s="228">
        <v>58</v>
      </c>
      <c r="B331" s="75">
        <v>2</v>
      </c>
      <c r="C331" s="75" t="s">
        <v>572</v>
      </c>
      <c r="D331" s="2">
        <v>1</v>
      </c>
      <c r="E331" s="2">
        <v>1.581</v>
      </c>
      <c r="F331" s="2">
        <v>2.5499999999999998</v>
      </c>
      <c r="G331" s="2">
        <v>3.9220000000000002</v>
      </c>
      <c r="H331" s="2">
        <v>6.37</v>
      </c>
      <c r="I331" s="2">
        <v>10</v>
      </c>
      <c r="J331" s="2">
        <v>15.805999999999999</v>
      </c>
      <c r="K331" s="2">
        <v>24.981999999999999</v>
      </c>
      <c r="L331" s="2">
        <v>40.302999999999997</v>
      </c>
      <c r="M331" s="2">
        <v>62.41</v>
      </c>
      <c r="N331" s="236">
        <v>100</v>
      </c>
      <c r="O331" s="2"/>
    </row>
    <row r="332" spans="1:48" ht="15.75" customHeight="1">
      <c r="A332" s="228">
        <v>58</v>
      </c>
      <c r="B332" s="75">
        <v>3</v>
      </c>
      <c r="C332" s="75" t="s">
        <v>572</v>
      </c>
      <c r="D332" s="2">
        <v>1</v>
      </c>
      <c r="E332" s="2">
        <v>1.581</v>
      </c>
      <c r="F332" s="2">
        <v>2.5499999999999998</v>
      </c>
      <c r="G332" s="2">
        <v>3.9220000000000002</v>
      </c>
      <c r="H332" s="2">
        <v>6.37</v>
      </c>
      <c r="I332" s="2">
        <v>10</v>
      </c>
      <c r="J332" s="2">
        <v>15.805999999999999</v>
      </c>
      <c r="K332" s="2">
        <v>24.981999999999999</v>
      </c>
      <c r="L332" s="2">
        <v>40.302999999999997</v>
      </c>
      <c r="M332" s="2">
        <v>62.41</v>
      </c>
      <c r="N332" s="236">
        <v>100</v>
      </c>
      <c r="O332" s="2"/>
    </row>
    <row r="333" spans="1:48" ht="15.75" customHeight="1">
      <c r="A333" s="228">
        <v>58</v>
      </c>
      <c r="B333" s="75">
        <v>4</v>
      </c>
      <c r="C333" s="75" t="s">
        <v>572</v>
      </c>
      <c r="D333" s="2">
        <v>1</v>
      </c>
      <c r="E333" s="2">
        <v>1.581</v>
      </c>
      <c r="F333" s="2">
        <v>2.5499999999999998</v>
      </c>
      <c r="G333" s="2">
        <v>3.9220000000000002</v>
      </c>
      <c r="H333" s="2">
        <v>6.37</v>
      </c>
      <c r="I333" s="2">
        <v>10</v>
      </c>
      <c r="J333" s="2">
        <v>15.805999999999999</v>
      </c>
      <c r="K333" s="2">
        <v>24.981999999999999</v>
      </c>
      <c r="L333" s="2">
        <v>40.302999999999997</v>
      </c>
      <c r="M333" s="2">
        <v>62.41</v>
      </c>
      <c r="N333" s="236">
        <v>100</v>
      </c>
      <c r="O333" s="2"/>
    </row>
    <row r="334" spans="1:48" ht="15.75" customHeight="1">
      <c r="A334" s="230">
        <v>58</v>
      </c>
      <c r="B334" s="231">
        <v>5</v>
      </c>
      <c r="C334" s="231" t="s">
        <v>572</v>
      </c>
      <c r="D334" s="34">
        <v>1</v>
      </c>
      <c r="E334" s="34">
        <v>1.581</v>
      </c>
      <c r="F334" s="34">
        <v>2.5499999999999998</v>
      </c>
      <c r="G334" s="34">
        <v>3.9220000000000002</v>
      </c>
      <c r="H334" s="34">
        <v>6.37</v>
      </c>
      <c r="I334" s="34">
        <v>10</v>
      </c>
      <c r="J334" s="34">
        <v>15.805999999999999</v>
      </c>
      <c r="K334" s="34">
        <v>24.981999999999999</v>
      </c>
      <c r="L334" s="34">
        <v>40.302999999999997</v>
      </c>
      <c r="M334" s="34">
        <v>62.41</v>
      </c>
      <c r="N334" s="237">
        <v>100</v>
      </c>
      <c r="O334" s="2"/>
    </row>
    <row r="335" spans="1:48" ht="15.75" customHeight="1">
      <c r="A335" s="229">
        <v>59</v>
      </c>
      <c r="B335" s="74">
        <v>1</v>
      </c>
      <c r="C335" s="75" t="s">
        <v>575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</row>
    <row r="336" spans="1:48" ht="15.75" customHeight="1">
      <c r="A336" s="228">
        <v>59</v>
      </c>
      <c r="B336" s="75">
        <v>2</v>
      </c>
      <c r="C336" s="75" t="s">
        <v>575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</row>
    <row r="337" spans="1:48" ht="15.75" customHeight="1">
      <c r="A337" s="228">
        <v>59</v>
      </c>
      <c r="B337" s="75">
        <v>3</v>
      </c>
      <c r="C337" s="75" t="s">
        <v>575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</row>
    <row r="338" spans="1:48" ht="15.75" customHeight="1">
      <c r="A338" s="228">
        <v>59</v>
      </c>
      <c r="B338" s="75">
        <v>4</v>
      </c>
      <c r="C338" s="75" t="s">
        <v>575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</row>
    <row r="339" spans="1:48" ht="15.75" customHeight="1">
      <c r="A339" s="228">
        <v>59</v>
      </c>
      <c r="B339" s="75">
        <v>5</v>
      </c>
      <c r="C339" s="75" t="s">
        <v>575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</row>
    <row r="340" spans="1:48" ht="15.75" customHeight="1">
      <c r="A340" s="230">
        <v>59</v>
      </c>
      <c r="B340" s="231">
        <v>6</v>
      </c>
      <c r="C340" s="75" t="s">
        <v>575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</row>
    <row r="341" spans="1:48" ht="15.75" customHeight="1">
      <c r="A341" s="233">
        <v>60</v>
      </c>
      <c r="B341" s="74">
        <v>1</v>
      </c>
      <c r="C341" s="75" t="s">
        <v>572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</row>
    <row r="342" spans="1:48" ht="15.75" customHeight="1">
      <c r="A342" s="233">
        <v>60</v>
      </c>
      <c r="B342" s="75">
        <v>2</v>
      </c>
      <c r="C342" s="75" t="s">
        <v>572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</row>
    <row r="343" spans="1:48" ht="15.75" customHeight="1">
      <c r="A343" s="233">
        <v>60</v>
      </c>
      <c r="B343" s="75">
        <v>3</v>
      </c>
      <c r="C343" s="75" t="s">
        <v>572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</row>
    <row r="344" spans="1:48" ht="15.75" customHeight="1">
      <c r="A344" s="233">
        <v>60</v>
      </c>
      <c r="B344" s="75">
        <v>4</v>
      </c>
      <c r="C344" s="75" t="s">
        <v>572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</row>
    <row r="345" spans="1:48" ht="15.75" customHeight="1">
      <c r="A345" s="233">
        <v>60</v>
      </c>
      <c r="B345" s="75">
        <v>5</v>
      </c>
      <c r="C345" s="75" t="s">
        <v>572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</row>
    <row r="346" spans="1:48" ht="15.75" customHeight="1">
      <c r="A346" s="233">
        <v>60</v>
      </c>
      <c r="B346" s="75">
        <v>6</v>
      </c>
      <c r="C346" s="75" t="s">
        <v>572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</row>
    <row r="347" spans="1:48" ht="15.75" customHeight="1">
      <c r="A347" s="233">
        <v>60</v>
      </c>
      <c r="B347" s="75">
        <v>7</v>
      </c>
      <c r="C347" s="75" t="s">
        <v>572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</row>
    <row r="348" spans="1:48" ht="15.75" customHeight="1">
      <c r="A348" s="241">
        <v>60</v>
      </c>
      <c r="B348" s="231">
        <v>8</v>
      </c>
      <c r="C348" s="75" t="s">
        <v>572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</row>
    <row r="349" spans="1:48" ht="15.75" customHeight="1">
      <c r="A349" s="241">
        <v>61</v>
      </c>
      <c r="B349" s="281">
        <v>1</v>
      </c>
      <c r="C349" s="75" t="s">
        <v>572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</row>
    <row r="350" spans="1:48" ht="15.75" customHeight="1"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</row>
    <row r="351" spans="1:48" ht="15.75" customHeight="1"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</row>
    <row r="352" spans="1:48" ht="15.75" customHeight="1"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</row>
    <row r="353" spans="4:48" ht="15.75" customHeight="1"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</row>
    <row r="354" spans="4:48" ht="15.75" customHeight="1"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</row>
    <row r="355" spans="4:48" ht="15.75" customHeight="1"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</row>
    <row r="356" spans="4:48" ht="15.75" customHeight="1"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</row>
    <row r="357" spans="4:48" ht="15.75" customHeight="1"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</row>
    <row r="358" spans="4:48" ht="15.75" customHeight="1"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</row>
    <row r="359" spans="4:48" ht="15.75" customHeight="1"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</row>
    <row r="360" spans="4:48" ht="15.75" customHeight="1"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</row>
    <row r="361" spans="4:48" ht="15.75" customHeight="1"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</row>
    <row r="362" spans="4:48" ht="15.75" customHeight="1"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</row>
    <row r="363" spans="4:48" ht="15.75" customHeight="1"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</row>
    <row r="364" spans="4:48" ht="15.75" customHeight="1"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</row>
    <row r="365" spans="4:48" ht="15.75" customHeight="1"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</row>
    <row r="366" spans="4:48" ht="15.75" customHeight="1"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</row>
    <row r="367" spans="4:48" ht="15.75" customHeight="1"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</row>
    <row r="368" spans="4:48" ht="15.75" customHeight="1"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</row>
    <row r="369" spans="4:48" ht="15.75" customHeight="1"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</row>
    <row r="370" spans="4:48" ht="15.75" customHeight="1"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</row>
    <row r="371" spans="4:48" ht="15.75" customHeight="1"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</row>
    <row r="372" spans="4:48" ht="15.75" customHeight="1"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</row>
    <row r="373" spans="4:48" ht="15.75" customHeight="1"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</row>
    <row r="374" spans="4:48" ht="15.75" customHeight="1"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</row>
    <row r="375" spans="4:48" ht="15.75" customHeight="1"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</row>
    <row r="376" spans="4:48" ht="15.75" customHeight="1"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</row>
    <row r="377" spans="4:48" ht="15.75" customHeight="1"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</row>
    <row r="378" spans="4:48" ht="15.75" customHeight="1"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</row>
    <row r="379" spans="4:48" ht="15.75" customHeight="1"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</row>
    <row r="380" spans="4:48" ht="15.75" customHeight="1"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</row>
    <row r="381" spans="4:48" ht="15.75" customHeight="1"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</row>
    <row r="382" spans="4:48" ht="15.75" customHeight="1"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</row>
    <row r="383" spans="4:48" ht="15.75" customHeight="1"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</row>
    <row r="384" spans="4:48" ht="15.75" customHeight="1"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</row>
    <row r="385" spans="4:48" ht="15.75" customHeight="1"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</row>
    <row r="386" spans="4:48" ht="15.75" customHeight="1"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</row>
    <row r="387" spans="4:48" ht="15.75" customHeight="1"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</row>
    <row r="388" spans="4:48" ht="15.75" customHeight="1"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</row>
    <row r="389" spans="4:48" ht="15.75" customHeight="1"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</row>
    <row r="390" spans="4:48" ht="15.75" customHeight="1"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</row>
    <row r="391" spans="4:48" ht="15.75" customHeight="1"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</row>
    <row r="392" spans="4:48" ht="15.75" customHeight="1"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</row>
    <row r="393" spans="4:48" ht="15.75" customHeight="1"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</row>
    <row r="394" spans="4:48" ht="15.75" customHeight="1"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</row>
    <row r="395" spans="4:48" ht="15.75" customHeight="1"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</row>
    <row r="396" spans="4:48" ht="15.75" customHeight="1"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</row>
    <row r="397" spans="4:48" ht="15.75" customHeight="1"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</row>
    <row r="398" spans="4:48" ht="15.75" customHeight="1"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</row>
    <row r="399" spans="4:48" ht="15.75" customHeight="1"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</row>
    <row r="400" spans="4:48" ht="15.75" customHeight="1"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</row>
    <row r="401" spans="4:48" ht="15.75" customHeight="1"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</row>
    <row r="402" spans="4:48" ht="15.75" customHeight="1"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</row>
    <row r="403" spans="4:48" ht="15.75" customHeight="1"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</row>
    <row r="404" spans="4:48" ht="15.75" customHeight="1"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</row>
    <row r="405" spans="4:48" ht="15.75" customHeight="1"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</row>
    <row r="406" spans="4:48" ht="15.75" customHeight="1"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</row>
    <row r="407" spans="4:48" ht="15.75" customHeight="1"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</row>
    <row r="408" spans="4:48" ht="15.75" customHeight="1"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</row>
    <row r="409" spans="4:48" ht="15.75" customHeight="1"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</row>
    <row r="410" spans="4:48" ht="15.75" customHeight="1"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</row>
    <row r="411" spans="4:48" ht="15.75" customHeight="1"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</row>
    <row r="412" spans="4:48" ht="15.75" customHeight="1"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</row>
    <row r="413" spans="4:48" ht="15.75" customHeight="1"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</row>
    <row r="414" spans="4:48" ht="15.75" customHeight="1"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</row>
    <row r="415" spans="4:48" ht="15.75" customHeight="1"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</row>
    <row r="416" spans="4:48" ht="15.75" customHeight="1"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</row>
    <row r="417" spans="4:48" ht="15.75" customHeight="1"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</row>
    <row r="418" spans="4:48" ht="15.75" customHeight="1"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</row>
    <row r="419" spans="4:48" ht="15.75" customHeight="1"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</row>
    <row r="420" spans="4:48" ht="15.75" customHeight="1"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</row>
    <row r="421" spans="4:48" ht="15.75" customHeight="1"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</row>
    <row r="422" spans="4:48" ht="15.75" customHeight="1"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</row>
    <row r="423" spans="4:48" ht="15.75" customHeight="1"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</row>
    <row r="424" spans="4:48" ht="15.75" customHeight="1"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</row>
    <row r="425" spans="4:48" ht="15.75" customHeight="1"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</row>
    <row r="426" spans="4:48" ht="15.75" customHeight="1"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</row>
    <row r="427" spans="4:48" ht="15.75" customHeight="1"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</row>
    <row r="428" spans="4:48" ht="15.75" customHeight="1"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</row>
    <row r="429" spans="4:48" ht="15.75" customHeight="1"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</row>
    <row r="430" spans="4:48" ht="15.75" customHeight="1"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</row>
    <row r="431" spans="4:48" ht="15.75" customHeight="1"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</row>
    <row r="432" spans="4:48" ht="15.75" customHeight="1"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</row>
    <row r="433" spans="4:48" ht="15.75" customHeight="1"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</row>
    <row r="434" spans="4:48" ht="15.75" customHeight="1"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</row>
    <row r="435" spans="4:48" ht="15.75" customHeight="1"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</row>
    <row r="436" spans="4:48" ht="15.75" customHeight="1"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</row>
    <row r="437" spans="4:48" ht="15.75" customHeight="1"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</row>
    <row r="438" spans="4:48" ht="15.75" customHeight="1"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</row>
    <row r="439" spans="4:48" ht="15.75" customHeight="1"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</row>
    <row r="440" spans="4:48" ht="15.75" customHeight="1"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</row>
    <row r="441" spans="4:48" ht="15.75" customHeight="1"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</row>
    <row r="442" spans="4:48" ht="15.75" customHeight="1"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</row>
    <row r="443" spans="4:48" ht="15.75" customHeight="1"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</row>
    <row r="444" spans="4:48" ht="15.75" customHeight="1"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</row>
    <row r="445" spans="4:48" ht="15.75" customHeight="1"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</row>
    <row r="446" spans="4:48" ht="15.75" customHeight="1"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</row>
    <row r="447" spans="4:48" ht="15.75" customHeight="1"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</row>
    <row r="448" spans="4:48" ht="15.75" customHeight="1"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</row>
    <row r="449" spans="4:48" ht="15.75" customHeight="1"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</row>
    <row r="450" spans="4:48" ht="15.75" customHeight="1"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</row>
    <row r="451" spans="4:48" ht="15.75" customHeight="1"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</row>
    <row r="452" spans="4:48" ht="15.75" customHeight="1"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</row>
    <row r="453" spans="4:48" ht="15.75" customHeight="1"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</row>
    <row r="454" spans="4:48" ht="15.75" customHeight="1"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</row>
    <row r="455" spans="4:48" ht="15.75" customHeight="1"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</row>
    <row r="456" spans="4:48" ht="15.75" customHeight="1"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</row>
    <row r="457" spans="4:48" ht="15.75" customHeight="1"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</row>
    <row r="458" spans="4:48" ht="15.75" customHeight="1"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</row>
    <row r="459" spans="4:48" ht="15.75" customHeight="1"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</row>
    <row r="460" spans="4:48" ht="15.75" customHeight="1"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</row>
    <row r="461" spans="4:48" ht="15.75" customHeight="1"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</row>
    <row r="462" spans="4:48" ht="15.75" customHeight="1"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</row>
    <row r="463" spans="4:48" ht="15.75" customHeight="1"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</row>
    <row r="464" spans="4:48" ht="15.75" customHeight="1"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</row>
    <row r="465" spans="4:48" ht="15.75" customHeight="1"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</row>
    <row r="466" spans="4:48" ht="15.75" customHeight="1"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</row>
    <row r="467" spans="4:48" ht="15.75" customHeight="1"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</row>
    <row r="468" spans="4:48" ht="15.75" customHeight="1"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</row>
    <row r="469" spans="4:48" ht="15.75" customHeight="1"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</row>
    <row r="470" spans="4:48" ht="15.75" customHeight="1"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</row>
    <row r="471" spans="4:48" ht="15.75" customHeight="1"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</row>
    <row r="472" spans="4:48" ht="15.75" customHeight="1"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</row>
    <row r="473" spans="4:48" ht="15.75" customHeight="1"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</row>
    <row r="474" spans="4:48" ht="15.75" customHeight="1"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</row>
    <row r="475" spans="4:48" ht="15.75" customHeight="1"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</row>
    <row r="476" spans="4:48" ht="15.75" customHeight="1"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</row>
    <row r="477" spans="4:48" ht="15.75" customHeight="1"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</row>
    <row r="478" spans="4:48" ht="15.75" customHeight="1"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</row>
    <row r="479" spans="4:48" ht="15.75" customHeight="1"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</row>
    <row r="480" spans="4:48" ht="15.75" customHeight="1"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</row>
    <row r="481" spans="4:48" ht="15.75" customHeight="1"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</row>
    <row r="482" spans="4:48" ht="15.75" customHeight="1"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</row>
    <row r="483" spans="4:48" ht="15.75" customHeight="1"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</row>
    <row r="484" spans="4:48" ht="15.75" customHeight="1"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</row>
    <row r="485" spans="4:48" ht="15.75" customHeight="1"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</row>
    <row r="486" spans="4:48" ht="15.75" customHeight="1"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</row>
    <row r="487" spans="4:48" ht="15.75" customHeight="1"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</row>
    <row r="488" spans="4:48" ht="15.75" customHeight="1"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</row>
    <row r="489" spans="4:48" ht="15.75" customHeight="1"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</row>
    <row r="490" spans="4:48" ht="15.75" customHeight="1"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</row>
    <row r="491" spans="4:48" ht="15.75" customHeight="1"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</row>
    <row r="492" spans="4:48" ht="15.75" customHeight="1"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</row>
    <row r="493" spans="4:48" ht="15.75" customHeight="1"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</row>
    <row r="494" spans="4:48" ht="15.75" customHeight="1"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</row>
    <row r="495" spans="4:48" ht="15.75" customHeight="1"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</row>
    <row r="496" spans="4:48" ht="15.75" customHeight="1"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</row>
    <row r="497" spans="4:48" ht="15.75" customHeight="1"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</row>
    <row r="498" spans="4:48" ht="15.75" customHeight="1"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</row>
    <row r="499" spans="4:48" ht="15.75" customHeight="1"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</row>
    <row r="500" spans="4:48" ht="15.75" customHeight="1"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</row>
    <row r="501" spans="4:48" ht="15.75" customHeight="1"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</row>
    <row r="502" spans="4:48" ht="15.75" customHeight="1"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</row>
    <row r="503" spans="4:48" ht="15.75" customHeight="1"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</row>
    <row r="504" spans="4:48" ht="15.75" customHeight="1"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</row>
    <row r="505" spans="4:48" ht="15.75" customHeight="1"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</row>
    <row r="506" spans="4:48" ht="15.75" customHeight="1"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</row>
    <row r="507" spans="4:48" ht="15.75" customHeight="1"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</row>
    <row r="508" spans="4:48" ht="15.75" customHeight="1"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</row>
    <row r="509" spans="4:48" ht="15.75" customHeight="1"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</row>
    <row r="510" spans="4:48" ht="15.75" customHeight="1"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</row>
    <row r="511" spans="4:48" ht="15.75" customHeight="1"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</row>
    <row r="512" spans="4:48" ht="15.75" customHeight="1"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</row>
    <row r="513" spans="4:48" ht="15.75" customHeight="1"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</row>
    <row r="514" spans="4:48" ht="15.75" customHeight="1"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</row>
    <row r="515" spans="4:48" ht="15.75" customHeight="1"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</row>
    <row r="516" spans="4:48" ht="15.75" customHeight="1"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</row>
    <row r="517" spans="4:48" ht="15.75" customHeight="1"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</row>
    <row r="518" spans="4:48" ht="15.75" customHeight="1"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</row>
    <row r="519" spans="4:48" ht="15.75" customHeight="1"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</row>
    <row r="520" spans="4:48" ht="15.75" customHeight="1"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</row>
    <row r="521" spans="4:48" ht="15.75" customHeight="1"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</row>
    <row r="522" spans="4:48" ht="15.75" customHeight="1"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</row>
    <row r="523" spans="4:48" ht="15.75" customHeight="1"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</row>
    <row r="524" spans="4:48" ht="15.75" customHeight="1"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</row>
    <row r="525" spans="4:48" ht="15.75" customHeight="1"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</row>
    <row r="526" spans="4:48" ht="15.75" customHeight="1"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</row>
    <row r="527" spans="4:48" ht="15.75" customHeight="1"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</row>
    <row r="528" spans="4:48" ht="15.75" customHeight="1"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</row>
    <row r="529" spans="4:48" ht="15.75" customHeight="1"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</row>
    <row r="530" spans="4:48" ht="15.75" customHeight="1"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</row>
    <row r="531" spans="4:48" ht="15.75" customHeight="1"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</row>
    <row r="532" spans="4:48" ht="15.75" customHeight="1"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</row>
    <row r="533" spans="4:48" ht="15.75" customHeight="1"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</row>
    <row r="534" spans="4:48" ht="15.75" customHeight="1"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</row>
    <row r="535" spans="4:48" ht="15.75" customHeight="1"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</row>
    <row r="536" spans="4:48" ht="15.75" customHeight="1"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</row>
    <row r="537" spans="4:48" ht="15.75" customHeight="1"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</row>
    <row r="538" spans="4:48" ht="15.75" customHeight="1"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</row>
    <row r="539" spans="4:48" ht="15.75" customHeight="1"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</row>
    <row r="540" spans="4:48" ht="15.75" customHeight="1"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</row>
    <row r="541" spans="4:48" ht="15.75" customHeight="1"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</row>
    <row r="542" spans="4:48" ht="15.75" customHeight="1"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</row>
    <row r="543" spans="4:48" ht="15.75" customHeight="1"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</row>
    <row r="544" spans="4:48" ht="15.75" customHeight="1"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</row>
    <row r="545" spans="4:48" ht="15.75" customHeight="1"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</row>
    <row r="546" spans="4:48" ht="15.75" customHeight="1"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</row>
    <row r="547" spans="4:48" ht="15.75" customHeight="1"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</row>
    <row r="548" spans="4:48" ht="15.75" customHeight="1"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</row>
    <row r="549" spans="4:48" ht="15.75" customHeight="1"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</row>
    <row r="550" spans="4:48" ht="15.75" customHeight="1"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</row>
    <row r="551" spans="4:48" ht="15.75" customHeight="1"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</row>
    <row r="552" spans="4:48" ht="15.75" customHeight="1"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</row>
    <row r="553" spans="4:48" ht="15.75" customHeight="1"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</row>
    <row r="554" spans="4:48" ht="15.75" customHeight="1"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</row>
    <row r="555" spans="4:48" ht="15.75" customHeight="1"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</row>
    <row r="556" spans="4:48" ht="15.75" customHeight="1"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</row>
    <row r="557" spans="4:48" ht="15.75" customHeight="1"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</row>
    <row r="558" spans="4:48" ht="15.75" customHeight="1"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</row>
    <row r="559" spans="4:48" ht="15.75" customHeight="1"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</row>
    <row r="560" spans="4:48" ht="15.75" customHeight="1"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</row>
    <row r="561" spans="4:48" ht="15.75" customHeight="1"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</row>
    <row r="562" spans="4:48" ht="15.75" customHeight="1"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</row>
    <row r="563" spans="4:48" ht="15.75" customHeight="1"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</row>
    <row r="564" spans="4:48" ht="15.75" customHeight="1"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</row>
    <row r="565" spans="4:48" ht="15.75" customHeight="1"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</row>
    <row r="566" spans="4:48" ht="15.75" customHeight="1"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</row>
    <row r="567" spans="4:48" ht="15.75" customHeight="1"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</row>
    <row r="568" spans="4:48" ht="15.75" customHeight="1"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</row>
    <row r="569" spans="4:48" ht="15.75" customHeight="1"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</row>
    <row r="570" spans="4:48" ht="15.75" customHeight="1"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</row>
    <row r="571" spans="4:48" ht="15.75" customHeight="1"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</row>
    <row r="572" spans="4:48" ht="15.75" customHeight="1"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</row>
    <row r="573" spans="4:48" ht="15.75" customHeight="1"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</row>
    <row r="574" spans="4:48" ht="15.75" customHeight="1"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</row>
    <row r="575" spans="4:48" ht="15.75" customHeight="1"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</row>
    <row r="576" spans="4:48" ht="15.75" customHeight="1"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</row>
    <row r="577" spans="4:48" ht="15.75" customHeight="1"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</row>
    <row r="578" spans="4:48" ht="15.75" customHeight="1"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</row>
    <row r="579" spans="4:48" ht="15.75" customHeight="1"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</row>
    <row r="580" spans="4:48" ht="15.75" customHeight="1"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</row>
    <row r="581" spans="4:48" ht="15.75" customHeight="1"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</row>
    <row r="582" spans="4:48" ht="15.75" customHeight="1"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</row>
    <row r="583" spans="4:48" ht="15.75" customHeight="1"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</row>
    <row r="584" spans="4:48" ht="15.75" customHeight="1"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</row>
    <row r="585" spans="4:48" ht="15.75" customHeight="1"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</row>
    <row r="586" spans="4:48" ht="15.75" customHeight="1"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</row>
    <row r="587" spans="4:48" ht="15.75" customHeight="1"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</row>
    <row r="588" spans="4:48" ht="15.75" customHeight="1"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</row>
    <row r="589" spans="4:48" ht="15.75" customHeight="1"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</row>
    <row r="590" spans="4:48" ht="15.75" customHeight="1"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</row>
    <row r="591" spans="4:48" ht="15.75" customHeight="1"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</row>
    <row r="592" spans="4:48" ht="15.75" customHeight="1"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</row>
    <row r="593" spans="4:48" ht="15.75" customHeight="1"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</row>
    <row r="594" spans="4:48" ht="15.75" customHeight="1"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</row>
    <row r="595" spans="4:48" ht="15.75" customHeight="1"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</row>
    <row r="596" spans="4:48" ht="15.75" customHeight="1"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</row>
    <row r="597" spans="4:48" ht="15.75" customHeight="1"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</row>
    <row r="598" spans="4:48" ht="15.75" customHeight="1"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</row>
    <row r="599" spans="4:48" ht="15.75" customHeight="1"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</row>
    <row r="600" spans="4:48" ht="15.75" customHeight="1"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</row>
    <row r="601" spans="4:48" ht="15.75" customHeight="1"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</row>
    <row r="602" spans="4:48" ht="15.75" customHeight="1"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</row>
    <row r="603" spans="4:48" ht="15.75" customHeight="1"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</row>
    <row r="604" spans="4:48" ht="15.75" customHeight="1"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</row>
    <row r="605" spans="4:48" ht="15.75" customHeight="1"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</row>
    <row r="606" spans="4:48" ht="15.75" customHeight="1"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</row>
    <row r="607" spans="4:48" ht="15.75" customHeight="1"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</row>
    <row r="608" spans="4:48" ht="15.75" customHeight="1"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</row>
    <row r="609" spans="4:48" ht="15.75" customHeight="1"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</row>
    <row r="610" spans="4:48" ht="15.75" customHeight="1"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</row>
    <row r="611" spans="4:48" ht="15.75" customHeight="1"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</row>
    <row r="612" spans="4:48" ht="15.75" customHeight="1"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</row>
    <row r="613" spans="4:48" ht="15.75" customHeight="1"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</row>
    <row r="614" spans="4:48" ht="15.75" customHeight="1"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</row>
    <row r="615" spans="4:48" ht="15.75" customHeight="1"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</row>
    <row r="616" spans="4:48" ht="15.75" customHeight="1"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</row>
    <row r="617" spans="4:48" ht="15.75" customHeight="1"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</row>
    <row r="618" spans="4:48" ht="15.75" customHeight="1"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</row>
    <row r="619" spans="4:48" ht="15.75" customHeight="1"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</row>
    <row r="620" spans="4:48" ht="15.75" customHeight="1"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</row>
    <row r="621" spans="4:48" ht="15.75" customHeight="1"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</row>
    <row r="622" spans="4:48" ht="15.75" customHeight="1"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</row>
    <row r="623" spans="4:48" ht="15.75" customHeight="1"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</row>
    <row r="624" spans="4:48" ht="15.75" customHeight="1"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</row>
    <row r="625" spans="4:48" ht="15.75" customHeight="1"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</row>
    <row r="626" spans="4:48" ht="15.75" customHeight="1"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</row>
    <row r="627" spans="4:48" ht="15.75" customHeight="1"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</row>
    <row r="628" spans="4:48" ht="15.75" customHeight="1"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</row>
    <row r="629" spans="4:48" ht="15.75" customHeight="1"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</row>
    <row r="630" spans="4:48" ht="15.75" customHeight="1"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</row>
    <row r="631" spans="4:48" ht="15.75" customHeight="1"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</row>
    <row r="632" spans="4:48" ht="15.75" customHeight="1"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</row>
    <row r="633" spans="4:48" ht="15.75" customHeight="1"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</row>
    <row r="634" spans="4:48" ht="15.75" customHeight="1"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</row>
    <row r="635" spans="4:48" ht="15.75" customHeight="1"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</row>
    <row r="636" spans="4:48" ht="15.75" customHeight="1"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</row>
    <row r="637" spans="4:48" ht="15.75" customHeight="1"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</row>
    <row r="638" spans="4:48" ht="15.75" customHeight="1"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</row>
    <row r="639" spans="4:48" ht="15.75" customHeight="1"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</row>
    <row r="640" spans="4:48" ht="15.75" customHeight="1"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</row>
    <row r="641" spans="4:48" ht="15.75" customHeight="1"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</row>
    <row r="642" spans="4:48" ht="15.75" customHeight="1"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</row>
    <row r="643" spans="4:48" ht="15.75" customHeight="1"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</row>
    <row r="644" spans="4:48" ht="15.75" customHeight="1"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</row>
    <row r="645" spans="4:48" ht="15.75" customHeight="1"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</row>
    <row r="646" spans="4:48" ht="15.75" customHeight="1"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</row>
    <row r="647" spans="4:48" ht="15.75" customHeight="1"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</row>
    <row r="648" spans="4:48" ht="15.75" customHeight="1"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</row>
    <row r="649" spans="4:48" ht="15.75" customHeight="1"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</row>
    <row r="650" spans="4:48" ht="15.75" customHeight="1"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</row>
    <row r="651" spans="4:48" ht="15.75" customHeight="1"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</row>
    <row r="652" spans="4:48" ht="15.75" customHeight="1"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</row>
    <row r="653" spans="4:48" ht="15.75" customHeight="1"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</row>
    <row r="654" spans="4:48" ht="15.75" customHeight="1"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</row>
    <row r="655" spans="4:48" ht="15.75" customHeight="1"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</row>
    <row r="656" spans="4:48" ht="15.75" customHeight="1"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</row>
    <row r="657" spans="4:48" ht="15.75" customHeight="1"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</row>
    <row r="658" spans="4:48" ht="15.75" customHeight="1"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</row>
    <row r="659" spans="4:48" ht="15.75" customHeight="1"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</row>
    <row r="660" spans="4:48" ht="15.75" customHeight="1"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</row>
    <row r="661" spans="4:48" ht="15.75" customHeight="1"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</row>
    <row r="662" spans="4:48" ht="15.75" customHeight="1"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</row>
    <row r="663" spans="4:48" ht="15.75" customHeight="1"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</row>
    <row r="664" spans="4:48" ht="15.75" customHeight="1"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</row>
    <row r="665" spans="4:48" ht="15.75" customHeight="1"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</row>
    <row r="666" spans="4:48" ht="15.75" customHeight="1"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</row>
    <row r="667" spans="4:48" ht="15.75" customHeight="1"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</row>
    <row r="668" spans="4:48" ht="15.75" customHeight="1"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</row>
    <row r="669" spans="4:48" ht="15.75" customHeight="1"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</row>
    <row r="670" spans="4:48" ht="15.75" customHeight="1"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</row>
    <row r="671" spans="4:48" ht="15.75" customHeight="1"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</row>
    <row r="672" spans="4:48" ht="15.75" customHeight="1"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</row>
    <row r="673" spans="4:48" ht="15.75" customHeight="1"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</row>
    <row r="674" spans="4:48" ht="15.75" customHeight="1"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</row>
    <row r="675" spans="4:48" ht="15.75" customHeight="1"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</row>
    <row r="676" spans="4:48" ht="15.75" customHeight="1"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</row>
    <row r="677" spans="4:48" ht="15.75" customHeight="1"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</row>
    <row r="678" spans="4:48" ht="15.75" customHeight="1"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</row>
    <row r="679" spans="4:48" ht="15.75" customHeight="1"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</row>
    <row r="680" spans="4:48" ht="15.75" customHeight="1"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</row>
    <row r="681" spans="4:48" ht="15.75" customHeight="1"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</row>
    <row r="682" spans="4:48" ht="15.75" customHeight="1"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</row>
    <row r="683" spans="4:48" ht="15.75" customHeight="1"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</row>
    <row r="684" spans="4:48" ht="15.75" customHeight="1"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</row>
    <row r="685" spans="4:48" ht="15.75" customHeight="1"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</row>
    <row r="686" spans="4:48" ht="15.75" customHeight="1"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</row>
    <row r="687" spans="4:48" ht="15.75" customHeight="1"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</row>
    <row r="688" spans="4:48" ht="15.75" customHeight="1"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</row>
    <row r="689" spans="4:48" ht="15.75" customHeight="1"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</row>
    <row r="690" spans="4:48" ht="15.75" customHeight="1"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</row>
    <row r="691" spans="4:48" ht="15.75" customHeight="1"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</row>
    <row r="692" spans="4:48" ht="15.75" customHeight="1"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</row>
    <row r="693" spans="4:48" ht="15.75" customHeight="1"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</row>
    <row r="694" spans="4:48" ht="15.75" customHeight="1"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</row>
    <row r="695" spans="4:48" ht="15.75" customHeight="1"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</row>
    <row r="696" spans="4:48" ht="15.75" customHeight="1"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</row>
    <row r="697" spans="4:48" ht="15.75" customHeight="1"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</row>
    <row r="698" spans="4:48" ht="15.75" customHeight="1"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</row>
    <row r="699" spans="4:48" ht="15.75" customHeight="1"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</row>
    <row r="700" spans="4:48" ht="15.75" customHeight="1"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</row>
    <row r="701" spans="4:48" ht="15.75" customHeight="1"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</row>
    <row r="702" spans="4:48" ht="15.75" customHeight="1"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</row>
    <row r="703" spans="4:48" ht="15.75" customHeight="1"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</row>
    <row r="704" spans="4:48" ht="15.75" customHeight="1"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</row>
    <row r="705" spans="4:48" ht="15.75" customHeight="1"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</row>
    <row r="706" spans="4:48" ht="15.75" customHeight="1"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</row>
    <row r="707" spans="4:48" ht="15.75" customHeight="1"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</row>
    <row r="708" spans="4:48" ht="15.75" customHeight="1"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</row>
    <row r="709" spans="4:48" ht="15.75" customHeight="1"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</row>
    <row r="710" spans="4:48" ht="15.75" customHeight="1"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</row>
    <row r="711" spans="4:48" ht="15.75" customHeight="1"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</row>
    <row r="712" spans="4:48" ht="15.75" customHeight="1"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</row>
    <row r="713" spans="4:48" ht="15.75" customHeight="1"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</row>
    <row r="714" spans="4:48" ht="15.75" customHeight="1"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</row>
    <row r="715" spans="4:48" ht="15.75" customHeight="1"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</row>
    <row r="716" spans="4:48" ht="15.75" customHeight="1"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</row>
    <row r="717" spans="4:48" ht="15.75" customHeight="1"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</row>
    <row r="718" spans="4:48" ht="15.75" customHeight="1"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</row>
    <row r="719" spans="4:48" ht="15.75" customHeight="1"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</row>
    <row r="720" spans="4:48" ht="15.75" customHeight="1"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</row>
    <row r="721" spans="4:48" ht="15.75" customHeight="1"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</row>
    <row r="722" spans="4:48" ht="15.75" customHeight="1"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</row>
    <row r="723" spans="4:48" ht="15.75" customHeight="1"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</row>
    <row r="724" spans="4:48" ht="15.75" customHeight="1"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</row>
    <row r="725" spans="4:48" ht="15.75" customHeight="1"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</row>
    <row r="726" spans="4:48" ht="15.75" customHeight="1"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</row>
    <row r="727" spans="4:48" ht="15.75" customHeight="1"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</row>
    <row r="728" spans="4:48" ht="15.75" customHeight="1"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</row>
    <row r="729" spans="4:48" ht="15.75" customHeight="1"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</row>
    <row r="730" spans="4:48" ht="15.75" customHeight="1"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</row>
    <row r="731" spans="4:48" ht="15.75" customHeight="1"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</row>
    <row r="732" spans="4:48" ht="15.75" customHeight="1"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</row>
    <row r="733" spans="4:48" ht="15.75" customHeight="1"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</row>
    <row r="734" spans="4:48" ht="15.75" customHeight="1"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</row>
    <row r="735" spans="4:48" ht="15.75" customHeight="1"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</row>
    <row r="736" spans="4:48" ht="15.75" customHeight="1"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</row>
    <row r="737" spans="4:48" ht="15.75" customHeight="1"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</row>
    <row r="738" spans="4:48" ht="15.75" customHeight="1"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</row>
    <row r="739" spans="4:48" ht="15.75" customHeight="1"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</row>
    <row r="740" spans="4:48" ht="15.75" customHeight="1"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</row>
    <row r="741" spans="4:48" ht="15.75" customHeight="1"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</row>
    <row r="742" spans="4:48" ht="15.75" customHeight="1"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</row>
    <row r="743" spans="4:48" ht="15.75" customHeight="1"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</row>
    <row r="744" spans="4:48" ht="15.75" customHeight="1"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</row>
    <row r="745" spans="4:48" ht="15.75" customHeight="1"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</row>
    <row r="746" spans="4:48" ht="15.75" customHeight="1"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</row>
    <row r="747" spans="4:48" ht="15.75" customHeight="1"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</row>
    <row r="748" spans="4:48" ht="15.75" customHeight="1"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</row>
    <row r="749" spans="4:48" ht="15.75" customHeight="1"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</row>
    <row r="750" spans="4:48" ht="15.75" customHeight="1"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</row>
    <row r="751" spans="4:48" ht="15.75" customHeight="1"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</row>
    <row r="752" spans="4:48" ht="15.75" customHeight="1"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</row>
    <row r="753" spans="4:48" ht="15.75" customHeight="1"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</row>
    <row r="754" spans="4:48" ht="15.75" customHeight="1"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</row>
    <row r="755" spans="4:48" ht="15.75" customHeight="1"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</row>
    <row r="756" spans="4:48" ht="15.75" customHeight="1"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</row>
    <row r="757" spans="4:48" ht="15.75" customHeight="1"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</row>
    <row r="758" spans="4:48" ht="15.75" customHeight="1"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</row>
    <row r="759" spans="4:48" ht="15.75" customHeight="1"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</row>
    <row r="760" spans="4:48" ht="15.75" customHeight="1"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</row>
    <row r="761" spans="4:48" ht="15.75" customHeight="1"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</row>
    <row r="762" spans="4:48" ht="15.75" customHeight="1"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</row>
    <row r="763" spans="4:48" ht="15.75" customHeight="1"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</row>
    <row r="764" spans="4:48" ht="15.75" customHeight="1"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</row>
    <row r="765" spans="4:48" ht="15.75" customHeight="1"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</row>
    <row r="766" spans="4:48" ht="15.75" customHeight="1"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</row>
    <row r="767" spans="4:48" ht="15.75" customHeight="1"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</row>
    <row r="768" spans="4:48" ht="15.75" customHeight="1"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</row>
    <row r="769" spans="4:48" ht="15.75" customHeight="1"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</row>
    <row r="770" spans="4:48" ht="15.75" customHeight="1"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</row>
    <row r="771" spans="4:48" ht="15.75" customHeight="1"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</row>
    <row r="772" spans="4:48" ht="15.75" customHeight="1"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</row>
    <row r="773" spans="4:48" ht="15.75" customHeight="1"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</row>
    <row r="774" spans="4:48" ht="15.75" customHeight="1"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</row>
    <row r="775" spans="4:48" ht="15.75" customHeight="1"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</row>
    <row r="776" spans="4:48" ht="15.75" customHeight="1"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</row>
    <row r="777" spans="4:48" ht="15.75" customHeight="1"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</row>
    <row r="778" spans="4:48" ht="15.75" customHeight="1"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</row>
    <row r="779" spans="4:48" ht="15.75" customHeight="1"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</row>
    <row r="780" spans="4:48" ht="15.75" customHeight="1"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</row>
    <row r="781" spans="4:48" ht="15.75" customHeight="1"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</row>
    <row r="782" spans="4:48" ht="15.75" customHeight="1"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</row>
    <row r="783" spans="4:48" ht="15.75" customHeight="1"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</row>
    <row r="784" spans="4:48" ht="15.75" customHeight="1"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</row>
    <row r="785" spans="4:48" ht="15.75" customHeight="1"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</row>
    <row r="786" spans="4:48" ht="15.75" customHeight="1"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</row>
    <row r="787" spans="4:48" ht="15.75" customHeight="1"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</row>
    <row r="788" spans="4:48" ht="15.75" customHeight="1"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</row>
    <row r="789" spans="4:48" ht="15.75" customHeight="1"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</row>
    <row r="790" spans="4:48" ht="15.75" customHeight="1"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</row>
    <row r="791" spans="4:48" ht="15.75" customHeight="1"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</row>
    <row r="792" spans="4:48" ht="15.75" customHeight="1"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</row>
    <row r="793" spans="4:48" ht="15.75" customHeight="1"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</row>
    <row r="794" spans="4:48" ht="15.75" customHeight="1"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</row>
    <row r="795" spans="4:48" ht="15.75" customHeight="1"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</row>
    <row r="796" spans="4:48" ht="15.75" customHeight="1"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</row>
    <row r="797" spans="4:48" ht="15.75" customHeight="1"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</row>
    <row r="798" spans="4:48" ht="15.75" customHeight="1"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</row>
    <row r="799" spans="4:48" ht="15.75" customHeight="1"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</row>
    <row r="800" spans="4:48" ht="15.75" customHeight="1"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</row>
    <row r="801" spans="4:48" ht="15.75" customHeight="1"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</row>
    <row r="802" spans="4:48" ht="15.75" customHeight="1"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</row>
    <row r="803" spans="4:48" ht="15.75" customHeight="1"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</row>
    <row r="804" spans="4:48" ht="15.75" customHeight="1"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</row>
    <row r="805" spans="4:48" ht="15.75" customHeight="1"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</row>
    <row r="806" spans="4:48" ht="15.75" customHeight="1"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</row>
    <row r="807" spans="4:48" ht="15.75" customHeight="1"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</row>
    <row r="808" spans="4:48" ht="15.75" customHeight="1"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</row>
    <row r="809" spans="4:48" ht="15.75" customHeight="1"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</row>
    <row r="810" spans="4:48" ht="15.75" customHeight="1"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</row>
    <row r="811" spans="4:48" ht="15.75" customHeight="1"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</row>
    <row r="812" spans="4:48" ht="15.75" customHeight="1"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</row>
    <row r="813" spans="4:48" ht="15.75" customHeight="1"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</row>
    <row r="814" spans="4:48" ht="15.75" customHeight="1"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</row>
    <row r="815" spans="4:48" ht="15.75" customHeight="1"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</row>
    <row r="816" spans="4:48" ht="15.75" customHeight="1"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</row>
    <row r="817" spans="4:48" ht="15.75" customHeight="1"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</row>
    <row r="818" spans="4:48" ht="15.75" customHeight="1"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</row>
    <row r="819" spans="4:48" ht="15.75" customHeight="1"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</row>
    <row r="820" spans="4:48" ht="15.75" customHeight="1"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</row>
    <row r="821" spans="4:48" ht="15.75" customHeight="1"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</row>
    <row r="822" spans="4:48" ht="15.75" customHeight="1"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</row>
    <row r="823" spans="4:48" ht="15.75" customHeight="1"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</row>
    <row r="824" spans="4:48" ht="15.75" customHeight="1"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</row>
    <row r="825" spans="4:48" ht="15.75" customHeight="1"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</row>
    <row r="826" spans="4:48" ht="15.75" customHeight="1"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</row>
    <row r="827" spans="4:48" ht="15.75" customHeight="1"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</row>
    <row r="828" spans="4:48" ht="15.75" customHeight="1"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</row>
    <row r="829" spans="4:48" ht="15.75" customHeight="1"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</row>
    <row r="830" spans="4:48" ht="15.75" customHeight="1"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</row>
    <row r="831" spans="4:48" ht="15.75" customHeight="1"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</row>
    <row r="832" spans="4:48" ht="15.75" customHeight="1"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</row>
    <row r="833" spans="4:48" ht="15.75" customHeight="1"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</row>
    <row r="834" spans="4:48" ht="15.75" customHeight="1"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</row>
    <row r="835" spans="4:48" ht="15.75" customHeight="1"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</row>
    <row r="836" spans="4:48" ht="15.75" customHeight="1"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</row>
    <row r="837" spans="4:48" ht="15.75" customHeight="1"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</row>
    <row r="838" spans="4:48" ht="15.75" customHeight="1"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</row>
    <row r="839" spans="4:48" ht="15.75" customHeight="1"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</row>
    <row r="840" spans="4:48" ht="15.75" customHeight="1"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</row>
    <row r="841" spans="4:48" ht="15.75" customHeight="1"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</row>
    <row r="842" spans="4:48" ht="15.75" customHeight="1"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</row>
    <row r="843" spans="4:48" ht="15.75" customHeight="1"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</row>
    <row r="844" spans="4:48" ht="15.75" customHeight="1"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</row>
    <row r="845" spans="4:48" ht="15.75" customHeight="1"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</row>
    <row r="846" spans="4:48" ht="15.75" customHeight="1"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</row>
    <row r="847" spans="4:48" ht="15.75" customHeight="1"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</row>
    <row r="848" spans="4:48" ht="15.75" customHeight="1"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</row>
    <row r="849" spans="4:48" ht="15.75" customHeight="1"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</row>
    <row r="850" spans="4:48" ht="15.75" customHeight="1"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</row>
    <row r="851" spans="4:48" ht="15.75" customHeight="1"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</row>
    <row r="852" spans="4:48" ht="15.75" customHeight="1"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</row>
    <row r="853" spans="4:48" ht="15.75" customHeight="1"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</row>
    <row r="854" spans="4:48" ht="15.75" customHeight="1"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</row>
    <row r="855" spans="4:48" ht="15.75" customHeight="1"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</row>
    <row r="856" spans="4:48" ht="15.75" customHeight="1"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</row>
    <row r="857" spans="4:48" ht="15.75" customHeight="1"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</row>
    <row r="858" spans="4:48" ht="15.75" customHeight="1"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</row>
    <row r="859" spans="4:48" ht="15.75" customHeight="1"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</row>
    <row r="860" spans="4:48" ht="15.75" customHeight="1"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</row>
    <row r="861" spans="4:48" ht="15.75" customHeight="1"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</row>
    <row r="862" spans="4:48" ht="15.75" customHeight="1"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</row>
    <row r="863" spans="4:48" ht="15.75" customHeight="1"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</row>
    <row r="864" spans="4:48" ht="15.75" customHeight="1"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</row>
    <row r="865" spans="4:48" ht="15.75" customHeight="1"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</row>
    <row r="866" spans="4:48" ht="15.75" customHeight="1"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</row>
    <row r="867" spans="4:48" ht="15.75" customHeight="1"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</row>
    <row r="868" spans="4:48" ht="15.75" customHeight="1"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</row>
    <row r="869" spans="4:48" ht="15.75" customHeight="1"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</row>
    <row r="870" spans="4:48" ht="15.75" customHeight="1"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</row>
    <row r="871" spans="4:48" ht="15.75" customHeight="1"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</row>
    <row r="872" spans="4:48" ht="15.75" customHeight="1"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</row>
    <row r="873" spans="4:48" ht="15.75" customHeight="1"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</row>
    <row r="874" spans="4:48" ht="15.75" customHeight="1"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</row>
    <row r="875" spans="4:48" ht="15.75" customHeight="1"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</row>
    <row r="876" spans="4:48" ht="15.75" customHeight="1"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</row>
    <row r="877" spans="4:48" ht="15.75" customHeight="1"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</row>
    <row r="878" spans="4:48" ht="15.75" customHeight="1"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</row>
    <row r="879" spans="4:48" ht="15.75" customHeight="1"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</row>
    <row r="880" spans="4:48" ht="15.75" customHeight="1"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</row>
    <row r="881" spans="4:48" ht="15.75" customHeight="1"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</row>
    <row r="882" spans="4:48" ht="15.75" customHeight="1"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</row>
    <row r="883" spans="4:48" ht="15.75" customHeight="1"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</row>
    <row r="884" spans="4:48" ht="15.75" customHeight="1"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</row>
    <row r="885" spans="4:48" ht="15.75" customHeight="1"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</row>
    <row r="886" spans="4:48" ht="15.75" customHeight="1"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</row>
    <row r="887" spans="4:48" ht="15.75" customHeight="1"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</row>
    <row r="888" spans="4:48" ht="15.75" customHeight="1"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</row>
    <row r="889" spans="4:48" ht="15.75" customHeight="1"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</row>
    <row r="890" spans="4:48" ht="15.75" customHeight="1"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</row>
    <row r="891" spans="4:48" ht="15.75" customHeight="1"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</row>
    <row r="892" spans="4:48" ht="15.75" customHeight="1"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</row>
    <row r="893" spans="4:48" ht="15.75" customHeight="1"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</row>
    <row r="894" spans="4:48" ht="15.75" customHeight="1"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</row>
    <row r="895" spans="4:48" ht="15.75" customHeight="1"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</row>
    <row r="896" spans="4:48" ht="15.75" customHeight="1"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</row>
    <row r="897" spans="4:48" ht="15.75" customHeight="1"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</row>
    <row r="898" spans="4:48" ht="15.75" customHeight="1"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</row>
    <row r="899" spans="4:48" ht="15.75" customHeight="1"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</row>
    <row r="900" spans="4:48" ht="15.75" customHeight="1"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</row>
    <row r="901" spans="4:48" ht="15.75" customHeight="1"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</row>
    <row r="902" spans="4:48" ht="15.75" customHeight="1"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</row>
    <row r="903" spans="4:48" ht="15.75" customHeight="1"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</row>
    <row r="904" spans="4:48" ht="15.75" customHeight="1"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</row>
    <row r="905" spans="4:48" ht="15.75" customHeight="1"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</row>
    <row r="906" spans="4:48" ht="15.75" customHeight="1"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</row>
    <row r="907" spans="4:48" ht="15.75" customHeight="1"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</row>
    <row r="908" spans="4:48" ht="15.75" customHeight="1"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</row>
    <row r="909" spans="4:48" ht="15.75" customHeight="1"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</row>
    <row r="910" spans="4:48" ht="15.75" customHeight="1"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</row>
    <row r="911" spans="4:48" ht="15.75" customHeight="1"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</row>
    <row r="912" spans="4:48" ht="15.75" customHeight="1"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</row>
    <row r="913" spans="4:48" ht="15.75" customHeight="1"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</row>
    <row r="914" spans="4:48" ht="15.75" customHeight="1"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</row>
    <row r="915" spans="4:48" ht="15.75" customHeight="1"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</row>
    <row r="916" spans="4:48" ht="15.75" customHeight="1"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</row>
    <row r="917" spans="4:48" ht="15.75" customHeight="1"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</row>
    <row r="918" spans="4:48" ht="15.75" customHeight="1"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</row>
    <row r="919" spans="4:48" ht="15.75" customHeight="1"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</row>
    <row r="920" spans="4:48" ht="15.75" customHeight="1"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</row>
    <row r="921" spans="4:48" ht="15.75" customHeight="1"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</row>
    <row r="922" spans="4:48" ht="15.75" customHeight="1"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</row>
    <row r="923" spans="4:48" ht="15.75" customHeight="1"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</row>
    <row r="924" spans="4:48" ht="15.75" customHeight="1"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</row>
    <row r="925" spans="4:48" ht="15.75" customHeight="1"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</row>
    <row r="926" spans="4:48" ht="15.75" customHeight="1"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</row>
    <row r="927" spans="4:48" ht="15.75" customHeight="1"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</row>
    <row r="928" spans="4:48" ht="15.75" customHeight="1"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</row>
    <row r="929" spans="4:48" ht="15.75" customHeight="1"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</row>
    <row r="930" spans="4:48" ht="15.75" customHeight="1"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</row>
    <row r="931" spans="4:48" ht="15.75" customHeight="1"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</row>
    <row r="932" spans="4:48" ht="15.75" customHeight="1"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</row>
    <row r="933" spans="4:48" ht="15.75" customHeight="1"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</row>
    <row r="934" spans="4:48" ht="15.75" customHeight="1"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</row>
    <row r="935" spans="4:48" ht="15.75" customHeight="1"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</row>
    <row r="936" spans="4:48" ht="15.75" customHeight="1"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</row>
    <row r="937" spans="4:48" ht="15.75" customHeight="1"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</row>
    <row r="938" spans="4:48" ht="15.75" customHeight="1"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</row>
    <row r="939" spans="4:48" ht="15.75" customHeight="1"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</row>
    <row r="940" spans="4:48" ht="15.75" customHeight="1"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</row>
    <row r="941" spans="4:48" ht="15.75" customHeight="1"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</row>
    <row r="942" spans="4:48" ht="15.75" customHeight="1"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</row>
    <row r="943" spans="4:48" ht="15.75" customHeight="1"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</row>
    <row r="944" spans="4:48" ht="15.75" customHeight="1"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</row>
    <row r="945" spans="4:48" ht="15.75" customHeight="1"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</row>
    <row r="946" spans="4:48" ht="15.75" customHeight="1"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</row>
    <row r="947" spans="4:48" ht="15.75" customHeight="1"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</row>
    <row r="948" spans="4:48" ht="15.75" customHeight="1"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</row>
    <row r="949" spans="4:48" ht="15.75" customHeight="1"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</row>
    <row r="950" spans="4:48" ht="15.75" customHeight="1"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</row>
    <row r="951" spans="4:48" ht="15.75" customHeight="1"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</row>
    <row r="952" spans="4:48" ht="15.75" customHeight="1"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</row>
    <row r="953" spans="4:48" ht="15.75" customHeight="1"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</row>
    <row r="954" spans="4:48" ht="15.75" customHeight="1"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</row>
    <row r="955" spans="4:48" ht="15.75" customHeight="1"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</row>
    <row r="956" spans="4:48" ht="15.75" customHeight="1"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</row>
    <row r="957" spans="4:48" ht="15.75" customHeight="1"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</row>
    <row r="958" spans="4:48" ht="15.75" customHeight="1"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</row>
    <row r="959" spans="4:48" ht="15.75" customHeight="1"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</row>
    <row r="960" spans="4:48" ht="15.75" customHeight="1"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</row>
    <row r="961" spans="4:48" ht="15.75" customHeight="1"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</row>
    <row r="962" spans="4:48" ht="15.75" customHeight="1"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</row>
    <row r="963" spans="4:48" ht="15.75" customHeight="1"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</row>
    <row r="964" spans="4:48" ht="15.75" customHeight="1"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</row>
    <row r="965" spans="4:48" ht="15.75" customHeight="1"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</row>
    <row r="966" spans="4:48" ht="15.75" customHeight="1"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</row>
    <row r="967" spans="4:48" ht="15.75" customHeight="1"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</row>
    <row r="968" spans="4:48" ht="15.75" customHeight="1"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</row>
    <row r="969" spans="4:48" ht="15.75" customHeight="1"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</row>
    <row r="970" spans="4:48" ht="15.75" customHeight="1"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</row>
    <row r="971" spans="4:48" ht="15.75" customHeight="1"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</row>
    <row r="972" spans="4:48" ht="15.75" customHeight="1"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</row>
    <row r="973" spans="4:48" ht="15.75" customHeight="1"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</row>
    <row r="974" spans="4:48" ht="15.75" customHeight="1"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</row>
    <row r="975" spans="4:48" ht="15.75" customHeight="1"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</row>
    <row r="976" spans="4:48" ht="15.75" customHeight="1"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</row>
    <row r="977" spans="4:48" ht="15.75" customHeight="1"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</row>
    <row r="978" spans="4:48" ht="15.75" customHeight="1"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</row>
    <row r="979" spans="4:48" ht="15.75" customHeight="1"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</row>
    <row r="980" spans="4:48" ht="15.75" customHeight="1"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</row>
    <row r="981" spans="4:48" ht="15.75" customHeight="1"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</row>
    <row r="982" spans="4:48" ht="15.75" customHeight="1"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</row>
    <row r="983" spans="4:48" ht="15.75" customHeight="1"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</row>
    <row r="984" spans="4:48" ht="15.75" customHeight="1"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</row>
    <row r="985" spans="4:48" ht="15.75" customHeight="1"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</row>
    <row r="986" spans="4:48" ht="15.75" customHeight="1"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</row>
    <row r="987" spans="4:48" ht="15.75" customHeight="1"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</row>
    <row r="988" spans="4:48" ht="15.75" customHeight="1"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</row>
    <row r="989" spans="4:48" ht="15.75" customHeight="1"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</row>
    <row r="990" spans="4:48" ht="15.75" customHeight="1"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</row>
    <row r="991" spans="4:48" ht="15.75" customHeight="1"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</row>
    <row r="992" spans="4:48" ht="15.75" customHeight="1"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</row>
    <row r="993" spans="4:48" ht="15.75" customHeight="1"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</row>
    <row r="994" spans="4:48" ht="15.75" customHeight="1"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</row>
    <row r="995" spans="4:48" ht="15.75" customHeight="1"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</row>
    <row r="996" spans="4:48" ht="15.75" customHeight="1"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</row>
    <row r="997" spans="4:48" ht="15.75" customHeight="1"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</row>
    <row r="998" spans="4:48" ht="15.75" customHeight="1"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</row>
    <row r="999" spans="4:48" ht="15.75" customHeight="1"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</row>
    <row r="1000" spans="4:48" ht="15.75" customHeight="1"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</row>
  </sheetData>
  <pageMargins left="0.7" right="0.7" top="0.75" bottom="0.75" header="0" footer="0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997"/>
  <sheetViews>
    <sheetView zoomScaleNormal="100" workbookViewId="0">
      <pane ySplit="1" topLeftCell="A9" activePane="bottomLeft" state="frozen"/>
      <selection pane="bottomLeft" activeCell="I279" sqref="I279"/>
    </sheetView>
  </sheetViews>
  <sheetFormatPr defaultColWidth="12.5546875" defaultRowHeight="15" customHeight="1"/>
  <cols>
    <col min="1" max="1" width="13.33203125" customWidth="1"/>
    <col min="2" max="2" width="13.109375" customWidth="1"/>
    <col min="3" max="4" width="16.109375" customWidth="1"/>
    <col min="5" max="8" width="14.88671875" customWidth="1"/>
    <col min="9" max="9" width="12.6640625" customWidth="1"/>
    <col min="10" max="10" width="13" customWidth="1"/>
    <col min="11" max="11" width="9.44140625" customWidth="1"/>
    <col min="12" max="12" width="12.6640625" customWidth="1"/>
    <col min="13" max="13" width="18.5546875" customWidth="1"/>
    <col min="14" max="14" width="19.44140625" customWidth="1"/>
    <col min="15" max="17" width="24.44140625" customWidth="1"/>
    <col min="18" max="18" width="19.44140625" customWidth="1"/>
    <col min="19" max="19" width="24.44140625" customWidth="1"/>
    <col min="20" max="20" width="23" customWidth="1"/>
    <col min="21" max="21" width="18" bestFit="1" customWidth="1"/>
    <col min="22" max="22" width="18.33203125" customWidth="1"/>
    <col min="23" max="23" width="29.109375" bestFit="1" customWidth="1"/>
    <col min="24" max="25" width="9.44140625" customWidth="1"/>
  </cols>
  <sheetData>
    <row r="1" spans="1:25" ht="14.4">
      <c r="A1" s="36" t="s">
        <v>219</v>
      </c>
      <c r="B1" s="37" t="s">
        <v>220</v>
      </c>
      <c r="C1" s="37" t="s">
        <v>249</v>
      </c>
      <c r="D1" s="37" t="s">
        <v>250</v>
      </c>
      <c r="E1" s="37" t="s">
        <v>251</v>
      </c>
      <c r="F1" s="37" t="s">
        <v>252</v>
      </c>
      <c r="G1" s="38" t="s">
        <v>253</v>
      </c>
      <c r="H1" s="39" t="s">
        <v>254</v>
      </c>
      <c r="I1" s="39" t="s">
        <v>255</v>
      </c>
      <c r="J1" s="39" t="s">
        <v>256</v>
      </c>
      <c r="K1" s="37" t="s">
        <v>257</v>
      </c>
      <c r="L1" s="37" t="s">
        <v>258</v>
      </c>
      <c r="M1" s="37" t="s">
        <v>259</v>
      </c>
      <c r="N1" s="37" t="s">
        <v>260</v>
      </c>
      <c r="O1" s="37" t="s">
        <v>261</v>
      </c>
      <c r="P1" s="37" t="s">
        <v>262</v>
      </c>
      <c r="Q1" s="37" t="s">
        <v>263</v>
      </c>
      <c r="R1" s="37" t="s">
        <v>264</v>
      </c>
      <c r="S1" s="37" t="s">
        <v>265</v>
      </c>
      <c r="T1" s="40" t="s">
        <v>266</v>
      </c>
      <c r="U1" s="41"/>
      <c r="V1" s="42" t="s">
        <v>267</v>
      </c>
      <c r="W1" s="42" t="s">
        <v>268</v>
      </c>
      <c r="X1" s="242"/>
      <c r="Y1" s="243" t="s">
        <v>269</v>
      </c>
    </row>
    <row r="2" spans="1:25" ht="14.4">
      <c r="A2" s="203">
        <v>1</v>
      </c>
      <c r="B2" s="200">
        <v>1</v>
      </c>
      <c r="C2" s="244" t="s">
        <v>270</v>
      </c>
      <c r="D2" s="244" t="s">
        <v>271</v>
      </c>
      <c r="E2" s="245">
        <v>97</v>
      </c>
      <c r="F2" s="244">
        <v>3</v>
      </c>
      <c r="G2" s="246"/>
      <c r="H2" s="244"/>
      <c r="I2" s="244">
        <v>1.24</v>
      </c>
      <c r="J2" s="244" t="s">
        <v>272</v>
      </c>
      <c r="K2" s="244"/>
      <c r="L2" s="245" t="s">
        <v>273</v>
      </c>
      <c r="M2" s="245"/>
      <c r="N2" s="244"/>
      <c r="O2" s="244"/>
      <c r="P2" s="245" t="s">
        <v>273</v>
      </c>
      <c r="Q2" s="244"/>
      <c r="R2" s="244"/>
      <c r="S2" s="244"/>
      <c r="T2" s="247">
        <v>100</v>
      </c>
      <c r="U2" s="43"/>
      <c r="V2" s="44">
        <v>97</v>
      </c>
      <c r="W2" s="44">
        <v>3</v>
      </c>
      <c r="X2" s="1"/>
      <c r="Y2" s="45">
        <v>1</v>
      </c>
    </row>
    <row r="3" spans="1:25" ht="14.4">
      <c r="A3" s="204">
        <v>1</v>
      </c>
      <c r="B3" s="201">
        <v>2</v>
      </c>
      <c r="C3" s="46" t="s">
        <v>270</v>
      </c>
      <c r="D3" s="46" t="s">
        <v>271</v>
      </c>
      <c r="E3" s="46">
        <v>97</v>
      </c>
      <c r="F3" s="46">
        <v>3</v>
      </c>
      <c r="G3" s="47"/>
      <c r="H3" s="46"/>
      <c r="I3" s="46">
        <v>1.24</v>
      </c>
      <c r="J3" s="46" t="s">
        <v>272</v>
      </c>
      <c r="K3" s="46"/>
      <c r="L3" s="48" t="s">
        <v>273</v>
      </c>
      <c r="M3" s="48"/>
      <c r="N3" s="46"/>
      <c r="O3" s="46"/>
      <c r="P3" s="48" t="s">
        <v>273</v>
      </c>
      <c r="Q3" s="46"/>
      <c r="R3" s="46"/>
      <c r="S3" s="46"/>
      <c r="T3" s="248">
        <v>100</v>
      </c>
      <c r="U3" s="48"/>
      <c r="V3" s="44">
        <v>97</v>
      </c>
      <c r="W3" s="44">
        <v>3</v>
      </c>
      <c r="X3" s="1"/>
      <c r="Y3" s="45">
        <v>2</v>
      </c>
    </row>
    <row r="4" spans="1:25" ht="14.4">
      <c r="A4" s="204">
        <v>1</v>
      </c>
      <c r="B4" s="201">
        <v>3</v>
      </c>
      <c r="C4" s="49" t="s">
        <v>270</v>
      </c>
      <c r="D4" s="49" t="s">
        <v>271</v>
      </c>
      <c r="E4" s="49">
        <v>97</v>
      </c>
      <c r="F4" s="49">
        <v>3</v>
      </c>
      <c r="G4" s="50"/>
      <c r="H4" s="49"/>
      <c r="I4" s="49">
        <v>1.24</v>
      </c>
      <c r="J4" s="49" t="s">
        <v>272</v>
      </c>
      <c r="K4" s="49"/>
      <c r="L4" s="43" t="s">
        <v>273</v>
      </c>
      <c r="M4" s="43"/>
      <c r="N4" s="49"/>
      <c r="O4" s="49"/>
      <c r="P4" s="43" t="s">
        <v>273</v>
      </c>
      <c r="Q4" s="49"/>
      <c r="R4" s="49"/>
      <c r="S4" s="49"/>
      <c r="T4" s="249">
        <v>100</v>
      </c>
      <c r="U4" s="43"/>
      <c r="V4" s="44">
        <v>97</v>
      </c>
      <c r="W4" s="44">
        <v>3</v>
      </c>
      <c r="X4" s="1"/>
      <c r="Y4" s="45">
        <v>3</v>
      </c>
    </row>
    <row r="5" spans="1:25" ht="14.4">
      <c r="A5" s="204">
        <v>1</v>
      </c>
      <c r="B5" s="201">
        <v>4</v>
      </c>
      <c r="C5" s="46" t="s">
        <v>270</v>
      </c>
      <c r="D5" s="46" t="s">
        <v>271</v>
      </c>
      <c r="E5" s="46">
        <v>97</v>
      </c>
      <c r="F5" s="46">
        <v>3</v>
      </c>
      <c r="G5" s="47"/>
      <c r="H5" s="46"/>
      <c r="I5" s="46">
        <v>1.24</v>
      </c>
      <c r="J5" s="46" t="s">
        <v>272</v>
      </c>
      <c r="K5" s="46"/>
      <c r="L5" s="48" t="s">
        <v>273</v>
      </c>
      <c r="M5" s="48"/>
      <c r="N5" s="46"/>
      <c r="O5" s="46"/>
      <c r="P5" s="48" t="s">
        <v>273</v>
      </c>
      <c r="Q5" s="46"/>
      <c r="R5" s="46"/>
      <c r="S5" s="46"/>
      <c r="T5" s="248">
        <v>100</v>
      </c>
      <c r="U5" s="48"/>
      <c r="V5" s="44">
        <v>97</v>
      </c>
      <c r="W5" s="44">
        <v>3</v>
      </c>
      <c r="X5" s="1"/>
      <c r="Y5" s="45">
        <v>4</v>
      </c>
    </row>
    <row r="6" spans="1:25" ht="14.4">
      <c r="A6" s="205">
        <v>1</v>
      </c>
      <c r="B6" s="202">
        <v>5</v>
      </c>
      <c r="C6" s="49" t="s">
        <v>270</v>
      </c>
      <c r="D6" s="49" t="s">
        <v>271</v>
      </c>
      <c r="E6" s="49">
        <v>97</v>
      </c>
      <c r="F6" s="49">
        <v>3</v>
      </c>
      <c r="G6" s="50"/>
      <c r="H6" s="49"/>
      <c r="I6" s="49">
        <v>1.24</v>
      </c>
      <c r="J6" s="49" t="s">
        <v>272</v>
      </c>
      <c r="K6" s="49"/>
      <c r="L6" s="43" t="s">
        <v>273</v>
      </c>
      <c r="M6" s="43"/>
      <c r="N6" s="49"/>
      <c r="O6" s="49"/>
      <c r="P6" s="43" t="s">
        <v>273</v>
      </c>
      <c r="Q6" s="49"/>
      <c r="R6" s="49"/>
      <c r="S6" s="49"/>
      <c r="T6" s="249">
        <v>100</v>
      </c>
      <c r="U6" s="43"/>
      <c r="V6" s="44">
        <v>97</v>
      </c>
      <c r="W6" s="44">
        <v>3</v>
      </c>
      <c r="X6" s="1"/>
      <c r="Y6" s="45">
        <v>5</v>
      </c>
    </row>
    <row r="7" spans="1:25" ht="14.4">
      <c r="A7" s="204">
        <v>2</v>
      </c>
      <c r="B7" s="201">
        <v>1</v>
      </c>
      <c r="C7" s="250" t="s">
        <v>270</v>
      </c>
      <c r="D7" s="250" t="s">
        <v>271</v>
      </c>
      <c r="E7" s="251">
        <v>100</v>
      </c>
      <c r="F7" s="251">
        <v>0</v>
      </c>
      <c r="G7" s="252">
        <v>440000</v>
      </c>
      <c r="H7" s="253">
        <v>260000</v>
      </c>
      <c r="I7" s="250"/>
      <c r="J7" s="250"/>
      <c r="K7" s="250"/>
      <c r="L7" s="251" t="s">
        <v>273</v>
      </c>
      <c r="M7" s="251"/>
      <c r="N7" s="250"/>
      <c r="O7" s="250"/>
      <c r="P7" s="251" t="s">
        <v>273</v>
      </c>
      <c r="Q7" s="250"/>
      <c r="R7" s="250"/>
      <c r="S7" s="250"/>
      <c r="T7" s="254">
        <v>100</v>
      </c>
      <c r="U7" s="48"/>
      <c r="V7" s="44">
        <v>100</v>
      </c>
      <c r="W7" s="44">
        <v>0</v>
      </c>
      <c r="Y7" s="45">
        <v>6</v>
      </c>
    </row>
    <row r="8" spans="1:25" ht="14.4">
      <c r="A8" s="204">
        <v>2</v>
      </c>
      <c r="B8" s="201">
        <v>2</v>
      </c>
      <c r="C8" s="49" t="s">
        <v>270</v>
      </c>
      <c r="D8" s="49" t="s">
        <v>271</v>
      </c>
      <c r="E8" s="43">
        <v>100</v>
      </c>
      <c r="F8" s="43">
        <v>0</v>
      </c>
      <c r="G8" s="51">
        <v>440000</v>
      </c>
      <c r="H8" s="52">
        <v>260000</v>
      </c>
      <c r="I8" s="49"/>
      <c r="J8" s="49"/>
      <c r="K8" s="49"/>
      <c r="L8" s="43" t="s">
        <v>274</v>
      </c>
      <c r="M8" s="53" t="s">
        <v>275</v>
      </c>
      <c r="N8" s="43" t="s">
        <v>276</v>
      </c>
      <c r="O8" s="43">
        <v>10</v>
      </c>
      <c r="P8" s="43" t="s">
        <v>273</v>
      </c>
      <c r="Q8" s="43"/>
      <c r="R8" s="49"/>
      <c r="S8" s="49"/>
      <c r="T8" s="249">
        <v>90</v>
      </c>
      <c r="U8" s="43"/>
      <c r="V8" s="44">
        <v>90</v>
      </c>
      <c r="W8" s="44">
        <v>0</v>
      </c>
      <c r="Y8" s="45">
        <v>7</v>
      </c>
    </row>
    <row r="9" spans="1:25" ht="14.4">
      <c r="A9" s="196">
        <v>2</v>
      </c>
      <c r="B9" s="201">
        <v>3</v>
      </c>
      <c r="C9" s="49" t="s">
        <v>270</v>
      </c>
      <c r="D9" s="49" t="s">
        <v>271</v>
      </c>
      <c r="E9" s="12">
        <v>100</v>
      </c>
      <c r="F9" s="12">
        <v>0</v>
      </c>
      <c r="G9" s="54">
        <v>440000</v>
      </c>
      <c r="H9" s="55">
        <v>260000</v>
      </c>
      <c r="I9" s="22"/>
      <c r="J9" s="22"/>
      <c r="K9" s="22"/>
      <c r="L9" s="12" t="s">
        <v>274</v>
      </c>
      <c r="M9" s="12" t="s">
        <v>277</v>
      </c>
      <c r="N9" s="12" t="s">
        <v>276</v>
      </c>
      <c r="O9" s="12">
        <v>60</v>
      </c>
      <c r="P9" s="12" t="s">
        <v>273</v>
      </c>
      <c r="Q9" s="12"/>
      <c r="R9" s="22"/>
      <c r="S9" s="22"/>
      <c r="T9" s="255">
        <v>40</v>
      </c>
      <c r="V9" s="44">
        <v>40</v>
      </c>
      <c r="W9" s="44">
        <v>0</v>
      </c>
      <c r="Y9" s="45">
        <v>8</v>
      </c>
    </row>
    <row r="10" spans="1:25" ht="14.4">
      <c r="A10" s="197">
        <v>2</v>
      </c>
      <c r="B10" s="202">
        <v>4</v>
      </c>
      <c r="C10" s="30" t="s">
        <v>270</v>
      </c>
      <c r="D10" s="30" t="s">
        <v>271</v>
      </c>
      <c r="E10" s="27">
        <v>100</v>
      </c>
      <c r="F10" s="27">
        <v>0</v>
      </c>
      <c r="G10" s="56">
        <v>440000</v>
      </c>
      <c r="H10" s="57">
        <v>260000</v>
      </c>
      <c r="I10" s="30"/>
      <c r="J10" s="30"/>
      <c r="K10" s="30"/>
      <c r="L10" s="27" t="s">
        <v>274</v>
      </c>
      <c r="M10" s="27" t="s">
        <v>277</v>
      </c>
      <c r="N10" s="27" t="s">
        <v>276</v>
      </c>
      <c r="O10" s="27">
        <v>90</v>
      </c>
      <c r="P10" s="27" t="s">
        <v>273</v>
      </c>
      <c r="Q10" s="27"/>
      <c r="R10" s="30"/>
      <c r="S10" s="30"/>
      <c r="T10" s="256">
        <v>10</v>
      </c>
      <c r="V10" s="44">
        <v>10</v>
      </c>
      <c r="W10" s="44">
        <v>0</v>
      </c>
      <c r="Y10" s="45">
        <v>9</v>
      </c>
    </row>
    <row r="11" spans="1:25" ht="14.4">
      <c r="A11" s="203">
        <v>3</v>
      </c>
      <c r="B11" s="200">
        <v>1</v>
      </c>
      <c r="C11" s="227" t="s">
        <v>270</v>
      </c>
      <c r="D11" s="227" t="s">
        <v>271</v>
      </c>
      <c r="E11" s="227">
        <v>100</v>
      </c>
      <c r="F11" s="227">
        <v>0</v>
      </c>
      <c r="G11" s="227">
        <v>223000</v>
      </c>
      <c r="H11" s="257"/>
      <c r="I11" s="234"/>
      <c r="J11" s="234"/>
      <c r="K11" s="227">
        <v>1.23</v>
      </c>
      <c r="L11" s="227" t="s">
        <v>273</v>
      </c>
      <c r="M11" s="227"/>
      <c r="N11" s="234"/>
      <c r="O11" s="222"/>
      <c r="P11" s="222" t="s">
        <v>273</v>
      </c>
      <c r="Q11" s="234"/>
      <c r="R11" s="234"/>
      <c r="S11" s="234"/>
      <c r="T11" s="258">
        <v>100</v>
      </c>
      <c r="V11" s="44">
        <v>100</v>
      </c>
      <c r="W11" s="44">
        <v>0</v>
      </c>
      <c r="Y11" s="45">
        <v>10</v>
      </c>
    </row>
    <row r="12" spans="1:25" ht="14.4">
      <c r="A12" s="204">
        <v>3</v>
      </c>
      <c r="B12" s="201">
        <v>2</v>
      </c>
      <c r="C12" s="12" t="s">
        <v>270</v>
      </c>
      <c r="D12" s="12" t="s">
        <v>271</v>
      </c>
      <c r="E12" s="12">
        <v>100</v>
      </c>
      <c r="F12" s="12">
        <v>0</v>
      </c>
      <c r="G12" s="12">
        <v>223000</v>
      </c>
      <c r="H12" s="259"/>
      <c r="I12" s="2"/>
      <c r="J12" s="2"/>
      <c r="K12" s="12">
        <v>1.23</v>
      </c>
      <c r="L12" s="12" t="s">
        <v>274</v>
      </c>
      <c r="M12" s="12" t="s">
        <v>277</v>
      </c>
      <c r="N12" s="12" t="s">
        <v>19</v>
      </c>
      <c r="O12" s="12">
        <v>30</v>
      </c>
      <c r="P12" s="12" t="s">
        <v>273</v>
      </c>
      <c r="Q12" s="12"/>
      <c r="R12" s="2"/>
      <c r="S12" s="2"/>
      <c r="T12" s="255">
        <v>70</v>
      </c>
      <c r="V12" s="44">
        <v>70</v>
      </c>
      <c r="W12" s="44">
        <v>0</v>
      </c>
      <c r="Y12" s="45">
        <v>11</v>
      </c>
    </row>
    <row r="13" spans="1:25" ht="14.4">
      <c r="A13" s="204">
        <v>3</v>
      </c>
      <c r="B13" s="201">
        <v>3</v>
      </c>
      <c r="C13" s="12" t="s">
        <v>270</v>
      </c>
      <c r="D13" s="12" t="s">
        <v>271</v>
      </c>
      <c r="E13" s="12">
        <v>100</v>
      </c>
      <c r="F13" s="12">
        <v>0</v>
      </c>
      <c r="G13" s="12">
        <v>223000</v>
      </c>
      <c r="H13" s="259"/>
      <c r="I13" s="2"/>
      <c r="J13" s="2"/>
      <c r="K13" s="12">
        <v>1.23</v>
      </c>
      <c r="L13" s="12" t="s">
        <v>274</v>
      </c>
      <c r="M13" s="12" t="s">
        <v>278</v>
      </c>
      <c r="N13" s="12" t="s">
        <v>15</v>
      </c>
      <c r="O13" s="12">
        <v>30</v>
      </c>
      <c r="P13" s="12" t="s">
        <v>273</v>
      </c>
      <c r="Q13" s="12"/>
      <c r="R13" s="2"/>
      <c r="S13" s="2"/>
      <c r="T13" s="255">
        <v>70</v>
      </c>
      <c r="V13" s="44">
        <v>70</v>
      </c>
      <c r="W13" s="44">
        <v>0</v>
      </c>
      <c r="Y13" s="45">
        <v>12</v>
      </c>
    </row>
    <row r="14" spans="1:25" ht="14.4">
      <c r="A14" s="205">
        <v>3</v>
      </c>
      <c r="B14" s="202">
        <v>4</v>
      </c>
      <c r="C14" s="27" t="s">
        <v>270</v>
      </c>
      <c r="D14" s="27" t="s">
        <v>271</v>
      </c>
      <c r="E14" s="27">
        <v>100</v>
      </c>
      <c r="F14" s="27">
        <v>0</v>
      </c>
      <c r="G14" s="27">
        <v>223000</v>
      </c>
      <c r="H14" s="260"/>
      <c r="I14" s="34"/>
      <c r="J14" s="34"/>
      <c r="K14" s="27">
        <v>1.23</v>
      </c>
      <c r="L14" s="27" t="s">
        <v>274</v>
      </c>
      <c r="M14" s="27" t="s">
        <v>277</v>
      </c>
      <c r="N14" s="27" t="s">
        <v>17</v>
      </c>
      <c r="O14" s="27">
        <v>30</v>
      </c>
      <c r="P14" s="27" t="s">
        <v>273</v>
      </c>
      <c r="Q14" s="27"/>
      <c r="R14" s="34"/>
      <c r="S14" s="34"/>
      <c r="T14" s="256">
        <v>70</v>
      </c>
      <c r="V14" s="44">
        <v>70</v>
      </c>
      <c r="W14" s="44">
        <v>0</v>
      </c>
      <c r="Y14" s="45">
        <v>13</v>
      </c>
    </row>
    <row r="15" spans="1:25" ht="14.4">
      <c r="A15" s="203">
        <v>4</v>
      </c>
      <c r="B15" s="200">
        <v>1</v>
      </c>
      <c r="C15" s="227" t="s">
        <v>270</v>
      </c>
      <c r="D15" s="227" t="s">
        <v>271</v>
      </c>
      <c r="E15" s="227">
        <v>97</v>
      </c>
      <c r="F15" s="227">
        <v>3</v>
      </c>
      <c r="G15" s="261"/>
      <c r="H15" s="222"/>
      <c r="I15" s="227">
        <v>1.23</v>
      </c>
      <c r="J15" s="222" t="s">
        <v>272</v>
      </c>
      <c r="K15" s="222"/>
      <c r="L15" s="227" t="s">
        <v>273</v>
      </c>
      <c r="M15" s="227"/>
      <c r="N15" s="222"/>
      <c r="O15" s="222"/>
      <c r="P15" s="12" t="s">
        <v>273</v>
      </c>
      <c r="Q15" s="222"/>
      <c r="R15" s="222"/>
      <c r="S15" s="222"/>
      <c r="T15" s="258">
        <v>100</v>
      </c>
      <c r="V15" s="44">
        <v>97</v>
      </c>
      <c r="W15" s="44">
        <v>3</v>
      </c>
      <c r="Y15" s="45">
        <v>14</v>
      </c>
    </row>
    <row r="16" spans="1:25" ht="14.4">
      <c r="A16" s="204">
        <v>4</v>
      </c>
      <c r="B16" s="201">
        <v>2</v>
      </c>
      <c r="C16" s="12" t="s">
        <v>270</v>
      </c>
      <c r="D16" s="12" t="s">
        <v>271</v>
      </c>
      <c r="E16" s="12">
        <v>97</v>
      </c>
      <c r="F16" s="12">
        <v>3</v>
      </c>
      <c r="G16" s="58"/>
      <c r="H16" s="22"/>
      <c r="I16" s="12">
        <v>1.23</v>
      </c>
      <c r="J16" s="22" t="s">
        <v>272</v>
      </c>
      <c r="K16" s="22"/>
      <c r="L16" s="12" t="s">
        <v>274</v>
      </c>
      <c r="M16" s="22" t="s">
        <v>279</v>
      </c>
      <c r="N16" s="12" t="s">
        <v>280</v>
      </c>
      <c r="O16" s="12">
        <v>15</v>
      </c>
      <c r="P16" s="12" t="s">
        <v>273</v>
      </c>
      <c r="Q16" s="12"/>
      <c r="R16" s="22"/>
      <c r="S16" s="22"/>
      <c r="T16" s="255">
        <v>85</v>
      </c>
      <c r="V16" s="44">
        <v>82.45</v>
      </c>
      <c r="W16" s="44">
        <v>2.5499999999999998</v>
      </c>
      <c r="Y16" s="45">
        <v>15</v>
      </c>
    </row>
    <row r="17" spans="1:25" ht="14.4">
      <c r="A17" s="205">
        <v>4</v>
      </c>
      <c r="B17" s="202">
        <v>3</v>
      </c>
      <c r="C17" s="27" t="s">
        <v>270</v>
      </c>
      <c r="D17" s="27" t="s">
        <v>271</v>
      </c>
      <c r="E17" s="27">
        <v>97</v>
      </c>
      <c r="F17" s="27">
        <v>3</v>
      </c>
      <c r="G17" s="59"/>
      <c r="H17" s="30"/>
      <c r="I17" s="27">
        <v>1.23</v>
      </c>
      <c r="J17" s="30" t="s">
        <v>272</v>
      </c>
      <c r="K17" s="30"/>
      <c r="L17" s="27" t="s">
        <v>274</v>
      </c>
      <c r="M17" s="30" t="s">
        <v>277</v>
      </c>
      <c r="N17" s="27" t="s">
        <v>281</v>
      </c>
      <c r="O17" s="27">
        <v>15</v>
      </c>
      <c r="P17" s="27" t="s">
        <v>273</v>
      </c>
      <c r="Q17" s="27"/>
      <c r="R17" s="30"/>
      <c r="S17" s="30"/>
      <c r="T17" s="256">
        <v>85</v>
      </c>
      <c r="V17" s="44">
        <v>82.45</v>
      </c>
      <c r="W17" s="44">
        <v>2.5499999999999998</v>
      </c>
      <c r="Y17" s="45">
        <v>16</v>
      </c>
    </row>
    <row r="18" spans="1:25" ht="14.4">
      <c r="A18" s="204">
        <v>5</v>
      </c>
      <c r="B18" s="201">
        <v>1</v>
      </c>
      <c r="C18" s="12" t="s">
        <v>270</v>
      </c>
      <c r="D18" s="12" t="s">
        <v>271</v>
      </c>
      <c r="E18" s="12">
        <v>92</v>
      </c>
      <c r="F18" s="12">
        <v>8</v>
      </c>
      <c r="G18" s="12">
        <v>443000</v>
      </c>
      <c r="H18" s="2"/>
      <c r="I18" s="2"/>
      <c r="J18" s="2"/>
      <c r="K18" s="2"/>
      <c r="L18" s="12" t="s">
        <v>273</v>
      </c>
      <c r="M18" s="12"/>
      <c r="N18" s="2"/>
      <c r="O18" s="22"/>
      <c r="P18" s="12" t="s">
        <v>273</v>
      </c>
      <c r="Q18" s="2"/>
      <c r="R18" s="2"/>
      <c r="S18" s="2"/>
      <c r="T18" s="60">
        <v>100</v>
      </c>
      <c r="V18" s="44">
        <v>92</v>
      </c>
      <c r="W18" s="44">
        <v>8</v>
      </c>
      <c r="Y18" s="45">
        <v>17</v>
      </c>
    </row>
    <row r="19" spans="1:25" ht="14.4">
      <c r="A19" s="204">
        <v>5</v>
      </c>
      <c r="B19" s="201">
        <v>2</v>
      </c>
      <c r="C19" s="12" t="s">
        <v>270</v>
      </c>
      <c r="D19" s="12" t="s">
        <v>271</v>
      </c>
      <c r="E19" s="12">
        <v>92</v>
      </c>
      <c r="F19" s="12">
        <v>8</v>
      </c>
      <c r="G19" s="12">
        <v>443000</v>
      </c>
      <c r="H19" s="2"/>
      <c r="I19" s="2"/>
      <c r="J19" s="2"/>
      <c r="K19" s="2"/>
      <c r="L19" s="12" t="s">
        <v>274</v>
      </c>
      <c r="M19" s="22" t="s">
        <v>279</v>
      </c>
      <c r="N19" s="12" t="s">
        <v>104</v>
      </c>
      <c r="O19" s="12">
        <v>30</v>
      </c>
      <c r="P19" s="12" t="s">
        <v>273</v>
      </c>
      <c r="Q19" s="12"/>
      <c r="R19" s="2"/>
      <c r="S19" s="2"/>
      <c r="T19" s="60">
        <v>70</v>
      </c>
      <c r="V19" s="44">
        <v>64.400000000000006</v>
      </c>
      <c r="W19" s="44">
        <v>5.6</v>
      </c>
      <c r="Y19" s="45">
        <v>18</v>
      </c>
    </row>
    <row r="20" spans="1:25" ht="14.4">
      <c r="A20" s="204">
        <v>5</v>
      </c>
      <c r="B20" s="201">
        <v>3</v>
      </c>
      <c r="C20" s="12" t="s">
        <v>270</v>
      </c>
      <c r="D20" s="12" t="s">
        <v>271</v>
      </c>
      <c r="E20" s="12">
        <v>92</v>
      </c>
      <c r="F20" s="12">
        <v>8</v>
      </c>
      <c r="G20" s="12">
        <v>443000</v>
      </c>
      <c r="H20" s="2"/>
      <c r="I20" s="2"/>
      <c r="J20" s="2"/>
      <c r="K20" s="2"/>
      <c r="L20" s="12" t="s">
        <v>274</v>
      </c>
      <c r="M20" s="12" t="s">
        <v>282</v>
      </c>
      <c r="N20" s="12" t="s">
        <v>89</v>
      </c>
      <c r="O20" s="12">
        <v>30</v>
      </c>
      <c r="P20" s="12" t="s">
        <v>273</v>
      </c>
      <c r="Q20" s="12"/>
      <c r="R20" s="2"/>
      <c r="S20" s="2"/>
      <c r="T20" s="60">
        <v>70</v>
      </c>
      <c r="V20" s="44">
        <v>64.400000000000006</v>
      </c>
      <c r="W20" s="44">
        <v>5.6</v>
      </c>
      <c r="Y20" s="45">
        <v>19</v>
      </c>
    </row>
    <row r="21" spans="1:25" ht="15.75" customHeight="1">
      <c r="A21" s="204">
        <v>5</v>
      </c>
      <c r="B21" s="201">
        <v>4</v>
      </c>
      <c r="C21" s="12" t="s">
        <v>270</v>
      </c>
      <c r="D21" s="12" t="s">
        <v>271</v>
      </c>
      <c r="E21" s="12">
        <v>92</v>
      </c>
      <c r="F21" s="12">
        <v>8</v>
      </c>
      <c r="G21" s="12">
        <v>443000</v>
      </c>
      <c r="H21" s="2"/>
      <c r="I21" s="2"/>
      <c r="J21" s="2"/>
      <c r="K21" s="2"/>
      <c r="L21" s="12" t="s">
        <v>274</v>
      </c>
      <c r="M21" s="22" t="s">
        <v>282</v>
      </c>
      <c r="N21" s="12" t="s">
        <v>92</v>
      </c>
      <c r="O21" s="12">
        <v>30</v>
      </c>
      <c r="P21" s="12" t="s">
        <v>273</v>
      </c>
      <c r="Q21" s="12"/>
      <c r="R21" s="2"/>
      <c r="S21" s="2"/>
      <c r="T21" s="60">
        <v>70</v>
      </c>
      <c r="V21" s="44">
        <v>64.400000000000006</v>
      </c>
      <c r="W21" s="44">
        <v>5.6</v>
      </c>
      <c r="Y21" s="45">
        <v>20</v>
      </c>
    </row>
    <row r="22" spans="1:25" ht="15.75" customHeight="1">
      <c r="A22" s="204">
        <v>5</v>
      </c>
      <c r="B22" s="201">
        <v>5</v>
      </c>
      <c r="C22" s="12" t="s">
        <v>270</v>
      </c>
      <c r="D22" s="12" t="s">
        <v>271</v>
      </c>
      <c r="E22" s="12">
        <v>92</v>
      </c>
      <c r="F22" s="12">
        <v>8</v>
      </c>
      <c r="G22" s="12">
        <v>443000</v>
      </c>
      <c r="H22" s="2"/>
      <c r="I22" s="2"/>
      <c r="J22" s="2"/>
      <c r="K22" s="2"/>
      <c r="L22" s="12" t="s">
        <v>274</v>
      </c>
      <c r="M22" s="22" t="s">
        <v>282</v>
      </c>
      <c r="N22" s="12" t="s">
        <v>94</v>
      </c>
      <c r="O22" s="12">
        <v>30</v>
      </c>
      <c r="P22" s="12" t="s">
        <v>273</v>
      </c>
      <c r="Q22" s="12"/>
      <c r="R22" s="2"/>
      <c r="S22" s="2"/>
      <c r="T22" s="60">
        <v>70</v>
      </c>
      <c r="V22" s="44">
        <v>64.400000000000006</v>
      </c>
      <c r="W22" s="44">
        <v>5.6</v>
      </c>
      <c r="Y22" s="45">
        <v>21</v>
      </c>
    </row>
    <row r="23" spans="1:25" ht="15.75" customHeight="1">
      <c r="A23" s="204">
        <v>5</v>
      </c>
      <c r="B23" s="201">
        <v>6</v>
      </c>
      <c r="C23" s="12" t="s">
        <v>270</v>
      </c>
      <c r="D23" s="12" t="s">
        <v>271</v>
      </c>
      <c r="E23" s="12">
        <v>92</v>
      </c>
      <c r="F23" s="12">
        <v>8</v>
      </c>
      <c r="G23" s="12">
        <v>443000</v>
      </c>
      <c r="H23" s="2"/>
      <c r="I23" s="2"/>
      <c r="J23" s="2"/>
      <c r="K23" s="2"/>
      <c r="L23" s="12" t="s">
        <v>274</v>
      </c>
      <c r="M23" s="22" t="s">
        <v>275</v>
      </c>
      <c r="N23" s="12" t="s">
        <v>96</v>
      </c>
      <c r="O23" s="12">
        <v>30</v>
      </c>
      <c r="P23" s="27" t="s">
        <v>273</v>
      </c>
      <c r="Q23" s="12"/>
      <c r="R23" s="2"/>
      <c r="S23" s="2"/>
      <c r="T23" s="60">
        <v>70</v>
      </c>
      <c r="V23" s="44">
        <v>64.400000000000006</v>
      </c>
      <c r="W23" s="44">
        <v>5.6</v>
      </c>
      <c r="Y23" s="45">
        <v>22</v>
      </c>
    </row>
    <row r="24" spans="1:25" ht="15.75" customHeight="1">
      <c r="A24" s="203">
        <v>6</v>
      </c>
      <c r="B24" s="200">
        <v>1</v>
      </c>
      <c r="C24" s="227" t="s">
        <v>270</v>
      </c>
      <c r="D24" s="227" t="s">
        <v>271</v>
      </c>
      <c r="E24" s="227">
        <v>100</v>
      </c>
      <c r="F24" s="227">
        <v>0</v>
      </c>
      <c r="G24" s="227">
        <v>117869</v>
      </c>
      <c r="H24" s="227">
        <v>49078</v>
      </c>
      <c r="I24" s="222"/>
      <c r="J24" s="222"/>
      <c r="K24" s="222"/>
      <c r="L24" s="227" t="s">
        <v>273</v>
      </c>
      <c r="M24" s="227"/>
      <c r="N24" s="222"/>
      <c r="O24" s="222"/>
      <c r="P24" s="12" t="s">
        <v>273</v>
      </c>
      <c r="Q24" s="222"/>
      <c r="R24" s="222"/>
      <c r="S24" s="222"/>
      <c r="T24" s="258">
        <v>100</v>
      </c>
      <c r="V24" s="44">
        <v>100</v>
      </c>
      <c r="W24" s="44">
        <v>0</v>
      </c>
      <c r="Y24" s="45">
        <v>23</v>
      </c>
    </row>
    <row r="25" spans="1:25" ht="15.75" customHeight="1">
      <c r="A25" s="204">
        <v>6</v>
      </c>
      <c r="B25" s="201">
        <v>2</v>
      </c>
      <c r="C25" s="12" t="s">
        <v>270</v>
      </c>
      <c r="D25" s="12" t="s">
        <v>271</v>
      </c>
      <c r="E25" s="12">
        <v>100</v>
      </c>
      <c r="F25" s="12">
        <v>0</v>
      </c>
      <c r="G25" s="12">
        <v>117869</v>
      </c>
      <c r="H25" s="12">
        <v>49078</v>
      </c>
      <c r="I25" s="22"/>
      <c r="J25" s="22"/>
      <c r="L25" s="12" t="s">
        <v>274</v>
      </c>
      <c r="M25" s="61" t="s">
        <v>279</v>
      </c>
      <c r="N25" s="12" t="s">
        <v>276</v>
      </c>
      <c r="O25" s="12">
        <v>5</v>
      </c>
      <c r="P25" s="12" t="s">
        <v>273</v>
      </c>
      <c r="Q25" s="12"/>
      <c r="R25" s="22"/>
      <c r="S25" s="22"/>
      <c r="T25" s="255">
        <v>95</v>
      </c>
      <c r="V25" s="44">
        <v>95</v>
      </c>
      <c r="W25" s="44">
        <v>0</v>
      </c>
      <c r="Y25" s="45">
        <v>24</v>
      </c>
    </row>
    <row r="26" spans="1:25" ht="15.75" customHeight="1">
      <c r="A26" s="204">
        <v>6</v>
      </c>
      <c r="B26" s="201">
        <v>3</v>
      </c>
      <c r="C26" s="12" t="s">
        <v>270</v>
      </c>
      <c r="D26" s="12" t="s">
        <v>271</v>
      </c>
      <c r="E26" s="12">
        <v>100</v>
      </c>
      <c r="F26" s="12">
        <v>0</v>
      </c>
      <c r="G26" s="12">
        <v>117869</v>
      </c>
      <c r="H26" s="12">
        <v>49078</v>
      </c>
      <c r="I26" s="22"/>
      <c r="J26" s="22"/>
      <c r="L26" s="12" t="s">
        <v>274</v>
      </c>
      <c r="M26" s="61" t="s">
        <v>279</v>
      </c>
      <c r="N26" s="12" t="s">
        <v>276</v>
      </c>
      <c r="O26" s="12">
        <v>7</v>
      </c>
      <c r="P26" s="12" t="s">
        <v>273</v>
      </c>
      <c r="Q26" s="12"/>
      <c r="R26" s="22"/>
      <c r="S26" s="22"/>
      <c r="T26" s="255">
        <v>93</v>
      </c>
      <c r="V26" s="44">
        <v>93</v>
      </c>
      <c r="W26" s="44">
        <v>0</v>
      </c>
      <c r="Y26" s="45">
        <v>25</v>
      </c>
    </row>
    <row r="27" spans="1:25" ht="15.75" customHeight="1">
      <c r="A27" s="205">
        <v>6</v>
      </c>
      <c r="B27" s="202">
        <v>4</v>
      </c>
      <c r="C27" s="27" t="s">
        <v>270</v>
      </c>
      <c r="D27" s="27" t="s">
        <v>271</v>
      </c>
      <c r="E27" s="27">
        <v>100</v>
      </c>
      <c r="F27" s="27">
        <v>0</v>
      </c>
      <c r="G27" s="27">
        <v>117869</v>
      </c>
      <c r="H27" s="27">
        <v>49078</v>
      </c>
      <c r="I27" s="30"/>
      <c r="J27" s="30"/>
      <c r="K27" s="34"/>
      <c r="L27" s="27" t="s">
        <v>274</v>
      </c>
      <c r="M27" s="30" t="s">
        <v>279</v>
      </c>
      <c r="N27" s="27" t="s">
        <v>276</v>
      </c>
      <c r="O27" s="27">
        <v>9</v>
      </c>
      <c r="P27" s="27" t="s">
        <v>273</v>
      </c>
      <c r="Q27" s="27"/>
      <c r="R27" s="30"/>
      <c r="S27" s="30"/>
      <c r="T27" s="256">
        <v>91</v>
      </c>
      <c r="U27" s="2"/>
      <c r="V27" s="62">
        <v>91</v>
      </c>
      <c r="W27" s="44">
        <v>0</v>
      </c>
      <c r="Y27" s="45">
        <v>26</v>
      </c>
    </row>
    <row r="28" spans="1:25" ht="15.75" customHeight="1">
      <c r="A28" s="204">
        <v>7</v>
      </c>
      <c r="B28" s="201">
        <v>1</v>
      </c>
      <c r="C28" s="12" t="s">
        <v>270</v>
      </c>
      <c r="D28" s="12" t="s">
        <v>271</v>
      </c>
      <c r="E28" s="12">
        <v>100</v>
      </c>
      <c r="F28" s="12">
        <v>0</v>
      </c>
      <c r="G28" s="12">
        <v>890000</v>
      </c>
      <c r="H28" s="12">
        <v>462000</v>
      </c>
      <c r="I28" s="2"/>
      <c r="J28" s="2"/>
      <c r="K28" s="2"/>
      <c r="L28" s="12" t="s">
        <v>273</v>
      </c>
      <c r="M28" s="22"/>
      <c r="N28" s="2"/>
      <c r="O28" s="22"/>
      <c r="P28" s="12" t="s">
        <v>273</v>
      </c>
      <c r="Q28" s="2"/>
      <c r="R28" s="2"/>
      <c r="S28" s="2"/>
      <c r="T28" s="63">
        <v>100</v>
      </c>
      <c r="U28" s="64"/>
      <c r="V28" s="63">
        <v>100</v>
      </c>
      <c r="W28" s="62">
        <v>0</v>
      </c>
      <c r="Y28" s="45">
        <v>27</v>
      </c>
    </row>
    <row r="29" spans="1:25" ht="15.75" customHeight="1">
      <c r="A29" s="204">
        <v>7</v>
      </c>
      <c r="B29" s="201">
        <v>2</v>
      </c>
      <c r="C29" s="12" t="s">
        <v>270</v>
      </c>
      <c r="D29" s="12" t="s">
        <v>271</v>
      </c>
      <c r="E29" s="12">
        <v>100</v>
      </c>
      <c r="F29" s="12">
        <v>0</v>
      </c>
      <c r="G29" s="12">
        <v>890000</v>
      </c>
      <c r="H29" s="12">
        <v>462000</v>
      </c>
      <c r="I29" s="2"/>
      <c r="J29" s="2"/>
      <c r="K29" s="2"/>
      <c r="L29" s="12" t="s">
        <v>274</v>
      </c>
      <c r="M29" s="12" t="s">
        <v>279</v>
      </c>
      <c r="N29" s="12" t="s">
        <v>283</v>
      </c>
      <c r="O29" s="12">
        <v>30</v>
      </c>
      <c r="P29" s="12" t="s">
        <v>273</v>
      </c>
      <c r="Q29" s="12"/>
      <c r="R29" s="2"/>
      <c r="S29" s="2"/>
      <c r="T29" s="63">
        <v>70</v>
      </c>
      <c r="U29" s="64"/>
      <c r="V29" s="63">
        <v>70</v>
      </c>
      <c r="W29" s="62">
        <v>0</v>
      </c>
      <c r="Y29" s="45">
        <v>28</v>
      </c>
    </row>
    <row r="30" spans="1:25" ht="15.75" customHeight="1">
      <c r="A30" s="203">
        <v>8</v>
      </c>
      <c r="B30" s="200">
        <v>1</v>
      </c>
      <c r="C30" s="227" t="s">
        <v>270</v>
      </c>
      <c r="D30" s="227" t="s">
        <v>270</v>
      </c>
      <c r="E30" s="227">
        <v>100</v>
      </c>
      <c r="F30" s="227">
        <v>0</v>
      </c>
      <c r="G30" s="227">
        <v>490000</v>
      </c>
      <c r="H30" s="222"/>
      <c r="I30" s="227">
        <v>1.25</v>
      </c>
      <c r="J30" s="227" t="s">
        <v>272</v>
      </c>
      <c r="K30" s="222"/>
      <c r="L30" s="227" t="s">
        <v>274</v>
      </c>
      <c r="M30" s="262" t="s">
        <v>275</v>
      </c>
      <c r="N30" s="227" t="s">
        <v>9</v>
      </c>
      <c r="O30" s="227">
        <v>10</v>
      </c>
      <c r="P30" s="227" t="s">
        <v>273</v>
      </c>
      <c r="Q30" s="227"/>
      <c r="R30" s="222"/>
      <c r="S30" s="222"/>
      <c r="T30" s="258">
        <v>90</v>
      </c>
      <c r="U30" s="2"/>
      <c r="V30" s="62">
        <v>90</v>
      </c>
      <c r="W30" s="44">
        <v>0</v>
      </c>
      <c r="Y30" s="45">
        <v>29</v>
      </c>
    </row>
    <row r="31" spans="1:25" ht="15.75" customHeight="1">
      <c r="A31" s="204">
        <v>8</v>
      </c>
      <c r="B31" s="201">
        <v>2</v>
      </c>
      <c r="C31" s="12" t="s">
        <v>270</v>
      </c>
      <c r="D31" s="12" t="s">
        <v>271</v>
      </c>
      <c r="E31" s="12">
        <v>100</v>
      </c>
      <c r="F31" s="12">
        <v>0</v>
      </c>
      <c r="G31" s="12">
        <v>490000</v>
      </c>
      <c r="H31" s="22"/>
      <c r="I31" s="12">
        <v>1.25</v>
      </c>
      <c r="J31" s="12" t="s">
        <v>272</v>
      </c>
      <c r="K31" s="22"/>
      <c r="L31" s="12" t="s">
        <v>274</v>
      </c>
      <c r="M31" s="263" t="s">
        <v>275</v>
      </c>
      <c r="N31" s="12" t="s">
        <v>9</v>
      </c>
      <c r="O31" s="12">
        <v>10</v>
      </c>
      <c r="P31" s="12" t="s">
        <v>274</v>
      </c>
      <c r="Q31" s="8" t="s">
        <v>279</v>
      </c>
      <c r="R31" s="12" t="s">
        <v>35</v>
      </c>
      <c r="S31" s="12">
        <v>5</v>
      </c>
      <c r="T31" s="255">
        <v>85</v>
      </c>
      <c r="V31" s="44">
        <v>85</v>
      </c>
      <c r="W31" s="44">
        <v>0</v>
      </c>
      <c r="Y31" s="45">
        <v>30</v>
      </c>
    </row>
    <row r="32" spans="1:25" ht="15.75" customHeight="1">
      <c r="A32" s="204">
        <v>8</v>
      </c>
      <c r="B32" s="201">
        <v>3</v>
      </c>
      <c r="C32" s="12" t="s">
        <v>270</v>
      </c>
      <c r="D32" s="12" t="s">
        <v>271</v>
      </c>
      <c r="E32" s="12">
        <v>100</v>
      </c>
      <c r="F32" s="12">
        <v>0</v>
      </c>
      <c r="G32" s="12">
        <v>490000</v>
      </c>
      <c r="H32" s="22"/>
      <c r="I32" s="12">
        <v>1.25</v>
      </c>
      <c r="J32" s="12" t="s">
        <v>272</v>
      </c>
      <c r="K32" s="22"/>
      <c r="L32" s="12" t="s">
        <v>274</v>
      </c>
      <c r="M32" s="263" t="s">
        <v>275</v>
      </c>
      <c r="N32" s="12" t="s">
        <v>9</v>
      </c>
      <c r="O32" s="12">
        <v>10</v>
      </c>
      <c r="P32" s="12" t="s">
        <v>274</v>
      </c>
      <c r="Q32" s="8" t="s">
        <v>279</v>
      </c>
      <c r="R32" s="12" t="s">
        <v>35</v>
      </c>
      <c r="S32" s="12">
        <v>10</v>
      </c>
      <c r="T32" s="255">
        <v>80</v>
      </c>
      <c r="V32" s="44">
        <v>80</v>
      </c>
      <c r="W32" s="44">
        <v>0</v>
      </c>
      <c r="Y32" s="45">
        <v>31</v>
      </c>
    </row>
    <row r="33" spans="1:25" ht="15.75" customHeight="1">
      <c r="A33" s="205">
        <v>8</v>
      </c>
      <c r="B33" s="202">
        <v>4</v>
      </c>
      <c r="C33" s="27" t="s">
        <v>270</v>
      </c>
      <c r="D33" s="27" t="s">
        <v>271</v>
      </c>
      <c r="E33" s="27">
        <v>100</v>
      </c>
      <c r="F33" s="27">
        <v>0</v>
      </c>
      <c r="G33" s="27">
        <v>490000</v>
      </c>
      <c r="H33" s="30"/>
      <c r="I33" s="27">
        <v>1.25</v>
      </c>
      <c r="J33" s="27" t="s">
        <v>272</v>
      </c>
      <c r="K33" s="30"/>
      <c r="L33" s="27" t="s">
        <v>274</v>
      </c>
      <c r="M33" s="264" t="s">
        <v>275</v>
      </c>
      <c r="N33" s="27" t="s">
        <v>9</v>
      </c>
      <c r="O33" s="27">
        <v>20</v>
      </c>
      <c r="P33" s="27" t="s">
        <v>274</v>
      </c>
      <c r="Q33" s="34" t="s">
        <v>279</v>
      </c>
      <c r="R33" s="27" t="s">
        <v>35</v>
      </c>
      <c r="S33" s="27">
        <v>5</v>
      </c>
      <c r="T33" s="256">
        <v>75</v>
      </c>
      <c r="V33" s="44">
        <v>75</v>
      </c>
      <c r="W33" s="44">
        <v>0</v>
      </c>
      <c r="Y33" s="45">
        <v>32</v>
      </c>
    </row>
    <row r="34" spans="1:25" ht="15.75" customHeight="1">
      <c r="A34" s="204">
        <v>9</v>
      </c>
      <c r="B34" s="201">
        <v>1</v>
      </c>
      <c r="C34" s="12" t="s">
        <v>270</v>
      </c>
      <c r="D34" s="12" t="s">
        <v>271</v>
      </c>
      <c r="E34" s="12">
        <v>22.9</v>
      </c>
      <c r="F34" s="12">
        <v>77.099999999999994</v>
      </c>
      <c r="G34" s="12">
        <v>286000</v>
      </c>
      <c r="H34" s="2"/>
      <c r="I34" s="2"/>
      <c r="J34" s="2"/>
      <c r="K34" s="12">
        <v>2.5</v>
      </c>
      <c r="L34" s="12" t="s">
        <v>273</v>
      </c>
      <c r="M34" s="12"/>
      <c r="N34" s="2"/>
      <c r="O34" s="22"/>
      <c r="P34" s="12" t="s">
        <v>273</v>
      </c>
      <c r="Q34" s="2"/>
      <c r="R34" s="2"/>
      <c r="S34" s="2"/>
      <c r="T34" s="60">
        <v>100</v>
      </c>
      <c r="V34" s="44">
        <v>22.9</v>
      </c>
      <c r="W34" s="44">
        <v>77.099999999999994</v>
      </c>
      <c r="Y34" s="45">
        <v>33</v>
      </c>
    </row>
    <row r="35" spans="1:25" ht="15.75" customHeight="1">
      <c r="A35" s="204">
        <v>9</v>
      </c>
      <c r="B35" s="201">
        <v>2</v>
      </c>
      <c r="C35" s="12" t="s">
        <v>270</v>
      </c>
      <c r="D35" s="12" t="s">
        <v>271</v>
      </c>
      <c r="E35" s="12">
        <v>22.9</v>
      </c>
      <c r="F35" s="12">
        <v>77.099999999999994</v>
      </c>
      <c r="G35" s="12">
        <v>286000</v>
      </c>
      <c r="H35" s="2"/>
      <c r="I35" s="2"/>
      <c r="J35" s="2"/>
      <c r="K35" s="12">
        <v>2.5</v>
      </c>
      <c r="L35" s="12" t="s">
        <v>274</v>
      </c>
      <c r="M35" s="22" t="s">
        <v>279</v>
      </c>
      <c r="N35" s="12" t="s">
        <v>276</v>
      </c>
      <c r="O35" s="12">
        <v>1</v>
      </c>
      <c r="P35" s="12" t="s">
        <v>273</v>
      </c>
      <c r="Q35" s="12"/>
      <c r="R35" s="2"/>
      <c r="S35" s="2"/>
      <c r="T35" s="60">
        <v>99</v>
      </c>
      <c r="V35" s="44">
        <v>22.670999999999999</v>
      </c>
      <c r="W35" s="44">
        <v>76.328999999999994</v>
      </c>
      <c r="Y35" s="45">
        <v>34</v>
      </c>
    </row>
    <row r="36" spans="1:25" ht="15.75" customHeight="1">
      <c r="A36" s="204">
        <v>9</v>
      </c>
      <c r="B36" s="201">
        <v>3</v>
      </c>
      <c r="C36" s="12" t="s">
        <v>270</v>
      </c>
      <c r="D36" s="12" t="s">
        <v>271</v>
      </c>
      <c r="E36" s="12">
        <v>22.9</v>
      </c>
      <c r="F36" s="12">
        <v>77.099999999999994</v>
      </c>
      <c r="G36" s="12">
        <v>286000</v>
      </c>
      <c r="H36" s="2"/>
      <c r="I36" s="2"/>
      <c r="J36" s="2"/>
      <c r="K36" s="12">
        <v>2.5</v>
      </c>
      <c r="L36" s="12" t="s">
        <v>274</v>
      </c>
      <c r="M36" s="22" t="s">
        <v>279</v>
      </c>
      <c r="N36" s="12" t="s">
        <v>276</v>
      </c>
      <c r="O36" s="12">
        <v>5</v>
      </c>
      <c r="P36" s="12" t="s">
        <v>273</v>
      </c>
      <c r="Q36" s="12"/>
      <c r="R36" s="2"/>
      <c r="S36" s="2"/>
      <c r="T36" s="60">
        <v>95</v>
      </c>
      <c r="V36" s="44">
        <v>21.754999999999999</v>
      </c>
      <c r="W36" s="44">
        <v>73.24499999999999</v>
      </c>
      <c r="Y36" s="45">
        <v>35</v>
      </c>
    </row>
    <row r="37" spans="1:25" ht="15.75" customHeight="1">
      <c r="A37" s="204">
        <v>9</v>
      </c>
      <c r="B37" s="201">
        <v>4</v>
      </c>
      <c r="C37" s="12" t="s">
        <v>270</v>
      </c>
      <c r="D37" s="12" t="s">
        <v>271</v>
      </c>
      <c r="E37" s="12">
        <v>22.9</v>
      </c>
      <c r="F37" s="12">
        <v>77.099999999999994</v>
      </c>
      <c r="G37" s="27">
        <v>286000</v>
      </c>
      <c r="H37" s="2"/>
      <c r="I37" s="2"/>
      <c r="J37" s="2"/>
      <c r="K37" s="12">
        <v>2.5</v>
      </c>
      <c r="L37" s="12" t="s">
        <v>274</v>
      </c>
      <c r="M37" s="22" t="s">
        <v>279</v>
      </c>
      <c r="N37" s="12" t="s">
        <v>276</v>
      </c>
      <c r="O37" s="12">
        <v>10</v>
      </c>
      <c r="P37" s="27" t="s">
        <v>273</v>
      </c>
      <c r="Q37" s="12"/>
      <c r="R37" s="2"/>
      <c r="S37" s="2"/>
      <c r="T37" s="60">
        <v>90</v>
      </c>
      <c r="V37" s="44">
        <v>20.61</v>
      </c>
      <c r="W37" s="44">
        <v>69.389999999999986</v>
      </c>
      <c r="Y37" s="45">
        <v>36</v>
      </c>
    </row>
    <row r="38" spans="1:25" ht="15.75" customHeight="1">
      <c r="A38" s="203">
        <v>11</v>
      </c>
      <c r="B38" s="200" t="s">
        <v>221</v>
      </c>
      <c r="C38" s="227" t="s">
        <v>270</v>
      </c>
      <c r="D38" s="227" t="s">
        <v>271</v>
      </c>
      <c r="E38" s="227">
        <v>100</v>
      </c>
      <c r="F38" s="227">
        <v>0</v>
      </c>
      <c r="G38" s="265">
        <v>450000</v>
      </c>
      <c r="H38" s="266"/>
      <c r="I38" s="222"/>
      <c r="J38" s="222"/>
      <c r="K38" s="222"/>
      <c r="L38" s="227" t="s">
        <v>273</v>
      </c>
      <c r="M38" s="227"/>
      <c r="N38" s="227"/>
      <c r="O38" s="227"/>
      <c r="P38" s="12" t="s">
        <v>273</v>
      </c>
      <c r="Q38" s="227"/>
      <c r="R38" s="222"/>
      <c r="S38" s="222"/>
      <c r="T38" s="258">
        <v>100</v>
      </c>
      <c r="V38" s="44">
        <v>100</v>
      </c>
      <c r="W38" s="44">
        <v>0</v>
      </c>
      <c r="Y38" s="45">
        <v>37</v>
      </c>
    </row>
    <row r="39" spans="1:25" ht="15.75" customHeight="1">
      <c r="A39" s="204">
        <v>11</v>
      </c>
      <c r="B39" s="201" t="s">
        <v>222</v>
      </c>
      <c r="C39" s="12" t="s">
        <v>270</v>
      </c>
      <c r="D39" s="12" t="s">
        <v>271</v>
      </c>
      <c r="E39" s="12">
        <v>100</v>
      </c>
      <c r="F39" s="12">
        <v>0</v>
      </c>
      <c r="G39" s="65">
        <v>450000</v>
      </c>
      <c r="H39" s="66"/>
      <c r="I39" s="22"/>
      <c r="J39" s="22"/>
      <c r="K39" s="22"/>
      <c r="L39" s="12" t="s">
        <v>274</v>
      </c>
      <c r="M39" s="22" t="s">
        <v>277</v>
      </c>
      <c r="N39" s="12" t="s">
        <v>284</v>
      </c>
      <c r="O39" s="12">
        <v>10</v>
      </c>
      <c r="P39" s="12" t="s">
        <v>273</v>
      </c>
      <c r="Q39" s="12"/>
      <c r="R39" s="22"/>
      <c r="S39" s="22"/>
      <c r="T39" s="255">
        <v>90</v>
      </c>
      <c r="V39" s="44">
        <v>90</v>
      </c>
      <c r="W39" s="44">
        <v>0</v>
      </c>
      <c r="Y39" s="45">
        <v>38</v>
      </c>
    </row>
    <row r="40" spans="1:25" ht="15.75" customHeight="1">
      <c r="A40" s="204">
        <v>11</v>
      </c>
      <c r="B40" s="201" t="s">
        <v>223</v>
      </c>
      <c r="C40" s="12" t="s">
        <v>270</v>
      </c>
      <c r="D40" s="12" t="s">
        <v>271</v>
      </c>
      <c r="E40" s="12">
        <v>100</v>
      </c>
      <c r="F40" s="12">
        <v>0</v>
      </c>
      <c r="G40" s="65">
        <v>450000</v>
      </c>
      <c r="H40" s="66"/>
      <c r="I40" s="22"/>
      <c r="J40" s="22"/>
      <c r="K40" s="22"/>
      <c r="L40" s="12" t="s">
        <v>274</v>
      </c>
      <c r="M40" s="22" t="s">
        <v>277</v>
      </c>
      <c r="N40" s="12" t="s">
        <v>284</v>
      </c>
      <c r="O40" s="12">
        <v>20</v>
      </c>
      <c r="P40" s="12" t="s">
        <v>273</v>
      </c>
      <c r="Q40" s="12"/>
      <c r="R40" s="22"/>
      <c r="S40" s="22"/>
      <c r="T40" s="255">
        <v>80</v>
      </c>
      <c r="V40" s="44">
        <v>80</v>
      </c>
      <c r="W40" s="44">
        <v>0</v>
      </c>
      <c r="Y40" s="45">
        <v>39</v>
      </c>
    </row>
    <row r="41" spans="1:25" ht="15.75" customHeight="1">
      <c r="A41" s="204">
        <v>11</v>
      </c>
      <c r="B41" s="201" t="s">
        <v>224</v>
      </c>
      <c r="C41" s="12" t="s">
        <v>270</v>
      </c>
      <c r="D41" s="12" t="s">
        <v>271</v>
      </c>
      <c r="E41" s="12">
        <v>100</v>
      </c>
      <c r="F41" s="12">
        <v>0</v>
      </c>
      <c r="G41" s="65">
        <v>450000</v>
      </c>
      <c r="H41" s="66"/>
      <c r="I41" s="22"/>
      <c r="J41" s="22"/>
      <c r="K41" s="22"/>
      <c r="L41" s="12" t="s">
        <v>274</v>
      </c>
      <c r="M41" s="22" t="s">
        <v>277</v>
      </c>
      <c r="N41" s="12" t="s">
        <v>284</v>
      </c>
      <c r="O41" s="12">
        <v>50</v>
      </c>
      <c r="P41" s="12" t="s">
        <v>273</v>
      </c>
      <c r="Q41" s="12"/>
      <c r="R41" s="22"/>
      <c r="S41" s="22"/>
      <c r="T41" s="255">
        <v>50</v>
      </c>
      <c r="V41" s="44">
        <v>50</v>
      </c>
      <c r="W41" s="44">
        <v>0</v>
      </c>
      <c r="Y41" s="45">
        <v>40</v>
      </c>
    </row>
    <row r="42" spans="1:25" ht="15.75" customHeight="1">
      <c r="A42" s="204">
        <v>11</v>
      </c>
      <c r="B42" s="201" t="s">
        <v>225</v>
      </c>
      <c r="C42" s="12" t="s">
        <v>270</v>
      </c>
      <c r="D42" s="12" t="s">
        <v>271</v>
      </c>
      <c r="E42" s="12">
        <v>100</v>
      </c>
      <c r="F42" s="12">
        <v>0</v>
      </c>
      <c r="G42" s="65">
        <v>450000</v>
      </c>
      <c r="H42" s="66"/>
      <c r="I42" s="22"/>
      <c r="J42" s="22"/>
      <c r="K42" s="22"/>
      <c r="L42" s="12" t="s">
        <v>273</v>
      </c>
      <c r="M42" s="12"/>
      <c r="N42" s="12"/>
      <c r="O42" s="12"/>
      <c r="P42" s="12" t="s">
        <v>273</v>
      </c>
      <c r="Q42" s="12"/>
      <c r="R42" s="22"/>
      <c r="S42" s="22"/>
      <c r="T42" s="255">
        <v>100</v>
      </c>
      <c r="V42" s="44">
        <v>100</v>
      </c>
      <c r="W42" s="44">
        <v>0</v>
      </c>
      <c r="Y42" s="45">
        <v>41</v>
      </c>
    </row>
    <row r="43" spans="1:25" ht="15.75" customHeight="1">
      <c r="A43" s="204">
        <v>11</v>
      </c>
      <c r="B43" s="201" t="s">
        <v>226</v>
      </c>
      <c r="C43" s="12" t="s">
        <v>270</v>
      </c>
      <c r="D43" s="12" t="s">
        <v>271</v>
      </c>
      <c r="E43" s="12">
        <v>100</v>
      </c>
      <c r="F43" s="12">
        <v>0</v>
      </c>
      <c r="G43" s="65">
        <v>450000</v>
      </c>
      <c r="H43" s="66"/>
      <c r="I43" s="22"/>
      <c r="J43" s="22"/>
      <c r="K43" s="22"/>
      <c r="L43" s="12" t="s">
        <v>274</v>
      </c>
      <c r="M43" s="22" t="s">
        <v>277</v>
      </c>
      <c r="N43" s="12" t="s">
        <v>284</v>
      </c>
      <c r="O43" s="12">
        <v>10</v>
      </c>
      <c r="P43" s="12" t="s">
        <v>273</v>
      </c>
      <c r="Q43" s="12"/>
      <c r="R43" s="22"/>
      <c r="S43" s="22"/>
      <c r="T43" s="255">
        <v>90</v>
      </c>
      <c r="V43" s="44">
        <v>90</v>
      </c>
      <c r="W43" s="44">
        <v>0</v>
      </c>
      <c r="Y43" s="45">
        <v>42</v>
      </c>
    </row>
    <row r="44" spans="1:25" ht="15.75" customHeight="1">
      <c r="A44" s="204">
        <v>11</v>
      </c>
      <c r="B44" s="201" t="s">
        <v>227</v>
      </c>
      <c r="C44" s="12" t="s">
        <v>270</v>
      </c>
      <c r="D44" s="12" t="s">
        <v>271</v>
      </c>
      <c r="E44" s="12">
        <v>100</v>
      </c>
      <c r="F44" s="12">
        <v>0</v>
      </c>
      <c r="G44" s="65">
        <v>450000</v>
      </c>
      <c r="H44" s="66"/>
      <c r="I44" s="22"/>
      <c r="J44" s="22"/>
      <c r="K44" s="22"/>
      <c r="L44" s="12" t="s">
        <v>274</v>
      </c>
      <c r="M44" s="22" t="s">
        <v>277</v>
      </c>
      <c r="N44" s="12" t="s">
        <v>284</v>
      </c>
      <c r="O44" s="12">
        <v>20</v>
      </c>
      <c r="P44" s="12" t="s">
        <v>273</v>
      </c>
      <c r="Q44" s="12"/>
      <c r="R44" s="22"/>
      <c r="S44" s="22"/>
      <c r="T44" s="255">
        <v>80</v>
      </c>
      <c r="V44" s="44">
        <v>80</v>
      </c>
      <c r="W44" s="44">
        <v>0</v>
      </c>
      <c r="Y44" s="45">
        <v>43</v>
      </c>
    </row>
    <row r="45" spans="1:25" ht="15.75" customHeight="1">
      <c r="A45" s="205">
        <v>11</v>
      </c>
      <c r="B45" s="202" t="s">
        <v>228</v>
      </c>
      <c r="C45" s="27" t="s">
        <v>270</v>
      </c>
      <c r="D45" s="27" t="s">
        <v>271</v>
      </c>
      <c r="E45" s="27">
        <v>100</v>
      </c>
      <c r="F45" s="27">
        <v>0</v>
      </c>
      <c r="G45" s="67">
        <v>450000</v>
      </c>
      <c r="H45" s="68"/>
      <c r="I45" s="30"/>
      <c r="J45" s="30"/>
      <c r="K45" s="30"/>
      <c r="L45" s="27" t="s">
        <v>274</v>
      </c>
      <c r="M45" s="30" t="s">
        <v>277</v>
      </c>
      <c r="N45" s="27" t="s">
        <v>284</v>
      </c>
      <c r="O45" s="27">
        <v>50</v>
      </c>
      <c r="P45" s="27" t="s">
        <v>273</v>
      </c>
      <c r="Q45" s="27"/>
      <c r="R45" s="30"/>
      <c r="S45" s="30"/>
      <c r="T45" s="256">
        <v>50</v>
      </c>
      <c r="V45" s="44">
        <v>50</v>
      </c>
      <c r="W45" s="44">
        <v>0</v>
      </c>
      <c r="Y45" s="45">
        <v>44</v>
      </c>
    </row>
    <row r="46" spans="1:25" ht="15.75" customHeight="1">
      <c r="A46" s="204">
        <v>12</v>
      </c>
      <c r="B46" s="201" t="s">
        <v>221</v>
      </c>
      <c r="C46" s="267" t="s">
        <v>270</v>
      </c>
      <c r="D46" s="267" t="s">
        <v>271</v>
      </c>
      <c r="E46" s="12">
        <v>95</v>
      </c>
      <c r="F46" s="12">
        <v>5</v>
      </c>
      <c r="G46" s="65">
        <v>607000</v>
      </c>
      <c r="H46" s="66"/>
      <c r="I46" s="22"/>
      <c r="J46" s="22"/>
      <c r="K46" s="12">
        <v>4.04</v>
      </c>
      <c r="L46" s="12" t="s">
        <v>273</v>
      </c>
      <c r="M46" s="12"/>
      <c r="N46" s="22"/>
      <c r="O46" s="22"/>
      <c r="P46" s="12" t="s">
        <v>273</v>
      </c>
      <c r="Q46" s="22"/>
      <c r="R46" s="22"/>
      <c r="S46" s="22"/>
      <c r="T46" s="255">
        <v>100</v>
      </c>
      <c r="U46" s="2"/>
      <c r="V46" s="44">
        <v>95</v>
      </c>
      <c r="W46" s="44">
        <v>5</v>
      </c>
      <c r="Y46" s="45">
        <v>45</v>
      </c>
    </row>
    <row r="47" spans="1:25" ht="15.75" customHeight="1">
      <c r="A47" s="204">
        <v>12</v>
      </c>
      <c r="B47" s="201" t="s">
        <v>222</v>
      </c>
      <c r="C47" s="268" t="s">
        <v>270</v>
      </c>
      <c r="D47" s="268" t="s">
        <v>271</v>
      </c>
      <c r="E47" s="12">
        <v>95</v>
      </c>
      <c r="F47" s="12">
        <v>5</v>
      </c>
      <c r="G47" s="65">
        <v>607000</v>
      </c>
      <c r="H47" s="66"/>
      <c r="I47" s="22"/>
      <c r="J47" s="22"/>
      <c r="K47" s="12">
        <v>4.04</v>
      </c>
      <c r="L47" s="12" t="s">
        <v>274</v>
      </c>
      <c r="M47" s="61" t="s">
        <v>279</v>
      </c>
      <c r="N47" s="12" t="s">
        <v>127</v>
      </c>
      <c r="O47" s="12">
        <v>1</v>
      </c>
      <c r="P47" s="12" t="s">
        <v>273</v>
      </c>
      <c r="Q47" s="12"/>
      <c r="R47" s="22"/>
      <c r="S47" s="22"/>
      <c r="T47" s="255">
        <v>99</v>
      </c>
      <c r="U47" s="2"/>
      <c r="V47" s="44">
        <v>94.05</v>
      </c>
      <c r="W47" s="44">
        <v>4.95</v>
      </c>
      <c r="Y47" s="45">
        <v>46</v>
      </c>
    </row>
    <row r="48" spans="1:25" ht="15.75" customHeight="1">
      <c r="A48" s="204">
        <v>12</v>
      </c>
      <c r="B48" s="201" t="s">
        <v>223</v>
      </c>
      <c r="C48" s="267" t="s">
        <v>270</v>
      </c>
      <c r="D48" s="267" t="s">
        <v>271</v>
      </c>
      <c r="E48" s="12">
        <v>95</v>
      </c>
      <c r="F48" s="12">
        <v>5</v>
      </c>
      <c r="G48" s="65">
        <v>607000</v>
      </c>
      <c r="H48" s="66"/>
      <c r="I48" s="22"/>
      <c r="J48" s="22"/>
      <c r="K48" s="12">
        <v>4.04</v>
      </c>
      <c r="L48" s="12" t="s">
        <v>274</v>
      </c>
      <c r="M48" s="61" t="s">
        <v>279</v>
      </c>
      <c r="N48" s="12" t="s">
        <v>129</v>
      </c>
      <c r="O48" s="12">
        <v>1</v>
      </c>
      <c r="P48" s="12" t="s">
        <v>273</v>
      </c>
      <c r="Q48" s="12"/>
      <c r="R48" s="22"/>
      <c r="S48" s="22"/>
      <c r="T48" s="255">
        <v>99</v>
      </c>
      <c r="U48" s="2"/>
      <c r="V48" s="44">
        <v>94.05</v>
      </c>
      <c r="W48" s="44">
        <v>4.95</v>
      </c>
      <c r="Y48" s="45">
        <v>47</v>
      </c>
    </row>
    <row r="49" spans="1:25" ht="15.75" customHeight="1">
      <c r="A49" s="204">
        <v>12</v>
      </c>
      <c r="B49" s="201" t="s">
        <v>224</v>
      </c>
      <c r="C49" s="268" t="s">
        <v>270</v>
      </c>
      <c r="D49" s="268" t="s">
        <v>271</v>
      </c>
      <c r="E49" s="12">
        <v>95</v>
      </c>
      <c r="F49" s="12">
        <v>5</v>
      </c>
      <c r="G49" s="65">
        <v>607000</v>
      </c>
      <c r="H49" s="66"/>
      <c r="I49" s="22"/>
      <c r="J49" s="22"/>
      <c r="K49" s="12">
        <v>4.04</v>
      </c>
      <c r="L49" s="12" t="s">
        <v>274</v>
      </c>
      <c r="M49" s="61" t="s">
        <v>279</v>
      </c>
      <c r="N49" s="12" t="s">
        <v>127</v>
      </c>
      <c r="O49" s="12">
        <v>2.5</v>
      </c>
      <c r="P49" s="12" t="s">
        <v>273</v>
      </c>
      <c r="Q49" s="12"/>
      <c r="R49" s="22"/>
      <c r="S49" s="22"/>
      <c r="T49" s="255">
        <v>97.5</v>
      </c>
      <c r="U49" s="2"/>
      <c r="V49" s="44">
        <v>92.625</v>
      </c>
      <c r="W49" s="44">
        <v>4.875</v>
      </c>
      <c r="Y49" s="45">
        <v>48</v>
      </c>
    </row>
    <row r="50" spans="1:25" ht="15.75" customHeight="1">
      <c r="A50" s="204">
        <v>12</v>
      </c>
      <c r="B50" s="201" t="s">
        <v>229</v>
      </c>
      <c r="C50" s="267" t="s">
        <v>270</v>
      </c>
      <c r="D50" s="267" t="s">
        <v>271</v>
      </c>
      <c r="E50" s="12">
        <v>95</v>
      </c>
      <c r="F50" s="12">
        <v>5</v>
      </c>
      <c r="G50" s="65">
        <v>607000</v>
      </c>
      <c r="H50" s="66"/>
      <c r="I50" s="22"/>
      <c r="J50" s="22"/>
      <c r="K50" s="12">
        <v>4.04</v>
      </c>
      <c r="L50" s="12" t="s">
        <v>274</v>
      </c>
      <c r="M50" s="61" t="s">
        <v>279</v>
      </c>
      <c r="N50" s="12" t="s">
        <v>129</v>
      </c>
      <c r="O50" s="12">
        <v>2.5</v>
      </c>
      <c r="P50" s="12" t="s">
        <v>273</v>
      </c>
      <c r="Q50" s="12"/>
      <c r="R50" s="22"/>
      <c r="S50" s="22"/>
      <c r="T50" s="255">
        <v>97.5</v>
      </c>
      <c r="U50" s="2"/>
      <c r="V50" s="44">
        <v>92.625</v>
      </c>
      <c r="W50" s="44">
        <v>4.875</v>
      </c>
      <c r="Y50" s="45">
        <v>49</v>
      </c>
    </row>
    <row r="51" spans="1:25" ht="15.75" customHeight="1">
      <c r="A51" s="204">
        <v>12</v>
      </c>
      <c r="B51" s="201" t="s">
        <v>225</v>
      </c>
      <c r="C51" s="268" t="s">
        <v>270</v>
      </c>
      <c r="D51" s="268" t="s">
        <v>271</v>
      </c>
      <c r="E51" s="12">
        <v>95</v>
      </c>
      <c r="F51" s="12">
        <v>5</v>
      </c>
      <c r="G51" s="65">
        <v>607000</v>
      </c>
      <c r="H51" s="66"/>
      <c r="I51" s="22"/>
      <c r="J51" s="22"/>
      <c r="K51" s="12">
        <v>4.04</v>
      </c>
      <c r="L51" s="12" t="s">
        <v>273</v>
      </c>
      <c r="M51" s="12"/>
      <c r="N51" s="22"/>
      <c r="O51" s="22"/>
      <c r="P51" s="12" t="s">
        <v>273</v>
      </c>
      <c r="Q51" s="22"/>
      <c r="R51" s="22"/>
      <c r="S51" s="22"/>
      <c r="T51" s="255">
        <v>100</v>
      </c>
      <c r="U51" s="2"/>
      <c r="V51" s="44">
        <v>95</v>
      </c>
      <c r="W51" s="44">
        <v>5</v>
      </c>
      <c r="Y51" s="45">
        <v>50</v>
      </c>
    </row>
    <row r="52" spans="1:25" ht="15.75" customHeight="1">
      <c r="A52" s="204">
        <v>12</v>
      </c>
      <c r="B52" s="201" t="s">
        <v>226</v>
      </c>
      <c r="C52" s="267" t="s">
        <v>270</v>
      </c>
      <c r="D52" s="267" t="s">
        <v>271</v>
      </c>
      <c r="E52" s="12">
        <v>95</v>
      </c>
      <c r="F52" s="12">
        <v>5</v>
      </c>
      <c r="G52" s="65">
        <v>607000</v>
      </c>
      <c r="H52" s="66"/>
      <c r="I52" s="22"/>
      <c r="J52" s="22"/>
      <c r="K52" s="12">
        <v>4.04</v>
      </c>
      <c r="L52" s="12" t="s">
        <v>274</v>
      </c>
      <c r="M52" s="61" t="s">
        <v>279</v>
      </c>
      <c r="N52" s="12" t="s">
        <v>127</v>
      </c>
      <c r="O52" s="12">
        <v>1</v>
      </c>
      <c r="P52" s="12" t="s">
        <v>273</v>
      </c>
      <c r="Q52" s="12"/>
      <c r="R52" s="22"/>
      <c r="S52" s="22"/>
      <c r="T52" s="255">
        <v>99</v>
      </c>
      <c r="U52" s="2"/>
      <c r="V52" s="44">
        <v>94.05</v>
      </c>
      <c r="W52" s="44">
        <v>4.95</v>
      </c>
      <c r="Y52" s="45">
        <v>51</v>
      </c>
    </row>
    <row r="53" spans="1:25" ht="15.75" customHeight="1">
      <c r="A53" s="204">
        <v>12</v>
      </c>
      <c r="B53" s="201" t="s">
        <v>227</v>
      </c>
      <c r="C53" s="268" t="s">
        <v>270</v>
      </c>
      <c r="D53" s="268" t="s">
        <v>271</v>
      </c>
      <c r="E53" s="12">
        <v>95</v>
      </c>
      <c r="F53" s="12">
        <v>5</v>
      </c>
      <c r="G53" s="65">
        <v>607000</v>
      </c>
      <c r="H53" s="66"/>
      <c r="I53" s="22"/>
      <c r="J53" s="22"/>
      <c r="K53" s="12">
        <v>4.04</v>
      </c>
      <c r="L53" s="12" t="s">
        <v>274</v>
      </c>
      <c r="M53" s="61" t="s">
        <v>279</v>
      </c>
      <c r="N53" s="12" t="s">
        <v>129</v>
      </c>
      <c r="O53" s="12">
        <v>1</v>
      </c>
      <c r="P53" s="12" t="s">
        <v>273</v>
      </c>
      <c r="Q53" s="12"/>
      <c r="R53" s="22"/>
      <c r="S53" s="22"/>
      <c r="T53" s="255">
        <v>99</v>
      </c>
      <c r="U53" s="2"/>
      <c r="V53" s="44">
        <v>94.05</v>
      </c>
      <c r="W53" s="44">
        <v>4.95</v>
      </c>
      <c r="Y53" s="45">
        <v>52</v>
      </c>
    </row>
    <row r="54" spans="1:25" ht="15.75" customHeight="1">
      <c r="A54" s="204">
        <v>12</v>
      </c>
      <c r="B54" s="201" t="s">
        <v>228</v>
      </c>
      <c r="C54" s="267" t="s">
        <v>270</v>
      </c>
      <c r="D54" s="267" t="s">
        <v>271</v>
      </c>
      <c r="E54" s="12">
        <v>95</v>
      </c>
      <c r="F54" s="12">
        <v>5</v>
      </c>
      <c r="G54" s="65">
        <v>607000</v>
      </c>
      <c r="H54" s="66"/>
      <c r="I54" s="22"/>
      <c r="J54" s="22"/>
      <c r="K54" s="12">
        <v>4.04</v>
      </c>
      <c r="L54" s="12" t="s">
        <v>274</v>
      </c>
      <c r="M54" s="61" t="s">
        <v>279</v>
      </c>
      <c r="N54" s="12" t="s">
        <v>127</v>
      </c>
      <c r="O54" s="12">
        <v>2.5</v>
      </c>
      <c r="P54" s="12" t="s">
        <v>273</v>
      </c>
      <c r="Q54" s="12"/>
      <c r="R54" s="22"/>
      <c r="S54" s="22"/>
      <c r="T54" s="255">
        <v>97.5</v>
      </c>
      <c r="U54" s="2"/>
      <c r="V54" s="44">
        <v>92.625</v>
      </c>
      <c r="W54" s="44">
        <v>4.875</v>
      </c>
      <c r="Y54" s="45">
        <v>53</v>
      </c>
    </row>
    <row r="55" spans="1:25" ht="15.75" customHeight="1">
      <c r="A55" s="205">
        <v>12</v>
      </c>
      <c r="B55" s="202" t="s">
        <v>230</v>
      </c>
      <c r="C55" s="268" t="s">
        <v>270</v>
      </c>
      <c r="D55" s="268" t="s">
        <v>271</v>
      </c>
      <c r="E55" s="12">
        <v>95</v>
      </c>
      <c r="F55" s="12">
        <v>5</v>
      </c>
      <c r="G55" s="65">
        <v>607000</v>
      </c>
      <c r="H55" s="66"/>
      <c r="I55" s="22"/>
      <c r="J55" s="22"/>
      <c r="K55" s="12">
        <v>4.04</v>
      </c>
      <c r="L55" s="12" t="s">
        <v>274</v>
      </c>
      <c r="M55" s="61" t="s">
        <v>279</v>
      </c>
      <c r="N55" s="12" t="s">
        <v>129</v>
      </c>
      <c r="O55" s="12">
        <v>2.5</v>
      </c>
      <c r="P55" s="27" t="s">
        <v>273</v>
      </c>
      <c r="Q55" s="12"/>
      <c r="R55" s="22"/>
      <c r="S55" s="22"/>
      <c r="T55" s="255">
        <v>97.5</v>
      </c>
      <c r="U55" s="2"/>
      <c r="V55" s="44">
        <v>92.625</v>
      </c>
      <c r="W55" s="44">
        <v>4.875</v>
      </c>
      <c r="Y55" s="45">
        <v>54</v>
      </c>
    </row>
    <row r="56" spans="1:25" ht="15.75" customHeight="1">
      <c r="A56" s="204">
        <v>13</v>
      </c>
      <c r="B56" s="201">
        <v>1</v>
      </c>
      <c r="C56" s="245" t="s">
        <v>270</v>
      </c>
      <c r="D56" s="245" t="s">
        <v>271</v>
      </c>
      <c r="E56" s="227">
        <v>84</v>
      </c>
      <c r="F56" s="222">
        <v>16</v>
      </c>
      <c r="G56" s="224">
        <v>2800000</v>
      </c>
      <c r="H56" s="224">
        <v>1960000</v>
      </c>
      <c r="I56" s="222"/>
      <c r="J56" s="222"/>
      <c r="K56" s="222">
        <v>1.43</v>
      </c>
      <c r="L56" s="227" t="s">
        <v>273</v>
      </c>
      <c r="M56" s="227"/>
      <c r="N56" s="222"/>
      <c r="O56" s="222"/>
      <c r="P56" s="12" t="s">
        <v>273</v>
      </c>
      <c r="Q56" s="222"/>
      <c r="R56" s="222"/>
      <c r="S56" s="222"/>
      <c r="T56" s="258">
        <v>100</v>
      </c>
      <c r="V56" s="44">
        <v>84</v>
      </c>
      <c r="W56" s="44">
        <v>16</v>
      </c>
      <c r="Y56" s="45">
        <v>55</v>
      </c>
    </row>
    <row r="57" spans="1:25" ht="15.75" customHeight="1">
      <c r="A57" s="204">
        <v>13</v>
      </c>
      <c r="B57" s="201">
        <v>2</v>
      </c>
      <c r="C57" s="268" t="s">
        <v>270</v>
      </c>
      <c r="D57" s="268" t="s">
        <v>271</v>
      </c>
      <c r="E57" s="12">
        <v>82</v>
      </c>
      <c r="F57" s="22">
        <v>18</v>
      </c>
      <c r="G57" s="24">
        <v>867000</v>
      </c>
      <c r="H57" s="24">
        <v>798000</v>
      </c>
      <c r="I57" s="22"/>
      <c r="J57" s="22"/>
      <c r="K57" s="22">
        <v>1.0900000000000001</v>
      </c>
      <c r="L57" s="12" t="s">
        <v>273</v>
      </c>
      <c r="M57" s="12"/>
      <c r="N57" s="22"/>
      <c r="O57" s="22"/>
      <c r="P57" s="12" t="s">
        <v>273</v>
      </c>
      <c r="Q57" s="22"/>
      <c r="R57" s="22"/>
      <c r="S57" s="22"/>
      <c r="T57" s="255">
        <v>100</v>
      </c>
      <c r="V57" s="44">
        <v>82</v>
      </c>
      <c r="W57" s="44">
        <v>18</v>
      </c>
      <c r="Y57" s="45">
        <v>56</v>
      </c>
    </row>
    <row r="58" spans="1:25" ht="15.75" customHeight="1">
      <c r="A58" s="204">
        <v>13</v>
      </c>
      <c r="B58" s="201">
        <v>3</v>
      </c>
      <c r="C58" s="267" t="s">
        <v>270</v>
      </c>
      <c r="D58" s="267" t="s">
        <v>271</v>
      </c>
      <c r="E58" s="12">
        <v>81</v>
      </c>
      <c r="F58" s="22">
        <v>19</v>
      </c>
      <c r="G58" s="24">
        <v>696000</v>
      </c>
      <c r="H58" s="24">
        <v>645000</v>
      </c>
      <c r="I58" s="22"/>
      <c r="J58" s="22"/>
      <c r="K58" s="22">
        <v>1.08</v>
      </c>
      <c r="L58" s="12" t="s">
        <v>273</v>
      </c>
      <c r="M58" s="12"/>
      <c r="N58" s="22"/>
      <c r="O58" s="22"/>
      <c r="P58" s="12" t="s">
        <v>273</v>
      </c>
      <c r="Q58" s="22"/>
      <c r="R58" s="22"/>
      <c r="S58" s="22"/>
      <c r="T58" s="255">
        <v>100</v>
      </c>
      <c r="V58" s="44">
        <v>81</v>
      </c>
      <c r="W58" s="44">
        <v>19</v>
      </c>
      <c r="Y58" s="45">
        <v>57</v>
      </c>
    </row>
    <row r="59" spans="1:25" ht="15.75" customHeight="1">
      <c r="A59" s="204">
        <v>13</v>
      </c>
      <c r="B59" s="201">
        <v>4</v>
      </c>
      <c r="C59" s="268" t="s">
        <v>270</v>
      </c>
      <c r="D59" s="268" t="s">
        <v>271</v>
      </c>
      <c r="E59" s="12">
        <v>77</v>
      </c>
      <c r="F59" s="22">
        <v>23</v>
      </c>
      <c r="G59" s="24">
        <v>854000</v>
      </c>
      <c r="H59" s="24">
        <v>752000</v>
      </c>
      <c r="I59" s="22"/>
      <c r="J59" s="22"/>
      <c r="K59" s="22">
        <v>1.1399999999999999</v>
      </c>
      <c r="L59" s="12" t="s">
        <v>273</v>
      </c>
      <c r="M59" s="12"/>
      <c r="N59" s="22"/>
      <c r="O59" s="22"/>
      <c r="P59" s="12" t="s">
        <v>273</v>
      </c>
      <c r="Q59" s="22"/>
      <c r="R59" s="22"/>
      <c r="S59" s="22"/>
      <c r="T59" s="255">
        <v>100</v>
      </c>
      <c r="V59" s="44">
        <v>77</v>
      </c>
      <c r="W59" s="44">
        <v>23</v>
      </c>
      <c r="Y59" s="45">
        <v>58</v>
      </c>
    </row>
    <row r="60" spans="1:25" ht="15.75" customHeight="1">
      <c r="A60" s="204">
        <v>13</v>
      </c>
      <c r="B60" s="201">
        <v>5</v>
      </c>
      <c r="C60" s="267" t="s">
        <v>270</v>
      </c>
      <c r="D60" s="267" t="s">
        <v>271</v>
      </c>
      <c r="E60" s="12">
        <v>76</v>
      </c>
      <c r="F60" s="22">
        <v>24</v>
      </c>
      <c r="G60" s="24">
        <v>649000</v>
      </c>
      <c r="H60" s="24">
        <v>599000</v>
      </c>
      <c r="I60" s="22"/>
      <c r="J60" s="22"/>
      <c r="K60" s="22">
        <v>1.08</v>
      </c>
      <c r="L60" s="12" t="s">
        <v>273</v>
      </c>
      <c r="M60" s="12"/>
      <c r="N60" s="22"/>
      <c r="O60" s="22"/>
      <c r="P60" s="12" t="s">
        <v>273</v>
      </c>
      <c r="Q60" s="22"/>
      <c r="R60" s="22"/>
      <c r="S60" s="22"/>
      <c r="T60" s="255">
        <v>100</v>
      </c>
      <c r="V60" s="44">
        <v>76</v>
      </c>
      <c r="W60" s="44">
        <v>24</v>
      </c>
      <c r="Y60" s="45">
        <v>59</v>
      </c>
    </row>
    <row r="61" spans="1:25" ht="15.75" customHeight="1">
      <c r="A61" s="204">
        <v>13</v>
      </c>
      <c r="B61" s="201">
        <v>6</v>
      </c>
      <c r="C61" s="268" t="s">
        <v>270</v>
      </c>
      <c r="D61" s="268" t="s">
        <v>271</v>
      </c>
      <c r="E61" s="12">
        <v>77</v>
      </c>
      <c r="F61" s="22">
        <v>23</v>
      </c>
      <c r="G61" s="24">
        <v>686000</v>
      </c>
      <c r="H61" s="24">
        <v>640000</v>
      </c>
      <c r="I61" s="22"/>
      <c r="J61" s="22"/>
      <c r="K61" s="22">
        <v>1.07</v>
      </c>
      <c r="L61" s="12" t="s">
        <v>273</v>
      </c>
      <c r="M61" s="12"/>
      <c r="N61" s="22"/>
      <c r="O61" s="22"/>
      <c r="P61" s="12" t="s">
        <v>273</v>
      </c>
      <c r="Q61" s="22"/>
      <c r="R61" s="22"/>
      <c r="S61" s="22"/>
      <c r="T61" s="255">
        <v>100</v>
      </c>
      <c r="V61" s="44">
        <v>77</v>
      </c>
      <c r="W61" s="44">
        <v>23</v>
      </c>
      <c r="Y61" s="45">
        <v>60</v>
      </c>
    </row>
    <row r="62" spans="1:25" ht="15.75" customHeight="1">
      <c r="A62" s="204">
        <v>13</v>
      </c>
      <c r="B62" s="201">
        <v>7</v>
      </c>
      <c r="C62" s="267" t="s">
        <v>270</v>
      </c>
      <c r="D62" s="267" t="s">
        <v>271</v>
      </c>
      <c r="E62" s="12">
        <v>78</v>
      </c>
      <c r="F62" s="22">
        <v>22</v>
      </c>
      <c r="G62" s="24">
        <v>845000</v>
      </c>
      <c r="H62" s="24">
        <v>796000</v>
      </c>
      <c r="I62" s="22"/>
      <c r="J62" s="22"/>
      <c r="K62" s="22">
        <v>1.06</v>
      </c>
      <c r="L62" s="12" t="s">
        <v>273</v>
      </c>
      <c r="M62" s="12"/>
      <c r="N62" s="22"/>
      <c r="O62" s="22"/>
      <c r="P62" s="12" t="s">
        <v>273</v>
      </c>
      <c r="Q62" s="22"/>
      <c r="R62" s="22"/>
      <c r="S62" s="22"/>
      <c r="T62" s="255">
        <v>100</v>
      </c>
      <c r="V62" s="44">
        <v>78</v>
      </c>
      <c r="W62" s="44">
        <v>22</v>
      </c>
      <c r="Y62" s="45">
        <v>61</v>
      </c>
    </row>
    <row r="63" spans="1:25" ht="15.75" customHeight="1">
      <c r="A63" s="205">
        <v>13</v>
      </c>
      <c r="B63" s="202">
        <v>8</v>
      </c>
      <c r="C63" s="268" t="s">
        <v>270</v>
      </c>
      <c r="D63" s="268" t="s">
        <v>271</v>
      </c>
      <c r="E63" s="27">
        <v>79</v>
      </c>
      <c r="F63" s="30">
        <v>21</v>
      </c>
      <c r="G63" s="31">
        <v>1130000</v>
      </c>
      <c r="H63" s="31">
        <v>1010000</v>
      </c>
      <c r="I63" s="30"/>
      <c r="J63" s="30"/>
      <c r="K63" s="30">
        <v>1.1200000000000001</v>
      </c>
      <c r="L63" s="27" t="s">
        <v>273</v>
      </c>
      <c r="M63" s="27"/>
      <c r="N63" s="30"/>
      <c r="O63" s="30"/>
      <c r="P63" s="27" t="s">
        <v>273</v>
      </c>
      <c r="Q63" s="30"/>
      <c r="R63" s="30"/>
      <c r="S63" s="30"/>
      <c r="T63" s="256">
        <v>100</v>
      </c>
      <c r="V63" s="44">
        <v>79</v>
      </c>
      <c r="W63" s="44">
        <v>21</v>
      </c>
      <c r="Y63" s="45">
        <v>62</v>
      </c>
    </row>
    <row r="64" spans="1:25" ht="15.75" customHeight="1">
      <c r="A64" s="204">
        <v>14</v>
      </c>
      <c r="B64" s="201">
        <v>1</v>
      </c>
      <c r="C64" s="245" t="s">
        <v>270</v>
      </c>
      <c r="D64" s="245" t="s">
        <v>271</v>
      </c>
      <c r="E64" s="227">
        <v>88</v>
      </c>
      <c r="F64" s="227">
        <v>12</v>
      </c>
      <c r="G64" s="224">
        <v>65116</v>
      </c>
      <c r="H64" s="266"/>
      <c r="I64" s="222"/>
      <c r="J64" s="222"/>
      <c r="K64" s="222"/>
      <c r="L64" s="227" t="s">
        <v>273</v>
      </c>
      <c r="M64" s="227"/>
      <c r="N64" s="222"/>
      <c r="O64" s="222"/>
      <c r="P64" s="12" t="s">
        <v>273</v>
      </c>
      <c r="Q64" s="222"/>
      <c r="R64" s="222"/>
      <c r="S64" s="227"/>
      <c r="T64" s="258">
        <v>100</v>
      </c>
      <c r="V64" s="44">
        <v>88</v>
      </c>
      <c r="W64" s="44">
        <v>12</v>
      </c>
      <c r="Y64" s="45">
        <v>63</v>
      </c>
    </row>
    <row r="65" spans="1:25" ht="15.75" customHeight="1">
      <c r="A65" s="204">
        <v>14</v>
      </c>
      <c r="B65" s="201">
        <v>2</v>
      </c>
      <c r="C65" s="268" t="s">
        <v>270</v>
      </c>
      <c r="D65" s="268" t="s">
        <v>271</v>
      </c>
      <c r="E65" s="12">
        <v>88</v>
      </c>
      <c r="F65" s="12">
        <v>12</v>
      </c>
      <c r="G65" s="24">
        <v>65116</v>
      </c>
      <c r="H65" s="66"/>
      <c r="I65" s="22"/>
      <c r="J65" s="22"/>
      <c r="K65" s="22"/>
      <c r="L65" s="12" t="s">
        <v>274</v>
      </c>
      <c r="M65" s="22" t="s">
        <v>279</v>
      </c>
      <c r="N65" s="12" t="s">
        <v>131</v>
      </c>
      <c r="O65" s="22">
        <v>0.5</v>
      </c>
      <c r="P65" s="12" t="s">
        <v>273</v>
      </c>
      <c r="Q65" s="22"/>
      <c r="R65" s="22"/>
      <c r="S65" s="22"/>
      <c r="T65" s="269">
        <v>99.5</v>
      </c>
      <c r="V65" s="44">
        <v>87.56</v>
      </c>
      <c r="W65" s="44">
        <v>11.94</v>
      </c>
      <c r="Y65" s="45">
        <v>64</v>
      </c>
    </row>
    <row r="66" spans="1:25" ht="15.75" customHeight="1">
      <c r="A66" s="204">
        <v>14</v>
      </c>
      <c r="B66" s="201">
        <v>3</v>
      </c>
      <c r="C66" s="268" t="s">
        <v>270</v>
      </c>
      <c r="D66" s="268" t="s">
        <v>271</v>
      </c>
      <c r="E66" s="12">
        <v>88</v>
      </c>
      <c r="F66" s="12">
        <v>12</v>
      </c>
      <c r="G66" s="24">
        <v>65116</v>
      </c>
      <c r="H66" s="66"/>
      <c r="I66" s="22"/>
      <c r="J66" s="22"/>
      <c r="K66" s="22"/>
      <c r="L66" s="12" t="s">
        <v>274</v>
      </c>
      <c r="M66" s="22" t="s">
        <v>279</v>
      </c>
      <c r="N66" s="12" t="s">
        <v>131</v>
      </c>
      <c r="O66" s="22">
        <v>1.2</v>
      </c>
      <c r="P66" s="12" t="s">
        <v>273</v>
      </c>
      <c r="Q66" s="22"/>
      <c r="R66" s="22"/>
      <c r="S66" s="22"/>
      <c r="T66" s="269">
        <v>98.8</v>
      </c>
      <c r="V66" s="44">
        <v>86.944000000000003</v>
      </c>
      <c r="W66" s="44">
        <v>11.856</v>
      </c>
      <c r="Y66" s="45">
        <v>65</v>
      </c>
    </row>
    <row r="67" spans="1:25" ht="15.75" customHeight="1">
      <c r="A67" s="204">
        <v>14</v>
      </c>
      <c r="B67" s="201">
        <v>4</v>
      </c>
      <c r="C67" s="268" t="s">
        <v>270</v>
      </c>
      <c r="D67" s="268" t="s">
        <v>271</v>
      </c>
      <c r="E67" s="12">
        <v>88</v>
      </c>
      <c r="F67" s="12">
        <v>12</v>
      </c>
      <c r="G67" s="24">
        <v>65116</v>
      </c>
      <c r="H67" s="66"/>
      <c r="I67" s="22"/>
      <c r="J67" s="22"/>
      <c r="K67" s="22"/>
      <c r="L67" s="12" t="s">
        <v>274</v>
      </c>
      <c r="M67" s="22" t="s">
        <v>279</v>
      </c>
      <c r="N67" s="12" t="s">
        <v>131</v>
      </c>
      <c r="O67" s="22">
        <v>2</v>
      </c>
      <c r="P67" s="12" t="s">
        <v>273</v>
      </c>
      <c r="Q67" s="22"/>
      <c r="R67" s="22"/>
      <c r="S67" s="22"/>
      <c r="T67" s="269">
        <v>98</v>
      </c>
      <c r="V67" s="44">
        <v>86.24</v>
      </c>
      <c r="W67" s="44">
        <v>11.76</v>
      </c>
      <c r="Y67" s="45">
        <v>66</v>
      </c>
    </row>
    <row r="68" spans="1:25" ht="15.75" customHeight="1">
      <c r="A68" s="204">
        <v>14</v>
      </c>
      <c r="B68" s="201">
        <v>5</v>
      </c>
      <c r="C68" s="268" t="s">
        <v>270</v>
      </c>
      <c r="D68" s="268" t="s">
        <v>271</v>
      </c>
      <c r="E68" s="12">
        <v>88</v>
      </c>
      <c r="F68" s="12">
        <v>12</v>
      </c>
      <c r="G68" s="24">
        <v>65116</v>
      </c>
      <c r="H68" s="66"/>
      <c r="I68" s="22"/>
      <c r="J68" s="22"/>
      <c r="K68" s="22"/>
      <c r="L68" s="12" t="s">
        <v>274</v>
      </c>
      <c r="M68" s="22" t="s">
        <v>279</v>
      </c>
      <c r="N68" s="12" t="s">
        <v>131</v>
      </c>
      <c r="O68" s="22">
        <v>2.2999999999999998</v>
      </c>
      <c r="P68" s="12" t="s">
        <v>273</v>
      </c>
      <c r="Q68" s="22"/>
      <c r="R68" s="22"/>
      <c r="S68" s="22"/>
      <c r="T68" s="269">
        <v>97.7</v>
      </c>
      <c r="V68" s="44">
        <v>85.975999999999999</v>
      </c>
      <c r="W68" s="44">
        <v>11.724</v>
      </c>
      <c r="Y68" s="45">
        <v>67</v>
      </c>
    </row>
    <row r="69" spans="1:25" ht="15.75" customHeight="1">
      <c r="A69" s="204">
        <v>14</v>
      </c>
      <c r="B69" s="201">
        <v>6</v>
      </c>
      <c r="C69" s="268" t="s">
        <v>270</v>
      </c>
      <c r="D69" s="268" t="s">
        <v>271</v>
      </c>
      <c r="E69" s="12">
        <v>88</v>
      </c>
      <c r="F69" s="12">
        <v>12</v>
      </c>
      <c r="G69" s="24">
        <v>65116</v>
      </c>
      <c r="H69" s="66"/>
      <c r="I69" s="22"/>
      <c r="J69" s="22"/>
      <c r="K69" s="22"/>
      <c r="L69" s="12" t="s">
        <v>274</v>
      </c>
      <c r="M69" s="22" t="s">
        <v>279</v>
      </c>
      <c r="N69" s="12" t="s">
        <v>131</v>
      </c>
      <c r="O69" s="22">
        <v>2.9</v>
      </c>
      <c r="P69" s="12" t="s">
        <v>273</v>
      </c>
      <c r="Q69" s="22"/>
      <c r="R69" s="22"/>
      <c r="S69" s="22"/>
      <c r="T69" s="269">
        <v>97.1</v>
      </c>
      <c r="V69" s="44">
        <v>85.447999999999993</v>
      </c>
      <c r="W69" s="44">
        <v>11.651999999999997</v>
      </c>
      <c r="Y69" s="45">
        <v>68</v>
      </c>
    </row>
    <row r="70" spans="1:25" ht="15.75" customHeight="1">
      <c r="A70" s="204">
        <v>14</v>
      </c>
      <c r="B70" s="201">
        <v>7</v>
      </c>
      <c r="C70" s="268" t="s">
        <v>270</v>
      </c>
      <c r="D70" s="268" t="s">
        <v>271</v>
      </c>
      <c r="E70" s="12">
        <v>88</v>
      </c>
      <c r="F70" s="12">
        <v>12</v>
      </c>
      <c r="G70" s="24">
        <v>65116</v>
      </c>
      <c r="H70" s="66"/>
      <c r="I70" s="22"/>
      <c r="J70" s="22"/>
      <c r="K70" s="22"/>
      <c r="L70" s="12" t="s">
        <v>274</v>
      </c>
      <c r="M70" s="22" t="s">
        <v>279</v>
      </c>
      <c r="N70" s="12" t="s">
        <v>131</v>
      </c>
      <c r="O70" s="22">
        <v>3.3</v>
      </c>
      <c r="P70" s="12" t="s">
        <v>273</v>
      </c>
      <c r="Q70" s="22"/>
      <c r="R70" s="22"/>
      <c r="S70" s="22"/>
      <c r="T70" s="269">
        <v>96.7</v>
      </c>
      <c r="V70" s="44">
        <v>85.096000000000004</v>
      </c>
      <c r="W70" s="44">
        <v>11.604000000000001</v>
      </c>
      <c r="Y70" s="45">
        <v>69</v>
      </c>
    </row>
    <row r="71" spans="1:25" ht="15.75" customHeight="1">
      <c r="A71" s="204">
        <v>14</v>
      </c>
      <c r="B71" s="201">
        <v>8</v>
      </c>
      <c r="C71" s="268" t="s">
        <v>270</v>
      </c>
      <c r="D71" s="268" t="s">
        <v>271</v>
      </c>
      <c r="E71" s="12">
        <v>88</v>
      </c>
      <c r="F71" s="12">
        <v>12</v>
      </c>
      <c r="G71" s="24">
        <v>65116</v>
      </c>
      <c r="H71" s="66"/>
      <c r="I71" s="22"/>
      <c r="J71" s="22"/>
      <c r="K71" s="22"/>
      <c r="L71" s="12" t="s">
        <v>274</v>
      </c>
      <c r="M71" s="22" t="s">
        <v>279</v>
      </c>
      <c r="N71" s="12" t="s">
        <v>131</v>
      </c>
      <c r="O71" s="22">
        <v>3.6</v>
      </c>
      <c r="P71" s="12" t="s">
        <v>273</v>
      </c>
      <c r="Q71" s="22"/>
      <c r="R71" s="22"/>
      <c r="S71" s="22"/>
      <c r="T71" s="269">
        <v>96.4</v>
      </c>
      <c r="V71" s="44">
        <v>84.832000000000008</v>
      </c>
      <c r="W71" s="44">
        <v>11.568000000000001</v>
      </c>
      <c r="Y71" s="45">
        <v>70</v>
      </c>
    </row>
    <row r="72" spans="1:25" ht="15.75" customHeight="1">
      <c r="A72" s="204">
        <v>14</v>
      </c>
      <c r="B72" s="201">
        <v>9</v>
      </c>
      <c r="C72" s="268" t="s">
        <v>270</v>
      </c>
      <c r="D72" s="268" t="s">
        <v>271</v>
      </c>
      <c r="E72" s="12">
        <v>88</v>
      </c>
      <c r="F72" s="12">
        <v>12</v>
      </c>
      <c r="G72" s="24">
        <v>65116</v>
      </c>
      <c r="H72" s="66"/>
      <c r="I72" s="22"/>
      <c r="J72" s="22"/>
      <c r="K72" s="22"/>
      <c r="L72" s="12" t="s">
        <v>274</v>
      </c>
      <c r="M72" s="22" t="s">
        <v>279</v>
      </c>
      <c r="N72" s="12" t="s">
        <v>131</v>
      </c>
      <c r="O72" s="22">
        <v>4.2</v>
      </c>
      <c r="P72" s="12" t="s">
        <v>273</v>
      </c>
      <c r="Q72" s="22"/>
      <c r="R72" s="22"/>
      <c r="S72" s="22"/>
      <c r="T72" s="269">
        <v>95.8</v>
      </c>
      <c r="V72" s="44">
        <v>84.304000000000002</v>
      </c>
      <c r="W72" s="44">
        <v>11.495999999999999</v>
      </c>
      <c r="Y72" s="45">
        <v>71</v>
      </c>
    </row>
    <row r="73" spans="1:25" ht="15.75" customHeight="1">
      <c r="A73" s="204">
        <v>14</v>
      </c>
      <c r="B73" s="201">
        <v>10</v>
      </c>
      <c r="C73" s="270" t="s">
        <v>270</v>
      </c>
      <c r="D73" s="270" t="s">
        <v>271</v>
      </c>
      <c r="E73" s="12">
        <v>88</v>
      </c>
      <c r="F73" s="12">
        <v>12</v>
      </c>
      <c r="G73" s="24">
        <v>65116</v>
      </c>
      <c r="H73" s="66"/>
      <c r="I73" s="22"/>
      <c r="J73" s="22"/>
      <c r="K73" s="22"/>
      <c r="L73" s="12" t="s">
        <v>274</v>
      </c>
      <c r="M73" s="30" t="s">
        <v>279</v>
      </c>
      <c r="N73" s="27" t="s">
        <v>131</v>
      </c>
      <c r="O73" s="22">
        <v>4.5999999999999996</v>
      </c>
      <c r="P73" s="27" t="s">
        <v>273</v>
      </c>
      <c r="Q73" s="22"/>
      <c r="R73" s="22"/>
      <c r="S73" s="22"/>
      <c r="T73" s="269">
        <v>95.4</v>
      </c>
      <c r="V73" s="44">
        <v>83.952000000000012</v>
      </c>
      <c r="W73" s="44">
        <v>11.448000000000002</v>
      </c>
      <c r="Y73" s="45">
        <v>72</v>
      </c>
    </row>
    <row r="74" spans="1:25" ht="15.75" customHeight="1">
      <c r="A74" s="203">
        <v>15</v>
      </c>
      <c r="B74" s="200">
        <v>1</v>
      </c>
      <c r="C74" s="268" t="s">
        <v>270</v>
      </c>
      <c r="D74" s="268" t="s">
        <v>271</v>
      </c>
      <c r="E74" s="227">
        <v>88</v>
      </c>
      <c r="F74" s="222">
        <v>12</v>
      </c>
      <c r="G74" s="266"/>
      <c r="H74" s="266"/>
      <c r="I74" s="222"/>
      <c r="J74" s="222"/>
      <c r="K74" s="222"/>
      <c r="L74" s="227" t="s">
        <v>273</v>
      </c>
      <c r="M74" s="12"/>
      <c r="N74" s="12"/>
      <c r="O74" s="222"/>
      <c r="P74" s="12" t="s">
        <v>273</v>
      </c>
      <c r="Q74" s="222"/>
      <c r="R74" s="222"/>
      <c r="S74" s="222"/>
      <c r="T74" s="271">
        <v>100</v>
      </c>
      <c r="U74" s="2"/>
      <c r="V74" s="44">
        <v>88</v>
      </c>
      <c r="W74" s="44">
        <v>12</v>
      </c>
      <c r="Y74" s="45">
        <v>73</v>
      </c>
    </row>
    <row r="75" spans="1:25" ht="15.75" customHeight="1">
      <c r="A75" s="204">
        <v>15</v>
      </c>
      <c r="B75" s="201">
        <v>2</v>
      </c>
      <c r="C75" s="268" t="s">
        <v>270</v>
      </c>
      <c r="D75" s="268" t="s">
        <v>271</v>
      </c>
      <c r="E75" s="12">
        <v>88</v>
      </c>
      <c r="F75" s="22">
        <v>12</v>
      </c>
      <c r="G75" s="66"/>
      <c r="H75" s="66"/>
      <c r="I75" s="22"/>
      <c r="J75" s="22"/>
      <c r="K75" s="22"/>
      <c r="L75" s="12" t="s">
        <v>274</v>
      </c>
      <c r="M75" s="61" t="s">
        <v>279</v>
      </c>
      <c r="N75" s="12" t="s">
        <v>131</v>
      </c>
      <c r="O75" s="22">
        <v>1.5</v>
      </c>
      <c r="P75" s="12" t="s">
        <v>273</v>
      </c>
      <c r="Q75" s="22"/>
      <c r="R75" s="22"/>
      <c r="S75" s="22"/>
      <c r="T75" s="269">
        <v>98.5</v>
      </c>
      <c r="U75" s="2"/>
      <c r="V75" s="44">
        <v>86.68</v>
      </c>
      <c r="W75" s="44">
        <v>11.82</v>
      </c>
      <c r="Y75" s="45">
        <v>74</v>
      </c>
    </row>
    <row r="76" spans="1:25" ht="15.75" customHeight="1">
      <c r="A76" s="204">
        <v>15</v>
      </c>
      <c r="B76" s="201">
        <v>3</v>
      </c>
      <c r="C76" s="268" t="s">
        <v>270</v>
      </c>
      <c r="D76" s="268" t="s">
        <v>271</v>
      </c>
      <c r="E76" s="12">
        <v>88</v>
      </c>
      <c r="F76" s="22">
        <v>12</v>
      </c>
      <c r="G76" s="66"/>
      <c r="H76" s="66"/>
      <c r="I76" s="22"/>
      <c r="J76" s="22"/>
      <c r="K76" s="22"/>
      <c r="L76" s="12" t="s">
        <v>274</v>
      </c>
      <c r="M76" s="61" t="s">
        <v>279</v>
      </c>
      <c r="N76" s="12" t="s">
        <v>131</v>
      </c>
      <c r="O76" s="22">
        <v>2</v>
      </c>
      <c r="P76" s="12" t="s">
        <v>273</v>
      </c>
      <c r="Q76" s="22"/>
      <c r="R76" s="22"/>
      <c r="S76" s="22"/>
      <c r="T76" s="269">
        <v>98</v>
      </c>
      <c r="U76" s="2"/>
      <c r="V76" s="44">
        <v>86.24</v>
      </c>
      <c r="W76" s="44">
        <v>11.76</v>
      </c>
      <c r="Y76" s="45">
        <v>75</v>
      </c>
    </row>
    <row r="77" spans="1:25" ht="15.75" customHeight="1">
      <c r="A77" s="204">
        <v>15</v>
      </c>
      <c r="B77" s="201">
        <v>4</v>
      </c>
      <c r="C77" s="268" t="s">
        <v>270</v>
      </c>
      <c r="D77" s="268" t="s">
        <v>271</v>
      </c>
      <c r="E77" s="12">
        <v>88</v>
      </c>
      <c r="F77" s="22">
        <v>12</v>
      </c>
      <c r="G77" s="66"/>
      <c r="H77" s="66"/>
      <c r="I77" s="22"/>
      <c r="J77" s="22"/>
      <c r="K77" s="22"/>
      <c r="L77" s="12" t="s">
        <v>274</v>
      </c>
      <c r="M77" s="61" t="s">
        <v>279</v>
      </c>
      <c r="N77" s="12" t="s">
        <v>131</v>
      </c>
      <c r="O77" s="22">
        <v>3</v>
      </c>
      <c r="P77" s="12" t="s">
        <v>273</v>
      </c>
      <c r="Q77" s="22"/>
      <c r="R77" s="22"/>
      <c r="S77" s="22"/>
      <c r="T77" s="269">
        <v>97</v>
      </c>
      <c r="U77" s="2"/>
      <c r="V77" s="44">
        <v>85.36</v>
      </c>
      <c r="W77" s="44">
        <v>11.64</v>
      </c>
      <c r="Y77" s="45">
        <v>76</v>
      </c>
    </row>
    <row r="78" spans="1:25" ht="15.75" customHeight="1">
      <c r="A78" s="204">
        <v>15</v>
      </c>
      <c r="B78" s="201">
        <v>5</v>
      </c>
      <c r="C78" s="268" t="s">
        <v>270</v>
      </c>
      <c r="D78" s="268" t="s">
        <v>271</v>
      </c>
      <c r="E78" s="12">
        <v>88</v>
      </c>
      <c r="F78" s="22">
        <v>12</v>
      </c>
      <c r="G78" s="66"/>
      <c r="H78" s="66"/>
      <c r="I78" s="22"/>
      <c r="J78" s="22"/>
      <c r="K78" s="22"/>
      <c r="L78" s="12" t="s">
        <v>274</v>
      </c>
      <c r="M78" s="61" t="s">
        <v>279</v>
      </c>
      <c r="N78" s="12" t="s">
        <v>131</v>
      </c>
      <c r="O78" s="22">
        <v>4</v>
      </c>
      <c r="P78" s="12" t="s">
        <v>273</v>
      </c>
      <c r="Q78" s="22"/>
      <c r="R78" s="22"/>
      <c r="S78" s="22"/>
      <c r="T78" s="269">
        <v>96</v>
      </c>
      <c r="U78" s="2"/>
      <c r="V78" s="44">
        <v>84.48</v>
      </c>
      <c r="W78" s="44">
        <v>11.52</v>
      </c>
      <c r="Y78" s="45">
        <v>77</v>
      </c>
    </row>
    <row r="79" spans="1:25" ht="15.75" customHeight="1">
      <c r="A79" s="204">
        <v>15</v>
      </c>
      <c r="B79" s="201">
        <v>6</v>
      </c>
      <c r="C79" s="268" t="s">
        <v>270</v>
      </c>
      <c r="D79" s="268" t="s">
        <v>271</v>
      </c>
      <c r="E79" s="12">
        <v>88</v>
      </c>
      <c r="F79" s="22">
        <v>12</v>
      </c>
      <c r="G79" s="66"/>
      <c r="H79" s="66"/>
      <c r="I79" s="22"/>
      <c r="J79" s="22"/>
      <c r="K79" s="22"/>
      <c r="L79" s="12" t="s">
        <v>274</v>
      </c>
      <c r="M79" s="61" t="s">
        <v>279</v>
      </c>
      <c r="N79" s="12" t="s">
        <v>131</v>
      </c>
      <c r="O79" s="22">
        <v>5</v>
      </c>
      <c r="P79" s="27" t="s">
        <v>273</v>
      </c>
      <c r="Q79" s="22"/>
      <c r="R79" s="22"/>
      <c r="S79" s="22"/>
      <c r="T79" s="269">
        <v>95</v>
      </c>
      <c r="U79" s="2"/>
      <c r="V79" s="44">
        <v>83.6</v>
      </c>
      <c r="W79" s="44">
        <v>11.4</v>
      </c>
      <c r="Y79" s="45">
        <v>78</v>
      </c>
    </row>
    <row r="80" spans="1:25" ht="15.75" customHeight="1">
      <c r="A80" s="199">
        <v>16</v>
      </c>
      <c r="B80" s="74">
        <v>1</v>
      </c>
      <c r="C80" s="251" t="s">
        <v>270</v>
      </c>
      <c r="D80" s="251" t="s">
        <v>271</v>
      </c>
      <c r="E80" s="227">
        <v>88</v>
      </c>
      <c r="F80" s="222">
        <v>12</v>
      </c>
      <c r="G80" s="261"/>
      <c r="H80" s="222"/>
      <c r="I80" s="222"/>
      <c r="J80" s="222"/>
      <c r="K80" s="222"/>
      <c r="L80" s="222" t="s">
        <v>273</v>
      </c>
      <c r="M80" s="222"/>
      <c r="N80" s="222"/>
      <c r="O80" s="222"/>
      <c r="P80" s="12" t="s">
        <v>273</v>
      </c>
      <c r="Q80" s="222"/>
      <c r="R80" s="222"/>
      <c r="S80" s="222"/>
      <c r="T80" s="271">
        <v>100</v>
      </c>
      <c r="U80" s="2"/>
      <c r="V80" s="44">
        <v>88</v>
      </c>
      <c r="W80" s="44">
        <v>12</v>
      </c>
      <c r="Y80" s="45">
        <v>79</v>
      </c>
    </row>
    <row r="81" spans="1:25" ht="15.75" customHeight="1">
      <c r="A81" s="196">
        <v>16</v>
      </c>
      <c r="B81" s="75">
        <v>2</v>
      </c>
      <c r="C81" s="268" t="s">
        <v>270</v>
      </c>
      <c r="D81" s="268" t="s">
        <v>271</v>
      </c>
      <c r="E81" s="12">
        <v>88</v>
      </c>
      <c r="F81" s="22">
        <v>12</v>
      </c>
      <c r="G81" s="58"/>
      <c r="H81" s="22"/>
      <c r="I81" s="22"/>
      <c r="J81" s="22"/>
      <c r="K81" s="22"/>
      <c r="L81" s="12" t="s">
        <v>274</v>
      </c>
      <c r="M81" s="61" t="s">
        <v>279</v>
      </c>
      <c r="N81" s="12" t="s">
        <v>131</v>
      </c>
      <c r="O81" s="22">
        <v>1</v>
      </c>
      <c r="P81" s="12" t="s">
        <v>273</v>
      </c>
      <c r="Q81" s="22"/>
      <c r="R81" s="22"/>
      <c r="S81" s="22"/>
      <c r="T81" s="269">
        <v>99</v>
      </c>
      <c r="U81" s="2"/>
      <c r="V81" s="44">
        <v>87.12</v>
      </c>
      <c r="W81" s="44">
        <v>11.88</v>
      </c>
      <c r="Y81" s="45">
        <v>80</v>
      </c>
    </row>
    <row r="82" spans="1:25" ht="15.75" customHeight="1">
      <c r="A82" s="228">
        <v>16</v>
      </c>
      <c r="B82" s="75">
        <v>3</v>
      </c>
      <c r="C82" s="268" t="s">
        <v>270</v>
      </c>
      <c r="D82" s="268" t="s">
        <v>271</v>
      </c>
      <c r="E82" s="12">
        <v>88</v>
      </c>
      <c r="F82" s="22">
        <v>12</v>
      </c>
      <c r="G82" s="58"/>
      <c r="H82" s="22"/>
      <c r="I82" s="22"/>
      <c r="J82" s="22"/>
      <c r="K82" s="22"/>
      <c r="L82" s="12" t="s">
        <v>274</v>
      </c>
      <c r="M82" s="61" t="s">
        <v>279</v>
      </c>
      <c r="N82" s="12" t="s">
        <v>131</v>
      </c>
      <c r="O82" s="22">
        <v>5</v>
      </c>
      <c r="P82" s="27" t="s">
        <v>273</v>
      </c>
      <c r="Q82" s="22"/>
      <c r="R82" s="22"/>
      <c r="S82" s="22"/>
      <c r="T82" s="269">
        <v>95</v>
      </c>
      <c r="U82" s="2"/>
      <c r="V82" s="44">
        <v>83.6</v>
      </c>
      <c r="W82" s="44">
        <v>11.4</v>
      </c>
      <c r="Y82" s="45">
        <v>81</v>
      </c>
    </row>
    <row r="83" spans="1:25" ht="15.75" customHeight="1">
      <c r="A83" s="229">
        <v>17</v>
      </c>
      <c r="B83" s="74">
        <v>1</v>
      </c>
      <c r="C83" s="222" t="s">
        <v>270</v>
      </c>
      <c r="D83" s="222" t="s">
        <v>271</v>
      </c>
      <c r="E83" s="222">
        <v>100</v>
      </c>
      <c r="F83" s="222">
        <v>0</v>
      </c>
      <c r="G83" s="261"/>
      <c r="H83" s="222"/>
      <c r="I83" s="222"/>
      <c r="J83" s="222"/>
      <c r="K83" s="222"/>
      <c r="L83" s="222" t="s">
        <v>273</v>
      </c>
      <c r="M83" s="222"/>
      <c r="N83" s="222"/>
      <c r="O83" s="222"/>
      <c r="P83" s="12" t="s">
        <v>273</v>
      </c>
      <c r="Q83" s="222"/>
      <c r="R83" s="222"/>
      <c r="S83" s="222"/>
      <c r="T83" s="271">
        <v>100</v>
      </c>
      <c r="U83" s="2"/>
      <c r="V83" s="44">
        <v>100</v>
      </c>
      <c r="W83" s="44">
        <v>0</v>
      </c>
      <c r="Y83" s="45">
        <v>82</v>
      </c>
    </row>
    <row r="84" spans="1:25" ht="15.75" customHeight="1">
      <c r="A84" s="228">
        <v>17</v>
      </c>
      <c r="B84" s="75">
        <v>2</v>
      </c>
      <c r="C84" s="22" t="s">
        <v>270</v>
      </c>
      <c r="D84" s="22" t="s">
        <v>271</v>
      </c>
      <c r="E84" s="22">
        <v>95</v>
      </c>
      <c r="F84" s="22">
        <v>5</v>
      </c>
      <c r="G84" s="58"/>
      <c r="H84" s="22"/>
      <c r="I84" s="22"/>
      <c r="J84" s="22"/>
      <c r="K84" s="22">
        <v>3.64</v>
      </c>
      <c r="L84" s="22" t="s">
        <v>273</v>
      </c>
      <c r="M84" s="22"/>
      <c r="N84" s="22"/>
      <c r="O84" s="22"/>
      <c r="P84" s="12" t="s">
        <v>273</v>
      </c>
      <c r="Q84" s="22"/>
      <c r="R84" s="22"/>
      <c r="S84" s="22"/>
      <c r="T84" s="269">
        <v>100</v>
      </c>
      <c r="U84" s="2"/>
      <c r="V84" s="44">
        <v>95</v>
      </c>
      <c r="W84" s="44">
        <v>5</v>
      </c>
      <c r="Y84" s="45">
        <v>83</v>
      </c>
    </row>
    <row r="85" spans="1:25" ht="15.75" customHeight="1">
      <c r="A85" s="228">
        <v>17</v>
      </c>
      <c r="B85" s="75">
        <v>3</v>
      </c>
      <c r="C85" s="22" t="s">
        <v>270</v>
      </c>
      <c r="D85" s="22" t="s">
        <v>271</v>
      </c>
      <c r="E85" s="22">
        <v>92</v>
      </c>
      <c r="F85" s="22">
        <v>8</v>
      </c>
      <c r="G85" s="58"/>
      <c r="H85" s="22"/>
      <c r="I85" s="22"/>
      <c r="J85" s="22"/>
      <c r="K85" s="22">
        <v>2.54</v>
      </c>
      <c r="L85" s="22" t="s">
        <v>273</v>
      </c>
      <c r="M85" s="22"/>
      <c r="N85" s="22"/>
      <c r="O85" s="22"/>
      <c r="P85" s="12" t="s">
        <v>273</v>
      </c>
      <c r="Q85" s="22"/>
      <c r="R85" s="22"/>
      <c r="S85" s="22"/>
      <c r="T85" s="269">
        <v>100</v>
      </c>
      <c r="U85" s="2"/>
      <c r="V85" s="44">
        <v>92</v>
      </c>
      <c r="W85" s="44">
        <v>8</v>
      </c>
      <c r="Y85" s="45">
        <v>84</v>
      </c>
    </row>
    <row r="86" spans="1:25" ht="15.75" customHeight="1">
      <c r="A86" s="228">
        <v>17</v>
      </c>
      <c r="B86" s="75">
        <v>4</v>
      </c>
      <c r="C86" s="22" t="s">
        <v>270</v>
      </c>
      <c r="D86" s="22" t="s">
        <v>271</v>
      </c>
      <c r="E86" s="22">
        <v>80</v>
      </c>
      <c r="F86" s="22">
        <v>20</v>
      </c>
      <c r="G86" s="58"/>
      <c r="H86" s="22"/>
      <c r="I86" s="22"/>
      <c r="J86" s="22"/>
      <c r="K86" s="22">
        <v>2.65</v>
      </c>
      <c r="L86" s="22" t="s">
        <v>273</v>
      </c>
      <c r="M86" s="22"/>
      <c r="N86" s="22"/>
      <c r="O86" s="22"/>
      <c r="P86" s="27" t="s">
        <v>273</v>
      </c>
      <c r="Q86" s="22"/>
      <c r="R86" s="22"/>
      <c r="S86" s="22"/>
      <c r="T86" s="269">
        <v>100</v>
      </c>
      <c r="U86" s="2"/>
      <c r="V86" s="44">
        <v>80</v>
      </c>
      <c r="W86" s="44">
        <v>20</v>
      </c>
      <c r="Y86" s="45">
        <v>85</v>
      </c>
    </row>
    <row r="87" spans="1:25" ht="15.75" customHeight="1">
      <c r="A87" s="229">
        <v>18</v>
      </c>
      <c r="B87" s="74">
        <v>1</v>
      </c>
      <c r="C87" s="222" t="s">
        <v>270</v>
      </c>
      <c r="D87" s="222" t="s">
        <v>271</v>
      </c>
      <c r="E87" s="222">
        <v>95</v>
      </c>
      <c r="F87" s="222">
        <v>5</v>
      </c>
      <c r="G87" s="261">
        <v>70000</v>
      </c>
      <c r="H87" s="222"/>
      <c r="I87" s="222"/>
      <c r="J87" s="222"/>
      <c r="K87" s="222"/>
      <c r="L87" s="222" t="s">
        <v>273</v>
      </c>
      <c r="M87" s="222"/>
      <c r="N87" s="222"/>
      <c r="O87" s="222"/>
      <c r="P87" s="12" t="s">
        <v>273</v>
      </c>
      <c r="Q87" s="222"/>
      <c r="R87" s="222"/>
      <c r="S87" s="222"/>
      <c r="T87" s="271">
        <v>100</v>
      </c>
      <c r="U87" s="2"/>
      <c r="V87" s="44">
        <v>95</v>
      </c>
      <c r="W87" s="44">
        <v>5</v>
      </c>
      <c r="Y87" s="45">
        <v>86</v>
      </c>
    </row>
    <row r="88" spans="1:25" ht="15.75" customHeight="1">
      <c r="A88" s="228">
        <v>18</v>
      </c>
      <c r="B88" s="75">
        <v>2</v>
      </c>
      <c r="C88" s="22" t="s">
        <v>270</v>
      </c>
      <c r="D88" s="22" t="s">
        <v>271</v>
      </c>
      <c r="E88" s="22">
        <v>88</v>
      </c>
      <c r="F88" s="22">
        <v>12</v>
      </c>
      <c r="G88" s="58">
        <v>530000</v>
      </c>
      <c r="H88" s="22"/>
      <c r="I88" s="22"/>
      <c r="J88" s="22"/>
      <c r="K88" s="22"/>
      <c r="L88" s="22" t="s">
        <v>273</v>
      </c>
      <c r="M88" s="30"/>
      <c r="N88" s="22"/>
      <c r="O88" s="22"/>
      <c r="P88" s="27" t="s">
        <v>273</v>
      </c>
      <c r="Q88" s="22"/>
      <c r="R88" s="22"/>
      <c r="S88" s="22"/>
      <c r="T88" s="269">
        <v>100</v>
      </c>
      <c r="U88" s="2"/>
      <c r="V88" s="44">
        <v>88</v>
      </c>
      <c r="W88" s="44">
        <v>12</v>
      </c>
      <c r="Y88" s="45">
        <v>87</v>
      </c>
    </row>
    <row r="89" spans="1:25" ht="15.75" customHeight="1">
      <c r="A89" s="229">
        <v>19</v>
      </c>
      <c r="B89" s="74">
        <v>1</v>
      </c>
      <c r="C89" s="222" t="s">
        <v>270</v>
      </c>
      <c r="D89" s="222" t="s">
        <v>271</v>
      </c>
      <c r="E89" s="222"/>
      <c r="F89" s="222"/>
      <c r="G89" s="261"/>
      <c r="H89" s="222"/>
      <c r="I89" s="222">
        <v>1.25</v>
      </c>
      <c r="J89" s="222" t="s">
        <v>272</v>
      </c>
      <c r="K89" s="222"/>
      <c r="L89" s="222" t="s">
        <v>274</v>
      </c>
      <c r="M89" s="22" t="s">
        <v>279</v>
      </c>
      <c r="N89" s="222" t="s">
        <v>133</v>
      </c>
      <c r="O89" s="222">
        <v>40</v>
      </c>
      <c r="P89" s="12" t="s">
        <v>273</v>
      </c>
      <c r="Q89" s="222"/>
      <c r="R89" s="222"/>
      <c r="S89" s="222"/>
      <c r="T89" s="271">
        <v>60</v>
      </c>
      <c r="U89" s="2"/>
      <c r="V89" s="44"/>
      <c r="W89" s="44"/>
      <c r="Y89" s="45">
        <v>88</v>
      </c>
    </row>
    <row r="90" spans="1:25" ht="15.75" customHeight="1">
      <c r="A90" s="228">
        <v>19</v>
      </c>
      <c r="B90" s="75">
        <v>2</v>
      </c>
      <c r="C90" s="22" t="s">
        <v>270</v>
      </c>
      <c r="D90" s="22" t="s">
        <v>271</v>
      </c>
      <c r="E90" s="22"/>
      <c r="F90" s="22"/>
      <c r="G90" s="58"/>
      <c r="H90" s="22"/>
      <c r="I90" s="22">
        <v>1.25</v>
      </c>
      <c r="J90" s="22" t="s">
        <v>272</v>
      </c>
      <c r="K90" s="22"/>
      <c r="L90" s="22" t="s">
        <v>274</v>
      </c>
      <c r="M90" s="61" t="s">
        <v>279</v>
      </c>
      <c r="N90" s="22" t="s">
        <v>133</v>
      </c>
      <c r="O90" s="22">
        <v>30</v>
      </c>
      <c r="P90" s="12" t="s">
        <v>273</v>
      </c>
      <c r="Q90" s="22"/>
      <c r="R90" s="22"/>
      <c r="S90" s="22"/>
      <c r="T90" s="269">
        <v>70</v>
      </c>
      <c r="U90" s="2"/>
      <c r="V90" s="44"/>
      <c r="W90" s="44"/>
      <c r="Y90" s="45">
        <v>89</v>
      </c>
    </row>
    <row r="91" spans="1:25" ht="15.75" customHeight="1">
      <c r="A91" s="228">
        <v>19</v>
      </c>
      <c r="B91" s="75">
        <v>3</v>
      </c>
      <c r="C91" s="22" t="s">
        <v>270</v>
      </c>
      <c r="D91" s="22" t="s">
        <v>271</v>
      </c>
      <c r="E91" s="22"/>
      <c r="F91" s="22"/>
      <c r="G91" s="58"/>
      <c r="H91" s="22"/>
      <c r="I91" s="22">
        <v>1.25</v>
      </c>
      <c r="J91" s="22" t="s">
        <v>272</v>
      </c>
      <c r="K91" s="22"/>
      <c r="L91" s="22" t="s">
        <v>274</v>
      </c>
      <c r="M91" s="61" t="s">
        <v>279</v>
      </c>
      <c r="N91" s="22" t="s">
        <v>133</v>
      </c>
      <c r="O91" s="22">
        <v>20</v>
      </c>
      <c r="P91" s="12" t="s">
        <v>273</v>
      </c>
      <c r="Q91" s="22"/>
      <c r="R91" s="22"/>
      <c r="S91" s="22"/>
      <c r="T91" s="269">
        <v>80</v>
      </c>
      <c r="U91" s="2"/>
      <c r="V91" s="44"/>
      <c r="W91" s="44"/>
      <c r="Y91" s="45">
        <v>90</v>
      </c>
    </row>
    <row r="92" spans="1:25" ht="15.75" customHeight="1">
      <c r="A92" s="228">
        <v>19</v>
      </c>
      <c r="B92" s="75">
        <v>4</v>
      </c>
      <c r="C92" s="22" t="s">
        <v>270</v>
      </c>
      <c r="D92" s="22" t="s">
        <v>271</v>
      </c>
      <c r="E92" s="22"/>
      <c r="F92" s="22"/>
      <c r="G92" s="58"/>
      <c r="H92" s="22"/>
      <c r="I92" s="22">
        <v>1.25</v>
      </c>
      <c r="J92" s="22" t="s">
        <v>272</v>
      </c>
      <c r="K92" s="22"/>
      <c r="L92" s="22" t="s">
        <v>274</v>
      </c>
      <c r="M92" s="61" t="s">
        <v>279</v>
      </c>
      <c r="N92" s="22" t="s">
        <v>133</v>
      </c>
      <c r="O92" s="22">
        <v>10</v>
      </c>
      <c r="P92" s="12" t="s">
        <v>273</v>
      </c>
      <c r="Q92" s="22"/>
      <c r="R92" s="22"/>
      <c r="S92" s="22"/>
      <c r="T92" s="269">
        <v>90</v>
      </c>
      <c r="U92" s="2"/>
      <c r="V92" s="44"/>
      <c r="W92" s="44"/>
      <c r="Y92" s="45">
        <v>91</v>
      </c>
    </row>
    <row r="93" spans="1:25" ht="15.75" customHeight="1">
      <c r="A93" s="228">
        <v>19</v>
      </c>
      <c r="B93" s="75">
        <v>5</v>
      </c>
      <c r="C93" s="22" t="s">
        <v>270</v>
      </c>
      <c r="D93" s="22" t="s">
        <v>271</v>
      </c>
      <c r="E93" s="22"/>
      <c r="F93" s="22"/>
      <c r="G93" s="58"/>
      <c r="H93" s="22"/>
      <c r="I93" s="22">
        <v>1.25</v>
      </c>
      <c r="J93" s="22" t="s">
        <v>272</v>
      </c>
      <c r="K93" s="22"/>
      <c r="L93" s="22" t="s">
        <v>273</v>
      </c>
      <c r="M93" s="22"/>
      <c r="N93" s="22"/>
      <c r="O93" s="22"/>
      <c r="P93" s="27" t="s">
        <v>273</v>
      </c>
      <c r="Q93" s="22"/>
      <c r="R93" s="22"/>
      <c r="S93" s="22"/>
      <c r="T93" s="269">
        <v>100</v>
      </c>
      <c r="U93" s="2"/>
      <c r="V93" s="44"/>
      <c r="W93" s="44"/>
      <c r="Y93" s="45">
        <v>92</v>
      </c>
    </row>
    <row r="94" spans="1:25" ht="15.75" customHeight="1">
      <c r="A94" s="272">
        <v>20</v>
      </c>
      <c r="B94" s="200" t="s">
        <v>221</v>
      </c>
      <c r="C94" s="222" t="s">
        <v>270</v>
      </c>
      <c r="D94" s="222" t="s">
        <v>271</v>
      </c>
      <c r="E94" s="227">
        <v>80</v>
      </c>
      <c r="F94" s="222">
        <v>20</v>
      </c>
      <c r="G94" s="227">
        <v>280000</v>
      </c>
      <c r="H94" s="222"/>
      <c r="I94" s="234"/>
      <c r="J94" s="234"/>
      <c r="K94" s="234"/>
      <c r="L94" s="227" t="s">
        <v>273</v>
      </c>
      <c r="M94" s="222"/>
      <c r="N94" s="234"/>
      <c r="O94" s="222"/>
      <c r="P94" s="12" t="s">
        <v>273</v>
      </c>
      <c r="Q94" s="234"/>
      <c r="R94" s="234"/>
      <c r="S94" s="234"/>
      <c r="T94" s="258">
        <v>100</v>
      </c>
      <c r="U94" s="2"/>
      <c r="V94" s="44">
        <v>80</v>
      </c>
      <c r="W94" s="44">
        <v>20</v>
      </c>
      <c r="Y94" s="45">
        <v>93</v>
      </c>
    </row>
    <row r="95" spans="1:25" ht="15.75" customHeight="1">
      <c r="A95" s="233">
        <v>20</v>
      </c>
      <c r="B95" s="201" t="s">
        <v>222</v>
      </c>
      <c r="C95" s="22" t="s">
        <v>270</v>
      </c>
      <c r="D95" s="22" t="s">
        <v>271</v>
      </c>
      <c r="E95" s="12">
        <v>95</v>
      </c>
      <c r="F95" s="22">
        <v>5</v>
      </c>
      <c r="G95" s="12">
        <v>270000</v>
      </c>
      <c r="H95" s="2"/>
      <c r="I95" s="2"/>
      <c r="J95" s="2"/>
      <c r="K95" s="2"/>
      <c r="L95" s="12" t="s">
        <v>273</v>
      </c>
      <c r="M95" s="22"/>
      <c r="N95" s="2"/>
      <c r="O95" s="22"/>
      <c r="P95" s="12" t="s">
        <v>273</v>
      </c>
      <c r="Q95" s="2"/>
      <c r="R95" s="2"/>
      <c r="S95" s="2"/>
      <c r="T95" s="255">
        <v>100</v>
      </c>
      <c r="U95" s="2"/>
      <c r="V95" s="44">
        <v>95</v>
      </c>
      <c r="W95" s="44">
        <v>5</v>
      </c>
      <c r="Y95" s="45">
        <v>94</v>
      </c>
    </row>
    <row r="96" spans="1:25" ht="15.75" customHeight="1">
      <c r="A96" s="233">
        <v>20</v>
      </c>
      <c r="B96" s="201" t="s">
        <v>223</v>
      </c>
      <c r="C96" s="22" t="s">
        <v>270</v>
      </c>
      <c r="D96" s="22" t="s">
        <v>271</v>
      </c>
      <c r="E96" s="12">
        <v>88</v>
      </c>
      <c r="F96" s="22">
        <v>12</v>
      </c>
      <c r="G96" s="58">
        <v>500000</v>
      </c>
      <c r="H96" s="2"/>
      <c r="I96" s="2"/>
      <c r="J96" s="2"/>
      <c r="K96" s="2"/>
      <c r="L96" s="12" t="s">
        <v>273</v>
      </c>
      <c r="M96" s="22"/>
      <c r="N96" s="2"/>
      <c r="O96" s="22"/>
      <c r="P96" s="12" t="s">
        <v>273</v>
      </c>
      <c r="Q96" s="2"/>
      <c r="R96" s="2"/>
      <c r="S96" s="2"/>
      <c r="T96" s="255">
        <v>100</v>
      </c>
      <c r="U96" s="2"/>
      <c r="V96" s="44">
        <v>88</v>
      </c>
      <c r="W96" s="44">
        <v>12</v>
      </c>
      <c r="Y96" s="45">
        <v>95</v>
      </c>
    </row>
    <row r="97" spans="1:25" ht="15.75" customHeight="1">
      <c r="A97" s="233">
        <v>20</v>
      </c>
      <c r="B97" s="201" t="s">
        <v>224</v>
      </c>
      <c r="C97" s="22" t="s">
        <v>270</v>
      </c>
      <c r="D97" s="22" t="s">
        <v>271</v>
      </c>
      <c r="E97" s="12">
        <v>95</v>
      </c>
      <c r="F97" s="22">
        <v>5</v>
      </c>
      <c r="G97" s="22">
        <v>150000</v>
      </c>
      <c r="H97" s="2"/>
      <c r="I97" s="2"/>
      <c r="J97" s="2"/>
      <c r="K97" s="2"/>
      <c r="L97" s="12" t="s">
        <v>273</v>
      </c>
      <c r="M97" s="22"/>
      <c r="N97" s="2"/>
      <c r="O97" s="22"/>
      <c r="P97" s="12" t="s">
        <v>273</v>
      </c>
      <c r="Q97" s="2"/>
      <c r="R97" s="2"/>
      <c r="S97" s="2"/>
      <c r="T97" s="255">
        <v>100</v>
      </c>
      <c r="U97" s="2"/>
      <c r="V97" s="44">
        <v>95</v>
      </c>
      <c r="W97" s="44">
        <v>5</v>
      </c>
      <c r="Y97" s="45">
        <v>96</v>
      </c>
    </row>
    <row r="98" spans="1:25" ht="15.75" customHeight="1">
      <c r="A98" s="233">
        <v>20</v>
      </c>
      <c r="B98" s="201" t="s">
        <v>225</v>
      </c>
      <c r="C98" s="22" t="s">
        <v>270</v>
      </c>
      <c r="D98" s="22" t="s">
        <v>271</v>
      </c>
      <c r="E98" s="12">
        <v>80</v>
      </c>
      <c r="F98" s="22">
        <v>20</v>
      </c>
      <c r="G98" s="12">
        <v>280000</v>
      </c>
      <c r="H98" s="22"/>
      <c r="I98" s="2"/>
      <c r="J98" s="2"/>
      <c r="K98" s="2"/>
      <c r="L98" s="12" t="s">
        <v>273</v>
      </c>
      <c r="M98" s="22"/>
      <c r="N98" s="2"/>
      <c r="O98" s="22"/>
      <c r="P98" s="12" t="s">
        <v>273</v>
      </c>
      <c r="Q98" s="2"/>
      <c r="R98" s="2"/>
      <c r="S98" s="2"/>
      <c r="T98" s="255">
        <v>100</v>
      </c>
      <c r="U98" s="2"/>
      <c r="V98" s="44">
        <v>80</v>
      </c>
      <c r="W98" s="44">
        <v>20</v>
      </c>
      <c r="Y98" s="45">
        <v>97</v>
      </c>
    </row>
    <row r="99" spans="1:25" ht="15.75" customHeight="1">
      <c r="A99" s="233">
        <v>20</v>
      </c>
      <c r="B99" s="201" t="s">
        <v>226</v>
      </c>
      <c r="C99" s="22" t="s">
        <v>270</v>
      </c>
      <c r="D99" s="22" t="s">
        <v>271</v>
      </c>
      <c r="E99" s="12">
        <v>95</v>
      </c>
      <c r="F99" s="22">
        <v>5</v>
      </c>
      <c r="G99" s="12">
        <v>270000</v>
      </c>
      <c r="H99" s="2"/>
      <c r="I99" s="2"/>
      <c r="J99" s="2"/>
      <c r="K99" s="2"/>
      <c r="L99" s="12" t="s">
        <v>273</v>
      </c>
      <c r="M99" s="22"/>
      <c r="N99" s="2"/>
      <c r="O99" s="22"/>
      <c r="P99" s="12" t="s">
        <v>273</v>
      </c>
      <c r="Q99" s="2"/>
      <c r="R99" s="2"/>
      <c r="S99" s="2"/>
      <c r="T99" s="255">
        <v>100</v>
      </c>
      <c r="U99" s="2"/>
      <c r="V99" s="44">
        <v>95</v>
      </c>
      <c r="W99" s="44">
        <v>5</v>
      </c>
      <c r="Y99" s="45">
        <v>98</v>
      </c>
    </row>
    <row r="100" spans="1:25" ht="15.75" customHeight="1">
      <c r="A100" s="233">
        <v>20</v>
      </c>
      <c r="B100" s="201" t="s">
        <v>227</v>
      </c>
      <c r="C100" s="22" t="s">
        <v>270</v>
      </c>
      <c r="D100" s="22" t="s">
        <v>271</v>
      </c>
      <c r="E100" s="12">
        <v>88</v>
      </c>
      <c r="F100" s="22">
        <v>12</v>
      </c>
      <c r="G100" s="58">
        <v>500000</v>
      </c>
      <c r="H100" s="2"/>
      <c r="I100" s="2"/>
      <c r="J100" s="2"/>
      <c r="K100" s="2"/>
      <c r="L100" s="12" t="s">
        <v>273</v>
      </c>
      <c r="M100" s="22"/>
      <c r="N100" s="2"/>
      <c r="O100" s="22"/>
      <c r="P100" s="12" t="s">
        <v>273</v>
      </c>
      <c r="Q100" s="2"/>
      <c r="R100" s="2"/>
      <c r="S100" s="2"/>
      <c r="T100" s="255">
        <v>100</v>
      </c>
      <c r="U100" s="2"/>
      <c r="V100" s="44">
        <v>88</v>
      </c>
      <c r="W100" s="44">
        <v>12</v>
      </c>
      <c r="Y100" s="45">
        <v>99</v>
      </c>
    </row>
    <row r="101" spans="1:25" ht="15.75" customHeight="1">
      <c r="A101" s="233">
        <v>20</v>
      </c>
      <c r="B101" s="201" t="s">
        <v>228</v>
      </c>
      <c r="C101" s="22" t="s">
        <v>270</v>
      </c>
      <c r="D101" s="22" t="s">
        <v>271</v>
      </c>
      <c r="E101" s="12">
        <v>95</v>
      </c>
      <c r="F101" s="22">
        <v>5</v>
      </c>
      <c r="G101" s="22">
        <v>150000</v>
      </c>
      <c r="H101" s="2"/>
      <c r="I101" s="2"/>
      <c r="J101" s="2"/>
      <c r="K101" s="2"/>
      <c r="L101" s="12" t="s">
        <v>273</v>
      </c>
      <c r="M101" s="22"/>
      <c r="N101" s="2"/>
      <c r="O101" s="22"/>
      <c r="P101" s="12" t="s">
        <v>273</v>
      </c>
      <c r="Q101" s="2"/>
      <c r="R101" s="2"/>
      <c r="S101" s="2"/>
      <c r="T101" s="255">
        <v>100</v>
      </c>
      <c r="U101" s="2"/>
      <c r="V101" s="44">
        <v>95</v>
      </c>
      <c r="W101" s="44">
        <v>5</v>
      </c>
      <c r="Y101" s="45">
        <v>100</v>
      </c>
    </row>
    <row r="102" spans="1:25" ht="15.75" customHeight="1">
      <c r="A102" s="233">
        <v>20</v>
      </c>
      <c r="B102" s="201" t="s">
        <v>231</v>
      </c>
      <c r="C102" s="22" t="s">
        <v>270</v>
      </c>
      <c r="D102" s="22" t="s">
        <v>271</v>
      </c>
      <c r="E102" s="12">
        <v>80</v>
      </c>
      <c r="F102" s="22">
        <v>20</v>
      </c>
      <c r="G102" s="12">
        <v>280000</v>
      </c>
      <c r="H102" s="22"/>
      <c r="I102" s="2"/>
      <c r="J102" s="2"/>
      <c r="K102" s="2"/>
      <c r="L102" s="12" t="s">
        <v>273</v>
      </c>
      <c r="M102" s="22"/>
      <c r="N102" s="2"/>
      <c r="O102" s="22"/>
      <c r="P102" s="12" t="s">
        <v>273</v>
      </c>
      <c r="Q102" s="2"/>
      <c r="R102" s="2"/>
      <c r="S102" s="2"/>
      <c r="T102" s="255">
        <v>100</v>
      </c>
      <c r="U102" s="2"/>
      <c r="V102" s="44">
        <v>80</v>
      </c>
      <c r="W102" s="44">
        <v>20</v>
      </c>
      <c r="Y102" s="45">
        <v>101</v>
      </c>
    </row>
    <row r="103" spans="1:25" ht="15.75" customHeight="1">
      <c r="A103" s="233">
        <v>20</v>
      </c>
      <c r="B103" s="201" t="s">
        <v>232</v>
      </c>
      <c r="C103" s="22" t="s">
        <v>270</v>
      </c>
      <c r="D103" s="22" t="s">
        <v>271</v>
      </c>
      <c r="E103" s="12">
        <v>95</v>
      </c>
      <c r="F103" s="22">
        <v>5</v>
      </c>
      <c r="G103" s="12">
        <v>270000</v>
      </c>
      <c r="H103" s="2"/>
      <c r="I103" s="2"/>
      <c r="J103" s="2"/>
      <c r="K103" s="2"/>
      <c r="L103" s="12" t="s">
        <v>273</v>
      </c>
      <c r="M103" s="22"/>
      <c r="N103" s="2"/>
      <c r="O103" s="22"/>
      <c r="P103" s="12" t="s">
        <v>273</v>
      </c>
      <c r="Q103" s="2"/>
      <c r="R103" s="2"/>
      <c r="S103" s="2"/>
      <c r="T103" s="255">
        <v>100</v>
      </c>
      <c r="U103" s="2"/>
      <c r="V103" s="44">
        <v>95</v>
      </c>
      <c r="W103" s="44">
        <v>5</v>
      </c>
      <c r="Y103" s="45">
        <v>102</v>
      </c>
    </row>
    <row r="104" spans="1:25" ht="15.75" customHeight="1">
      <c r="A104" s="233">
        <v>20</v>
      </c>
      <c r="B104" s="201" t="s">
        <v>233</v>
      </c>
      <c r="C104" s="22" t="s">
        <v>270</v>
      </c>
      <c r="D104" s="22" t="s">
        <v>271</v>
      </c>
      <c r="E104" s="12">
        <v>88</v>
      </c>
      <c r="F104" s="22">
        <v>12</v>
      </c>
      <c r="G104" s="58">
        <v>500000</v>
      </c>
      <c r="H104" s="2"/>
      <c r="I104" s="2"/>
      <c r="J104" s="2"/>
      <c r="K104" s="2"/>
      <c r="L104" s="12" t="s">
        <v>273</v>
      </c>
      <c r="M104" s="22"/>
      <c r="N104" s="2"/>
      <c r="O104" s="22"/>
      <c r="P104" s="12" t="s">
        <v>273</v>
      </c>
      <c r="Q104" s="2"/>
      <c r="R104" s="2"/>
      <c r="S104" s="2"/>
      <c r="T104" s="255">
        <v>100</v>
      </c>
      <c r="U104" s="2"/>
      <c r="V104" s="44">
        <v>88</v>
      </c>
      <c r="W104" s="44">
        <v>12</v>
      </c>
      <c r="Y104" s="45">
        <v>103</v>
      </c>
    </row>
    <row r="105" spans="1:25" ht="15.75" customHeight="1">
      <c r="A105" s="233">
        <v>20</v>
      </c>
      <c r="B105" s="201" t="s">
        <v>234</v>
      </c>
      <c r="C105" s="22" t="s">
        <v>270</v>
      </c>
      <c r="D105" s="22" t="s">
        <v>271</v>
      </c>
      <c r="E105" s="12">
        <v>95</v>
      </c>
      <c r="F105" s="22">
        <v>5</v>
      </c>
      <c r="G105" s="22">
        <v>150000</v>
      </c>
      <c r="H105" s="2"/>
      <c r="I105" s="2"/>
      <c r="J105" s="2"/>
      <c r="K105" s="2"/>
      <c r="L105" s="12" t="s">
        <v>273</v>
      </c>
      <c r="M105" s="22"/>
      <c r="N105" s="2"/>
      <c r="O105" s="22"/>
      <c r="P105" s="12" t="s">
        <v>273</v>
      </c>
      <c r="Q105" s="2"/>
      <c r="R105" s="2"/>
      <c r="S105" s="2"/>
      <c r="T105" s="255">
        <v>100</v>
      </c>
      <c r="U105" s="2"/>
      <c r="V105" s="44">
        <v>95</v>
      </c>
      <c r="W105" s="44">
        <v>5</v>
      </c>
      <c r="Y105" s="45">
        <v>104</v>
      </c>
    </row>
    <row r="106" spans="1:25" ht="15.75" customHeight="1">
      <c r="A106" s="233">
        <v>20</v>
      </c>
      <c r="B106" s="201" t="s">
        <v>235</v>
      </c>
      <c r="C106" s="22" t="s">
        <v>270</v>
      </c>
      <c r="D106" s="22" t="s">
        <v>271</v>
      </c>
      <c r="E106" s="12">
        <v>80</v>
      </c>
      <c r="F106" s="22">
        <v>20</v>
      </c>
      <c r="G106" s="12">
        <v>280000</v>
      </c>
      <c r="H106" s="22"/>
      <c r="I106" s="2"/>
      <c r="J106" s="2"/>
      <c r="K106" s="2"/>
      <c r="L106" s="12" t="s">
        <v>273</v>
      </c>
      <c r="M106" s="22"/>
      <c r="N106" s="2"/>
      <c r="O106" s="22"/>
      <c r="P106" s="12" t="s">
        <v>273</v>
      </c>
      <c r="Q106" s="2"/>
      <c r="R106" s="2"/>
      <c r="S106" s="2"/>
      <c r="T106" s="255">
        <v>100</v>
      </c>
      <c r="U106" s="2"/>
      <c r="V106" s="44">
        <v>80</v>
      </c>
      <c r="W106" s="44">
        <v>20</v>
      </c>
      <c r="Y106" s="45">
        <v>105</v>
      </c>
    </row>
    <row r="107" spans="1:25" ht="15.75" customHeight="1">
      <c r="A107" s="233">
        <v>20</v>
      </c>
      <c r="B107" s="201" t="s">
        <v>236</v>
      </c>
      <c r="C107" s="22" t="s">
        <v>270</v>
      </c>
      <c r="D107" s="22" t="s">
        <v>271</v>
      </c>
      <c r="E107" s="12">
        <v>95</v>
      </c>
      <c r="F107" s="22">
        <v>5</v>
      </c>
      <c r="G107" s="12">
        <v>270000</v>
      </c>
      <c r="H107" s="2"/>
      <c r="I107" s="2"/>
      <c r="J107" s="2"/>
      <c r="K107" s="2"/>
      <c r="L107" s="12" t="s">
        <v>273</v>
      </c>
      <c r="M107" s="22"/>
      <c r="N107" s="2"/>
      <c r="O107" s="22"/>
      <c r="P107" s="12" t="s">
        <v>273</v>
      </c>
      <c r="Q107" s="2"/>
      <c r="R107" s="2"/>
      <c r="S107" s="2"/>
      <c r="T107" s="255">
        <v>100</v>
      </c>
      <c r="U107" s="2"/>
      <c r="V107" s="44">
        <v>95</v>
      </c>
      <c r="W107" s="44">
        <v>5</v>
      </c>
      <c r="Y107" s="45">
        <v>106</v>
      </c>
    </row>
    <row r="108" spans="1:25" ht="15.75" customHeight="1">
      <c r="A108" s="233">
        <v>20</v>
      </c>
      <c r="B108" s="201" t="s">
        <v>237</v>
      </c>
      <c r="C108" s="22" t="s">
        <v>270</v>
      </c>
      <c r="D108" s="22" t="s">
        <v>271</v>
      </c>
      <c r="E108" s="12">
        <v>88</v>
      </c>
      <c r="F108" s="22">
        <v>12</v>
      </c>
      <c r="G108" s="58">
        <v>500000</v>
      </c>
      <c r="H108" s="2"/>
      <c r="I108" s="2"/>
      <c r="J108" s="2"/>
      <c r="K108" s="2"/>
      <c r="L108" s="12" t="s">
        <v>273</v>
      </c>
      <c r="M108" s="22"/>
      <c r="N108" s="2"/>
      <c r="O108" s="22"/>
      <c r="P108" s="12" t="s">
        <v>273</v>
      </c>
      <c r="Q108" s="2"/>
      <c r="R108" s="2"/>
      <c r="S108" s="2"/>
      <c r="T108" s="255">
        <v>100</v>
      </c>
      <c r="U108" s="2"/>
      <c r="V108" s="44">
        <v>88</v>
      </c>
      <c r="W108" s="44">
        <v>12</v>
      </c>
      <c r="Y108" s="45">
        <v>107</v>
      </c>
    </row>
    <row r="109" spans="1:25" ht="15.75" customHeight="1">
      <c r="A109" s="233">
        <v>20</v>
      </c>
      <c r="B109" s="201" t="s">
        <v>238</v>
      </c>
      <c r="C109" s="22" t="s">
        <v>270</v>
      </c>
      <c r="D109" s="22" t="s">
        <v>271</v>
      </c>
      <c r="E109" s="12">
        <v>95</v>
      </c>
      <c r="F109" s="22">
        <v>5</v>
      </c>
      <c r="G109" s="22">
        <v>150000</v>
      </c>
      <c r="H109" s="2"/>
      <c r="I109" s="2"/>
      <c r="J109" s="2"/>
      <c r="K109" s="2"/>
      <c r="L109" s="12" t="s">
        <v>273</v>
      </c>
      <c r="M109" s="22"/>
      <c r="N109" s="2"/>
      <c r="O109" s="22"/>
      <c r="P109" s="12" t="s">
        <v>273</v>
      </c>
      <c r="Q109" s="2"/>
      <c r="R109" s="2"/>
      <c r="S109" s="2"/>
      <c r="T109" s="255">
        <v>100</v>
      </c>
      <c r="U109" s="2"/>
      <c r="V109" s="44">
        <v>95</v>
      </c>
      <c r="W109" s="44">
        <v>5</v>
      </c>
      <c r="Y109" s="45">
        <v>108</v>
      </c>
    </row>
    <row r="110" spans="1:25" ht="15.75" customHeight="1">
      <c r="A110" s="228">
        <v>20</v>
      </c>
      <c r="B110" s="75" t="s">
        <v>239</v>
      </c>
      <c r="C110" s="22" t="s">
        <v>270</v>
      </c>
      <c r="D110" s="22" t="s">
        <v>271</v>
      </c>
      <c r="E110" s="12">
        <v>80</v>
      </c>
      <c r="F110" s="22">
        <v>20</v>
      </c>
      <c r="G110" s="12">
        <v>280000</v>
      </c>
      <c r="H110" s="22"/>
      <c r="I110" s="2"/>
      <c r="J110" s="2"/>
      <c r="K110" s="2"/>
      <c r="L110" s="12" t="s">
        <v>273</v>
      </c>
      <c r="M110" s="22"/>
      <c r="N110" s="2"/>
      <c r="O110" s="22"/>
      <c r="P110" s="12" t="s">
        <v>273</v>
      </c>
      <c r="Q110" s="2"/>
      <c r="R110" s="2"/>
      <c r="S110" s="2"/>
      <c r="T110" s="255">
        <v>100</v>
      </c>
      <c r="U110" s="2"/>
      <c r="V110" s="44">
        <v>80</v>
      </c>
      <c r="W110" s="44">
        <v>20</v>
      </c>
      <c r="Y110" s="45">
        <v>109</v>
      </c>
    </row>
    <row r="111" spans="1:25" ht="15.75" customHeight="1">
      <c r="A111" s="228">
        <v>20</v>
      </c>
      <c r="B111" s="75" t="s">
        <v>240</v>
      </c>
      <c r="C111" s="22" t="s">
        <v>270</v>
      </c>
      <c r="D111" s="22" t="s">
        <v>271</v>
      </c>
      <c r="E111" s="12">
        <v>95</v>
      </c>
      <c r="F111" s="22">
        <v>5</v>
      </c>
      <c r="G111" s="12">
        <v>270000</v>
      </c>
      <c r="H111" s="2"/>
      <c r="I111" s="2"/>
      <c r="J111" s="2"/>
      <c r="K111" s="2"/>
      <c r="L111" s="12" t="s">
        <v>273</v>
      </c>
      <c r="M111" s="22"/>
      <c r="N111" s="2"/>
      <c r="O111" s="22"/>
      <c r="P111" s="12" t="s">
        <v>273</v>
      </c>
      <c r="Q111" s="2"/>
      <c r="R111" s="2"/>
      <c r="S111" s="2"/>
      <c r="T111" s="255">
        <v>100</v>
      </c>
      <c r="U111" s="2"/>
      <c r="V111" s="44">
        <v>95</v>
      </c>
      <c r="W111" s="44">
        <v>5</v>
      </c>
      <c r="Y111" s="45">
        <v>110</v>
      </c>
    </row>
    <row r="112" spans="1:25" ht="15.75" customHeight="1">
      <c r="A112" s="228">
        <v>20</v>
      </c>
      <c r="B112" s="75" t="s">
        <v>241</v>
      </c>
      <c r="C112" s="22" t="s">
        <v>270</v>
      </c>
      <c r="D112" s="22" t="s">
        <v>271</v>
      </c>
      <c r="E112" s="12">
        <v>88</v>
      </c>
      <c r="F112" s="22">
        <v>12</v>
      </c>
      <c r="G112" s="58">
        <v>500000</v>
      </c>
      <c r="H112" s="2"/>
      <c r="I112" s="2"/>
      <c r="J112" s="2"/>
      <c r="K112" s="2"/>
      <c r="L112" s="12" t="s">
        <v>273</v>
      </c>
      <c r="M112" s="22"/>
      <c r="N112" s="2"/>
      <c r="O112" s="22"/>
      <c r="P112" s="12" t="s">
        <v>273</v>
      </c>
      <c r="Q112" s="2"/>
      <c r="R112" s="2"/>
      <c r="S112" s="2"/>
      <c r="T112" s="255">
        <v>100</v>
      </c>
      <c r="U112" s="2"/>
      <c r="V112" s="44">
        <v>88</v>
      </c>
      <c r="W112" s="44">
        <v>12</v>
      </c>
      <c r="Y112" s="45">
        <v>111</v>
      </c>
    </row>
    <row r="113" spans="1:25" ht="15.75" customHeight="1">
      <c r="A113" s="228">
        <v>20</v>
      </c>
      <c r="B113" s="75" t="s">
        <v>242</v>
      </c>
      <c r="C113" s="22" t="s">
        <v>270</v>
      </c>
      <c r="D113" s="22" t="s">
        <v>271</v>
      </c>
      <c r="E113" s="12">
        <v>95</v>
      </c>
      <c r="F113" s="22">
        <v>5</v>
      </c>
      <c r="G113" s="22">
        <v>150000</v>
      </c>
      <c r="H113" s="2"/>
      <c r="I113" s="2"/>
      <c r="J113" s="2"/>
      <c r="K113" s="2"/>
      <c r="L113" s="12" t="s">
        <v>273</v>
      </c>
      <c r="M113" s="22"/>
      <c r="N113" s="2"/>
      <c r="O113" s="22"/>
      <c r="P113" s="27" t="s">
        <v>273</v>
      </c>
      <c r="Q113" s="2"/>
      <c r="R113" s="2"/>
      <c r="S113" s="2"/>
      <c r="T113" s="255">
        <v>100</v>
      </c>
      <c r="U113" s="2"/>
      <c r="V113" s="44">
        <v>95</v>
      </c>
      <c r="W113" s="44">
        <v>5</v>
      </c>
      <c r="Y113" s="45">
        <v>112</v>
      </c>
    </row>
    <row r="114" spans="1:25" ht="15.75" customHeight="1">
      <c r="A114" s="272">
        <v>21</v>
      </c>
      <c r="B114" s="74" t="s">
        <v>221</v>
      </c>
      <c r="C114" s="222" t="s">
        <v>270</v>
      </c>
      <c r="D114" s="222" t="s">
        <v>271</v>
      </c>
      <c r="E114" s="222">
        <v>3</v>
      </c>
      <c r="F114" s="222">
        <v>97</v>
      </c>
      <c r="G114" s="261">
        <v>350000</v>
      </c>
      <c r="H114" s="222"/>
      <c r="I114" s="222"/>
      <c r="J114" s="222"/>
      <c r="K114" s="222"/>
      <c r="L114" s="222" t="s">
        <v>273</v>
      </c>
      <c r="M114" s="222"/>
      <c r="N114" s="222"/>
      <c r="O114" s="222"/>
      <c r="P114" s="12" t="s">
        <v>273</v>
      </c>
      <c r="Q114" s="222"/>
      <c r="R114" s="222"/>
      <c r="S114" s="222"/>
      <c r="T114" s="271">
        <v>100</v>
      </c>
      <c r="U114" s="2"/>
      <c r="V114" s="44">
        <v>3</v>
      </c>
      <c r="W114" s="44">
        <v>97</v>
      </c>
      <c r="Y114" s="45">
        <v>113</v>
      </c>
    </row>
    <row r="115" spans="1:25" ht="15.75" customHeight="1">
      <c r="A115" s="233">
        <v>21</v>
      </c>
      <c r="B115" s="75" t="s">
        <v>222</v>
      </c>
      <c r="C115" s="22" t="s">
        <v>270</v>
      </c>
      <c r="D115" s="22" t="s">
        <v>271</v>
      </c>
      <c r="E115" s="22">
        <v>3</v>
      </c>
      <c r="F115" s="22">
        <v>97</v>
      </c>
      <c r="G115" s="58">
        <v>350000</v>
      </c>
      <c r="H115" s="22"/>
      <c r="I115" s="22"/>
      <c r="J115" s="22"/>
      <c r="K115" s="22"/>
      <c r="L115" s="22" t="s">
        <v>274</v>
      </c>
      <c r="M115" s="22"/>
      <c r="N115" s="22" t="s">
        <v>285</v>
      </c>
      <c r="O115" s="22">
        <v>10</v>
      </c>
      <c r="P115" s="12" t="s">
        <v>273</v>
      </c>
      <c r="Q115" s="22"/>
      <c r="R115" s="22"/>
      <c r="S115" s="22"/>
      <c r="T115" s="269">
        <v>90</v>
      </c>
      <c r="U115" s="2"/>
      <c r="V115" s="44">
        <v>2.7</v>
      </c>
      <c r="W115" s="44">
        <v>87.3</v>
      </c>
      <c r="Y115" s="45">
        <v>114</v>
      </c>
    </row>
    <row r="116" spans="1:25" ht="15.75" customHeight="1">
      <c r="A116" s="233">
        <v>21</v>
      </c>
      <c r="B116" s="75" t="s">
        <v>223</v>
      </c>
      <c r="C116" s="22" t="s">
        <v>270</v>
      </c>
      <c r="D116" s="22" t="s">
        <v>271</v>
      </c>
      <c r="E116" s="22">
        <v>3</v>
      </c>
      <c r="F116" s="22">
        <v>97</v>
      </c>
      <c r="G116" s="58">
        <v>350000</v>
      </c>
      <c r="H116" s="22"/>
      <c r="I116" s="22"/>
      <c r="J116" s="22"/>
      <c r="K116" s="22"/>
      <c r="L116" s="22" t="s">
        <v>274</v>
      </c>
      <c r="M116" s="22"/>
      <c r="N116" s="22" t="s">
        <v>285</v>
      </c>
      <c r="O116" s="22">
        <v>30</v>
      </c>
      <c r="P116" s="12" t="s">
        <v>273</v>
      </c>
      <c r="Q116" s="22"/>
      <c r="R116" s="22"/>
      <c r="S116" s="22"/>
      <c r="T116" s="269">
        <v>70</v>
      </c>
      <c r="U116" s="2"/>
      <c r="V116" s="44">
        <v>2.1</v>
      </c>
      <c r="W116" s="44">
        <v>67.900000000000006</v>
      </c>
      <c r="Y116" s="45">
        <v>115</v>
      </c>
    </row>
    <row r="117" spans="1:25" ht="15.75" customHeight="1">
      <c r="A117" s="233">
        <v>21</v>
      </c>
      <c r="B117" s="75" t="s">
        <v>224</v>
      </c>
      <c r="C117" s="22" t="s">
        <v>270</v>
      </c>
      <c r="D117" s="22" t="s">
        <v>271</v>
      </c>
      <c r="E117" s="22">
        <v>3</v>
      </c>
      <c r="F117" s="22">
        <v>97</v>
      </c>
      <c r="G117" s="58">
        <v>350000</v>
      </c>
      <c r="H117" s="22"/>
      <c r="I117" s="22"/>
      <c r="J117" s="22"/>
      <c r="K117" s="22"/>
      <c r="L117" s="22" t="s">
        <v>274</v>
      </c>
      <c r="M117" s="22"/>
      <c r="N117" s="22" t="s">
        <v>285</v>
      </c>
      <c r="O117" s="22">
        <v>50</v>
      </c>
      <c r="P117" s="12" t="s">
        <v>273</v>
      </c>
      <c r="Q117" s="22"/>
      <c r="R117" s="22"/>
      <c r="S117" s="22"/>
      <c r="T117" s="269">
        <v>50</v>
      </c>
      <c r="U117" s="2"/>
      <c r="V117" s="44">
        <v>1.5</v>
      </c>
      <c r="W117" s="44">
        <v>48.5</v>
      </c>
      <c r="Y117" s="45">
        <v>116</v>
      </c>
    </row>
    <row r="118" spans="1:25" ht="15.75" customHeight="1">
      <c r="A118" s="233">
        <v>21</v>
      </c>
      <c r="B118" s="75" t="s">
        <v>229</v>
      </c>
      <c r="C118" s="22" t="s">
        <v>270</v>
      </c>
      <c r="D118" s="22" t="s">
        <v>271</v>
      </c>
      <c r="E118" s="22">
        <v>0</v>
      </c>
      <c r="F118" s="22">
        <v>100</v>
      </c>
      <c r="G118" s="58">
        <v>350000</v>
      </c>
      <c r="H118" s="22"/>
      <c r="I118" s="22"/>
      <c r="J118" s="22"/>
      <c r="K118" s="22"/>
      <c r="L118" s="22" t="s">
        <v>273</v>
      </c>
      <c r="M118" s="22"/>
      <c r="N118" s="22"/>
      <c r="O118" s="22"/>
      <c r="P118" s="12" t="s">
        <v>273</v>
      </c>
      <c r="Q118" s="22"/>
      <c r="R118" s="22"/>
      <c r="S118" s="22"/>
      <c r="T118" s="269">
        <v>100</v>
      </c>
      <c r="U118" s="2"/>
      <c r="V118" s="44">
        <v>0</v>
      </c>
      <c r="W118" s="44">
        <v>100</v>
      </c>
      <c r="Y118" s="45">
        <v>117</v>
      </c>
    </row>
    <row r="119" spans="1:25" ht="15.75" customHeight="1">
      <c r="A119" s="233">
        <v>21</v>
      </c>
      <c r="B119" s="75" t="s">
        <v>243</v>
      </c>
      <c r="C119" s="22" t="s">
        <v>270</v>
      </c>
      <c r="D119" s="22" t="s">
        <v>271</v>
      </c>
      <c r="E119" s="22">
        <v>0</v>
      </c>
      <c r="F119" s="22">
        <v>100</v>
      </c>
      <c r="G119" s="58">
        <v>350000</v>
      </c>
      <c r="H119" s="22"/>
      <c r="I119" s="22"/>
      <c r="J119" s="22"/>
      <c r="K119" s="22"/>
      <c r="L119" s="22" t="s">
        <v>274</v>
      </c>
      <c r="M119" s="22"/>
      <c r="N119" s="22" t="s">
        <v>285</v>
      </c>
      <c r="O119" s="22">
        <v>10</v>
      </c>
      <c r="P119" s="12" t="s">
        <v>273</v>
      </c>
      <c r="Q119" s="22"/>
      <c r="R119" s="22"/>
      <c r="S119" s="22"/>
      <c r="T119" s="269">
        <v>90</v>
      </c>
      <c r="U119" s="2"/>
      <c r="V119" s="44">
        <v>0</v>
      </c>
      <c r="W119" s="44">
        <v>90</v>
      </c>
      <c r="Y119" s="45">
        <v>118</v>
      </c>
    </row>
    <row r="120" spans="1:25" ht="15.75" customHeight="1">
      <c r="A120" s="233">
        <v>21</v>
      </c>
      <c r="B120" s="75" t="s">
        <v>244</v>
      </c>
      <c r="C120" s="22" t="s">
        <v>270</v>
      </c>
      <c r="D120" s="22" t="s">
        <v>271</v>
      </c>
      <c r="E120" s="22">
        <v>0</v>
      </c>
      <c r="F120" s="22">
        <v>100</v>
      </c>
      <c r="G120" s="58">
        <v>350000</v>
      </c>
      <c r="H120" s="22"/>
      <c r="I120" s="22"/>
      <c r="J120" s="22"/>
      <c r="K120" s="22"/>
      <c r="L120" s="22" t="s">
        <v>274</v>
      </c>
      <c r="M120" s="22"/>
      <c r="N120" s="22" t="s">
        <v>285</v>
      </c>
      <c r="O120" s="22">
        <v>30</v>
      </c>
      <c r="P120" s="12" t="s">
        <v>273</v>
      </c>
      <c r="Q120" s="22"/>
      <c r="R120" s="22"/>
      <c r="S120" s="22"/>
      <c r="T120" s="269">
        <v>70</v>
      </c>
      <c r="U120" s="2"/>
      <c r="V120" s="44">
        <v>0</v>
      </c>
      <c r="W120" s="44">
        <v>70</v>
      </c>
      <c r="Y120" s="45">
        <v>119</v>
      </c>
    </row>
    <row r="121" spans="1:25" ht="15.75" customHeight="1">
      <c r="A121" s="233">
        <v>21</v>
      </c>
      <c r="B121" s="75" t="s">
        <v>245</v>
      </c>
      <c r="C121" s="30" t="s">
        <v>270</v>
      </c>
      <c r="D121" s="30" t="s">
        <v>271</v>
      </c>
      <c r="E121" s="30">
        <v>0</v>
      </c>
      <c r="F121" s="30">
        <v>100</v>
      </c>
      <c r="G121" s="59">
        <v>350000</v>
      </c>
      <c r="H121" s="30"/>
      <c r="I121" s="30"/>
      <c r="J121" s="30"/>
      <c r="K121" s="30"/>
      <c r="L121" s="30" t="s">
        <v>274</v>
      </c>
      <c r="M121" s="30"/>
      <c r="N121" s="30" t="s">
        <v>285</v>
      </c>
      <c r="O121" s="30">
        <v>50</v>
      </c>
      <c r="P121" s="27" t="s">
        <v>273</v>
      </c>
      <c r="Q121" s="30"/>
      <c r="R121" s="30"/>
      <c r="S121" s="30"/>
      <c r="T121" s="273">
        <v>50</v>
      </c>
      <c r="U121" s="2"/>
      <c r="V121" s="44">
        <v>0</v>
      </c>
      <c r="W121" s="44">
        <v>50</v>
      </c>
      <c r="Y121" s="45">
        <v>120</v>
      </c>
    </row>
    <row r="122" spans="1:25" ht="15.75" customHeight="1">
      <c r="A122" s="229">
        <v>21</v>
      </c>
      <c r="B122" s="74" t="s">
        <v>225</v>
      </c>
      <c r="C122" s="222" t="s">
        <v>270</v>
      </c>
      <c r="D122" s="222" t="s">
        <v>271</v>
      </c>
      <c r="E122" s="222">
        <v>3</v>
      </c>
      <c r="F122" s="222">
        <v>97</v>
      </c>
      <c r="G122" s="261">
        <v>350000</v>
      </c>
      <c r="H122" s="222"/>
      <c r="I122" s="222"/>
      <c r="J122" s="222"/>
      <c r="K122" s="222"/>
      <c r="L122" s="222" t="s">
        <v>273</v>
      </c>
      <c r="M122" s="222"/>
      <c r="N122" s="222"/>
      <c r="O122" s="222"/>
      <c r="P122" s="12" t="s">
        <v>273</v>
      </c>
      <c r="Q122" s="222"/>
      <c r="R122" s="222"/>
      <c r="S122" s="222"/>
      <c r="T122" s="271">
        <v>100</v>
      </c>
      <c r="V122" s="44">
        <v>3</v>
      </c>
      <c r="W122" s="44">
        <v>97</v>
      </c>
      <c r="Y122" s="45">
        <v>121</v>
      </c>
    </row>
    <row r="123" spans="1:25" ht="15.75" customHeight="1">
      <c r="A123" s="228">
        <v>21</v>
      </c>
      <c r="B123" s="75" t="s">
        <v>226</v>
      </c>
      <c r="C123" s="22" t="s">
        <v>270</v>
      </c>
      <c r="D123" s="22" t="s">
        <v>271</v>
      </c>
      <c r="E123" s="22">
        <v>3</v>
      </c>
      <c r="F123" s="22">
        <v>97</v>
      </c>
      <c r="G123" s="58">
        <v>350000</v>
      </c>
      <c r="H123" s="22"/>
      <c r="I123" s="22"/>
      <c r="J123" s="22"/>
      <c r="K123" s="22"/>
      <c r="L123" s="22" t="s">
        <v>274</v>
      </c>
      <c r="M123" s="274" t="s">
        <v>275</v>
      </c>
      <c r="N123" s="22" t="s">
        <v>285</v>
      </c>
      <c r="O123" s="22">
        <v>10</v>
      </c>
      <c r="P123" s="12" t="s">
        <v>273</v>
      </c>
      <c r="Q123" s="22"/>
      <c r="R123" s="22"/>
      <c r="S123" s="22"/>
      <c r="T123" s="269">
        <v>90</v>
      </c>
      <c r="V123" s="44">
        <v>2.7</v>
      </c>
      <c r="W123" s="44">
        <v>87.3</v>
      </c>
      <c r="Y123" s="45">
        <v>122</v>
      </c>
    </row>
    <row r="124" spans="1:25" ht="15.75" customHeight="1">
      <c r="A124" s="228">
        <v>21</v>
      </c>
      <c r="B124" s="75" t="s">
        <v>227</v>
      </c>
      <c r="C124" s="22" t="s">
        <v>270</v>
      </c>
      <c r="D124" s="22" t="s">
        <v>271</v>
      </c>
      <c r="E124" s="22">
        <v>3</v>
      </c>
      <c r="F124" s="22">
        <v>97</v>
      </c>
      <c r="G124" s="58">
        <v>350000</v>
      </c>
      <c r="H124" s="22"/>
      <c r="I124" s="22"/>
      <c r="J124" s="22"/>
      <c r="K124" s="22"/>
      <c r="L124" s="22" t="s">
        <v>274</v>
      </c>
      <c r="M124" s="274" t="s">
        <v>275</v>
      </c>
      <c r="N124" s="22" t="s">
        <v>285</v>
      </c>
      <c r="O124" s="22">
        <v>30</v>
      </c>
      <c r="P124" s="12" t="s">
        <v>273</v>
      </c>
      <c r="Q124" s="22"/>
      <c r="R124" s="22"/>
      <c r="S124" s="22"/>
      <c r="T124" s="269">
        <v>70</v>
      </c>
      <c r="V124" s="44">
        <v>2.1</v>
      </c>
      <c r="W124" s="44">
        <v>67.900000000000006</v>
      </c>
      <c r="Y124" s="45">
        <v>123</v>
      </c>
    </row>
    <row r="125" spans="1:25" ht="15.75" customHeight="1">
      <c r="A125" s="228">
        <v>21</v>
      </c>
      <c r="B125" s="75" t="s">
        <v>228</v>
      </c>
      <c r="C125" s="22" t="s">
        <v>270</v>
      </c>
      <c r="D125" s="22" t="s">
        <v>271</v>
      </c>
      <c r="E125" s="22">
        <v>3</v>
      </c>
      <c r="F125" s="22">
        <v>97</v>
      </c>
      <c r="G125" s="58">
        <v>350000</v>
      </c>
      <c r="H125" s="22"/>
      <c r="I125" s="22"/>
      <c r="J125" s="22"/>
      <c r="K125" s="22"/>
      <c r="L125" s="22" t="s">
        <v>274</v>
      </c>
      <c r="M125" s="274" t="s">
        <v>275</v>
      </c>
      <c r="N125" s="22" t="s">
        <v>285</v>
      </c>
      <c r="O125" s="22">
        <v>50</v>
      </c>
      <c r="P125" s="12" t="s">
        <v>273</v>
      </c>
      <c r="Q125" s="22"/>
      <c r="R125" s="22"/>
      <c r="S125" s="22"/>
      <c r="T125" s="269">
        <v>50</v>
      </c>
      <c r="V125" s="44">
        <v>1.5</v>
      </c>
      <c r="W125" s="44">
        <v>48.5</v>
      </c>
      <c r="Y125" s="45">
        <v>124</v>
      </c>
    </row>
    <row r="126" spans="1:25" ht="15.75" customHeight="1">
      <c r="A126" s="228">
        <v>21</v>
      </c>
      <c r="B126" s="75" t="s">
        <v>230</v>
      </c>
      <c r="C126" s="22" t="s">
        <v>270</v>
      </c>
      <c r="D126" s="22" t="s">
        <v>271</v>
      </c>
      <c r="E126" s="22">
        <v>0</v>
      </c>
      <c r="F126" s="22">
        <v>100</v>
      </c>
      <c r="G126" s="58">
        <v>350000</v>
      </c>
      <c r="H126" s="22"/>
      <c r="I126" s="22"/>
      <c r="J126" s="22"/>
      <c r="K126" s="22"/>
      <c r="L126" s="22" t="s">
        <v>273</v>
      </c>
      <c r="M126" s="22"/>
      <c r="N126" s="22"/>
      <c r="O126" s="22"/>
      <c r="P126" s="12" t="s">
        <v>273</v>
      </c>
      <c r="Q126" s="22"/>
      <c r="R126" s="22"/>
      <c r="S126" s="22"/>
      <c r="T126" s="269">
        <v>100</v>
      </c>
      <c r="V126" s="44">
        <v>0</v>
      </c>
      <c r="W126" s="44">
        <v>100</v>
      </c>
      <c r="Y126" s="45">
        <v>125</v>
      </c>
    </row>
    <row r="127" spans="1:25" ht="15.75" customHeight="1">
      <c r="A127" s="228">
        <v>21</v>
      </c>
      <c r="B127" s="75" t="s">
        <v>246</v>
      </c>
      <c r="C127" s="22" t="s">
        <v>270</v>
      </c>
      <c r="D127" s="22" t="s">
        <v>271</v>
      </c>
      <c r="E127" s="22">
        <v>0</v>
      </c>
      <c r="F127" s="22">
        <v>100</v>
      </c>
      <c r="G127" s="58">
        <v>350000</v>
      </c>
      <c r="H127" s="22"/>
      <c r="I127" s="22"/>
      <c r="J127" s="22"/>
      <c r="K127" s="22"/>
      <c r="L127" s="22" t="s">
        <v>274</v>
      </c>
      <c r="M127" s="274" t="s">
        <v>275</v>
      </c>
      <c r="N127" s="22" t="s">
        <v>285</v>
      </c>
      <c r="O127" s="22">
        <v>10</v>
      </c>
      <c r="P127" s="12" t="s">
        <v>273</v>
      </c>
      <c r="Q127" s="22"/>
      <c r="R127" s="22"/>
      <c r="S127" s="22"/>
      <c r="T127" s="269">
        <v>90</v>
      </c>
      <c r="V127" s="44">
        <v>0</v>
      </c>
      <c r="W127" s="44">
        <v>90</v>
      </c>
      <c r="Y127" s="45">
        <v>126</v>
      </c>
    </row>
    <row r="128" spans="1:25" ht="15.75" customHeight="1">
      <c r="A128" s="228">
        <v>21</v>
      </c>
      <c r="B128" s="75" t="s">
        <v>247</v>
      </c>
      <c r="C128" s="22" t="s">
        <v>270</v>
      </c>
      <c r="D128" s="22" t="s">
        <v>271</v>
      </c>
      <c r="E128" s="22">
        <v>0</v>
      </c>
      <c r="F128" s="22">
        <v>100</v>
      </c>
      <c r="G128" s="58">
        <v>350000</v>
      </c>
      <c r="H128" s="22"/>
      <c r="I128" s="22"/>
      <c r="J128" s="22"/>
      <c r="K128" s="22"/>
      <c r="L128" s="22" t="s">
        <v>274</v>
      </c>
      <c r="M128" s="274" t="s">
        <v>275</v>
      </c>
      <c r="N128" s="22" t="s">
        <v>285</v>
      </c>
      <c r="O128" s="22">
        <v>30</v>
      </c>
      <c r="P128" s="12" t="s">
        <v>273</v>
      </c>
      <c r="Q128" s="22"/>
      <c r="R128" s="22"/>
      <c r="S128" s="22"/>
      <c r="T128" s="269">
        <v>70</v>
      </c>
      <c r="V128" s="44">
        <v>0</v>
      </c>
      <c r="W128" s="44">
        <v>70</v>
      </c>
      <c r="Y128" s="45">
        <v>127</v>
      </c>
    </row>
    <row r="129" spans="1:25" ht="15.75" customHeight="1">
      <c r="A129" s="230">
        <v>21</v>
      </c>
      <c r="B129" s="231" t="s">
        <v>248</v>
      </c>
      <c r="C129" s="30" t="s">
        <v>270</v>
      </c>
      <c r="D129" s="30" t="s">
        <v>271</v>
      </c>
      <c r="E129" s="30">
        <v>0</v>
      </c>
      <c r="F129" s="30">
        <v>100</v>
      </c>
      <c r="G129" s="59">
        <v>350000</v>
      </c>
      <c r="H129" s="30"/>
      <c r="I129" s="30"/>
      <c r="J129" s="30"/>
      <c r="K129" s="30"/>
      <c r="L129" s="30" t="s">
        <v>274</v>
      </c>
      <c r="M129" s="275" t="s">
        <v>275</v>
      </c>
      <c r="N129" s="30" t="s">
        <v>285</v>
      </c>
      <c r="O129" s="30">
        <v>50</v>
      </c>
      <c r="P129" s="27" t="s">
        <v>273</v>
      </c>
      <c r="Q129" s="30"/>
      <c r="R129" s="30"/>
      <c r="S129" s="30"/>
      <c r="T129" s="273">
        <v>50</v>
      </c>
      <c r="V129" s="44">
        <v>0</v>
      </c>
      <c r="W129" s="44">
        <v>50</v>
      </c>
      <c r="Y129" s="45">
        <v>128</v>
      </c>
    </row>
    <row r="130" spans="1:25" ht="15.75" customHeight="1">
      <c r="A130" s="228">
        <v>22</v>
      </c>
      <c r="B130" s="75">
        <v>1</v>
      </c>
      <c r="C130" s="22" t="s">
        <v>270</v>
      </c>
      <c r="D130" s="22" t="s">
        <v>271</v>
      </c>
      <c r="E130" s="22">
        <v>3</v>
      </c>
      <c r="F130" s="22">
        <v>97</v>
      </c>
      <c r="G130" s="58">
        <v>300000</v>
      </c>
      <c r="H130" s="22"/>
      <c r="I130" s="22"/>
      <c r="J130" s="22"/>
      <c r="K130" s="22"/>
      <c r="L130" s="22" t="s">
        <v>273</v>
      </c>
      <c r="M130" s="274"/>
      <c r="N130" s="22"/>
      <c r="O130" s="22"/>
      <c r="P130" s="12" t="s">
        <v>273</v>
      </c>
      <c r="Q130" s="22"/>
      <c r="R130" s="22"/>
      <c r="S130" s="22"/>
      <c r="T130" s="269">
        <v>100</v>
      </c>
      <c r="U130" s="2"/>
      <c r="V130" s="44">
        <v>3</v>
      </c>
      <c r="W130" s="44">
        <v>97</v>
      </c>
      <c r="Y130" s="45">
        <v>129</v>
      </c>
    </row>
    <row r="131" spans="1:25" ht="15.75" customHeight="1">
      <c r="A131" s="228">
        <v>22</v>
      </c>
      <c r="B131" s="75">
        <v>2</v>
      </c>
      <c r="C131" s="22" t="s">
        <v>270</v>
      </c>
      <c r="D131" s="22" t="s">
        <v>271</v>
      </c>
      <c r="E131" s="22">
        <v>3</v>
      </c>
      <c r="F131" s="22">
        <v>97</v>
      </c>
      <c r="G131" s="58">
        <v>300000</v>
      </c>
      <c r="H131" s="22"/>
      <c r="I131" s="22"/>
      <c r="J131" s="22"/>
      <c r="K131" s="22"/>
      <c r="L131" s="22" t="s">
        <v>274</v>
      </c>
      <c r="M131" s="274" t="s">
        <v>275</v>
      </c>
      <c r="N131" s="22" t="s">
        <v>286</v>
      </c>
      <c r="O131" s="22">
        <v>0.1</v>
      </c>
      <c r="P131" s="12" t="s">
        <v>273</v>
      </c>
      <c r="Q131" s="22"/>
      <c r="R131" s="22"/>
      <c r="S131" s="22"/>
      <c r="T131" s="269">
        <v>99.9</v>
      </c>
      <c r="U131" s="2"/>
      <c r="V131" s="44">
        <v>2.9970000000000003</v>
      </c>
      <c r="W131" s="44">
        <v>96.903000000000006</v>
      </c>
      <c r="Y131" s="45">
        <v>130</v>
      </c>
    </row>
    <row r="132" spans="1:25" ht="15.75" customHeight="1">
      <c r="A132" s="228">
        <v>22</v>
      </c>
      <c r="B132" s="75">
        <v>3</v>
      </c>
      <c r="C132" s="22" t="s">
        <v>270</v>
      </c>
      <c r="D132" s="22" t="s">
        <v>271</v>
      </c>
      <c r="E132" s="22">
        <v>3</v>
      </c>
      <c r="F132" s="22">
        <v>97</v>
      </c>
      <c r="G132" s="58">
        <v>300000</v>
      </c>
      <c r="H132" s="22"/>
      <c r="I132" s="22"/>
      <c r="J132" s="22"/>
      <c r="K132" s="22"/>
      <c r="L132" s="22" t="s">
        <v>274</v>
      </c>
      <c r="M132" s="274" t="s">
        <v>275</v>
      </c>
      <c r="N132" s="22" t="s">
        <v>286</v>
      </c>
      <c r="O132" s="22">
        <v>0.2</v>
      </c>
      <c r="P132" s="12" t="s">
        <v>273</v>
      </c>
      <c r="Q132" s="22"/>
      <c r="R132" s="22"/>
      <c r="S132" s="22"/>
      <c r="T132" s="269">
        <v>99.8</v>
      </c>
      <c r="U132" s="2"/>
      <c r="V132" s="44">
        <v>2.9939999999999998</v>
      </c>
      <c r="W132" s="44">
        <v>96.805999999999997</v>
      </c>
      <c r="Y132" s="45">
        <v>131</v>
      </c>
    </row>
    <row r="133" spans="1:25" ht="15.75" customHeight="1">
      <c r="A133" s="228">
        <v>22</v>
      </c>
      <c r="B133" s="75">
        <v>4</v>
      </c>
      <c r="C133" s="22" t="s">
        <v>270</v>
      </c>
      <c r="D133" s="22" t="s">
        <v>271</v>
      </c>
      <c r="E133" s="22">
        <v>3</v>
      </c>
      <c r="F133" s="22">
        <v>97</v>
      </c>
      <c r="G133" s="58">
        <v>300000</v>
      </c>
      <c r="H133" s="22"/>
      <c r="I133" s="22"/>
      <c r="J133" s="22"/>
      <c r="K133" s="22"/>
      <c r="L133" s="22" t="s">
        <v>274</v>
      </c>
      <c r="M133" s="274" t="s">
        <v>275</v>
      </c>
      <c r="N133" s="22" t="s">
        <v>286</v>
      </c>
      <c r="O133" s="22">
        <v>0.3</v>
      </c>
      <c r="P133" s="12" t="s">
        <v>273</v>
      </c>
      <c r="Q133" s="22"/>
      <c r="R133" s="22"/>
      <c r="S133" s="22"/>
      <c r="T133" s="269">
        <v>99.7</v>
      </c>
      <c r="U133" s="2"/>
      <c r="V133" s="44">
        <v>2.9910000000000001</v>
      </c>
      <c r="W133" s="44">
        <v>96.709000000000003</v>
      </c>
      <c r="Y133" s="45">
        <v>132</v>
      </c>
    </row>
    <row r="134" spans="1:25" ht="15.75" customHeight="1">
      <c r="A134" s="228">
        <v>22</v>
      </c>
      <c r="B134" s="75">
        <v>5</v>
      </c>
      <c r="C134" s="22" t="s">
        <v>270</v>
      </c>
      <c r="D134" s="22" t="s">
        <v>271</v>
      </c>
      <c r="E134" s="22">
        <v>3</v>
      </c>
      <c r="F134" s="22">
        <v>97</v>
      </c>
      <c r="G134" s="58">
        <v>300000</v>
      </c>
      <c r="H134" s="22"/>
      <c r="I134" s="22"/>
      <c r="J134" s="22"/>
      <c r="K134" s="22"/>
      <c r="L134" s="22" t="s">
        <v>274</v>
      </c>
      <c r="M134" s="274" t="s">
        <v>275</v>
      </c>
      <c r="N134" s="22" t="s">
        <v>286</v>
      </c>
      <c r="O134" s="22">
        <v>0.4</v>
      </c>
      <c r="P134" s="12" t="s">
        <v>273</v>
      </c>
      <c r="Q134" s="22"/>
      <c r="R134" s="22"/>
      <c r="S134" s="22"/>
      <c r="T134" s="269">
        <v>99.6</v>
      </c>
      <c r="U134" s="2"/>
      <c r="V134" s="44">
        <v>2.9879999999999995</v>
      </c>
      <c r="W134" s="44">
        <v>96.611999999999995</v>
      </c>
      <c r="Y134" s="45">
        <v>133</v>
      </c>
    </row>
    <row r="135" spans="1:25" ht="15.75" customHeight="1">
      <c r="A135" s="228">
        <v>22</v>
      </c>
      <c r="B135" s="75">
        <v>6</v>
      </c>
      <c r="C135" s="22" t="s">
        <v>270</v>
      </c>
      <c r="D135" s="22" t="s">
        <v>271</v>
      </c>
      <c r="E135" s="22">
        <v>3</v>
      </c>
      <c r="F135" s="22">
        <v>97</v>
      </c>
      <c r="G135" s="58">
        <v>300000</v>
      </c>
      <c r="H135" s="22"/>
      <c r="I135" s="22"/>
      <c r="J135" s="22"/>
      <c r="K135" s="22"/>
      <c r="L135" s="22" t="s">
        <v>274</v>
      </c>
      <c r="M135" s="274" t="s">
        <v>275</v>
      </c>
      <c r="N135" s="22" t="s">
        <v>286</v>
      </c>
      <c r="O135" s="22">
        <v>0.5</v>
      </c>
      <c r="P135" s="12" t="s">
        <v>273</v>
      </c>
      <c r="Q135" s="22"/>
      <c r="R135" s="22"/>
      <c r="S135" s="22"/>
      <c r="T135" s="269">
        <v>99.5</v>
      </c>
      <c r="U135" s="2"/>
      <c r="V135" s="44">
        <v>2.9849999999999999</v>
      </c>
      <c r="W135" s="44">
        <v>96.515000000000001</v>
      </c>
      <c r="Y135" s="45">
        <v>134</v>
      </c>
    </row>
    <row r="136" spans="1:25" ht="15.75" customHeight="1">
      <c r="A136" s="228">
        <v>22</v>
      </c>
      <c r="B136" s="75">
        <v>7</v>
      </c>
      <c r="C136" s="22" t="s">
        <v>270</v>
      </c>
      <c r="D136" s="22" t="s">
        <v>271</v>
      </c>
      <c r="E136" s="22">
        <v>3</v>
      </c>
      <c r="F136" s="22">
        <v>97</v>
      </c>
      <c r="G136" s="58">
        <v>300000</v>
      </c>
      <c r="H136" s="22"/>
      <c r="I136" s="22"/>
      <c r="J136" s="22"/>
      <c r="K136" s="22"/>
      <c r="L136" s="22" t="s">
        <v>274</v>
      </c>
      <c r="M136" s="274" t="s">
        <v>275</v>
      </c>
      <c r="N136" s="22" t="s">
        <v>286</v>
      </c>
      <c r="O136" s="22">
        <v>0.6</v>
      </c>
      <c r="P136" s="12" t="s">
        <v>273</v>
      </c>
      <c r="Q136" s="22"/>
      <c r="R136" s="22"/>
      <c r="S136" s="22"/>
      <c r="T136" s="269">
        <v>99.4</v>
      </c>
      <c r="U136" s="2"/>
      <c r="V136" s="44">
        <v>2.9820000000000007</v>
      </c>
      <c r="W136" s="44">
        <v>96.418000000000006</v>
      </c>
      <c r="Y136" s="45">
        <v>135</v>
      </c>
    </row>
    <row r="137" spans="1:25" ht="15.75" customHeight="1">
      <c r="A137" s="228">
        <v>22</v>
      </c>
      <c r="B137" s="75">
        <v>8</v>
      </c>
      <c r="C137" s="22" t="s">
        <v>270</v>
      </c>
      <c r="D137" s="22" t="s">
        <v>271</v>
      </c>
      <c r="E137" s="22">
        <v>3</v>
      </c>
      <c r="F137" s="22">
        <v>97</v>
      </c>
      <c r="G137" s="58">
        <v>300000</v>
      </c>
      <c r="H137" s="22"/>
      <c r="I137" s="22"/>
      <c r="J137" s="22"/>
      <c r="K137" s="22"/>
      <c r="L137" s="22" t="s">
        <v>274</v>
      </c>
      <c r="M137" s="274" t="s">
        <v>275</v>
      </c>
      <c r="N137" s="22" t="s">
        <v>286</v>
      </c>
      <c r="O137" s="22">
        <v>0.7</v>
      </c>
      <c r="P137" s="27" t="s">
        <v>273</v>
      </c>
      <c r="Q137" s="22"/>
      <c r="R137" s="22"/>
      <c r="S137" s="22"/>
      <c r="T137" s="269">
        <v>99.3</v>
      </c>
      <c r="U137" s="2"/>
      <c r="V137" s="44">
        <v>2.9789999999999996</v>
      </c>
      <c r="W137" s="44">
        <v>96.320999999999998</v>
      </c>
      <c r="Y137" s="45">
        <v>136</v>
      </c>
    </row>
    <row r="138" spans="1:25" ht="15.75" customHeight="1">
      <c r="A138" s="229">
        <v>23</v>
      </c>
      <c r="B138" s="74">
        <v>1</v>
      </c>
      <c r="C138" s="222" t="s">
        <v>270</v>
      </c>
      <c r="D138" s="222" t="s">
        <v>271</v>
      </c>
      <c r="E138" s="227">
        <v>92</v>
      </c>
      <c r="F138" s="227">
        <v>8</v>
      </c>
      <c r="G138" s="261"/>
      <c r="H138" s="234"/>
      <c r="I138" s="222">
        <v>1.25</v>
      </c>
      <c r="J138" s="222" t="s">
        <v>272</v>
      </c>
      <c r="K138" s="234"/>
      <c r="L138" s="222" t="s">
        <v>273</v>
      </c>
      <c r="M138" s="222" t="s">
        <v>279</v>
      </c>
      <c r="N138" s="234"/>
      <c r="O138" s="222"/>
      <c r="P138" s="12" t="s">
        <v>273</v>
      </c>
      <c r="Q138" s="234"/>
      <c r="R138" s="234"/>
      <c r="S138" s="234"/>
      <c r="T138" s="271">
        <v>100</v>
      </c>
      <c r="U138" s="2"/>
      <c r="V138" s="44">
        <v>92</v>
      </c>
      <c r="W138" s="44">
        <v>8</v>
      </c>
      <c r="Y138" s="45">
        <v>137</v>
      </c>
    </row>
    <row r="139" spans="1:25" ht="15.75" customHeight="1">
      <c r="A139" s="228">
        <v>23</v>
      </c>
      <c r="B139" s="75">
        <v>2</v>
      </c>
      <c r="C139" s="22" t="s">
        <v>270</v>
      </c>
      <c r="D139" s="22" t="s">
        <v>271</v>
      </c>
      <c r="E139" s="12">
        <v>92</v>
      </c>
      <c r="F139" s="12">
        <v>8</v>
      </c>
      <c r="G139" s="58"/>
      <c r="H139" s="2"/>
      <c r="I139" s="22">
        <v>1.25</v>
      </c>
      <c r="J139" s="22" t="s">
        <v>272</v>
      </c>
      <c r="K139" s="2"/>
      <c r="L139" s="22" t="s">
        <v>274</v>
      </c>
      <c r="M139" s="22" t="s">
        <v>279</v>
      </c>
      <c r="N139" s="22" t="s">
        <v>162</v>
      </c>
      <c r="O139" s="22">
        <v>0.1</v>
      </c>
      <c r="P139" s="12" t="s">
        <v>273</v>
      </c>
      <c r="Q139" s="2"/>
      <c r="R139" s="2"/>
      <c r="S139" s="2"/>
      <c r="T139" s="269">
        <v>99.9</v>
      </c>
      <c r="U139" s="2"/>
      <c r="V139" s="44">
        <v>91.908000000000015</v>
      </c>
      <c r="W139" s="44">
        <v>7.9920000000000009</v>
      </c>
      <c r="Y139" s="45">
        <v>138</v>
      </c>
    </row>
    <row r="140" spans="1:25" ht="15.75" customHeight="1">
      <c r="A140" s="228">
        <v>23</v>
      </c>
      <c r="B140" s="75">
        <v>3</v>
      </c>
      <c r="C140" s="22" t="s">
        <v>270</v>
      </c>
      <c r="D140" s="22" t="s">
        <v>271</v>
      </c>
      <c r="E140" s="12">
        <v>92</v>
      </c>
      <c r="F140" s="12">
        <v>8</v>
      </c>
      <c r="G140" s="58"/>
      <c r="H140" s="2"/>
      <c r="I140" s="22">
        <v>1.25</v>
      </c>
      <c r="J140" s="22" t="s">
        <v>272</v>
      </c>
      <c r="K140" s="2"/>
      <c r="L140" s="22" t="s">
        <v>274</v>
      </c>
      <c r="M140" s="22" t="s">
        <v>279</v>
      </c>
      <c r="N140" s="22" t="s">
        <v>162</v>
      </c>
      <c r="O140" s="22">
        <v>3</v>
      </c>
      <c r="P140" s="12" t="s">
        <v>273</v>
      </c>
      <c r="Q140" s="2"/>
      <c r="R140" s="2"/>
      <c r="S140" s="2"/>
      <c r="T140" s="269">
        <v>97</v>
      </c>
      <c r="U140" s="2"/>
      <c r="V140" s="44">
        <v>89.24</v>
      </c>
      <c r="W140" s="44">
        <v>7.76</v>
      </c>
      <c r="Y140" s="45">
        <v>139</v>
      </c>
    </row>
    <row r="141" spans="1:25" ht="15.75" customHeight="1">
      <c r="A141" s="228">
        <v>23</v>
      </c>
      <c r="B141" s="75">
        <v>4</v>
      </c>
      <c r="C141" s="22" t="s">
        <v>270</v>
      </c>
      <c r="D141" s="22" t="s">
        <v>271</v>
      </c>
      <c r="E141" s="12">
        <v>92</v>
      </c>
      <c r="F141" s="12">
        <v>8</v>
      </c>
      <c r="G141" s="58"/>
      <c r="H141" s="2"/>
      <c r="I141" s="22">
        <v>1.25</v>
      </c>
      <c r="J141" s="22" t="s">
        <v>272</v>
      </c>
      <c r="K141" s="2"/>
      <c r="L141" s="22" t="s">
        <v>274</v>
      </c>
      <c r="M141" s="22" t="s">
        <v>279</v>
      </c>
      <c r="N141" s="22" t="s">
        <v>162</v>
      </c>
      <c r="O141" s="22">
        <v>5</v>
      </c>
      <c r="P141" s="12" t="s">
        <v>273</v>
      </c>
      <c r="Q141" s="2"/>
      <c r="R141" s="2"/>
      <c r="S141" s="2"/>
      <c r="T141" s="269">
        <v>95</v>
      </c>
      <c r="U141" s="2"/>
      <c r="V141" s="44">
        <v>87.4</v>
      </c>
      <c r="W141" s="44">
        <v>7.6</v>
      </c>
      <c r="Y141" s="45">
        <v>140</v>
      </c>
    </row>
    <row r="142" spans="1:25" ht="15.75" customHeight="1">
      <c r="A142" s="230">
        <v>23</v>
      </c>
      <c r="B142" s="231">
        <v>5</v>
      </c>
      <c r="C142" s="22" t="s">
        <v>270</v>
      </c>
      <c r="D142" s="22" t="s">
        <v>271</v>
      </c>
      <c r="E142" s="27">
        <v>92</v>
      </c>
      <c r="F142" s="27">
        <v>8</v>
      </c>
      <c r="G142" s="59"/>
      <c r="H142" s="34"/>
      <c r="I142" s="30">
        <v>1.25</v>
      </c>
      <c r="J142" s="30" t="s">
        <v>272</v>
      </c>
      <c r="K142" s="34"/>
      <c r="L142" s="30" t="s">
        <v>274</v>
      </c>
      <c r="M142" s="30" t="s">
        <v>279</v>
      </c>
      <c r="N142" s="30" t="s">
        <v>162</v>
      </c>
      <c r="O142" s="30">
        <v>7</v>
      </c>
      <c r="P142" s="27" t="s">
        <v>273</v>
      </c>
      <c r="Q142" s="34"/>
      <c r="R142" s="34"/>
      <c r="S142" s="34"/>
      <c r="T142" s="273">
        <v>93</v>
      </c>
      <c r="U142" s="2"/>
      <c r="V142" s="44">
        <v>85.56</v>
      </c>
      <c r="W142" s="44">
        <v>7.44</v>
      </c>
      <c r="Y142" s="45">
        <v>141</v>
      </c>
    </row>
    <row r="143" spans="1:25" ht="15.75" customHeight="1">
      <c r="A143" s="238">
        <v>24</v>
      </c>
      <c r="B143" s="239">
        <v>1</v>
      </c>
      <c r="C143" s="276" t="s">
        <v>270</v>
      </c>
      <c r="D143" s="276" t="s">
        <v>271</v>
      </c>
      <c r="E143" s="69">
        <v>1.5</v>
      </c>
      <c r="F143" s="69">
        <v>98.5</v>
      </c>
      <c r="G143" s="70">
        <v>400000</v>
      </c>
      <c r="H143" s="69"/>
      <c r="I143" s="69"/>
      <c r="J143" s="69"/>
      <c r="K143" s="69"/>
      <c r="L143" s="69" t="s">
        <v>273</v>
      </c>
      <c r="M143" s="69"/>
      <c r="N143" s="69"/>
      <c r="O143" s="69"/>
      <c r="P143" s="12" t="s">
        <v>273</v>
      </c>
      <c r="Q143" s="69"/>
      <c r="R143" s="69"/>
      <c r="S143" s="69"/>
      <c r="T143" s="277">
        <v>100</v>
      </c>
      <c r="U143" s="2"/>
      <c r="V143" s="44">
        <v>1.5</v>
      </c>
      <c r="W143" s="44">
        <v>98.5</v>
      </c>
      <c r="Y143" s="45">
        <v>142</v>
      </c>
    </row>
    <row r="144" spans="1:25" ht="15.75" customHeight="1">
      <c r="A144" s="238">
        <v>24</v>
      </c>
      <c r="B144" s="239">
        <v>2</v>
      </c>
      <c r="C144" s="69" t="s">
        <v>270</v>
      </c>
      <c r="D144" s="69" t="s">
        <v>271</v>
      </c>
      <c r="E144" s="69">
        <v>1.5</v>
      </c>
      <c r="F144" s="69">
        <v>98.5</v>
      </c>
      <c r="G144" s="70">
        <v>400000</v>
      </c>
      <c r="H144" s="69"/>
      <c r="I144" s="69"/>
      <c r="J144" s="69"/>
      <c r="K144" s="69"/>
      <c r="L144" s="69" t="s">
        <v>274</v>
      </c>
      <c r="M144" s="69" t="s">
        <v>279</v>
      </c>
      <c r="N144" s="69" t="s">
        <v>135</v>
      </c>
      <c r="O144" s="69">
        <v>0.5</v>
      </c>
      <c r="P144" s="12" t="s">
        <v>273</v>
      </c>
      <c r="Q144" s="69"/>
      <c r="R144" s="69"/>
      <c r="S144" s="69"/>
      <c r="T144" s="277">
        <v>99.5</v>
      </c>
      <c r="U144" s="2"/>
      <c r="V144" s="44">
        <v>1.4924999999999999</v>
      </c>
      <c r="W144" s="63">
        <v>98.007499999999993</v>
      </c>
      <c r="Y144" s="45">
        <v>143</v>
      </c>
    </row>
    <row r="145" spans="1:25" ht="15.75" customHeight="1">
      <c r="A145" s="238">
        <v>24</v>
      </c>
      <c r="B145" s="239">
        <v>3</v>
      </c>
      <c r="C145" s="69" t="s">
        <v>270</v>
      </c>
      <c r="D145" s="69" t="s">
        <v>271</v>
      </c>
      <c r="E145" s="69">
        <v>1.5</v>
      </c>
      <c r="F145" s="69">
        <v>98.5</v>
      </c>
      <c r="G145" s="70">
        <v>400000</v>
      </c>
      <c r="H145" s="69"/>
      <c r="I145" s="69"/>
      <c r="J145" s="69"/>
      <c r="K145" s="69"/>
      <c r="L145" s="69" t="s">
        <v>274</v>
      </c>
      <c r="M145" s="69" t="s">
        <v>279</v>
      </c>
      <c r="N145" s="69" t="s">
        <v>135</v>
      </c>
      <c r="O145" s="69">
        <v>1</v>
      </c>
      <c r="P145" s="12" t="s">
        <v>273</v>
      </c>
      <c r="Q145" s="69"/>
      <c r="R145" s="69"/>
      <c r="S145" s="69"/>
      <c r="T145" s="277">
        <v>99</v>
      </c>
      <c r="U145" s="2"/>
      <c r="V145" s="44">
        <v>1.4850000000000001</v>
      </c>
      <c r="W145" s="44">
        <v>97.515000000000001</v>
      </c>
      <c r="Y145" s="45">
        <v>144</v>
      </c>
    </row>
    <row r="146" spans="1:25" ht="15.75" customHeight="1">
      <c r="A146" s="238">
        <v>24</v>
      </c>
      <c r="B146" s="239">
        <v>4</v>
      </c>
      <c r="C146" s="69" t="s">
        <v>270</v>
      </c>
      <c r="D146" s="69" t="s">
        <v>271</v>
      </c>
      <c r="E146" s="69">
        <v>1.5</v>
      </c>
      <c r="F146" s="69">
        <v>98.5</v>
      </c>
      <c r="G146" s="70">
        <v>400000</v>
      </c>
      <c r="H146" s="69"/>
      <c r="I146" s="69"/>
      <c r="J146" s="69"/>
      <c r="K146" s="69"/>
      <c r="L146" s="69" t="s">
        <v>274</v>
      </c>
      <c r="M146" s="69" t="s">
        <v>279</v>
      </c>
      <c r="N146" s="69" t="s">
        <v>135</v>
      </c>
      <c r="O146" s="69">
        <v>1.5</v>
      </c>
      <c r="P146" s="12" t="s">
        <v>273</v>
      </c>
      <c r="Q146" s="69"/>
      <c r="R146" s="69"/>
      <c r="S146" s="69"/>
      <c r="T146" s="277">
        <v>98.5</v>
      </c>
      <c r="U146" s="2"/>
      <c r="V146" s="44">
        <v>1.4775</v>
      </c>
      <c r="W146" s="44">
        <v>97.022499999999994</v>
      </c>
      <c r="Y146" s="45">
        <v>145</v>
      </c>
    </row>
    <row r="147" spans="1:25" ht="15.75" customHeight="1">
      <c r="A147" s="238">
        <v>24</v>
      </c>
      <c r="B147" s="239">
        <v>5</v>
      </c>
      <c r="C147" s="69" t="s">
        <v>270</v>
      </c>
      <c r="D147" s="69" t="s">
        <v>271</v>
      </c>
      <c r="E147" s="69">
        <v>1.5</v>
      </c>
      <c r="F147" s="69">
        <v>98.5</v>
      </c>
      <c r="G147" s="70">
        <v>400000</v>
      </c>
      <c r="H147" s="69"/>
      <c r="I147" s="69"/>
      <c r="J147" s="69"/>
      <c r="K147" s="69"/>
      <c r="L147" s="69" t="s">
        <v>274</v>
      </c>
      <c r="M147" s="69" t="s">
        <v>279</v>
      </c>
      <c r="N147" s="69" t="s">
        <v>135</v>
      </c>
      <c r="O147" s="69">
        <v>2</v>
      </c>
      <c r="P147" s="12" t="s">
        <v>273</v>
      </c>
      <c r="Q147" s="69"/>
      <c r="R147" s="69"/>
      <c r="S147" s="69"/>
      <c r="T147" s="277">
        <v>98</v>
      </c>
      <c r="U147" s="2"/>
      <c r="V147" s="44">
        <v>1.47</v>
      </c>
      <c r="W147" s="44">
        <v>96.53</v>
      </c>
      <c r="Y147" s="45">
        <v>146</v>
      </c>
    </row>
    <row r="148" spans="1:25" ht="15.75" customHeight="1">
      <c r="A148" s="238">
        <v>24</v>
      </c>
      <c r="B148" s="239">
        <v>6</v>
      </c>
      <c r="C148" s="69" t="s">
        <v>270</v>
      </c>
      <c r="D148" s="69" t="s">
        <v>271</v>
      </c>
      <c r="E148" s="69">
        <v>1.5</v>
      </c>
      <c r="F148" s="69">
        <v>98.5</v>
      </c>
      <c r="G148" s="70">
        <v>400000</v>
      </c>
      <c r="H148" s="69"/>
      <c r="I148" s="69"/>
      <c r="J148" s="69"/>
      <c r="K148" s="69"/>
      <c r="L148" s="69" t="s">
        <v>274</v>
      </c>
      <c r="M148" s="69" t="s">
        <v>279</v>
      </c>
      <c r="N148" s="69" t="s">
        <v>135</v>
      </c>
      <c r="O148" s="69">
        <v>3</v>
      </c>
      <c r="P148" s="12" t="s">
        <v>273</v>
      </c>
      <c r="Q148" s="69"/>
      <c r="R148" s="69"/>
      <c r="S148" s="69"/>
      <c r="T148" s="277">
        <v>97</v>
      </c>
      <c r="U148" s="2"/>
      <c r="V148" s="44">
        <v>1.4550000000000001</v>
      </c>
      <c r="W148" s="44">
        <v>95.545000000000002</v>
      </c>
      <c r="Y148" s="45">
        <v>147</v>
      </c>
    </row>
    <row r="149" spans="1:25" ht="15.75" customHeight="1">
      <c r="A149" s="238">
        <v>24</v>
      </c>
      <c r="B149" s="239">
        <v>7</v>
      </c>
      <c r="C149" s="69" t="s">
        <v>270</v>
      </c>
      <c r="D149" s="69" t="s">
        <v>271</v>
      </c>
      <c r="E149" s="69">
        <v>1.5</v>
      </c>
      <c r="F149" s="69">
        <v>98.5</v>
      </c>
      <c r="G149" s="70">
        <v>400000</v>
      </c>
      <c r="H149" s="69"/>
      <c r="I149" s="69"/>
      <c r="J149" s="69"/>
      <c r="K149" s="69"/>
      <c r="L149" s="69" t="s">
        <v>274</v>
      </c>
      <c r="M149" s="69" t="s">
        <v>279</v>
      </c>
      <c r="N149" s="69" t="s">
        <v>135</v>
      </c>
      <c r="O149" s="69">
        <v>5</v>
      </c>
      <c r="P149" s="27" t="s">
        <v>273</v>
      </c>
      <c r="Q149" s="69"/>
      <c r="R149" s="69"/>
      <c r="S149" s="69"/>
      <c r="T149" s="277">
        <v>95</v>
      </c>
      <c r="U149" s="2"/>
      <c r="V149" s="44">
        <v>1.425</v>
      </c>
      <c r="W149" s="44">
        <v>93.575000000000003</v>
      </c>
      <c r="Y149" s="45">
        <v>148</v>
      </c>
    </row>
    <row r="150" spans="1:25" ht="15.75" customHeight="1">
      <c r="A150" s="229">
        <v>25</v>
      </c>
      <c r="B150" s="74">
        <v>1</v>
      </c>
      <c r="C150" s="276" t="s">
        <v>270</v>
      </c>
      <c r="D150" s="276" t="s">
        <v>271</v>
      </c>
      <c r="E150" s="222">
        <v>20</v>
      </c>
      <c r="F150" s="222">
        <v>80</v>
      </c>
      <c r="G150" s="261">
        <v>380000</v>
      </c>
      <c r="H150" s="222"/>
      <c r="I150" s="222"/>
      <c r="J150" s="222"/>
      <c r="K150" s="222"/>
      <c r="L150" s="222" t="s">
        <v>273</v>
      </c>
      <c r="M150" s="222"/>
      <c r="N150" s="222"/>
      <c r="O150" s="222"/>
      <c r="P150" s="12" t="s">
        <v>273</v>
      </c>
      <c r="Q150" s="222"/>
      <c r="R150" s="222"/>
      <c r="S150" s="222"/>
      <c r="T150" s="258">
        <v>100</v>
      </c>
      <c r="U150" s="2"/>
      <c r="V150" s="44">
        <v>20</v>
      </c>
      <c r="W150" s="44">
        <v>80</v>
      </c>
      <c r="Y150" s="45">
        <v>149</v>
      </c>
    </row>
    <row r="151" spans="1:25" ht="15.75" customHeight="1">
      <c r="A151" s="228">
        <v>25</v>
      </c>
      <c r="B151" s="75">
        <v>2</v>
      </c>
      <c r="C151" s="69" t="s">
        <v>270</v>
      </c>
      <c r="D151" s="69" t="s">
        <v>271</v>
      </c>
      <c r="E151" s="22">
        <v>20</v>
      </c>
      <c r="F151" s="22">
        <v>80</v>
      </c>
      <c r="G151" s="58">
        <v>380000</v>
      </c>
      <c r="H151" s="22"/>
      <c r="I151" s="22"/>
      <c r="J151" s="22"/>
      <c r="K151" s="22"/>
      <c r="L151" s="22" t="s">
        <v>274</v>
      </c>
      <c r="M151" s="61" t="s">
        <v>279</v>
      </c>
      <c r="N151" s="22" t="s">
        <v>137</v>
      </c>
      <c r="O151" s="22">
        <v>0.1</v>
      </c>
      <c r="P151" s="12" t="s">
        <v>273</v>
      </c>
      <c r="Q151" s="22"/>
      <c r="R151" s="22"/>
      <c r="S151" s="22"/>
      <c r="T151" s="269">
        <v>99.9</v>
      </c>
      <c r="U151" s="2"/>
      <c r="V151" s="44">
        <v>19.98</v>
      </c>
      <c r="W151" s="44">
        <v>79.92</v>
      </c>
      <c r="Y151" s="45">
        <v>150</v>
      </c>
    </row>
    <row r="152" spans="1:25" ht="15.75" customHeight="1">
      <c r="A152" s="228">
        <v>25</v>
      </c>
      <c r="B152" s="75">
        <v>3</v>
      </c>
      <c r="C152" s="69" t="s">
        <v>270</v>
      </c>
      <c r="D152" s="69" t="s">
        <v>271</v>
      </c>
      <c r="E152" s="22">
        <v>20</v>
      </c>
      <c r="F152" s="22">
        <v>80</v>
      </c>
      <c r="G152" s="58">
        <v>380000</v>
      </c>
      <c r="H152" s="22"/>
      <c r="I152" s="22"/>
      <c r="J152" s="22"/>
      <c r="K152" s="22"/>
      <c r="L152" s="22" t="s">
        <v>274</v>
      </c>
      <c r="M152" s="61" t="s">
        <v>279</v>
      </c>
      <c r="N152" s="22" t="s">
        <v>137</v>
      </c>
      <c r="O152" s="22">
        <v>0.5</v>
      </c>
      <c r="P152" s="12" t="s">
        <v>273</v>
      </c>
      <c r="Q152" s="22"/>
      <c r="R152" s="22"/>
      <c r="S152" s="22"/>
      <c r="T152" s="269">
        <v>99.5</v>
      </c>
      <c r="U152" s="2"/>
      <c r="V152" s="44">
        <v>19.899999999999999</v>
      </c>
      <c r="W152" s="44">
        <v>79.599999999999994</v>
      </c>
      <c r="Y152" s="45">
        <v>151</v>
      </c>
    </row>
    <row r="153" spans="1:25" ht="15.75" customHeight="1">
      <c r="A153" s="230">
        <v>25</v>
      </c>
      <c r="B153" s="231">
        <v>4</v>
      </c>
      <c r="C153" s="71" t="s">
        <v>270</v>
      </c>
      <c r="D153" s="71" t="s">
        <v>271</v>
      </c>
      <c r="E153" s="30">
        <v>20</v>
      </c>
      <c r="F153" s="30">
        <v>80</v>
      </c>
      <c r="G153" s="59">
        <v>380000</v>
      </c>
      <c r="H153" s="30"/>
      <c r="I153" s="30"/>
      <c r="J153" s="30"/>
      <c r="K153" s="30"/>
      <c r="L153" s="30" t="s">
        <v>274</v>
      </c>
      <c r="M153" s="30" t="s">
        <v>279</v>
      </c>
      <c r="N153" s="30" t="s">
        <v>137</v>
      </c>
      <c r="O153" s="30">
        <v>1</v>
      </c>
      <c r="P153" s="27" t="s">
        <v>273</v>
      </c>
      <c r="Q153" s="30"/>
      <c r="R153" s="30"/>
      <c r="S153" s="30"/>
      <c r="T153" s="273">
        <v>99</v>
      </c>
      <c r="U153" s="2"/>
      <c r="V153" s="44">
        <v>19.8</v>
      </c>
      <c r="W153" s="44">
        <v>79.2</v>
      </c>
      <c r="Y153" s="45">
        <v>152</v>
      </c>
    </row>
    <row r="154" spans="1:25" ht="15.75" customHeight="1">
      <c r="A154" s="228">
        <v>26</v>
      </c>
      <c r="B154" s="200" t="s">
        <v>221</v>
      </c>
      <c r="C154" s="12" t="s">
        <v>270</v>
      </c>
      <c r="D154" s="12" t="s">
        <v>271</v>
      </c>
      <c r="E154" s="12">
        <v>100</v>
      </c>
      <c r="F154" s="12">
        <v>0</v>
      </c>
      <c r="G154" s="22"/>
      <c r="H154" s="22"/>
      <c r="I154" s="72"/>
      <c r="J154" s="2"/>
      <c r="K154" s="2"/>
      <c r="L154" s="12" t="s">
        <v>273</v>
      </c>
      <c r="M154" s="22"/>
      <c r="N154" s="2"/>
      <c r="O154" s="22"/>
      <c r="P154" s="12" t="s">
        <v>273</v>
      </c>
      <c r="Q154" s="2"/>
      <c r="R154" s="2"/>
      <c r="S154" s="2"/>
      <c r="T154" s="258">
        <v>100</v>
      </c>
      <c r="V154" s="44">
        <v>100</v>
      </c>
      <c r="W154" s="44">
        <v>0</v>
      </c>
      <c r="Y154" s="45">
        <v>153</v>
      </c>
    </row>
    <row r="155" spans="1:25" ht="15.75" customHeight="1">
      <c r="A155" s="228">
        <v>26</v>
      </c>
      <c r="B155" s="201" t="s">
        <v>222</v>
      </c>
      <c r="C155" s="12" t="s">
        <v>270</v>
      </c>
      <c r="D155" s="12" t="s">
        <v>271</v>
      </c>
      <c r="E155" s="12">
        <v>100</v>
      </c>
      <c r="F155" s="12">
        <v>0</v>
      </c>
      <c r="G155" s="22"/>
      <c r="H155" s="22"/>
      <c r="I155" s="72"/>
      <c r="J155" s="2"/>
      <c r="K155" s="2"/>
      <c r="L155" s="12" t="s">
        <v>274</v>
      </c>
      <c r="M155" s="12" t="s">
        <v>279</v>
      </c>
      <c r="N155" s="22" t="s">
        <v>287</v>
      </c>
      <c r="O155" s="22">
        <v>0.5</v>
      </c>
      <c r="P155" s="12" t="s">
        <v>273</v>
      </c>
      <c r="Q155" s="2"/>
      <c r="R155" s="2"/>
      <c r="S155" s="2"/>
      <c r="T155" s="255">
        <v>99.5</v>
      </c>
      <c r="V155" s="44">
        <v>99.5</v>
      </c>
      <c r="W155" s="44">
        <v>0</v>
      </c>
      <c r="Y155" s="45">
        <v>154</v>
      </c>
    </row>
    <row r="156" spans="1:25" ht="15.75" customHeight="1">
      <c r="A156" s="228">
        <v>26</v>
      </c>
      <c r="B156" s="201" t="s">
        <v>223</v>
      </c>
      <c r="C156" s="12" t="s">
        <v>270</v>
      </c>
      <c r="D156" s="12" t="s">
        <v>271</v>
      </c>
      <c r="E156" s="12">
        <v>100</v>
      </c>
      <c r="F156" s="12">
        <v>0</v>
      </c>
      <c r="G156" s="22"/>
      <c r="H156" s="22"/>
      <c r="I156" s="72"/>
      <c r="J156" s="2"/>
      <c r="K156" s="2"/>
      <c r="L156" s="12" t="s">
        <v>274</v>
      </c>
      <c r="M156" s="12" t="s">
        <v>279</v>
      </c>
      <c r="N156" s="22" t="s">
        <v>287</v>
      </c>
      <c r="O156" s="22">
        <v>1</v>
      </c>
      <c r="P156" s="12" t="s">
        <v>273</v>
      </c>
      <c r="Q156" s="2"/>
      <c r="R156" s="2"/>
      <c r="S156" s="2"/>
      <c r="T156" s="255">
        <v>99</v>
      </c>
      <c r="V156" s="44">
        <v>99</v>
      </c>
      <c r="W156" s="44">
        <v>0</v>
      </c>
      <c r="Y156" s="45">
        <v>155</v>
      </c>
    </row>
    <row r="157" spans="1:25" ht="15.75" customHeight="1">
      <c r="A157" s="228">
        <v>26</v>
      </c>
      <c r="B157" s="201" t="s">
        <v>224</v>
      </c>
      <c r="C157" s="12" t="s">
        <v>270</v>
      </c>
      <c r="D157" s="12" t="s">
        <v>271</v>
      </c>
      <c r="E157" s="12">
        <v>100</v>
      </c>
      <c r="F157" s="12">
        <v>0</v>
      </c>
      <c r="G157" s="22"/>
      <c r="H157" s="22"/>
      <c r="I157" s="72"/>
      <c r="J157" s="2"/>
      <c r="K157" s="2"/>
      <c r="L157" s="12" t="s">
        <v>274</v>
      </c>
      <c r="M157" s="12" t="s">
        <v>279</v>
      </c>
      <c r="N157" s="22" t="s">
        <v>287</v>
      </c>
      <c r="O157" s="22">
        <v>1.5</v>
      </c>
      <c r="P157" s="12" t="s">
        <v>273</v>
      </c>
      <c r="Q157" s="2"/>
      <c r="R157" s="2"/>
      <c r="S157" s="2"/>
      <c r="T157" s="255">
        <v>98.5</v>
      </c>
      <c r="V157" s="44">
        <v>98.5</v>
      </c>
      <c r="W157" s="44">
        <v>0</v>
      </c>
      <c r="Y157" s="45">
        <v>156</v>
      </c>
    </row>
    <row r="158" spans="1:25" ht="15.75" customHeight="1">
      <c r="A158" s="228">
        <v>26</v>
      </c>
      <c r="B158" s="201" t="s">
        <v>229</v>
      </c>
      <c r="C158" s="12" t="s">
        <v>270</v>
      </c>
      <c r="D158" s="12" t="s">
        <v>271</v>
      </c>
      <c r="E158" s="12">
        <v>100</v>
      </c>
      <c r="F158" s="12">
        <v>0</v>
      </c>
      <c r="G158" s="22"/>
      <c r="H158" s="22"/>
      <c r="I158" s="72"/>
      <c r="J158" s="2"/>
      <c r="K158" s="2"/>
      <c r="L158" s="12" t="s">
        <v>274</v>
      </c>
      <c r="M158" s="12" t="s">
        <v>279</v>
      </c>
      <c r="N158" s="22" t="s">
        <v>287</v>
      </c>
      <c r="O158" s="22">
        <v>2</v>
      </c>
      <c r="P158" s="12" t="s">
        <v>273</v>
      </c>
      <c r="Q158" s="2"/>
      <c r="R158" s="2"/>
      <c r="S158" s="2"/>
      <c r="T158" s="255">
        <v>98</v>
      </c>
      <c r="U158" s="2"/>
      <c r="V158" s="44">
        <v>98</v>
      </c>
      <c r="W158" s="44">
        <v>0</v>
      </c>
      <c r="Y158" s="45">
        <v>157</v>
      </c>
    </row>
    <row r="159" spans="1:25" ht="15.75" customHeight="1">
      <c r="A159" s="228">
        <v>26</v>
      </c>
      <c r="B159" s="201" t="s">
        <v>225</v>
      </c>
      <c r="C159" s="12" t="s">
        <v>270</v>
      </c>
      <c r="D159" s="12" t="s">
        <v>271</v>
      </c>
      <c r="E159" s="12">
        <v>100</v>
      </c>
      <c r="F159" s="12">
        <v>0</v>
      </c>
      <c r="G159" s="22"/>
      <c r="H159" s="22"/>
      <c r="I159" s="72"/>
      <c r="J159" s="2"/>
      <c r="K159" s="2"/>
      <c r="L159" s="12" t="s">
        <v>273</v>
      </c>
      <c r="M159" s="22"/>
      <c r="N159" s="2"/>
      <c r="O159" s="22"/>
      <c r="P159" s="12" t="s">
        <v>273</v>
      </c>
      <c r="Q159" s="2"/>
      <c r="R159" s="2"/>
      <c r="S159" s="2"/>
      <c r="T159" s="255">
        <v>100</v>
      </c>
      <c r="V159" s="44">
        <v>100</v>
      </c>
      <c r="W159" s="44">
        <v>0</v>
      </c>
      <c r="Y159" s="45">
        <v>158</v>
      </c>
    </row>
    <row r="160" spans="1:25" ht="15.75" customHeight="1">
      <c r="A160" s="228">
        <v>26</v>
      </c>
      <c r="B160" s="201" t="s">
        <v>226</v>
      </c>
      <c r="C160" s="12" t="s">
        <v>270</v>
      </c>
      <c r="D160" s="12" t="s">
        <v>271</v>
      </c>
      <c r="E160" s="12">
        <v>100</v>
      </c>
      <c r="F160" s="12">
        <v>0</v>
      </c>
      <c r="G160" s="22"/>
      <c r="H160" s="22"/>
      <c r="I160" s="72"/>
      <c r="J160" s="2"/>
      <c r="K160" s="2"/>
      <c r="L160" s="12" t="s">
        <v>274</v>
      </c>
      <c r="M160" s="12" t="s">
        <v>279</v>
      </c>
      <c r="N160" s="22" t="s">
        <v>287</v>
      </c>
      <c r="O160" s="22">
        <v>0.5</v>
      </c>
      <c r="P160" s="12" t="s">
        <v>273</v>
      </c>
      <c r="Q160" s="2"/>
      <c r="R160" s="2"/>
      <c r="S160" s="2"/>
      <c r="T160" s="255">
        <v>99.5</v>
      </c>
      <c r="V160" s="44">
        <v>99.5</v>
      </c>
      <c r="W160" s="44">
        <v>0</v>
      </c>
      <c r="Y160" s="45">
        <v>159</v>
      </c>
    </row>
    <row r="161" spans="1:25" ht="15.75" customHeight="1">
      <c r="A161" s="228">
        <v>26</v>
      </c>
      <c r="B161" s="201" t="s">
        <v>227</v>
      </c>
      <c r="C161" s="12" t="s">
        <v>270</v>
      </c>
      <c r="D161" s="12" t="s">
        <v>271</v>
      </c>
      <c r="E161" s="12">
        <v>100</v>
      </c>
      <c r="F161" s="12">
        <v>0</v>
      </c>
      <c r="G161" s="22"/>
      <c r="H161" s="22"/>
      <c r="I161" s="72"/>
      <c r="J161" s="2"/>
      <c r="K161" s="2"/>
      <c r="L161" s="12" t="s">
        <v>274</v>
      </c>
      <c r="M161" s="12" t="s">
        <v>279</v>
      </c>
      <c r="N161" s="22" t="s">
        <v>287</v>
      </c>
      <c r="O161" s="22">
        <v>1</v>
      </c>
      <c r="P161" s="12" t="s">
        <v>273</v>
      </c>
      <c r="Q161" s="2"/>
      <c r="R161" s="2"/>
      <c r="S161" s="2"/>
      <c r="T161" s="255">
        <v>99</v>
      </c>
      <c r="V161" s="44">
        <v>99</v>
      </c>
      <c r="W161" s="44">
        <v>0</v>
      </c>
      <c r="Y161" s="45">
        <v>160</v>
      </c>
    </row>
    <row r="162" spans="1:25" ht="15.75" customHeight="1">
      <c r="A162" s="228">
        <v>26</v>
      </c>
      <c r="B162" s="201" t="s">
        <v>228</v>
      </c>
      <c r="C162" s="12" t="s">
        <v>270</v>
      </c>
      <c r="D162" s="12" t="s">
        <v>271</v>
      </c>
      <c r="E162" s="12">
        <v>100</v>
      </c>
      <c r="F162" s="12">
        <v>0</v>
      </c>
      <c r="G162" s="22"/>
      <c r="H162" s="22"/>
      <c r="I162" s="72"/>
      <c r="J162" s="2"/>
      <c r="K162" s="2"/>
      <c r="L162" s="12" t="s">
        <v>274</v>
      </c>
      <c r="M162" s="12" t="s">
        <v>279</v>
      </c>
      <c r="N162" s="22" t="s">
        <v>287</v>
      </c>
      <c r="O162" s="22">
        <v>1.5</v>
      </c>
      <c r="P162" s="12" t="s">
        <v>273</v>
      </c>
      <c r="Q162" s="2"/>
      <c r="R162" s="2"/>
      <c r="S162" s="2"/>
      <c r="T162" s="255">
        <v>98.5</v>
      </c>
      <c r="V162" s="44">
        <v>98.5</v>
      </c>
      <c r="W162" s="44">
        <v>0</v>
      </c>
      <c r="Y162" s="45">
        <v>161</v>
      </c>
    </row>
    <row r="163" spans="1:25" ht="15.75" customHeight="1">
      <c r="A163" s="230">
        <v>26</v>
      </c>
      <c r="B163" s="231" t="s">
        <v>230</v>
      </c>
      <c r="C163" s="27" t="s">
        <v>270</v>
      </c>
      <c r="D163" s="27" t="s">
        <v>271</v>
      </c>
      <c r="E163" s="27">
        <v>100</v>
      </c>
      <c r="F163" s="27">
        <v>0</v>
      </c>
      <c r="G163" s="30"/>
      <c r="H163" s="30"/>
      <c r="I163" s="73"/>
      <c r="J163" s="34"/>
      <c r="K163" s="34"/>
      <c r="L163" s="27" t="s">
        <v>274</v>
      </c>
      <c r="M163" s="27" t="s">
        <v>279</v>
      </c>
      <c r="N163" s="30" t="s">
        <v>287</v>
      </c>
      <c r="O163" s="30">
        <v>2</v>
      </c>
      <c r="P163" s="27" t="s">
        <v>273</v>
      </c>
      <c r="Q163" s="34"/>
      <c r="R163" s="34"/>
      <c r="S163" s="34"/>
      <c r="T163" s="256">
        <v>98</v>
      </c>
      <c r="V163" s="44">
        <v>98</v>
      </c>
      <c r="W163" s="44">
        <v>0</v>
      </c>
      <c r="Y163" s="45">
        <v>162</v>
      </c>
    </row>
    <row r="164" spans="1:25" ht="15.75" customHeight="1">
      <c r="A164" s="199">
        <v>27</v>
      </c>
      <c r="B164" s="200">
        <v>1</v>
      </c>
      <c r="C164" s="227" t="s">
        <v>270</v>
      </c>
      <c r="D164" s="227" t="s">
        <v>271</v>
      </c>
      <c r="E164" s="227">
        <v>100</v>
      </c>
      <c r="F164" s="227">
        <v>0</v>
      </c>
      <c r="G164" s="227">
        <v>100</v>
      </c>
      <c r="H164" s="222">
        <v>0</v>
      </c>
      <c r="I164" s="278"/>
      <c r="J164" s="234"/>
      <c r="K164" s="234"/>
      <c r="L164" s="227" t="s">
        <v>273</v>
      </c>
      <c r="M164" s="222"/>
      <c r="N164" s="222"/>
      <c r="O164" s="234"/>
      <c r="P164" s="227" t="s">
        <v>273</v>
      </c>
      <c r="Q164" s="234"/>
      <c r="R164" s="234"/>
      <c r="S164" s="234"/>
      <c r="T164" s="258">
        <v>100</v>
      </c>
      <c r="V164" s="44">
        <v>100</v>
      </c>
      <c r="W164" s="44">
        <v>0</v>
      </c>
      <c r="Y164" s="45">
        <v>163</v>
      </c>
    </row>
    <row r="165" spans="1:25" ht="15.75" customHeight="1">
      <c r="A165" s="196">
        <v>27</v>
      </c>
      <c r="B165" s="201">
        <v>2</v>
      </c>
      <c r="C165" s="12" t="s">
        <v>270</v>
      </c>
      <c r="D165" s="12" t="s">
        <v>271</v>
      </c>
      <c r="E165" s="12">
        <v>100</v>
      </c>
      <c r="F165" s="12">
        <v>0</v>
      </c>
      <c r="G165" s="12">
        <v>98</v>
      </c>
      <c r="H165" s="22">
        <v>0</v>
      </c>
      <c r="I165" s="72"/>
      <c r="L165" s="12" t="s">
        <v>274</v>
      </c>
      <c r="M165" s="12" t="s">
        <v>279</v>
      </c>
      <c r="N165" s="12" t="s">
        <v>145</v>
      </c>
      <c r="O165" s="12">
        <v>2</v>
      </c>
      <c r="P165" s="12" t="s">
        <v>273</v>
      </c>
      <c r="T165" s="255">
        <v>98</v>
      </c>
      <c r="V165" s="44">
        <v>98</v>
      </c>
      <c r="W165" s="44">
        <v>0</v>
      </c>
      <c r="Y165" s="45">
        <v>164</v>
      </c>
    </row>
    <row r="166" spans="1:25" ht="15.75" customHeight="1">
      <c r="A166" s="196">
        <v>27</v>
      </c>
      <c r="B166" s="201">
        <v>3</v>
      </c>
      <c r="C166" s="12" t="s">
        <v>270</v>
      </c>
      <c r="D166" s="12" t="s">
        <v>271</v>
      </c>
      <c r="E166" s="12">
        <v>100</v>
      </c>
      <c r="F166" s="12">
        <v>0</v>
      </c>
      <c r="G166" s="12">
        <v>98</v>
      </c>
      <c r="H166" s="22">
        <v>0</v>
      </c>
      <c r="I166" s="72"/>
      <c r="L166" s="12" t="s">
        <v>274</v>
      </c>
      <c r="M166" s="12" t="s">
        <v>279</v>
      </c>
      <c r="N166" s="12" t="s">
        <v>147</v>
      </c>
      <c r="O166" s="12">
        <v>2</v>
      </c>
      <c r="P166" s="12" t="s">
        <v>273</v>
      </c>
      <c r="T166" s="255">
        <v>98</v>
      </c>
      <c r="V166" s="44">
        <v>98</v>
      </c>
      <c r="W166" s="44">
        <v>0</v>
      </c>
      <c r="Y166" s="45">
        <v>165</v>
      </c>
    </row>
    <row r="167" spans="1:25" ht="15.75" customHeight="1">
      <c r="A167" s="196">
        <v>27</v>
      </c>
      <c r="B167" s="201">
        <v>4</v>
      </c>
      <c r="C167" s="12" t="s">
        <v>270</v>
      </c>
      <c r="D167" s="12" t="s">
        <v>271</v>
      </c>
      <c r="E167" s="12">
        <v>100</v>
      </c>
      <c r="F167" s="12">
        <v>0</v>
      </c>
      <c r="G167" s="12">
        <v>98</v>
      </c>
      <c r="H167" s="22">
        <v>0</v>
      </c>
      <c r="I167" s="72"/>
      <c r="J167" s="2"/>
      <c r="K167" s="2"/>
      <c r="L167" s="12" t="s">
        <v>274</v>
      </c>
      <c r="M167" s="12" t="s">
        <v>279</v>
      </c>
      <c r="N167" s="12" t="s">
        <v>149</v>
      </c>
      <c r="O167" s="12">
        <v>2</v>
      </c>
      <c r="P167" s="12" t="s">
        <v>273</v>
      </c>
      <c r="Q167" s="2"/>
      <c r="R167" s="2"/>
      <c r="S167" s="2"/>
      <c r="T167" s="255">
        <v>98</v>
      </c>
      <c r="V167" s="44">
        <v>98</v>
      </c>
      <c r="W167" s="44">
        <v>0</v>
      </c>
      <c r="Y167" s="45">
        <v>166</v>
      </c>
    </row>
    <row r="168" spans="1:25" ht="15.75" customHeight="1">
      <c r="A168" s="229">
        <v>28</v>
      </c>
      <c r="B168" s="74">
        <v>1</v>
      </c>
      <c r="C168" s="227" t="s">
        <v>270</v>
      </c>
      <c r="D168" s="227" t="s">
        <v>271</v>
      </c>
      <c r="E168" s="222">
        <v>98.5</v>
      </c>
      <c r="F168" s="222">
        <v>1.5</v>
      </c>
      <c r="G168" s="261">
        <v>400000</v>
      </c>
      <c r="H168" s="222"/>
      <c r="I168" s="222"/>
      <c r="J168" s="222"/>
      <c r="K168" s="222"/>
      <c r="L168" s="222" t="s">
        <v>273</v>
      </c>
      <c r="M168" s="222"/>
      <c r="N168" s="222"/>
      <c r="O168" s="222"/>
      <c r="P168" s="227" t="s">
        <v>273</v>
      </c>
      <c r="Q168" s="222"/>
      <c r="R168" s="222"/>
      <c r="S168" s="222"/>
      <c r="T168" s="271">
        <v>100</v>
      </c>
      <c r="U168" s="2"/>
      <c r="V168" s="44">
        <v>98.5</v>
      </c>
      <c r="W168" s="44">
        <v>1.5</v>
      </c>
      <c r="Y168" s="45">
        <v>167</v>
      </c>
    </row>
    <row r="169" spans="1:25" ht="15.75" customHeight="1">
      <c r="A169" s="228">
        <v>28</v>
      </c>
      <c r="B169" s="75">
        <v>2</v>
      </c>
      <c r="C169" s="12" t="s">
        <v>270</v>
      </c>
      <c r="D169" s="12" t="s">
        <v>271</v>
      </c>
      <c r="E169" s="22">
        <v>98.5</v>
      </c>
      <c r="F169" s="22">
        <v>1.5</v>
      </c>
      <c r="G169" s="58">
        <v>400000</v>
      </c>
      <c r="H169" s="22"/>
      <c r="I169" s="22"/>
      <c r="J169" s="22"/>
      <c r="K169" s="22"/>
      <c r="L169" s="22" t="s">
        <v>274</v>
      </c>
      <c r="M169" s="61" t="s">
        <v>279</v>
      </c>
      <c r="N169" s="22" t="s">
        <v>135</v>
      </c>
      <c r="O169" s="22">
        <v>3</v>
      </c>
      <c r="P169" s="12" t="s">
        <v>273</v>
      </c>
      <c r="Q169" s="22"/>
      <c r="R169" s="22"/>
      <c r="S169" s="22"/>
      <c r="T169" s="269">
        <v>97</v>
      </c>
      <c r="U169" s="2"/>
      <c r="V169" s="44">
        <v>95.545000000000002</v>
      </c>
      <c r="W169" s="44">
        <v>1.4550000000000001</v>
      </c>
      <c r="Y169" s="45">
        <v>168</v>
      </c>
    </row>
    <row r="170" spans="1:25" ht="15.75" customHeight="1">
      <c r="A170" s="228">
        <v>28</v>
      </c>
      <c r="B170" s="75">
        <v>3</v>
      </c>
      <c r="C170" s="12" t="s">
        <v>270</v>
      </c>
      <c r="D170" s="12" t="s">
        <v>271</v>
      </c>
      <c r="E170" s="22">
        <v>98.5</v>
      </c>
      <c r="F170" s="22">
        <v>1.5</v>
      </c>
      <c r="G170" s="58">
        <v>400000</v>
      </c>
      <c r="H170" s="22"/>
      <c r="I170" s="22"/>
      <c r="J170" s="22"/>
      <c r="K170" s="22"/>
      <c r="L170" s="22" t="s">
        <v>274</v>
      </c>
      <c r="M170" s="61" t="s">
        <v>279</v>
      </c>
      <c r="N170" s="22" t="s">
        <v>139</v>
      </c>
      <c r="O170" s="22">
        <v>3</v>
      </c>
      <c r="P170" s="12" t="s">
        <v>273</v>
      </c>
      <c r="Q170" s="61"/>
      <c r="R170" s="22"/>
      <c r="S170" s="22"/>
      <c r="T170" s="269">
        <v>97</v>
      </c>
      <c r="U170" s="2"/>
      <c r="V170" s="44">
        <v>95.545000000000002</v>
      </c>
      <c r="W170" s="44">
        <v>1.4550000000000001</v>
      </c>
      <c r="Y170" s="45">
        <v>169</v>
      </c>
    </row>
    <row r="171" spans="1:25" ht="15.75" customHeight="1">
      <c r="A171" s="228">
        <v>28</v>
      </c>
      <c r="B171" s="75">
        <v>4</v>
      </c>
      <c r="C171" s="12" t="s">
        <v>270</v>
      </c>
      <c r="D171" s="12" t="s">
        <v>271</v>
      </c>
      <c r="E171" s="22">
        <v>98.5</v>
      </c>
      <c r="F171" s="22">
        <v>1.5</v>
      </c>
      <c r="G171" s="58">
        <v>400000</v>
      </c>
      <c r="H171" s="22"/>
      <c r="I171" s="22"/>
      <c r="J171" s="22"/>
      <c r="K171" s="22"/>
      <c r="L171" s="22" t="s">
        <v>274</v>
      </c>
      <c r="M171" s="61" t="s">
        <v>279</v>
      </c>
      <c r="N171" s="22" t="s">
        <v>135</v>
      </c>
      <c r="O171" s="22">
        <v>2</v>
      </c>
      <c r="P171" s="22" t="s">
        <v>274</v>
      </c>
      <c r="Q171" s="61" t="s">
        <v>279</v>
      </c>
      <c r="R171" s="22" t="s">
        <v>139</v>
      </c>
      <c r="S171" s="22">
        <v>1</v>
      </c>
      <c r="T171" s="269">
        <v>97</v>
      </c>
      <c r="U171" s="2"/>
      <c r="V171" s="44">
        <v>95.545000000000002</v>
      </c>
      <c r="W171" s="44">
        <v>1.4550000000000001</v>
      </c>
      <c r="Y171" s="45">
        <v>170</v>
      </c>
    </row>
    <row r="172" spans="1:25" ht="15.75" customHeight="1">
      <c r="A172" s="228">
        <v>28</v>
      </c>
      <c r="B172" s="75">
        <v>5</v>
      </c>
      <c r="C172" s="12" t="s">
        <v>270</v>
      </c>
      <c r="D172" s="12" t="s">
        <v>271</v>
      </c>
      <c r="E172" s="22">
        <v>98.5</v>
      </c>
      <c r="F172" s="22">
        <v>1.5</v>
      </c>
      <c r="G172" s="58">
        <v>400000</v>
      </c>
      <c r="H172" s="22"/>
      <c r="I172" s="22"/>
      <c r="J172" s="22"/>
      <c r="K172" s="22"/>
      <c r="L172" s="22" t="s">
        <v>274</v>
      </c>
      <c r="M172" s="61" t="s">
        <v>279</v>
      </c>
      <c r="N172" s="22" t="s">
        <v>135</v>
      </c>
      <c r="O172" s="22">
        <v>1.5</v>
      </c>
      <c r="P172" s="22" t="s">
        <v>274</v>
      </c>
      <c r="Q172" s="61" t="s">
        <v>279</v>
      </c>
      <c r="R172" s="22" t="s">
        <v>139</v>
      </c>
      <c r="S172" s="22">
        <v>1.5</v>
      </c>
      <c r="T172" s="269">
        <v>97</v>
      </c>
      <c r="U172" s="2"/>
      <c r="V172" s="44">
        <v>95.545000000000002</v>
      </c>
      <c r="W172" s="44">
        <v>1.4550000000000001</v>
      </c>
      <c r="Y172" s="45">
        <v>171</v>
      </c>
    </row>
    <row r="173" spans="1:25" ht="15.75" customHeight="1">
      <c r="A173" s="228">
        <v>28</v>
      </c>
      <c r="B173" s="75">
        <v>6</v>
      </c>
      <c r="C173" s="12" t="s">
        <v>270</v>
      </c>
      <c r="D173" s="12" t="s">
        <v>271</v>
      </c>
      <c r="E173" s="22">
        <v>98.5</v>
      </c>
      <c r="F173" s="22">
        <v>1.5</v>
      </c>
      <c r="G173" s="58">
        <v>400000</v>
      </c>
      <c r="H173" s="22"/>
      <c r="I173" s="22"/>
      <c r="J173" s="22"/>
      <c r="K173" s="22"/>
      <c r="L173" s="22" t="s">
        <v>274</v>
      </c>
      <c r="M173" s="22" t="s">
        <v>279</v>
      </c>
      <c r="N173" s="22" t="s">
        <v>135</v>
      </c>
      <c r="O173" s="22">
        <v>1</v>
      </c>
      <c r="P173" s="22" t="s">
        <v>274</v>
      </c>
      <c r="Q173" s="22" t="s">
        <v>279</v>
      </c>
      <c r="R173" s="22" t="s">
        <v>135</v>
      </c>
      <c r="S173" s="22">
        <v>2</v>
      </c>
      <c r="T173" s="269">
        <v>97</v>
      </c>
      <c r="U173" s="2"/>
      <c r="V173" s="44">
        <v>95.545000000000002</v>
      </c>
      <c r="W173" s="44">
        <v>1.4550000000000001</v>
      </c>
      <c r="Y173" s="45">
        <v>172</v>
      </c>
    </row>
    <row r="174" spans="1:25" ht="15.75" customHeight="1">
      <c r="A174" s="229">
        <v>29</v>
      </c>
      <c r="B174" s="74">
        <v>1</v>
      </c>
      <c r="C174" s="227" t="s">
        <v>270</v>
      </c>
      <c r="D174" s="227" t="s">
        <v>271</v>
      </c>
      <c r="E174" s="222">
        <v>95</v>
      </c>
      <c r="F174" s="222">
        <v>5</v>
      </c>
      <c r="G174" s="261"/>
      <c r="H174" s="222"/>
      <c r="I174" s="222"/>
      <c r="J174" s="222"/>
      <c r="K174" s="222"/>
      <c r="L174" s="222" t="s">
        <v>273</v>
      </c>
      <c r="M174" s="222"/>
      <c r="N174" s="222"/>
      <c r="O174" s="222"/>
      <c r="P174" s="227" t="s">
        <v>273</v>
      </c>
      <c r="Q174" s="222"/>
      <c r="R174" s="222"/>
      <c r="S174" s="222"/>
      <c r="T174" s="271">
        <v>100</v>
      </c>
      <c r="U174" s="2"/>
      <c r="V174" s="44">
        <v>95</v>
      </c>
      <c r="W174" s="44">
        <v>5</v>
      </c>
      <c r="Y174" s="45">
        <v>173</v>
      </c>
    </row>
    <row r="175" spans="1:25" ht="15.75" customHeight="1">
      <c r="A175" s="228">
        <v>29</v>
      </c>
      <c r="B175" s="75">
        <v>2</v>
      </c>
      <c r="C175" s="12" t="s">
        <v>270</v>
      </c>
      <c r="D175" s="12" t="s">
        <v>271</v>
      </c>
      <c r="E175" s="22">
        <v>95</v>
      </c>
      <c r="F175" s="22">
        <v>5</v>
      </c>
      <c r="G175" s="58"/>
      <c r="H175" s="22"/>
      <c r="I175" s="22"/>
      <c r="J175" s="22"/>
      <c r="K175" s="22"/>
      <c r="L175" s="22" t="s">
        <v>274</v>
      </c>
      <c r="M175" s="22" t="s">
        <v>279</v>
      </c>
      <c r="N175" s="22" t="s">
        <v>141</v>
      </c>
      <c r="O175" s="22">
        <v>1</v>
      </c>
      <c r="P175" s="12" t="s">
        <v>273</v>
      </c>
      <c r="Q175" s="22"/>
      <c r="R175" s="22"/>
      <c r="S175" s="22"/>
      <c r="T175" s="269">
        <v>99</v>
      </c>
      <c r="U175" s="2"/>
      <c r="V175" s="44">
        <v>94.05</v>
      </c>
      <c r="W175" s="44">
        <v>4.95</v>
      </c>
      <c r="Y175" s="45">
        <v>174</v>
      </c>
    </row>
    <row r="176" spans="1:25" ht="15.75" customHeight="1">
      <c r="A176" s="228">
        <v>29</v>
      </c>
      <c r="B176" s="75">
        <v>3</v>
      </c>
      <c r="C176" s="12" t="s">
        <v>270</v>
      </c>
      <c r="D176" s="12" t="s">
        <v>271</v>
      </c>
      <c r="E176" s="22">
        <v>95</v>
      </c>
      <c r="F176" s="22">
        <v>5</v>
      </c>
      <c r="G176" s="58"/>
      <c r="H176" s="22"/>
      <c r="I176" s="22"/>
      <c r="J176" s="22"/>
      <c r="K176" s="22"/>
      <c r="L176" s="22" t="s">
        <v>274</v>
      </c>
      <c r="M176" s="22" t="s">
        <v>279</v>
      </c>
      <c r="N176" s="22" t="s">
        <v>141</v>
      </c>
      <c r="O176" s="22">
        <v>3</v>
      </c>
      <c r="P176" s="12" t="s">
        <v>273</v>
      </c>
      <c r="Q176" s="22"/>
      <c r="R176" s="22"/>
      <c r="S176" s="22"/>
      <c r="T176" s="269">
        <v>97</v>
      </c>
      <c r="U176" s="2"/>
      <c r="V176" s="44">
        <v>92.15</v>
      </c>
      <c r="W176" s="44">
        <v>4.8499999999999996</v>
      </c>
      <c r="Y176" s="45">
        <v>175</v>
      </c>
    </row>
    <row r="177" spans="1:25" ht="15.75" customHeight="1">
      <c r="A177" s="228">
        <v>29</v>
      </c>
      <c r="B177" s="75">
        <v>4</v>
      </c>
      <c r="C177" s="12" t="s">
        <v>270</v>
      </c>
      <c r="D177" s="12" t="s">
        <v>271</v>
      </c>
      <c r="E177" s="22">
        <v>95</v>
      </c>
      <c r="F177" s="22">
        <v>5</v>
      </c>
      <c r="G177" s="58"/>
      <c r="H177" s="22"/>
      <c r="I177" s="22"/>
      <c r="J177" s="22"/>
      <c r="K177" s="22"/>
      <c r="L177" s="22" t="s">
        <v>274</v>
      </c>
      <c r="M177" s="22" t="s">
        <v>279</v>
      </c>
      <c r="N177" s="22" t="s">
        <v>141</v>
      </c>
      <c r="O177" s="22">
        <v>5</v>
      </c>
      <c r="P177" s="12" t="s">
        <v>273</v>
      </c>
      <c r="Q177" s="22"/>
      <c r="R177" s="22"/>
      <c r="S177" s="22"/>
      <c r="T177" s="269">
        <v>95</v>
      </c>
      <c r="U177" s="2"/>
      <c r="V177" s="44">
        <v>90.25</v>
      </c>
      <c r="W177" s="44">
        <v>4.75</v>
      </c>
      <c r="Y177" s="45">
        <v>176</v>
      </c>
    </row>
    <row r="178" spans="1:25" ht="15.75" customHeight="1">
      <c r="A178" s="228">
        <v>29</v>
      </c>
      <c r="B178" s="75">
        <v>5</v>
      </c>
      <c r="C178" s="12" t="s">
        <v>270</v>
      </c>
      <c r="D178" s="12" t="s">
        <v>271</v>
      </c>
      <c r="E178" s="22">
        <v>95</v>
      </c>
      <c r="F178" s="22">
        <v>5</v>
      </c>
      <c r="G178" s="58"/>
      <c r="H178" s="22"/>
      <c r="I178" s="22"/>
      <c r="J178" s="22"/>
      <c r="K178" s="22"/>
      <c r="L178" s="22" t="s">
        <v>274</v>
      </c>
      <c r="M178" s="22" t="s">
        <v>279</v>
      </c>
      <c r="N178" s="22" t="s">
        <v>141</v>
      </c>
      <c r="O178" s="22">
        <v>7</v>
      </c>
      <c r="P178" s="12" t="s">
        <v>273</v>
      </c>
      <c r="Q178" s="22"/>
      <c r="R178" s="22"/>
      <c r="S178" s="22"/>
      <c r="T178" s="269">
        <v>93</v>
      </c>
      <c r="U178" s="2"/>
      <c r="V178" s="44">
        <v>88.35</v>
      </c>
      <c r="W178" s="44">
        <v>4.6500000000000004</v>
      </c>
      <c r="Y178" s="45">
        <v>177</v>
      </c>
    </row>
    <row r="179" spans="1:25" ht="15.75" customHeight="1">
      <c r="A179" s="229">
        <v>30</v>
      </c>
      <c r="B179" s="74">
        <v>1</v>
      </c>
      <c r="C179" s="227" t="s">
        <v>270</v>
      </c>
      <c r="D179" s="227" t="s">
        <v>271</v>
      </c>
      <c r="E179" s="227">
        <v>92</v>
      </c>
      <c r="F179" s="227">
        <v>8</v>
      </c>
      <c r="G179" s="261"/>
      <c r="H179" s="234"/>
      <c r="I179" s="222">
        <v>1.25</v>
      </c>
      <c r="J179" s="222" t="s">
        <v>272</v>
      </c>
      <c r="K179" s="234"/>
      <c r="L179" s="222" t="s">
        <v>273</v>
      </c>
      <c r="M179" s="222"/>
      <c r="N179" s="234"/>
      <c r="O179" s="222"/>
      <c r="P179" s="227" t="s">
        <v>273</v>
      </c>
      <c r="Q179" s="234"/>
      <c r="R179" s="234"/>
      <c r="S179" s="234"/>
      <c r="T179" s="271">
        <v>100</v>
      </c>
      <c r="U179" s="2"/>
      <c r="V179" s="44">
        <v>92</v>
      </c>
      <c r="W179" s="44">
        <v>8</v>
      </c>
      <c r="Y179" s="45">
        <v>178</v>
      </c>
    </row>
    <row r="180" spans="1:25" ht="15.75" customHeight="1">
      <c r="A180" s="228">
        <v>30</v>
      </c>
      <c r="B180" s="75">
        <v>2</v>
      </c>
      <c r="C180" s="12" t="s">
        <v>270</v>
      </c>
      <c r="D180" s="12" t="s">
        <v>271</v>
      </c>
      <c r="E180" s="12">
        <v>92</v>
      </c>
      <c r="F180" s="12">
        <v>8</v>
      </c>
      <c r="G180" s="58"/>
      <c r="H180" s="2"/>
      <c r="I180" s="22">
        <v>1.25</v>
      </c>
      <c r="J180" s="22" t="s">
        <v>272</v>
      </c>
      <c r="K180" s="2"/>
      <c r="L180" s="22" t="s">
        <v>274</v>
      </c>
      <c r="M180" s="22" t="s">
        <v>279</v>
      </c>
      <c r="N180" s="22" t="s">
        <v>143</v>
      </c>
      <c r="O180" s="22">
        <v>30</v>
      </c>
      <c r="P180" s="12" t="s">
        <v>273</v>
      </c>
      <c r="Q180" s="2"/>
      <c r="R180" s="2"/>
      <c r="S180" s="2"/>
      <c r="T180" s="269">
        <v>70</v>
      </c>
      <c r="U180" s="2"/>
      <c r="V180" s="44">
        <v>64.400000000000006</v>
      </c>
      <c r="W180" s="44">
        <v>5.6</v>
      </c>
      <c r="Y180" s="45">
        <v>179</v>
      </c>
    </row>
    <row r="181" spans="1:25" ht="15.75" customHeight="1">
      <c r="A181" s="228">
        <v>30</v>
      </c>
      <c r="B181" s="75">
        <v>3</v>
      </c>
      <c r="C181" s="27" t="s">
        <v>270</v>
      </c>
      <c r="D181" s="27" t="s">
        <v>271</v>
      </c>
      <c r="E181" s="27">
        <v>92</v>
      </c>
      <c r="F181" s="27">
        <v>8</v>
      </c>
      <c r="G181" s="58"/>
      <c r="H181" s="2"/>
      <c r="I181" s="22">
        <v>1.25</v>
      </c>
      <c r="J181" s="22" t="s">
        <v>272</v>
      </c>
      <c r="K181" s="2"/>
      <c r="L181" s="22" t="s">
        <v>274</v>
      </c>
      <c r="M181" s="22" t="s">
        <v>279</v>
      </c>
      <c r="N181" s="22" t="s">
        <v>143</v>
      </c>
      <c r="O181" s="22">
        <v>40</v>
      </c>
      <c r="P181" s="12" t="s">
        <v>273</v>
      </c>
      <c r="Q181" s="2"/>
      <c r="R181" s="2"/>
      <c r="S181" s="2"/>
      <c r="T181" s="269">
        <v>60</v>
      </c>
      <c r="U181" s="2"/>
      <c r="V181" s="44">
        <v>55.2</v>
      </c>
      <c r="W181" s="44">
        <v>4.8</v>
      </c>
      <c r="Y181" s="45">
        <v>180</v>
      </c>
    </row>
    <row r="182" spans="1:25" ht="15.75" customHeight="1">
      <c r="A182" s="229">
        <v>31</v>
      </c>
      <c r="B182" s="74">
        <v>1</v>
      </c>
      <c r="C182" s="12" t="s">
        <v>270</v>
      </c>
      <c r="D182" s="12" t="s">
        <v>271</v>
      </c>
      <c r="E182" s="22">
        <v>87</v>
      </c>
      <c r="F182" s="22">
        <v>13</v>
      </c>
      <c r="G182" s="261">
        <v>450000</v>
      </c>
      <c r="H182" s="222"/>
      <c r="I182" s="222">
        <v>1.25</v>
      </c>
      <c r="J182" s="222" t="s">
        <v>272</v>
      </c>
      <c r="K182" s="222"/>
      <c r="L182" s="222" t="s">
        <v>273</v>
      </c>
      <c r="M182" s="222"/>
      <c r="N182" s="222"/>
      <c r="O182" s="222"/>
      <c r="P182" s="227" t="s">
        <v>273</v>
      </c>
      <c r="Q182" s="222"/>
      <c r="R182" s="222"/>
      <c r="S182" s="222"/>
      <c r="T182" s="271">
        <v>100</v>
      </c>
      <c r="U182" s="2"/>
      <c r="V182" s="44">
        <v>87</v>
      </c>
      <c r="W182" s="44">
        <v>13</v>
      </c>
      <c r="Y182" s="45">
        <v>181</v>
      </c>
    </row>
    <row r="183" spans="1:25" ht="15.75" customHeight="1">
      <c r="A183" s="228">
        <v>31</v>
      </c>
      <c r="B183" s="75">
        <v>2</v>
      </c>
      <c r="C183" s="12" t="s">
        <v>270</v>
      </c>
      <c r="D183" s="12" t="s">
        <v>271</v>
      </c>
      <c r="E183" s="22">
        <v>87</v>
      </c>
      <c r="F183" s="22">
        <v>13</v>
      </c>
      <c r="G183" s="58">
        <v>450000</v>
      </c>
      <c r="H183" s="22"/>
      <c r="I183" s="22">
        <v>1.25</v>
      </c>
      <c r="J183" s="22" t="s">
        <v>272</v>
      </c>
      <c r="K183" s="22"/>
      <c r="L183" s="22" t="s">
        <v>274</v>
      </c>
      <c r="M183" s="22" t="s">
        <v>279</v>
      </c>
      <c r="N183" s="22" t="s">
        <v>288</v>
      </c>
      <c r="O183" s="22">
        <v>15</v>
      </c>
      <c r="P183" s="12" t="s">
        <v>273</v>
      </c>
      <c r="Q183" s="22"/>
      <c r="R183" s="22"/>
      <c r="S183" s="22"/>
      <c r="T183" s="269">
        <v>85</v>
      </c>
      <c r="U183" s="2"/>
      <c r="V183" s="44">
        <v>73.95</v>
      </c>
      <c r="W183" s="44">
        <v>11.05</v>
      </c>
      <c r="Y183" s="45">
        <v>182</v>
      </c>
    </row>
    <row r="184" spans="1:25" ht="15.75" customHeight="1">
      <c r="A184" s="228">
        <v>31</v>
      </c>
      <c r="B184" s="75">
        <v>3</v>
      </c>
      <c r="C184" s="12" t="s">
        <v>270</v>
      </c>
      <c r="D184" s="12" t="s">
        <v>271</v>
      </c>
      <c r="E184" s="22">
        <v>87</v>
      </c>
      <c r="F184" s="22">
        <v>13</v>
      </c>
      <c r="G184" s="58">
        <v>450000</v>
      </c>
      <c r="H184" s="22"/>
      <c r="I184" s="22">
        <v>1.25</v>
      </c>
      <c r="J184" s="22" t="s">
        <v>272</v>
      </c>
      <c r="K184" s="22"/>
      <c r="L184" s="22" t="s">
        <v>274</v>
      </c>
      <c r="M184" s="22" t="s">
        <v>279</v>
      </c>
      <c r="N184" s="22" t="s">
        <v>288</v>
      </c>
      <c r="O184" s="22">
        <v>30</v>
      </c>
      <c r="P184" s="12" t="s">
        <v>273</v>
      </c>
      <c r="Q184" s="22"/>
      <c r="R184" s="22"/>
      <c r="S184" s="22"/>
      <c r="T184" s="269">
        <v>70</v>
      </c>
      <c r="U184" s="2"/>
      <c r="V184" s="44">
        <v>60.9</v>
      </c>
      <c r="W184" s="44">
        <v>9.1</v>
      </c>
      <c r="Y184" s="45">
        <v>183</v>
      </c>
    </row>
    <row r="185" spans="1:25" ht="15.75" customHeight="1">
      <c r="A185" s="228">
        <v>31</v>
      </c>
      <c r="B185" s="75">
        <v>4</v>
      </c>
      <c r="C185" s="12" t="s">
        <v>270</v>
      </c>
      <c r="D185" s="12" t="s">
        <v>271</v>
      </c>
      <c r="E185" s="22">
        <v>87</v>
      </c>
      <c r="F185" s="22">
        <v>13</v>
      </c>
      <c r="G185" s="58">
        <v>450000</v>
      </c>
      <c r="H185" s="22"/>
      <c r="I185" s="22">
        <v>1.25</v>
      </c>
      <c r="J185" s="22" t="s">
        <v>272</v>
      </c>
      <c r="K185" s="22"/>
      <c r="L185" s="22" t="s">
        <v>274</v>
      </c>
      <c r="M185" s="22" t="s">
        <v>279</v>
      </c>
      <c r="N185" s="22" t="s">
        <v>288</v>
      </c>
      <c r="O185" s="22">
        <v>40</v>
      </c>
      <c r="P185" s="12" t="s">
        <v>273</v>
      </c>
      <c r="Q185" s="22"/>
      <c r="R185" s="22"/>
      <c r="S185" s="22"/>
      <c r="T185" s="269">
        <v>60</v>
      </c>
      <c r="U185" s="2"/>
      <c r="V185" s="44">
        <v>52.2</v>
      </c>
      <c r="W185" s="44">
        <v>7.8</v>
      </c>
      <c r="Y185" s="45">
        <v>184</v>
      </c>
    </row>
    <row r="186" spans="1:25" ht="15.75" customHeight="1">
      <c r="A186" s="230">
        <v>31</v>
      </c>
      <c r="B186" s="231">
        <v>5</v>
      </c>
      <c r="C186" s="27" t="s">
        <v>270</v>
      </c>
      <c r="D186" s="27" t="s">
        <v>271</v>
      </c>
      <c r="E186" s="30">
        <v>87</v>
      </c>
      <c r="F186" s="30">
        <v>13</v>
      </c>
      <c r="G186" s="59">
        <v>450000</v>
      </c>
      <c r="H186" s="30"/>
      <c r="I186" s="30">
        <v>1.25</v>
      </c>
      <c r="J186" s="30" t="s">
        <v>272</v>
      </c>
      <c r="K186" s="30"/>
      <c r="L186" s="30" t="s">
        <v>274</v>
      </c>
      <c r="M186" s="30" t="s">
        <v>279</v>
      </c>
      <c r="N186" s="30" t="s">
        <v>288</v>
      </c>
      <c r="O186" s="30">
        <v>50</v>
      </c>
      <c r="P186" s="12" t="s">
        <v>273</v>
      </c>
      <c r="Q186" s="30"/>
      <c r="R186" s="30"/>
      <c r="S186" s="30"/>
      <c r="T186" s="273">
        <v>50</v>
      </c>
      <c r="U186" s="2"/>
      <c r="V186" s="44">
        <v>43.5</v>
      </c>
      <c r="W186" s="44">
        <v>6.5</v>
      </c>
      <c r="Y186" s="45">
        <v>185</v>
      </c>
    </row>
    <row r="187" spans="1:25" ht="15.75" customHeight="1">
      <c r="A187" s="199">
        <v>32</v>
      </c>
      <c r="B187" s="200">
        <v>1</v>
      </c>
      <c r="C187" s="227" t="s">
        <v>270</v>
      </c>
      <c r="D187" s="227" t="s">
        <v>271</v>
      </c>
      <c r="E187" s="227">
        <v>100</v>
      </c>
      <c r="F187" s="227">
        <v>0</v>
      </c>
      <c r="G187" s="279">
        <v>548277</v>
      </c>
      <c r="H187" s="227"/>
      <c r="I187" s="227">
        <v>1.0900000000000001</v>
      </c>
      <c r="J187" s="227" t="s">
        <v>272</v>
      </c>
      <c r="K187" s="227"/>
      <c r="L187" s="227" t="s">
        <v>273</v>
      </c>
      <c r="M187" s="227"/>
      <c r="N187" s="227"/>
      <c r="O187" s="227"/>
      <c r="P187" s="227" t="s">
        <v>273</v>
      </c>
      <c r="Q187" s="227"/>
      <c r="R187" s="227"/>
      <c r="S187" s="227"/>
      <c r="T187" s="258">
        <v>95</v>
      </c>
      <c r="V187" s="44">
        <v>95</v>
      </c>
      <c r="W187" s="44">
        <v>0</v>
      </c>
      <c r="Y187" s="45">
        <v>186</v>
      </c>
    </row>
    <row r="188" spans="1:25" ht="15.75" customHeight="1">
      <c r="A188" s="196">
        <v>32</v>
      </c>
      <c r="B188" s="201">
        <v>2</v>
      </c>
      <c r="C188" s="12" t="s">
        <v>270</v>
      </c>
      <c r="D188" s="12" t="s">
        <v>271</v>
      </c>
      <c r="E188" s="12">
        <v>100</v>
      </c>
      <c r="F188" s="12">
        <v>0</v>
      </c>
      <c r="G188" s="76">
        <v>548277</v>
      </c>
      <c r="H188" s="12"/>
      <c r="I188" s="12">
        <v>1.0900000000000001</v>
      </c>
      <c r="J188" s="12" t="s">
        <v>272</v>
      </c>
      <c r="K188" s="12"/>
      <c r="L188" s="12" t="s">
        <v>274</v>
      </c>
      <c r="M188" s="12" t="s">
        <v>279</v>
      </c>
      <c r="N188" s="12" t="s">
        <v>168</v>
      </c>
      <c r="O188" s="12">
        <v>5</v>
      </c>
      <c r="P188" s="12" t="s">
        <v>273</v>
      </c>
      <c r="Q188" s="12"/>
      <c r="R188" s="12"/>
      <c r="S188" s="12"/>
      <c r="T188" s="255">
        <v>95</v>
      </c>
      <c r="V188" s="44">
        <v>95</v>
      </c>
      <c r="W188" s="44">
        <v>0</v>
      </c>
      <c r="Y188" s="45">
        <v>187</v>
      </c>
    </row>
    <row r="189" spans="1:25" ht="15.75" customHeight="1">
      <c r="A189" s="229">
        <v>33</v>
      </c>
      <c r="B189" s="200">
        <v>1</v>
      </c>
      <c r="C189" s="227" t="s">
        <v>270</v>
      </c>
      <c r="D189" s="227" t="s">
        <v>271</v>
      </c>
      <c r="E189" s="227">
        <v>100</v>
      </c>
      <c r="F189" s="227">
        <v>0</v>
      </c>
      <c r="G189" s="261"/>
      <c r="H189" s="227">
        <v>40000</v>
      </c>
      <c r="I189" s="227">
        <v>1.25</v>
      </c>
      <c r="J189" s="227" t="s">
        <v>272</v>
      </c>
      <c r="K189" s="227"/>
      <c r="L189" s="227" t="s">
        <v>273</v>
      </c>
      <c r="M189" s="227"/>
      <c r="N189" s="227"/>
      <c r="O189" s="227"/>
      <c r="P189" s="227" t="s">
        <v>273</v>
      </c>
      <c r="Q189" s="227"/>
      <c r="R189" s="227"/>
      <c r="S189" s="227"/>
      <c r="T189" s="258">
        <v>100</v>
      </c>
      <c r="U189" s="2"/>
      <c r="V189" s="44">
        <v>100</v>
      </c>
      <c r="W189" s="44">
        <v>0</v>
      </c>
      <c r="Y189" s="45">
        <v>188</v>
      </c>
    </row>
    <row r="190" spans="1:25" ht="15.75" customHeight="1">
      <c r="A190" s="228">
        <v>33</v>
      </c>
      <c r="B190" s="201">
        <v>2</v>
      </c>
      <c r="C190" s="12" t="s">
        <v>270</v>
      </c>
      <c r="D190" s="12" t="s">
        <v>271</v>
      </c>
      <c r="E190" s="12">
        <v>100</v>
      </c>
      <c r="F190" s="12">
        <v>0</v>
      </c>
      <c r="G190" s="58"/>
      <c r="H190" s="12">
        <v>40000</v>
      </c>
      <c r="I190" s="12">
        <v>1.25</v>
      </c>
      <c r="J190" s="12" t="s">
        <v>272</v>
      </c>
      <c r="K190" s="12"/>
      <c r="L190" s="12" t="s">
        <v>274</v>
      </c>
      <c r="M190" s="12" t="s">
        <v>279</v>
      </c>
      <c r="N190" s="12" t="s">
        <v>170</v>
      </c>
      <c r="O190" s="12">
        <v>1</v>
      </c>
      <c r="P190" s="12" t="s">
        <v>273</v>
      </c>
      <c r="Q190" s="12"/>
      <c r="R190" s="12"/>
      <c r="S190" s="12"/>
      <c r="T190" s="255">
        <v>99</v>
      </c>
      <c r="U190" s="2"/>
      <c r="V190" s="44">
        <v>99</v>
      </c>
      <c r="W190" s="44">
        <v>0</v>
      </c>
      <c r="Y190" s="45">
        <v>189</v>
      </c>
    </row>
    <row r="191" spans="1:25" ht="15.75" customHeight="1">
      <c r="A191" s="228">
        <v>33</v>
      </c>
      <c r="B191" s="201">
        <v>3</v>
      </c>
      <c r="C191" s="12" t="s">
        <v>270</v>
      </c>
      <c r="D191" s="12" t="s">
        <v>271</v>
      </c>
      <c r="E191" s="12">
        <v>100</v>
      </c>
      <c r="F191" s="12">
        <v>0</v>
      </c>
      <c r="G191" s="58"/>
      <c r="H191" s="12">
        <v>40000</v>
      </c>
      <c r="I191" s="12">
        <v>1.25</v>
      </c>
      <c r="J191" s="12" t="s">
        <v>272</v>
      </c>
      <c r="K191" s="12"/>
      <c r="L191" s="12" t="s">
        <v>274</v>
      </c>
      <c r="M191" s="12" t="s">
        <v>279</v>
      </c>
      <c r="N191" s="12" t="s">
        <v>170</v>
      </c>
      <c r="O191" s="12">
        <v>5</v>
      </c>
      <c r="P191" s="12" t="s">
        <v>273</v>
      </c>
      <c r="Q191" s="12"/>
      <c r="R191" s="12"/>
      <c r="S191" s="12"/>
      <c r="T191" s="255">
        <v>95</v>
      </c>
      <c r="U191" s="2"/>
      <c r="V191" s="44">
        <v>95</v>
      </c>
      <c r="W191" s="44">
        <v>0</v>
      </c>
      <c r="Y191" s="45">
        <v>190</v>
      </c>
    </row>
    <row r="192" spans="1:25" ht="15.75" customHeight="1">
      <c r="A192" s="228">
        <v>33</v>
      </c>
      <c r="B192" s="202">
        <v>4</v>
      </c>
      <c r="C192" s="27" t="s">
        <v>270</v>
      </c>
      <c r="D192" s="27" t="s">
        <v>271</v>
      </c>
      <c r="E192" s="27">
        <v>100</v>
      </c>
      <c r="F192" s="27">
        <v>0</v>
      </c>
      <c r="G192" s="59"/>
      <c r="H192" s="27">
        <v>40000</v>
      </c>
      <c r="I192" s="27">
        <v>1.25</v>
      </c>
      <c r="J192" s="27" t="s">
        <v>272</v>
      </c>
      <c r="K192" s="27"/>
      <c r="L192" s="27" t="s">
        <v>274</v>
      </c>
      <c r="M192" s="27" t="s">
        <v>279</v>
      </c>
      <c r="N192" s="27" t="s">
        <v>170</v>
      </c>
      <c r="O192" s="27">
        <v>20</v>
      </c>
      <c r="P192" s="27" t="s">
        <v>273</v>
      </c>
      <c r="Q192" s="27"/>
      <c r="R192" s="27"/>
      <c r="S192" s="27"/>
      <c r="T192" s="256">
        <v>80</v>
      </c>
      <c r="U192" s="2"/>
      <c r="V192" s="44">
        <v>80</v>
      </c>
      <c r="W192" s="44">
        <v>0</v>
      </c>
      <c r="Y192" s="45">
        <v>191</v>
      </c>
    </row>
    <row r="193" spans="1:25" ht="15.75" customHeight="1">
      <c r="A193" s="203">
        <v>34</v>
      </c>
      <c r="B193" s="200">
        <v>1</v>
      </c>
      <c r="C193" s="227" t="s">
        <v>270</v>
      </c>
      <c r="D193" s="227" t="s">
        <v>271</v>
      </c>
      <c r="E193" s="227">
        <v>100</v>
      </c>
      <c r="F193" s="227">
        <v>0</v>
      </c>
      <c r="G193" s="279"/>
      <c r="H193" s="227"/>
      <c r="I193" s="227"/>
      <c r="J193" s="227"/>
      <c r="K193" s="227"/>
      <c r="L193" s="227" t="s">
        <v>273</v>
      </c>
      <c r="M193" s="227"/>
      <c r="N193" s="227"/>
      <c r="O193" s="227"/>
      <c r="P193" s="227" t="s">
        <v>273</v>
      </c>
      <c r="Q193" s="227"/>
      <c r="R193" s="227"/>
      <c r="S193" s="227"/>
      <c r="T193" s="258">
        <v>100</v>
      </c>
      <c r="U193" s="12"/>
      <c r="V193" s="63">
        <v>100</v>
      </c>
      <c r="W193" s="63">
        <v>0</v>
      </c>
      <c r="Y193" s="45">
        <v>192</v>
      </c>
    </row>
    <row r="194" spans="1:25" ht="15.75" customHeight="1">
      <c r="A194" s="204">
        <v>34</v>
      </c>
      <c r="B194" s="201">
        <v>2</v>
      </c>
      <c r="C194" s="12" t="s">
        <v>270</v>
      </c>
      <c r="D194" s="12" t="s">
        <v>271</v>
      </c>
      <c r="E194" s="12">
        <v>100</v>
      </c>
      <c r="F194" s="12">
        <v>0</v>
      </c>
      <c r="G194" s="76"/>
      <c r="H194" s="12"/>
      <c r="I194" s="12"/>
      <c r="J194" s="12"/>
      <c r="K194" s="12"/>
      <c r="L194" s="12" t="s">
        <v>274</v>
      </c>
      <c r="M194" s="12" t="s">
        <v>277</v>
      </c>
      <c r="N194" s="76" t="s">
        <v>127</v>
      </c>
      <c r="O194" s="12">
        <v>2</v>
      </c>
      <c r="P194" s="12" t="s">
        <v>273</v>
      </c>
      <c r="Q194" s="12"/>
      <c r="R194" s="12"/>
      <c r="S194" s="12"/>
      <c r="T194" s="255">
        <v>98</v>
      </c>
      <c r="U194" s="12"/>
      <c r="V194" s="63">
        <v>98</v>
      </c>
      <c r="W194" s="63">
        <v>0</v>
      </c>
      <c r="Y194" s="45">
        <v>193</v>
      </c>
    </row>
    <row r="195" spans="1:25" ht="15.75" customHeight="1">
      <c r="A195" s="204">
        <v>34</v>
      </c>
      <c r="B195" s="201">
        <v>3</v>
      </c>
      <c r="C195" s="12" t="s">
        <v>270</v>
      </c>
      <c r="D195" s="12" t="s">
        <v>271</v>
      </c>
      <c r="E195" s="12">
        <v>100</v>
      </c>
      <c r="F195" s="12">
        <v>0</v>
      </c>
      <c r="G195" s="76"/>
      <c r="H195" s="12"/>
      <c r="I195" s="12"/>
      <c r="J195" s="12"/>
      <c r="K195" s="12"/>
      <c r="L195" s="12" t="s">
        <v>274</v>
      </c>
      <c r="M195" s="12" t="s">
        <v>277</v>
      </c>
      <c r="N195" s="76" t="s">
        <v>152</v>
      </c>
      <c r="O195" s="12">
        <v>2</v>
      </c>
      <c r="P195" s="12" t="s">
        <v>273</v>
      </c>
      <c r="Q195" s="12"/>
      <c r="R195" s="12"/>
      <c r="S195" s="12"/>
      <c r="T195" s="255">
        <v>98</v>
      </c>
      <c r="U195" s="12"/>
      <c r="V195" s="63">
        <v>98</v>
      </c>
      <c r="W195" s="63">
        <v>0</v>
      </c>
      <c r="Y195" s="45">
        <v>194</v>
      </c>
    </row>
    <row r="196" spans="1:25" ht="15.75" customHeight="1">
      <c r="A196" s="204">
        <v>34</v>
      </c>
      <c r="B196" s="201">
        <v>4</v>
      </c>
      <c r="C196" s="12" t="s">
        <v>270</v>
      </c>
      <c r="D196" s="12" t="s">
        <v>271</v>
      </c>
      <c r="E196" s="12">
        <v>100</v>
      </c>
      <c r="F196" s="12">
        <v>0</v>
      </c>
      <c r="G196" s="76"/>
      <c r="H196" s="12"/>
      <c r="I196" s="12"/>
      <c r="J196" s="12"/>
      <c r="K196" s="12"/>
      <c r="L196" s="12" t="s">
        <v>274</v>
      </c>
      <c r="M196" s="12" t="s">
        <v>277</v>
      </c>
      <c r="N196" s="76" t="s">
        <v>154</v>
      </c>
      <c r="O196" s="12">
        <v>2</v>
      </c>
      <c r="P196" s="12" t="s">
        <v>273</v>
      </c>
      <c r="Q196" s="12"/>
      <c r="R196" s="12"/>
      <c r="S196" s="12"/>
      <c r="T196" s="255">
        <v>98</v>
      </c>
      <c r="U196" s="12"/>
      <c r="V196" s="63">
        <v>98</v>
      </c>
      <c r="W196" s="63">
        <v>0</v>
      </c>
      <c r="Y196" s="45">
        <v>195</v>
      </c>
    </row>
    <row r="197" spans="1:25" ht="15.75" customHeight="1">
      <c r="A197" s="229">
        <v>35</v>
      </c>
      <c r="B197" s="74">
        <v>1</v>
      </c>
      <c r="C197" s="227" t="s">
        <v>270</v>
      </c>
      <c r="D197" s="227" t="s">
        <v>271</v>
      </c>
      <c r="E197" s="227">
        <v>100</v>
      </c>
      <c r="F197" s="227">
        <v>0</v>
      </c>
      <c r="G197" s="261"/>
      <c r="H197" s="222"/>
      <c r="I197" s="227">
        <v>1.25</v>
      </c>
      <c r="J197" s="227" t="s">
        <v>272</v>
      </c>
      <c r="K197" s="222"/>
      <c r="L197" s="222" t="s">
        <v>273</v>
      </c>
      <c r="M197" s="222"/>
      <c r="N197" s="222"/>
      <c r="O197" s="222"/>
      <c r="P197" s="227" t="s">
        <v>273</v>
      </c>
      <c r="Q197" s="222"/>
      <c r="R197" s="222"/>
      <c r="S197" s="222"/>
      <c r="T197" s="271">
        <v>100</v>
      </c>
      <c r="U197" s="2"/>
      <c r="V197" s="44">
        <v>100</v>
      </c>
      <c r="W197" s="44">
        <v>0</v>
      </c>
      <c r="Y197" s="45">
        <v>196</v>
      </c>
    </row>
    <row r="198" spans="1:25" ht="15.75" customHeight="1">
      <c r="A198" s="228">
        <v>35</v>
      </c>
      <c r="B198" s="75">
        <v>2</v>
      </c>
      <c r="C198" s="12" t="s">
        <v>270</v>
      </c>
      <c r="D198" s="12" t="s">
        <v>271</v>
      </c>
      <c r="E198" s="12">
        <v>100</v>
      </c>
      <c r="F198" s="12">
        <v>0</v>
      </c>
      <c r="G198" s="58"/>
      <c r="H198" s="22"/>
      <c r="I198" s="12">
        <v>1.25</v>
      </c>
      <c r="J198" s="12" t="s">
        <v>272</v>
      </c>
      <c r="K198" s="22"/>
      <c r="L198" s="22" t="s">
        <v>274</v>
      </c>
      <c r="M198" s="22" t="s">
        <v>279</v>
      </c>
      <c r="N198" s="22" t="s">
        <v>127</v>
      </c>
      <c r="O198" s="22">
        <v>1</v>
      </c>
      <c r="P198" s="12" t="s">
        <v>273</v>
      </c>
      <c r="Q198" s="22"/>
      <c r="R198" s="22"/>
      <c r="S198" s="22"/>
      <c r="T198" s="269">
        <v>99</v>
      </c>
      <c r="U198" s="2"/>
      <c r="V198" s="44">
        <v>99</v>
      </c>
      <c r="W198" s="44">
        <v>0</v>
      </c>
      <c r="Y198" s="45">
        <v>197</v>
      </c>
    </row>
    <row r="199" spans="1:25" ht="15.75" customHeight="1">
      <c r="A199" s="228">
        <v>35</v>
      </c>
      <c r="B199" s="75">
        <v>3</v>
      </c>
      <c r="C199" s="12" t="s">
        <v>270</v>
      </c>
      <c r="D199" s="12" t="s">
        <v>271</v>
      </c>
      <c r="E199" s="12">
        <v>100</v>
      </c>
      <c r="F199" s="12">
        <v>0</v>
      </c>
      <c r="G199" s="58"/>
      <c r="H199" s="22"/>
      <c r="I199" s="12">
        <v>1.25</v>
      </c>
      <c r="J199" s="12" t="s">
        <v>272</v>
      </c>
      <c r="K199" s="22"/>
      <c r="L199" s="22" t="s">
        <v>274</v>
      </c>
      <c r="M199" s="22" t="s">
        <v>279</v>
      </c>
      <c r="N199" s="22" t="s">
        <v>127</v>
      </c>
      <c r="O199" s="22">
        <v>2</v>
      </c>
      <c r="P199" s="12" t="s">
        <v>273</v>
      </c>
      <c r="Q199" s="22"/>
      <c r="R199" s="22"/>
      <c r="S199" s="22"/>
      <c r="T199" s="269">
        <v>98</v>
      </c>
      <c r="U199" s="2"/>
      <c r="V199" s="44">
        <v>98</v>
      </c>
      <c r="W199" s="44">
        <v>0</v>
      </c>
      <c r="Y199" s="45">
        <v>198</v>
      </c>
    </row>
    <row r="200" spans="1:25" ht="15.75" customHeight="1">
      <c r="A200" s="230">
        <v>35</v>
      </c>
      <c r="B200" s="231">
        <v>4</v>
      </c>
      <c r="C200" s="12" t="s">
        <v>270</v>
      </c>
      <c r="D200" s="12" t="s">
        <v>271</v>
      </c>
      <c r="E200" s="27">
        <v>100</v>
      </c>
      <c r="F200" s="27">
        <v>0</v>
      </c>
      <c r="G200" s="59"/>
      <c r="H200" s="30"/>
      <c r="I200" s="27">
        <v>1.25</v>
      </c>
      <c r="J200" s="27" t="s">
        <v>272</v>
      </c>
      <c r="K200" s="30"/>
      <c r="L200" s="30" t="s">
        <v>274</v>
      </c>
      <c r="M200" s="30" t="s">
        <v>279</v>
      </c>
      <c r="N200" s="30" t="s">
        <v>127</v>
      </c>
      <c r="O200" s="30">
        <v>5</v>
      </c>
      <c r="P200" s="27" t="s">
        <v>273</v>
      </c>
      <c r="Q200" s="30"/>
      <c r="R200" s="30"/>
      <c r="S200" s="30"/>
      <c r="T200" s="273">
        <v>95</v>
      </c>
      <c r="U200" s="2"/>
      <c r="V200" s="44">
        <v>95</v>
      </c>
      <c r="W200" s="44">
        <v>0</v>
      </c>
      <c r="Y200" s="45">
        <v>199</v>
      </c>
    </row>
    <row r="201" spans="1:25" ht="15.75" customHeight="1">
      <c r="A201" s="233">
        <v>36</v>
      </c>
      <c r="B201" s="75">
        <v>1</v>
      </c>
      <c r="C201" s="227" t="s">
        <v>270</v>
      </c>
      <c r="D201" s="227" t="s">
        <v>271</v>
      </c>
      <c r="E201" s="12">
        <v>89</v>
      </c>
      <c r="F201" s="12">
        <v>11</v>
      </c>
      <c r="G201" s="58"/>
      <c r="H201" s="22"/>
      <c r="I201" s="22">
        <v>1.23</v>
      </c>
      <c r="J201" s="12" t="s">
        <v>272</v>
      </c>
      <c r="K201" s="22"/>
      <c r="L201" s="22" t="s">
        <v>273</v>
      </c>
      <c r="M201" s="12"/>
      <c r="N201" s="22"/>
      <c r="O201" s="22"/>
      <c r="P201" s="22" t="s">
        <v>273</v>
      </c>
      <c r="Q201" s="22"/>
      <c r="R201" s="22"/>
      <c r="S201" s="22"/>
      <c r="T201" s="269">
        <v>100</v>
      </c>
      <c r="U201" s="2"/>
      <c r="V201" s="44">
        <v>89</v>
      </c>
      <c r="W201" s="44">
        <v>11</v>
      </c>
      <c r="Y201" s="45">
        <v>200</v>
      </c>
    </row>
    <row r="202" spans="1:25" ht="15.75" customHeight="1">
      <c r="A202" s="233">
        <v>36</v>
      </c>
      <c r="B202" s="75">
        <v>2</v>
      </c>
      <c r="C202" s="12" t="s">
        <v>270</v>
      </c>
      <c r="D202" s="12" t="s">
        <v>271</v>
      </c>
      <c r="E202" s="12">
        <v>89</v>
      </c>
      <c r="F202" s="12">
        <v>11</v>
      </c>
      <c r="G202" s="58"/>
      <c r="H202" s="22"/>
      <c r="I202" s="22">
        <v>1.23</v>
      </c>
      <c r="J202" s="12" t="s">
        <v>272</v>
      </c>
      <c r="K202" s="22"/>
      <c r="L202" s="22" t="s">
        <v>274</v>
      </c>
      <c r="M202" s="22" t="s">
        <v>279</v>
      </c>
      <c r="N202" s="22" t="s">
        <v>156</v>
      </c>
      <c r="O202" s="22">
        <v>30</v>
      </c>
      <c r="P202" s="22" t="s">
        <v>273</v>
      </c>
      <c r="Q202" s="22"/>
      <c r="R202" s="22"/>
      <c r="S202" s="22"/>
      <c r="T202" s="269">
        <v>70</v>
      </c>
      <c r="U202" s="2"/>
      <c r="V202" s="44">
        <v>62.3</v>
      </c>
      <c r="W202" s="44">
        <v>7.7</v>
      </c>
      <c r="Y202" s="45">
        <v>201</v>
      </c>
    </row>
    <row r="203" spans="1:25" ht="15.75" customHeight="1">
      <c r="A203" s="233">
        <v>36</v>
      </c>
      <c r="B203" s="75">
        <v>3</v>
      </c>
      <c r="C203" s="12" t="s">
        <v>270</v>
      </c>
      <c r="D203" s="12" t="s">
        <v>271</v>
      </c>
      <c r="E203" s="12">
        <v>89</v>
      </c>
      <c r="F203" s="12">
        <v>11</v>
      </c>
      <c r="G203" s="58"/>
      <c r="H203" s="22"/>
      <c r="I203" s="22">
        <v>1.23</v>
      </c>
      <c r="J203" s="12" t="s">
        <v>272</v>
      </c>
      <c r="K203" s="22"/>
      <c r="L203" s="22" t="s">
        <v>274</v>
      </c>
      <c r="M203" s="22" t="s">
        <v>279</v>
      </c>
      <c r="N203" s="22" t="s">
        <v>158</v>
      </c>
      <c r="O203" s="22">
        <v>30</v>
      </c>
      <c r="P203" s="22" t="s">
        <v>273</v>
      </c>
      <c r="Q203" s="22"/>
      <c r="R203" s="22"/>
      <c r="S203" s="22"/>
      <c r="T203" s="269">
        <v>70</v>
      </c>
      <c r="U203" s="2"/>
      <c r="V203" s="44">
        <v>62.3</v>
      </c>
      <c r="W203" s="44">
        <v>7.7</v>
      </c>
      <c r="Y203" s="45">
        <v>202</v>
      </c>
    </row>
    <row r="204" spans="1:25" ht="15.75" customHeight="1">
      <c r="A204" s="241">
        <v>36</v>
      </c>
      <c r="B204" s="75">
        <v>4</v>
      </c>
      <c r="C204" s="12" t="s">
        <v>270</v>
      </c>
      <c r="D204" s="12" t="s">
        <v>271</v>
      </c>
      <c r="E204" s="12">
        <v>89</v>
      </c>
      <c r="F204" s="12">
        <v>11</v>
      </c>
      <c r="G204" s="58"/>
      <c r="H204" s="22"/>
      <c r="I204" s="22">
        <v>1.23</v>
      </c>
      <c r="J204" s="12" t="s">
        <v>272</v>
      </c>
      <c r="K204" s="22"/>
      <c r="L204" s="22" t="s">
        <v>274</v>
      </c>
      <c r="M204" s="22" t="s">
        <v>279</v>
      </c>
      <c r="N204" s="22" t="s">
        <v>160</v>
      </c>
      <c r="O204" s="22">
        <v>30</v>
      </c>
      <c r="P204" s="22" t="s">
        <v>273</v>
      </c>
      <c r="Q204" s="22"/>
      <c r="R204" s="22"/>
      <c r="S204" s="22"/>
      <c r="T204" s="269">
        <v>70</v>
      </c>
      <c r="U204" s="2"/>
      <c r="V204" s="44">
        <v>62.3</v>
      </c>
      <c r="W204" s="44">
        <v>7.7</v>
      </c>
      <c r="Y204" s="45">
        <v>203</v>
      </c>
    </row>
    <row r="205" spans="1:25" ht="15.75" customHeight="1">
      <c r="A205" s="233">
        <v>37</v>
      </c>
      <c r="B205" s="200">
        <v>1</v>
      </c>
      <c r="C205" s="227" t="s">
        <v>270</v>
      </c>
      <c r="D205" s="227" t="s">
        <v>271</v>
      </c>
      <c r="E205" s="227">
        <v>100</v>
      </c>
      <c r="F205" s="227">
        <v>0</v>
      </c>
      <c r="G205" s="279"/>
      <c r="H205" s="227"/>
      <c r="I205" s="227">
        <v>1.25</v>
      </c>
      <c r="J205" s="227" t="s">
        <v>272</v>
      </c>
      <c r="K205" s="227"/>
      <c r="L205" s="227" t="s">
        <v>273</v>
      </c>
      <c r="M205" s="227"/>
      <c r="N205" s="227"/>
      <c r="O205" s="227"/>
      <c r="P205" s="227" t="s">
        <v>274</v>
      </c>
      <c r="Q205" s="222" t="s">
        <v>275</v>
      </c>
      <c r="R205" s="227" t="s">
        <v>164</v>
      </c>
      <c r="S205" s="227">
        <v>10</v>
      </c>
      <c r="T205" s="258">
        <v>90</v>
      </c>
      <c r="V205" s="44">
        <v>90</v>
      </c>
      <c r="W205" s="44">
        <v>0</v>
      </c>
      <c r="Y205" s="45">
        <v>204</v>
      </c>
    </row>
    <row r="206" spans="1:25" ht="15.75" customHeight="1">
      <c r="A206" s="233">
        <v>37</v>
      </c>
      <c r="B206" s="201">
        <v>2</v>
      </c>
      <c r="C206" s="12" t="s">
        <v>270</v>
      </c>
      <c r="D206" s="12" t="s">
        <v>271</v>
      </c>
      <c r="E206" s="12">
        <v>100</v>
      </c>
      <c r="F206" s="12">
        <v>0</v>
      </c>
      <c r="G206" s="76"/>
      <c r="H206" s="12"/>
      <c r="I206" s="12">
        <v>1.25</v>
      </c>
      <c r="J206" s="12" t="s">
        <v>272</v>
      </c>
      <c r="K206" s="12"/>
      <c r="L206" s="12" t="s">
        <v>274</v>
      </c>
      <c r="M206" s="22" t="s">
        <v>282</v>
      </c>
      <c r="N206" s="12" t="s">
        <v>166</v>
      </c>
      <c r="O206" s="12">
        <v>0</v>
      </c>
      <c r="P206" s="12" t="s">
        <v>274</v>
      </c>
      <c r="Q206" s="22" t="s">
        <v>275</v>
      </c>
      <c r="R206" s="12" t="s">
        <v>164</v>
      </c>
      <c r="S206" s="12">
        <v>10</v>
      </c>
      <c r="T206" s="255">
        <v>90</v>
      </c>
      <c r="V206" s="44">
        <v>90</v>
      </c>
      <c r="W206" s="44">
        <v>0</v>
      </c>
      <c r="Y206" s="45">
        <v>205</v>
      </c>
    </row>
    <row r="207" spans="1:25" ht="15.75" customHeight="1">
      <c r="A207" s="233">
        <v>37</v>
      </c>
      <c r="B207" s="201">
        <v>3</v>
      </c>
      <c r="C207" s="12" t="s">
        <v>270</v>
      </c>
      <c r="D207" s="12" t="s">
        <v>271</v>
      </c>
      <c r="E207" s="12">
        <v>100</v>
      </c>
      <c r="F207" s="12">
        <v>0</v>
      </c>
      <c r="G207" s="76"/>
      <c r="H207" s="12"/>
      <c r="I207" s="12">
        <v>1.25</v>
      </c>
      <c r="J207" s="12" t="s">
        <v>272</v>
      </c>
      <c r="K207" s="12"/>
      <c r="L207" s="12" t="s">
        <v>274</v>
      </c>
      <c r="M207" s="12" t="s">
        <v>277</v>
      </c>
      <c r="N207" s="12" t="s">
        <v>289</v>
      </c>
      <c r="O207" s="12">
        <v>2</v>
      </c>
      <c r="P207" s="12" t="s">
        <v>274</v>
      </c>
      <c r="Q207" s="22" t="s">
        <v>275</v>
      </c>
      <c r="R207" s="12" t="s">
        <v>164</v>
      </c>
      <c r="S207" s="12">
        <v>10</v>
      </c>
      <c r="T207" s="255">
        <v>88</v>
      </c>
      <c r="V207" s="44">
        <v>88</v>
      </c>
      <c r="W207" s="44">
        <v>0</v>
      </c>
      <c r="Y207" s="45">
        <v>206</v>
      </c>
    </row>
    <row r="208" spans="1:25" ht="15.75" customHeight="1">
      <c r="A208" s="233">
        <v>37</v>
      </c>
      <c r="B208" s="201">
        <v>4</v>
      </c>
      <c r="C208" s="12" t="s">
        <v>270</v>
      </c>
      <c r="D208" s="12" t="s">
        <v>271</v>
      </c>
      <c r="E208" s="12">
        <v>100</v>
      </c>
      <c r="F208" s="12">
        <v>0</v>
      </c>
      <c r="G208" s="76"/>
      <c r="H208" s="12"/>
      <c r="I208" s="12">
        <v>1.25</v>
      </c>
      <c r="J208" s="12" t="s">
        <v>272</v>
      </c>
      <c r="K208" s="12"/>
      <c r="L208" s="12" t="s">
        <v>274</v>
      </c>
      <c r="M208" s="12" t="s">
        <v>277</v>
      </c>
      <c r="N208" s="12" t="s">
        <v>290</v>
      </c>
      <c r="O208" s="12">
        <v>2</v>
      </c>
      <c r="P208" s="12" t="s">
        <v>274</v>
      </c>
      <c r="Q208" s="22" t="s">
        <v>275</v>
      </c>
      <c r="R208" s="12" t="s">
        <v>164</v>
      </c>
      <c r="S208" s="12">
        <v>10</v>
      </c>
      <c r="T208" s="255">
        <v>88</v>
      </c>
      <c r="V208" s="44">
        <v>88</v>
      </c>
      <c r="W208" s="44">
        <v>0</v>
      </c>
      <c r="Y208" s="45">
        <v>207</v>
      </c>
    </row>
    <row r="209" spans="1:25" ht="15.75" customHeight="1">
      <c r="A209" s="233">
        <v>37</v>
      </c>
      <c r="B209" s="201">
        <v>5</v>
      </c>
      <c r="C209" s="12" t="s">
        <v>270</v>
      </c>
      <c r="D209" s="12" t="s">
        <v>271</v>
      </c>
      <c r="E209" s="12">
        <v>100</v>
      </c>
      <c r="F209" s="12">
        <v>0</v>
      </c>
      <c r="G209" s="76"/>
      <c r="H209" s="12"/>
      <c r="I209" s="12">
        <v>1.25</v>
      </c>
      <c r="J209" s="12" t="s">
        <v>272</v>
      </c>
      <c r="K209" s="12"/>
      <c r="L209" s="12" t="s">
        <v>274</v>
      </c>
      <c r="M209" s="12" t="s">
        <v>277</v>
      </c>
      <c r="N209" s="12" t="s">
        <v>289</v>
      </c>
      <c r="O209" s="12">
        <v>5</v>
      </c>
      <c r="P209" s="12" t="s">
        <v>274</v>
      </c>
      <c r="Q209" s="22" t="s">
        <v>275</v>
      </c>
      <c r="R209" s="12" t="s">
        <v>164</v>
      </c>
      <c r="S209" s="12">
        <v>10</v>
      </c>
      <c r="T209" s="255">
        <v>85</v>
      </c>
      <c r="V209" s="44">
        <v>85</v>
      </c>
      <c r="W209" s="44">
        <v>0</v>
      </c>
      <c r="Y209" s="45">
        <v>208</v>
      </c>
    </row>
    <row r="210" spans="1:25" ht="15.75" customHeight="1">
      <c r="A210" s="233">
        <v>37</v>
      </c>
      <c r="B210" s="201">
        <v>6</v>
      </c>
      <c r="C210" s="12" t="s">
        <v>270</v>
      </c>
      <c r="D210" s="12" t="s">
        <v>271</v>
      </c>
      <c r="E210" s="12">
        <v>100</v>
      </c>
      <c r="F210" s="12">
        <v>0</v>
      </c>
      <c r="G210" s="76"/>
      <c r="H210" s="12"/>
      <c r="I210" s="12">
        <v>1.25</v>
      </c>
      <c r="J210" s="12" t="s">
        <v>272</v>
      </c>
      <c r="K210" s="12"/>
      <c r="L210" s="12" t="s">
        <v>274</v>
      </c>
      <c r="M210" s="12" t="s">
        <v>277</v>
      </c>
      <c r="N210" s="12" t="s">
        <v>290</v>
      </c>
      <c r="O210" s="12">
        <v>5</v>
      </c>
      <c r="P210" s="12" t="s">
        <v>274</v>
      </c>
      <c r="Q210" s="22" t="s">
        <v>275</v>
      </c>
      <c r="R210" s="12" t="s">
        <v>164</v>
      </c>
      <c r="S210" s="12">
        <v>10</v>
      </c>
      <c r="T210" s="255">
        <v>85</v>
      </c>
      <c r="V210" s="44">
        <v>85</v>
      </c>
      <c r="W210" s="44">
        <v>0</v>
      </c>
      <c r="Y210" s="45">
        <v>209</v>
      </c>
    </row>
    <row r="211" spans="1:25" ht="15.75" customHeight="1">
      <c r="A211" s="233">
        <v>37</v>
      </c>
      <c r="B211" s="201">
        <v>7</v>
      </c>
      <c r="C211" s="12" t="s">
        <v>270</v>
      </c>
      <c r="D211" s="12" t="s">
        <v>271</v>
      </c>
      <c r="E211" s="12">
        <v>100</v>
      </c>
      <c r="F211" s="12">
        <v>0</v>
      </c>
      <c r="G211" s="76"/>
      <c r="H211" s="12"/>
      <c r="I211" s="12">
        <v>1.25</v>
      </c>
      <c r="J211" s="12" t="s">
        <v>272</v>
      </c>
      <c r="K211" s="12"/>
      <c r="L211" s="12" t="s">
        <v>274</v>
      </c>
      <c r="M211" s="12" t="s">
        <v>277</v>
      </c>
      <c r="N211" s="12" t="s">
        <v>291</v>
      </c>
      <c r="O211" s="12">
        <v>2</v>
      </c>
      <c r="P211" s="12" t="s">
        <v>274</v>
      </c>
      <c r="Q211" s="22" t="s">
        <v>275</v>
      </c>
      <c r="R211" s="12" t="s">
        <v>164</v>
      </c>
      <c r="S211" s="12">
        <v>10</v>
      </c>
      <c r="T211" s="255">
        <v>88</v>
      </c>
      <c r="V211" s="44">
        <v>88</v>
      </c>
      <c r="W211" s="44">
        <v>0</v>
      </c>
      <c r="Y211" s="45">
        <v>210</v>
      </c>
    </row>
    <row r="212" spans="1:25" ht="15.75" customHeight="1">
      <c r="A212" s="229">
        <v>38</v>
      </c>
      <c r="B212" s="74">
        <v>1</v>
      </c>
      <c r="C212" s="227" t="s">
        <v>270</v>
      </c>
      <c r="D212" s="227" t="s">
        <v>271</v>
      </c>
      <c r="E212" s="222">
        <v>97</v>
      </c>
      <c r="F212" s="222">
        <v>3</v>
      </c>
      <c r="G212" s="261"/>
      <c r="H212" s="222"/>
      <c r="I212" s="222"/>
      <c r="J212" s="222"/>
      <c r="K212" s="222"/>
      <c r="L212" s="222" t="s">
        <v>273</v>
      </c>
      <c r="M212" s="222"/>
      <c r="N212" s="222"/>
      <c r="O212" s="222"/>
      <c r="P212" s="227" t="s">
        <v>273</v>
      </c>
      <c r="Q212" s="222"/>
      <c r="R212" s="222"/>
      <c r="S212" s="222"/>
      <c r="T212" s="271">
        <v>100</v>
      </c>
      <c r="U212" s="2"/>
      <c r="V212" s="44">
        <v>97</v>
      </c>
      <c r="W212" s="44">
        <v>3</v>
      </c>
      <c r="Y212" s="45">
        <v>211</v>
      </c>
    </row>
    <row r="213" spans="1:25" ht="15.75" customHeight="1">
      <c r="A213" s="228">
        <v>38</v>
      </c>
      <c r="B213" s="75">
        <v>2</v>
      </c>
      <c r="C213" s="12" t="s">
        <v>270</v>
      </c>
      <c r="D213" s="12" t="s">
        <v>271</v>
      </c>
      <c r="E213" s="22">
        <v>97</v>
      </c>
      <c r="F213" s="22">
        <v>3</v>
      </c>
      <c r="G213" s="58"/>
      <c r="H213" s="22"/>
      <c r="I213" s="22"/>
      <c r="J213" s="22"/>
      <c r="K213" s="22"/>
      <c r="L213" s="22" t="s">
        <v>274</v>
      </c>
      <c r="M213" s="22" t="s">
        <v>292</v>
      </c>
      <c r="N213" s="22" t="s">
        <v>172</v>
      </c>
      <c r="O213" s="22">
        <v>3</v>
      </c>
      <c r="P213" s="12" t="s">
        <v>273</v>
      </c>
      <c r="Q213" s="22"/>
      <c r="R213" s="22"/>
      <c r="S213" s="22"/>
      <c r="T213" s="269">
        <v>97</v>
      </c>
      <c r="U213" s="2"/>
      <c r="V213" s="44">
        <v>94.09</v>
      </c>
      <c r="W213" s="44">
        <v>2.91</v>
      </c>
      <c r="Y213" s="45">
        <v>212</v>
      </c>
    </row>
    <row r="214" spans="1:25" ht="15.75" customHeight="1">
      <c r="A214" s="228">
        <v>38</v>
      </c>
      <c r="B214" s="75">
        <v>3</v>
      </c>
      <c r="C214" s="12" t="s">
        <v>270</v>
      </c>
      <c r="D214" s="12" t="s">
        <v>271</v>
      </c>
      <c r="E214" s="22">
        <v>97</v>
      </c>
      <c r="F214" s="22">
        <v>3</v>
      </c>
      <c r="G214" s="58"/>
      <c r="H214" s="22"/>
      <c r="I214" s="22"/>
      <c r="J214" s="22"/>
      <c r="K214" s="22"/>
      <c r="L214" s="22" t="s">
        <v>274</v>
      </c>
      <c r="M214" s="22" t="s">
        <v>279</v>
      </c>
      <c r="N214" s="22" t="s">
        <v>174</v>
      </c>
      <c r="O214" s="22">
        <v>3</v>
      </c>
      <c r="P214" s="12" t="s">
        <v>273</v>
      </c>
      <c r="Q214" s="22"/>
      <c r="R214" s="22"/>
      <c r="S214" s="22"/>
      <c r="T214" s="269">
        <v>97</v>
      </c>
      <c r="U214" s="2"/>
      <c r="V214" s="44">
        <v>94.09</v>
      </c>
      <c r="W214" s="44">
        <v>2.91</v>
      </c>
      <c r="Y214" s="45">
        <v>213</v>
      </c>
    </row>
    <row r="215" spans="1:25" ht="15.75" customHeight="1">
      <c r="A215" s="228">
        <v>38</v>
      </c>
      <c r="B215" s="75">
        <v>4</v>
      </c>
      <c r="C215" s="12" t="s">
        <v>270</v>
      </c>
      <c r="D215" s="12" t="s">
        <v>271</v>
      </c>
      <c r="E215" s="22">
        <v>97</v>
      </c>
      <c r="F215" s="22">
        <v>3</v>
      </c>
      <c r="G215" s="58"/>
      <c r="H215" s="22"/>
      <c r="I215" s="22"/>
      <c r="J215" s="22"/>
      <c r="K215" s="22"/>
      <c r="L215" s="22" t="s">
        <v>273</v>
      </c>
      <c r="M215" s="22"/>
      <c r="N215" s="22"/>
      <c r="O215" s="22"/>
      <c r="P215" s="12" t="s">
        <v>273</v>
      </c>
      <c r="Q215" s="22"/>
      <c r="R215" s="22"/>
      <c r="S215" s="22"/>
      <c r="T215" s="269">
        <v>100</v>
      </c>
      <c r="U215" s="2"/>
      <c r="V215" s="44">
        <v>97</v>
      </c>
      <c r="W215" s="44">
        <v>3</v>
      </c>
      <c r="Y215" s="45">
        <v>214</v>
      </c>
    </row>
    <row r="216" spans="1:25" ht="15.75" customHeight="1">
      <c r="A216" s="228">
        <v>38</v>
      </c>
      <c r="B216" s="75">
        <v>5</v>
      </c>
      <c r="C216" s="12" t="s">
        <v>270</v>
      </c>
      <c r="D216" s="12" t="s">
        <v>271</v>
      </c>
      <c r="E216" s="22">
        <v>97</v>
      </c>
      <c r="F216" s="22">
        <v>3</v>
      </c>
      <c r="G216" s="58"/>
      <c r="H216" s="22"/>
      <c r="I216" s="22"/>
      <c r="J216" s="22"/>
      <c r="K216" s="22"/>
      <c r="L216" s="22" t="s">
        <v>274</v>
      </c>
      <c r="M216" s="22" t="s">
        <v>292</v>
      </c>
      <c r="N216" s="22" t="s">
        <v>172</v>
      </c>
      <c r="O216" s="22">
        <v>3</v>
      </c>
      <c r="P216" s="12" t="s">
        <v>273</v>
      </c>
      <c r="Q216" s="22"/>
      <c r="R216" s="22"/>
      <c r="S216" s="22"/>
      <c r="T216" s="269">
        <v>97</v>
      </c>
      <c r="U216" s="2"/>
      <c r="V216" s="44">
        <v>94.09</v>
      </c>
      <c r="W216" s="44">
        <v>2.91</v>
      </c>
      <c r="Y216" s="45">
        <v>215</v>
      </c>
    </row>
    <row r="217" spans="1:25" ht="15.75" customHeight="1">
      <c r="A217" s="228">
        <v>38</v>
      </c>
      <c r="B217" s="75">
        <v>6</v>
      </c>
      <c r="C217" s="12" t="s">
        <v>270</v>
      </c>
      <c r="D217" s="12" t="s">
        <v>271</v>
      </c>
      <c r="E217" s="22">
        <v>97</v>
      </c>
      <c r="F217" s="22">
        <v>3</v>
      </c>
      <c r="G217" s="58"/>
      <c r="H217" s="22"/>
      <c r="I217" s="22"/>
      <c r="J217" s="22"/>
      <c r="K217" s="22"/>
      <c r="L217" s="22" t="s">
        <v>274</v>
      </c>
      <c r="M217" s="22" t="s">
        <v>279</v>
      </c>
      <c r="N217" s="22" t="s">
        <v>174</v>
      </c>
      <c r="O217" s="22">
        <v>3</v>
      </c>
      <c r="P217" s="12" t="s">
        <v>273</v>
      </c>
      <c r="Q217" s="22"/>
      <c r="R217" s="22"/>
      <c r="S217" s="22"/>
      <c r="T217" s="269">
        <v>97</v>
      </c>
      <c r="U217" s="2"/>
      <c r="V217" s="44">
        <v>94.09</v>
      </c>
      <c r="W217" s="44">
        <v>2.91</v>
      </c>
      <c r="Y217" s="45">
        <v>216</v>
      </c>
    </row>
    <row r="218" spans="1:25" ht="15.75" customHeight="1">
      <c r="A218" s="229">
        <v>39</v>
      </c>
      <c r="B218" s="74">
        <v>1</v>
      </c>
      <c r="C218" s="227" t="s">
        <v>270</v>
      </c>
      <c r="D218" s="227" t="s">
        <v>271</v>
      </c>
      <c r="E218" s="222">
        <v>95</v>
      </c>
      <c r="F218" s="222">
        <v>5</v>
      </c>
      <c r="G218" s="261"/>
      <c r="H218" s="234"/>
      <c r="I218" s="234"/>
      <c r="J218" s="234"/>
      <c r="K218" s="234"/>
      <c r="L218" s="222" t="s">
        <v>273</v>
      </c>
      <c r="M218" s="222"/>
      <c r="N218" s="234"/>
      <c r="O218" s="222"/>
      <c r="P218" s="227" t="s">
        <v>273</v>
      </c>
      <c r="Q218" s="234"/>
      <c r="R218" s="234"/>
      <c r="S218" s="234"/>
      <c r="T218" s="271">
        <v>100</v>
      </c>
      <c r="U218" s="2"/>
      <c r="V218" s="44">
        <v>95</v>
      </c>
      <c r="W218" s="44">
        <v>5</v>
      </c>
      <c r="Y218" s="45">
        <v>217</v>
      </c>
    </row>
    <row r="219" spans="1:25" ht="15.75" customHeight="1">
      <c r="A219" s="228">
        <v>39</v>
      </c>
      <c r="B219" s="75">
        <v>2</v>
      </c>
      <c r="C219" s="12" t="s">
        <v>270</v>
      </c>
      <c r="D219" s="12" t="s">
        <v>271</v>
      </c>
      <c r="E219" s="22">
        <v>95</v>
      </c>
      <c r="F219" s="22">
        <v>5</v>
      </c>
      <c r="G219" s="58"/>
      <c r="H219" s="2"/>
      <c r="I219" s="2"/>
      <c r="J219" s="2"/>
      <c r="K219" s="2"/>
      <c r="L219" s="22" t="s">
        <v>274</v>
      </c>
      <c r="M219" s="22" t="s">
        <v>279</v>
      </c>
      <c r="N219" s="22" t="s">
        <v>281</v>
      </c>
      <c r="O219" s="22">
        <v>1</v>
      </c>
      <c r="P219" s="12" t="s">
        <v>273</v>
      </c>
      <c r="Q219" s="2"/>
      <c r="R219" s="2"/>
      <c r="S219" s="2"/>
      <c r="T219" s="269">
        <v>99</v>
      </c>
      <c r="U219" s="2"/>
      <c r="V219" s="44">
        <v>94.05</v>
      </c>
      <c r="W219" s="44">
        <v>4.95</v>
      </c>
      <c r="Y219" s="45">
        <v>218</v>
      </c>
    </row>
    <row r="220" spans="1:25" ht="15.75" customHeight="1">
      <c r="A220" s="228">
        <v>39</v>
      </c>
      <c r="B220" s="75">
        <v>3</v>
      </c>
      <c r="C220" s="12" t="s">
        <v>270</v>
      </c>
      <c r="D220" s="12" t="s">
        <v>271</v>
      </c>
      <c r="E220" s="22">
        <v>95</v>
      </c>
      <c r="F220" s="22">
        <v>5</v>
      </c>
      <c r="G220" s="58"/>
      <c r="H220" s="2"/>
      <c r="I220" s="2"/>
      <c r="J220" s="2"/>
      <c r="K220" s="2"/>
      <c r="L220" s="22" t="s">
        <v>274</v>
      </c>
      <c r="M220" s="22" t="s">
        <v>279</v>
      </c>
      <c r="N220" s="22" t="s">
        <v>281</v>
      </c>
      <c r="O220" s="22">
        <v>0.5</v>
      </c>
      <c r="P220" s="12" t="s">
        <v>273</v>
      </c>
      <c r="Q220" s="2"/>
      <c r="R220" s="2"/>
      <c r="S220" s="2"/>
      <c r="T220" s="269">
        <v>99.5</v>
      </c>
      <c r="U220" s="2"/>
      <c r="V220" s="44">
        <v>94.525000000000006</v>
      </c>
      <c r="W220" s="44">
        <v>4.9749999999999996</v>
      </c>
      <c r="Y220" s="45">
        <v>219</v>
      </c>
    </row>
    <row r="221" spans="1:25" ht="15.75" customHeight="1">
      <c r="A221" s="228">
        <v>39</v>
      </c>
      <c r="B221" s="75">
        <v>4</v>
      </c>
      <c r="C221" s="12" t="s">
        <v>270</v>
      </c>
      <c r="D221" s="12" t="s">
        <v>271</v>
      </c>
      <c r="E221" s="22">
        <v>95</v>
      </c>
      <c r="F221" s="22">
        <v>5</v>
      </c>
      <c r="G221" s="58"/>
      <c r="H221" s="2"/>
      <c r="I221" s="2"/>
      <c r="J221" s="2"/>
      <c r="K221" s="2"/>
      <c r="L221" s="22" t="s">
        <v>274</v>
      </c>
      <c r="M221" s="22" t="s">
        <v>279</v>
      </c>
      <c r="N221" s="22" t="s">
        <v>281</v>
      </c>
      <c r="O221" s="22">
        <v>2</v>
      </c>
      <c r="P221" s="12" t="s">
        <v>273</v>
      </c>
      <c r="Q221" s="2"/>
      <c r="R221" s="2"/>
      <c r="S221" s="2"/>
      <c r="T221" s="269">
        <v>98</v>
      </c>
      <c r="U221" s="2"/>
      <c r="V221" s="44">
        <v>93.1</v>
      </c>
      <c r="W221" s="44">
        <v>4.9000000000000004</v>
      </c>
      <c r="Y221" s="45">
        <v>220</v>
      </c>
    </row>
    <row r="222" spans="1:25" ht="15.75" customHeight="1">
      <c r="A222" s="228">
        <v>39</v>
      </c>
      <c r="B222" s="75">
        <v>5</v>
      </c>
      <c r="C222" s="12" t="s">
        <v>270</v>
      </c>
      <c r="D222" s="12" t="s">
        <v>271</v>
      </c>
      <c r="E222" s="22">
        <v>95</v>
      </c>
      <c r="F222" s="22">
        <v>5</v>
      </c>
      <c r="G222" s="58"/>
      <c r="H222" s="2"/>
      <c r="I222" s="2"/>
      <c r="J222" s="2"/>
      <c r="K222" s="2"/>
      <c r="L222" s="22" t="s">
        <v>273</v>
      </c>
      <c r="M222" s="22"/>
      <c r="N222" s="22"/>
      <c r="O222" s="22"/>
      <c r="P222" s="12" t="s">
        <v>273</v>
      </c>
      <c r="Q222" s="2"/>
      <c r="R222" s="2"/>
      <c r="S222" s="2"/>
      <c r="T222" s="269">
        <v>100</v>
      </c>
      <c r="U222" s="2"/>
      <c r="V222" s="44">
        <v>95</v>
      </c>
      <c r="W222" s="44">
        <v>5</v>
      </c>
      <c r="Y222" s="45">
        <v>221</v>
      </c>
    </row>
    <row r="223" spans="1:25" ht="15.75" customHeight="1">
      <c r="A223" s="228">
        <v>39</v>
      </c>
      <c r="B223" s="75">
        <v>6</v>
      </c>
      <c r="C223" s="12" t="s">
        <v>270</v>
      </c>
      <c r="D223" s="12" t="s">
        <v>271</v>
      </c>
      <c r="E223" s="22">
        <v>95</v>
      </c>
      <c r="F223" s="22">
        <v>5</v>
      </c>
      <c r="G223" s="58"/>
      <c r="H223" s="2"/>
      <c r="I223" s="2"/>
      <c r="J223" s="2"/>
      <c r="K223" s="2"/>
      <c r="L223" s="22" t="s">
        <v>274</v>
      </c>
      <c r="M223" s="22" t="s">
        <v>277</v>
      </c>
      <c r="N223" s="22" t="s">
        <v>293</v>
      </c>
      <c r="O223" s="22">
        <v>0.5</v>
      </c>
      <c r="P223" s="12" t="s">
        <v>273</v>
      </c>
      <c r="Q223" s="2"/>
      <c r="R223" s="2"/>
      <c r="S223" s="2"/>
      <c r="T223" s="269">
        <v>99.5</v>
      </c>
      <c r="U223" s="2"/>
      <c r="V223" s="44">
        <v>94.525000000000006</v>
      </c>
      <c r="W223" s="44">
        <v>4.9749999999999996</v>
      </c>
      <c r="Y223" s="45">
        <v>222</v>
      </c>
    </row>
    <row r="224" spans="1:25" ht="15.75" customHeight="1">
      <c r="A224" s="228">
        <v>39</v>
      </c>
      <c r="B224" s="75">
        <v>7</v>
      </c>
      <c r="C224" s="12" t="s">
        <v>270</v>
      </c>
      <c r="D224" s="12" t="s">
        <v>271</v>
      </c>
      <c r="E224" s="22">
        <v>95</v>
      </c>
      <c r="F224" s="22">
        <v>5</v>
      </c>
      <c r="G224" s="58"/>
      <c r="H224" s="2"/>
      <c r="I224" s="2"/>
      <c r="J224" s="2"/>
      <c r="K224" s="2"/>
      <c r="L224" s="22" t="s">
        <v>274</v>
      </c>
      <c r="M224" s="22" t="s">
        <v>277</v>
      </c>
      <c r="N224" s="22" t="s">
        <v>293</v>
      </c>
      <c r="O224" s="22">
        <v>1</v>
      </c>
      <c r="P224" s="12" t="s">
        <v>273</v>
      </c>
      <c r="Q224" s="2"/>
      <c r="R224" s="2"/>
      <c r="S224" s="2"/>
      <c r="T224" s="269">
        <v>99</v>
      </c>
      <c r="U224" s="2"/>
      <c r="V224" s="44">
        <v>94.05</v>
      </c>
      <c r="W224" s="44">
        <v>4.95</v>
      </c>
      <c r="Y224" s="45">
        <v>223</v>
      </c>
    </row>
    <row r="225" spans="1:25" ht="15.75" customHeight="1">
      <c r="A225" s="228">
        <v>39</v>
      </c>
      <c r="B225" s="75">
        <v>8</v>
      </c>
      <c r="C225" s="12" t="s">
        <v>270</v>
      </c>
      <c r="D225" s="12" t="s">
        <v>271</v>
      </c>
      <c r="E225" s="22">
        <v>95</v>
      </c>
      <c r="F225" s="22">
        <v>5</v>
      </c>
      <c r="G225" s="58"/>
      <c r="H225" s="2"/>
      <c r="I225" s="2"/>
      <c r="J225" s="2"/>
      <c r="K225" s="2"/>
      <c r="L225" s="22" t="s">
        <v>274</v>
      </c>
      <c r="M225" s="22" t="s">
        <v>277</v>
      </c>
      <c r="N225" s="22" t="s">
        <v>293</v>
      </c>
      <c r="O225" s="22">
        <v>2</v>
      </c>
      <c r="P225" s="12" t="s">
        <v>273</v>
      </c>
      <c r="Q225" s="2"/>
      <c r="R225" s="2"/>
      <c r="S225" s="2"/>
      <c r="T225" s="269">
        <v>98</v>
      </c>
      <c r="U225" s="2"/>
      <c r="V225" s="44">
        <v>93.1</v>
      </c>
      <c r="W225" s="44">
        <v>4.9000000000000004</v>
      </c>
      <c r="Y225" s="45">
        <v>224</v>
      </c>
    </row>
    <row r="226" spans="1:25" ht="15.75" customHeight="1">
      <c r="A226" s="229">
        <v>40</v>
      </c>
      <c r="B226" s="74">
        <v>1</v>
      </c>
      <c r="C226" s="227" t="s">
        <v>270</v>
      </c>
      <c r="D226" s="227" t="s">
        <v>271</v>
      </c>
      <c r="E226" s="222"/>
      <c r="F226" s="222"/>
      <c r="G226" s="261"/>
      <c r="H226" s="222"/>
      <c r="I226" s="222"/>
      <c r="J226" s="222"/>
      <c r="K226" s="222"/>
      <c r="L226" s="222" t="s">
        <v>274</v>
      </c>
      <c r="M226" s="222" t="s">
        <v>275</v>
      </c>
      <c r="N226" s="222" t="s">
        <v>176</v>
      </c>
      <c r="O226" s="222">
        <v>95</v>
      </c>
      <c r="P226" s="227" t="s">
        <v>273</v>
      </c>
      <c r="Q226" s="222"/>
      <c r="R226" s="222"/>
      <c r="S226" s="222"/>
      <c r="T226" s="271">
        <v>5</v>
      </c>
      <c r="U226" s="2"/>
      <c r="V226" s="44"/>
      <c r="W226" s="44"/>
      <c r="Y226" s="45">
        <v>225</v>
      </c>
    </row>
    <row r="227" spans="1:25" ht="15.75" customHeight="1">
      <c r="A227" s="228">
        <v>40</v>
      </c>
      <c r="B227" s="75">
        <v>2</v>
      </c>
      <c r="C227" s="12" t="s">
        <v>270</v>
      </c>
      <c r="D227" s="12" t="s">
        <v>271</v>
      </c>
      <c r="E227" s="22"/>
      <c r="F227" s="22"/>
      <c r="G227" s="58"/>
      <c r="H227" s="22"/>
      <c r="I227" s="22"/>
      <c r="J227" s="22"/>
      <c r="K227" s="22"/>
      <c r="L227" s="22" t="s">
        <v>274</v>
      </c>
      <c r="M227" s="22" t="s">
        <v>275</v>
      </c>
      <c r="N227" s="22" t="s">
        <v>176</v>
      </c>
      <c r="O227" s="22">
        <v>90</v>
      </c>
      <c r="P227" s="12" t="s">
        <v>273</v>
      </c>
      <c r="Q227" s="22"/>
      <c r="R227" s="22"/>
      <c r="S227" s="22"/>
      <c r="T227" s="269">
        <v>10</v>
      </c>
      <c r="U227" s="2"/>
      <c r="V227" s="44"/>
      <c r="W227" s="44"/>
      <c r="Y227" s="45">
        <v>226</v>
      </c>
    </row>
    <row r="228" spans="1:25" ht="15.75" customHeight="1">
      <c r="A228" s="228">
        <v>40</v>
      </c>
      <c r="B228" s="75">
        <v>3</v>
      </c>
      <c r="C228" s="12" t="s">
        <v>270</v>
      </c>
      <c r="D228" s="12" t="s">
        <v>271</v>
      </c>
      <c r="E228" s="22"/>
      <c r="F228" s="22"/>
      <c r="G228" s="58"/>
      <c r="H228" s="22"/>
      <c r="I228" s="22"/>
      <c r="J228" s="22"/>
      <c r="K228" s="22"/>
      <c r="L228" s="22" t="s">
        <v>274</v>
      </c>
      <c r="M228" s="22" t="s">
        <v>275</v>
      </c>
      <c r="N228" s="22" t="s">
        <v>176</v>
      </c>
      <c r="O228" s="22">
        <v>80</v>
      </c>
      <c r="P228" s="12" t="s">
        <v>273</v>
      </c>
      <c r="Q228" s="22"/>
      <c r="R228" s="22"/>
      <c r="S228" s="22"/>
      <c r="T228" s="269">
        <v>20</v>
      </c>
      <c r="U228" s="2"/>
      <c r="V228" s="44"/>
      <c r="W228" s="44"/>
      <c r="Y228" s="45">
        <v>227</v>
      </c>
    </row>
    <row r="229" spans="1:25" ht="15.75" customHeight="1">
      <c r="A229" s="228">
        <v>40</v>
      </c>
      <c r="B229" s="75">
        <v>4</v>
      </c>
      <c r="C229" s="12" t="s">
        <v>270</v>
      </c>
      <c r="D229" s="12" t="s">
        <v>271</v>
      </c>
      <c r="E229" s="22"/>
      <c r="F229" s="22"/>
      <c r="G229" s="58"/>
      <c r="H229" s="22"/>
      <c r="I229" s="22"/>
      <c r="J229" s="22"/>
      <c r="K229" s="22"/>
      <c r="L229" s="22" t="s">
        <v>274</v>
      </c>
      <c r="M229" s="22" t="s">
        <v>275</v>
      </c>
      <c r="N229" s="22" t="s">
        <v>176</v>
      </c>
      <c r="O229" s="22">
        <v>70</v>
      </c>
      <c r="P229" s="12" t="s">
        <v>273</v>
      </c>
      <c r="Q229" s="22"/>
      <c r="R229" s="22"/>
      <c r="S229" s="22"/>
      <c r="T229" s="269">
        <v>30</v>
      </c>
      <c r="U229" s="2"/>
      <c r="V229" s="44"/>
      <c r="W229" s="44"/>
      <c r="Y229" s="45">
        <v>228</v>
      </c>
    </row>
    <row r="230" spans="1:25" ht="15.75" customHeight="1">
      <c r="A230" s="230">
        <v>40</v>
      </c>
      <c r="B230" s="231">
        <v>5</v>
      </c>
      <c r="C230" s="27" t="s">
        <v>270</v>
      </c>
      <c r="D230" s="27" t="s">
        <v>271</v>
      </c>
      <c r="E230" s="30"/>
      <c r="F230" s="30"/>
      <c r="G230" s="59"/>
      <c r="H230" s="30"/>
      <c r="I230" s="30"/>
      <c r="J230" s="30"/>
      <c r="K230" s="30"/>
      <c r="L230" s="30" t="s">
        <v>274</v>
      </c>
      <c r="M230" s="30" t="s">
        <v>275</v>
      </c>
      <c r="N230" s="30" t="s">
        <v>176</v>
      </c>
      <c r="O230" s="30">
        <v>60</v>
      </c>
      <c r="P230" s="12" t="s">
        <v>273</v>
      </c>
      <c r="Q230" s="30"/>
      <c r="R230" s="30"/>
      <c r="S230" s="30"/>
      <c r="T230" s="273">
        <v>40</v>
      </c>
      <c r="U230" s="2"/>
      <c r="V230" s="44"/>
      <c r="W230" s="44"/>
      <c r="Y230" s="45">
        <v>229</v>
      </c>
    </row>
    <row r="231" spans="1:25" ht="15.75" customHeight="1">
      <c r="A231" s="199">
        <v>41</v>
      </c>
      <c r="B231" s="200">
        <v>1</v>
      </c>
      <c r="C231" s="227" t="s">
        <v>270</v>
      </c>
      <c r="D231" s="227" t="s">
        <v>271</v>
      </c>
      <c r="E231" s="227">
        <v>100</v>
      </c>
      <c r="F231" s="227">
        <v>0</v>
      </c>
      <c r="G231" s="279"/>
      <c r="H231" s="227"/>
      <c r="I231" s="227">
        <v>1.25</v>
      </c>
      <c r="J231" s="227" t="s">
        <v>272</v>
      </c>
      <c r="K231" s="227"/>
      <c r="L231" s="227" t="s">
        <v>273</v>
      </c>
      <c r="M231" s="227"/>
      <c r="N231" s="227"/>
      <c r="O231" s="227"/>
      <c r="P231" s="227" t="s">
        <v>273</v>
      </c>
      <c r="Q231" s="227"/>
      <c r="R231" s="227"/>
      <c r="S231" s="227"/>
      <c r="T231" s="258">
        <v>100</v>
      </c>
      <c r="V231" s="44">
        <v>100</v>
      </c>
      <c r="W231" s="44">
        <v>0</v>
      </c>
      <c r="Y231" s="45">
        <v>230</v>
      </c>
    </row>
    <row r="232" spans="1:25" ht="15.75" customHeight="1">
      <c r="A232" s="196">
        <v>41</v>
      </c>
      <c r="B232" s="201">
        <v>2</v>
      </c>
      <c r="C232" s="12" t="s">
        <v>270</v>
      </c>
      <c r="D232" s="12" t="s">
        <v>271</v>
      </c>
      <c r="E232" s="12">
        <v>100</v>
      </c>
      <c r="F232" s="12">
        <v>0</v>
      </c>
      <c r="G232" s="76"/>
      <c r="H232" s="12"/>
      <c r="I232" s="12">
        <v>1.25</v>
      </c>
      <c r="J232" s="12" t="s">
        <v>272</v>
      </c>
      <c r="K232" s="12"/>
      <c r="L232" s="12" t="s">
        <v>274</v>
      </c>
      <c r="M232" s="12" t="s">
        <v>292</v>
      </c>
      <c r="N232" s="12" t="s">
        <v>77</v>
      </c>
      <c r="O232" s="12">
        <v>10</v>
      </c>
      <c r="P232" s="12" t="s">
        <v>273</v>
      </c>
      <c r="Q232" s="12"/>
      <c r="R232" s="12"/>
      <c r="S232" s="12"/>
      <c r="T232" s="255">
        <v>90</v>
      </c>
      <c r="V232" s="44">
        <v>90</v>
      </c>
      <c r="W232" s="44">
        <v>0</v>
      </c>
      <c r="Y232" s="45">
        <v>231</v>
      </c>
    </row>
    <row r="233" spans="1:25" ht="15.75" customHeight="1">
      <c r="A233" s="196">
        <v>41</v>
      </c>
      <c r="B233" s="201">
        <v>3</v>
      </c>
      <c r="C233" s="12" t="s">
        <v>270</v>
      </c>
      <c r="D233" s="12" t="s">
        <v>271</v>
      </c>
      <c r="E233" s="12">
        <v>100</v>
      </c>
      <c r="F233" s="12">
        <v>0</v>
      </c>
      <c r="G233" s="76"/>
      <c r="H233" s="12"/>
      <c r="I233" s="12">
        <v>1.25</v>
      </c>
      <c r="J233" s="12" t="s">
        <v>272</v>
      </c>
      <c r="K233" s="12"/>
      <c r="L233" s="12" t="s">
        <v>274</v>
      </c>
      <c r="M233" s="12" t="s">
        <v>292</v>
      </c>
      <c r="N233" s="12" t="s">
        <v>77</v>
      </c>
      <c r="O233" s="12">
        <v>20</v>
      </c>
      <c r="P233" s="12" t="s">
        <v>273</v>
      </c>
      <c r="Q233" s="12"/>
      <c r="R233" s="12"/>
      <c r="S233" s="12"/>
      <c r="T233" s="255">
        <v>80</v>
      </c>
      <c r="V233" s="44">
        <v>80</v>
      </c>
      <c r="W233" s="44">
        <v>0</v>
      </c>
      <c r="Y233" s="45">
        <v>232</v>
      </c>
    </row>
    <row r="234" spans="1:25" ht="15.75" customHeight="1">
      <c r="A234" s="196">
        <v>41</v>
      </c>
      <c r="B234" s="201">
        <v>4</v>
      </c>
      <c r="C234" s="12" t="s">
        <v>270</v>
      </c>
      <c r="D234" s="12" t="s">
        <v>271</v>
      </c>
      <c r="E234" s="12">
        <v>100</v>
      </c>
      <c r="F234" s="12">
        <v>0</v>
      </c>
      <c r="G234" s="76"/>
      <c r="H234" s="12"/>
      <c r="I234" s="12">
        <v>1.25</v>
      </c>
      <c r="J234" s="12" t="s">
        <v>272</v>
      </c>
      <c r="K234" s="12"/>
      <c r="L234" s="12" t="s">
        <v>274</v>
      </c>
      <c r="M234" s="12" t="s">
        <v>292</v>
      </c>
      <c r="N234" s="12" t="s">
        <v>77</v>
      </c>
      <c r="O234" s="12">
        <v>30</v>
      </c>
      <c r="P234" s="12" t="s">
        <v>273</v>
      </c>
      <c r="Q234" s="12"/>
      <c r="R234" s="12"/>
      <c r="S234" s="12"/>
      <c r="T234" s="255">
        <v>70</v>
      </c>
      <c r="V234" s="44">
        <v>70</v>
      </c>
      <c r="W234" s="44">
        <v>0</v>
      </c>
      <c r="Y234" s="45">
        <v>233</v>
      </c>
    </row>
    <row r="235" spans="1:25" ht="15.75" customHeight="1">
      <c r="A235" s="196">
        <v>41</v>
      </c>
      <c r="B235" s="201">
        <v>5</v>
      </c>
      <c r="C235" s="12" t="s">
        <v>270</v>
      </c>
      <c r="D235" s="12" t="s">
        <v>271</v>
      </c>
      <c r="E235" s="12">
        <v>100</v>
      </c>
      <c r="F235" s="12">
        <v>0</v>
      </c>
      <c r="G235" s="76"/>
      <c r="H235" s="12"/>
      <c r="I235" s="12">
        <v>1.25</v>
      </c>
      <c r="J235" s="12" t="s">
        <v>272</v>
      </c>
      <c r="K235" s="12"/>
      <c r="L235" s="12" t="s">
        <v>274</v>
      </c>
      <c r="M235" s="12" t="s">
        <v>292</v>
      </c>
      <c r="N235" s="12" t="s">
        <v>77</v>
      </c>
      <c r="O235" s="12">
        <v>40</v>
      </c>
      <c r="P235" s="12" t="s">
        <v>273</v>
      </c>
      <c r="Q235" s="12"/>
      <c r="R235" s="12"/>
      <c r="S235" s="12"/>
      <c r="T235" s="255">
        <v>60</v>
      </c>
      <c r="V235" s="44">
        <v>60</v>
      </c>
      <c r="W235" s="44">
        <v>0</v>
      </c>
      <c r="Y235" s="45">
        <v>234</v>
      </c>
    </row>
    <row r="236" spans="1:25" ht="15.75" customHeight="1">
      <c r="A236" s="197">
        <v>41</v>
      </c>
      <c r="B236" s="202">
        <v>6</v>
      </c>
      <c r="C236" s="27" t="s">
        <v>270</v>
      </c>
      <c r="D236" s="27" t="s">
        <v>271</v>
      </c>
      <c r="E236" s="27">
        <v>100</v>
      </c>
      <c r="F236" s="27">
        <v>0</v>
      </c>
      <c r="G236" s="77"/>
      <c r="H236" s="27"/>
      <c r="I236" s="27">
        <v>1.25</v>
      </c>
      <c r="J236" s="27" t="s">
        <v>272</v>
      </c>
      <c r="K236" s="27"/>
      <c r="L236" s="27" t="s">
        <v>274</v>
      </c>
      <c r="M236" s="27" t="s">
        <v>292</v>
      </c>
      <c r="N236" s="27" t="s">
        <v>77</v>
      </c>
      <c r="O236" s="27">
        <v>50</v>
      </c>
      <c r="P236" s="27" t="s">
        <v>273</v>
      </c>
      <c r="Q236" s="27"/>
      <c r="R236" s="27"/>
      <c r="S236" s="27"/>
      <c r="T236" s="256">
        <v>50</v>
      </c>
      <c r="V236" s="44">
        <v>50</v>
      </c>
      <c r="W236" s="44">
        <v>0</v>
      </c>
      <c r="Y236" s="45">
        <v>235</v>
      </c>
    </row>
    <row r="237" spans="1:25" ht="15.75" customHeight="1">
      <c r="A237" s="199">
        <v>42</v>
      </c>
      <c r="B237" s="200" t="s">
        <v>221</v>
      </c>
      <c r="C237" s="227" t="s">
        <v>270</v>
      </c>
      <c r="D237" s="227" t="s">
        <v>271</v>
      </c>
      <c r="E237" s="227">
        <v>97</v>
      </c>
      <c r="F237" s="227">
        <v>3</v>
      </c>
      <c r="G237" s="58"/>
      <c r="L237" s="227" t="s">
        <v>273</v>
      </c>
      <c r="M237" s="227"/>
      <c r="N237" s="227"/>
      <c r="O237" s="227"/>
      <c r="P237" s="227" t="s">
        <v>273</v>
      </c>
      <c r="Q237" s="227"/>
      <c r="R237" s="227"/>
      <c r="S237" s="227"/>
      <c r="T237" s="258">
        <v>100</v>
      </c>
      <c r="V237" s="44">
        <v>97</v>
      </c>
      <c r="W237" s="44">
        <v>3</v>
      </c>
      <c r="Y237" s="45">
        <v>236</v>
      </c>
    </row>
    <row r="238" spans="1:25" ht="15.75" customHeight="1">
      <c r="A238" s="196">
        <v>42</v>
      </c>
      <c r="B238" s="201" t="s">
        <v>222</v>
      </c>
      <c r="C238" s="12" t="s">
        <v>270</v>
      </c>
      <c r="D238" s="12" t="s">
        <v>271</v>
      </c>
      <c r="E238" s="12">
        <v>97</v>
      </c>
      <c r="F238" s="12">
        <v>3</v>
      </c>
      <c r="G238" s="58"/>
      <c r="H238" s="2"/>
      <c r="I238" s="2"/>
      <c r="J238" s="2"/>
      <c r="K238" s="2"/>
      <c r="L238" s="12" t="s">
        <v>274</v>
      </c>
      <c r="M238" s="12" t="s">
        <v>294</v>
      </c>
      <c r="N238" s="12" t="s">
        <v>181</v>
      </c>
      <c r="O238" s="12">
        <v>23.08</v>
      </c>
      <c r="P238" s="12" t="s">
        <v>273</v>
      </c>
      <c r="Q238" s="12"/>
      <c r="R238" s="12"/>
      <c r="S238" s="12"/>
      <c r="T238" s="255">
        <f>100-23.08</f>
        <v>76.92</v>
      </c>
      <c r="V238" s="44">
        <v>74.612399999999994</v>
      </c>
      <c r="W238" s="44">
        <v>2.3075999999999999</v>
      </c>
      <c r="Y238" s="45">
        <v>237</v>
      </c>
    </row>
    <row r="239" spans="1:25" ht="15.75" customHeight="1">
      <c r="A239" s="196">
        <v>42</v>
      </c>
      <c r="B239" s="201" t="s">
        <v>223</v>
      </c>
      <c r="C239" s="12" t="s">
        <v>270</v>
      </c>
      <c r="D239" s="12" t="s">
        <v>271</v>
      </c>
      <c r="E239" s="12">
        <v>97</v>
      </c>
      <c r="F239" s="12">
        <v>3</v>
      </c>
      <c r="G239" s="58"/>
      <c r="H239" s="2"/>
      <c r="I239" s="2"/>
      <c r="J239" s="2"/>
      <c r="K239" s="2"/>
      <c r="L239" s="12" t="s">
        <v>274</v>
      </c>
      <c r="M239" s="12" t="s">
        <v>294</v>
      </c>
      <c r="N239" s="12" t="s">
        <v>181</v>
      </c>
      <c r="O239" s="12">
        <v>23.08</v>
      </c>
      <c r="P239" s="12" t="s">
        <v>274</v>
      </c>
      <c r="Q239" s="12" t="s">
        <v>282</v>
      </c>
      <c r="R239" s="12" t="s">
        <v>183</v>
      </c>
      <c r="S239" s="12">
        <v>1</v>
      </c>
      <c r="T239" s="255">
        <f>76.92-1</f>
        <v>75.92</v>
      </c>
      <c r="U239" s="2"/>
      <c r="V239" s="44">
        <v>73.642399999999995</v>
      </c>
      <c r="W239" s="44">
        <v>2.2776000000000001</v>
      </c>
      <c r="Y239" s="45">
        <v>238</v>
      </c>
    </row>
    <row r="240" spans="1:25" ht="15.75" customHeight="1">
      <c r="A240" s="196">
        <v>42</v>
      </c>
      <c r="B240" s="201" t="s">
        <v>225</v>
      </c>
      <c r="C240" s="12" t="s">
        <v>270</v>
      </c>
      <c r="D240" s="12" t="s">
        <v>271</v>
      </c>
      <c r="E240" s="12">
        <v>97</v>
      </c>
      <c r="F240" s="12">
        <v>3</v>
      </c>
      <c r="G240" s="58"/>
      <c r="H240" s="2"/>
      <c r="I240" s="2"/>
      <c r="J240" s="2"/>
      <c r="K240" s="2"/>
      <c r="L240" s="12" t="s">
        <v>273</v>
      </c>
      <c r="M240" s="12"/>
      <c r="N240" s="12"/>
      <c r="O240" s="12"/>
      <c r="P240" s="12" t="s">
        <v>273</v>
      </c>
      <c r="Q240" s="22"/>
      <c r="R240" s="12"/>
      <c r="S240" s="12"/>
      <c r="T240" s="255">
        <v>100</v>
      </c>
      <c r="V240" s="44">
        <v>97</v>
      </c>
      <c r="W240" s="44">
        <v>3</v>
      </c>
      <c r="Y240" s="45">
        <v>239</v>
      </c>
    </row>
    <row r="241" spans="1:25" ht="15.75" customHeight="1">
      <c r="A241" s="196">
        <v>42</v>
      </c>
      <c r="B241" s="201" t="s">
        <v>226</v>
      </c>
      <c r="C241" s="12" t="s">
        <v>270</v>
      </c>
      <c r="D241" s="12" t="s">
        <v>271</v>
      </c>
      <c r="E241" s="12">
        <v>97</v>
      </c>
      <c r="F241" s="12">
        <v>3</v>
      </c>
      <c r="G241" s="58"/>
      <c r="L241" s="12" t="s">
        <v>274</v>
      </c>
      <c r="M241" s="12" t="s">
        <v>294</v>
      </c>
      <c r="N241" s="12" t="s">
        <v>181</v>
      </c>
      <c r="O241" s="12">
        <v>23.08</v>
      </c>
      <c r="P241" s="12" t="s">
        <v>273</v>
      </c>
      <c r="Q241" s="12"/>
      <c r="R241" s="12"/>
      <c r="S241" s="12"/>
      <c r="T241" s="255">
        <f>100-23.08</f>
        <v>76.92</v>
      </c>
      <c r="V241" s="44">
        <v>74.612399999999994</v>
      </c>
      <c r="W241" s="44">
        <v>2.3075999999999999</v>
      </c>
      <c r="Y241" s="45">
        <v>240</v>
      </c>
    </row>
    <row r="242" spans="1:25" ht="15.75" customHeight="1">
      <c r="A242" s="196">
        <v>42</v>
      </c>
      <c r="B242" s="201" t="s">
        <v>227</v>
      </c>
      <c r="C242" s="12" t="s">
        <v>270</v>
      </c>
      <c r="D242" s="12" t="s">
        <v>271</v>
      </c>
      <c r="E242" s="12">
        <v>97</v>
      </c>
      <c r="F242" s="12">
        <v>3</v>
      </c>
      <c r="G242" s="58"/>
      <c r="H242" s="2"/>
      <c r="I242" s="2"/>
      <c r="J242" s="2"/>
      <c r="K242" s="2"/>
      <c r="L242" s="12" t="s">
        <v>274</v>
      </c>
      <c r="M242" s="12" t="s">
        <v>294</v>
      </c>
      <c r="N242" s="12" t="s">
        <v>181</v>
      </c>
      <c r="O242" s="12">
        <v>23.08</v>
      </c>
      <c r="P242" s="12" t="s">
        <v>274</v>
      </c>
      <c r="Q242" s="12" t="s">
        <v>282</v>
      </c>
      <c r="R242" s="12" t="s">
        <v>183</v>
      </c>
      <c r="S242" s="12">
        <v>1</v>
      </c>
      <c r="T242" s="255">
        <f>76.92-1</f>
        <v>75.92</v>
      </c>
      <c r="V242" s="44">
        <v>73.642399999999995</v>
      </c>
      <c r="W242" s="44">
        <v>2.2776000000000001</v>
      </c>
      <c r="Y242" s="45">
        <v>241</v>
      </c>
    </row>
    <row r="243" spans="1:25" ht="15.75" customHeight="1">
      <c r="A243" s="229">
        <v>43</v>
      </c>
      <c r="B243" s="74">
        <v>1</v>
      </c>
      <c r="C243" s="280" t="s">
        <v>270</v>
      </c>
      <c r="D243" s="280" t="s">
        <v>271</v>
      </c>
      <c r="E243" s="222">
        <v>100</v>
      </c>
      <c r="F243" s="222">
        <v>0</v>
      </c>
      <c r="G243" s="261"/>
      <c r="H243" s="222"/>
      <c r="I243" s="227">
        <v>1.25</v>
      </c>
      <c r="J243" s="227" t="s">
        <v>272</v>
      </c>
      <c r="K243" s="222"/>
      <c r="L243" s="222" t="s">
        <v>273</v>
      </c>
      <c r="M243" s="222"/>
      <c r="N243" s="222"/>
      <c r="O243" s="222"/>
      <c r="P243" s="227" t="s">
        <v>273</v>
      </c>
      <c r="Q243" s="222"/>
      <c r="R243" s="222"/>
      <c r="S243" s="222"/>
      <c r="T243" s="271">
        <v>100</v>
      </c>
      <c r="U243" s="2"/>
      <c r="V243" s="44">
        <v>100</v>
      </c>
      <c r="W243" s="44">
        <v>0</v>
      </c>
      <c r="Y243" s="45">
        <v>242</v>
      </c>
    </row>
    <row r="244" spans="1:25" ht="15.75" customHeight="1">
      <c r="A244" s="228">
        <v>43</v>
      </c>
      <c r="B244" s="75">
        <v>2</v>
      </c>
      <c r="C244" s="12" t="s">
        <v>270</v>
      </c>
      <c r="D244" s="12" t="s">
        <v>271</v>
      </c>
      <c r="E244" s="22">
        <v>100</v>
      </c>
      <c r="F244" s="22">
        <v>0</v>
      </c>
      <c r="G244" s="58"/>
      <c r="H244" s="22"/>
      <c r="I244" s="12">
        <v>1.25</v>
      </c>
      <c r="J244" s="12" t="s">
        <v>272</v>
      </c>
      <c r="K244" s="22"/>
      <c r="L244" s="12" t="s">
        <v>274</v>
      </c>
      <c r="M244" s="22" t="s">
        <v>279</v>
      </c>
      <c r="N244" s="22" t="s">
        <v>179</v>
      </c>
      <c r="O244" s="22">
        <v>2</v>
      </c>
      <c r="P244" s="12" t="s">
        <v>273</v>
      </c>
      <c r="Q244" s="22"/>
      <c r="R244" s="22"/>
      <c r="S244" s="22"/>
      <c r="T244" s="269">
        <v>98</v>
      </c>
      <c r="U244" s="2"/>
      <c r="V244" s="44">
        <v>98</v>
      </c>
      <c r="W244" s="44">
        <v>0</v>
      </c>
      <c r="Y244" s="45">
        <v>243</v>
      </c>
    </row>
    <row r="245" spans="1:25" ht="15.75" customHeight="1">
      <c r="A245" s="228">
        <v>43</v>
      </c>
      <c r="B245" s="75">
        <v>3</v>
      </c>
      <c r="C245" s="12" t="s">
        <v>270</v>
      </c>
      <c r="D245" s="12" t="s">
        <v>271</v>
      </c>
      <c r="E245" s="22">
        <v>100</v>
      </c>
      <c r="F245" s="22">
        <v>0</v>
      </c>
      <c r="G245" s="58"/>
      <c r="H245" s="22"/>
      <c r="I245" s="12">
        <v>1.25</v>
      </c>
      <c r="J245" s="12" t="s">
        <v>272</v>
      </c>
      <c r="K245" s="22"/>
      <c r="L245" s="12" t="s">
        <v>274</v>
      </c>
      <c r="M245" s="22" t="s">
        <v>279</v>
      </c>
      <c r="N245" s="22" t="s">
        <v>179</v>
      </c>
      <c r="O245" s="22">
        <v>5</v>
      </c>
      <c r="P245" s="12" t="s">
        <v>273</v>
      </c>
      <c r="Q245" s="22"/>
      <c r="R245" s="22"/>
      <c r="S245" s="22"/>
      <c r="T245" s="269">
        <v>95</v>
      </c>
      <c r="U245" s="2"/>
      <c r="V245" s="44">
        <v>95</v>
      </c>
      <c r="W245" s="44">
        <v>0</v>
      </c>
      <c r="Y245" s="45">
        <v>244</v>
      </c>
    </row>
    <row r="246" spans="1:25" ht="15.75" customHeight="1">
      <c r="A246" s="229">
        <v>44</v>
      </c>
      <c r="B246" s="74" t="s">
        <v>221</v>
      </c>
      <c r="C246" s="227" t="s">
        <v>270</v>
      </c>
      <c r="D246" s="227" t="s">
        <v>271</v>
      </c>
      <c r="E246" s="222">
        <v>100</v>
      </c>
      <c r="F246" s="222">
        <v>0</v>
      </c>
      <c r="G246" s="261">
        <v>102000</v>
      </c>
      <c r="H246" s="222">
        <v>75000</v>
      </c>
      <c r="I246" s="222"/>
      <c r="J246" s="222"/>
      <c r="K246" s="222">
        <v>1.36</v>
      </c>
      <c r="L246" s="222" t="s">
        <v>273</v>
      </c>
      <c r="M246" s="222"/>
      <c r="N246" s="222"/>
      <c r="O246" s="222"/>
      <c r="P246" s="227" t="s">
        <v>273</v>
      </c>
      <c r="Q246" s="222"/>
      <c r="R246" s="222"/>
      <c r="S246" s="222"/>
      <c r="T246" s="271">
        <v>100</v>
      </c>
      <c r="U246" s="2"/>
      <c r="V246" s="44">
        <v>100</v>
      </c>
      <c r="W246" s="44">
        <v>0</v>
      </c>
      <c r="Y246" s="45">
        <v>245</v>
      </c>
    </row>
    <row r="247" spans="1:25" ht="15.75" customHeight="1">
      <c r="A247" s="228">
        <v>44</v>
      </c>
      <c r="B247" s="75" t="s">
        <v>222</v>
      </c>
      <c r="C247" s="12" t="s">
        <v>270</v>
      </c>
      <c r="D247" s="12" t="s">
        <v>271</v>
      </c>
      <c r="E247" s="22">
        <v>100</v>
      </c>
      <c r="F247" s="22">
        <v>0</v>
      </c>
      <c r="G247" s="58">
        <v>102000</v>
      </c>
      <c r="H247" s="22">
        <v>75000</v>
      </c>
      <c r="I247" s="22"/>
      <c r="J247" s="22"/>
      <c r="K247" s="22">
        <v>1.36</v>
      </c>
      <c r="L247" s="12" t="s">
        <v>274</v>
      </c>
      <c r="M247" s="12" t="s">
        <v>292</v>
      </c>
      <c r="N247" s="22" t="s">
        <v>31</v>
      </c>
      <c r="O247" s="22">
        <v>0.1</v>
      </c>
      <c r="P247" s="12" t="s">
        <v>273</v>
      </c>
      <c r="Q247" s="22"/>
      <c r="R247" s="22"/>
      <c r="S247" s="22"/>
      <c r="T247" s="269">
        <v>99.9</v>
      </c>
      <c r="U247" s="2"/>
      <c r="V247" s="44">
        <v>99.9</v>
      </c>
      <c r="W247" s="44">
        <v>0</v>
      </c>
      <c r="Y247" s="45">
        <v>246</v>
      </c>
    </row>
    <row r="248" spans="1:25" ht="15.75" customHeight="1">
      <c r="A248" s="228">
        <v>44</v>
      </c>
      <c r="B248" s="75" t="s">
        <v>223</v>
      </c>
      <c r="C248" s="12" t="s">
        <v>270</v>
      </c>
      <c r="D248" s="12" t="s">
        <v>271</v>
      </c>
      <c r="E248" s="22">
        <v>100</v>
      </c>
      <c r="F248" s="22">
        <v>0</v>
      </c>
      <c r="G248" s="58">
        <v>102000</v>
      </c>
      <c r="H248" s="22">
        <v>75000</v>
      </c>
      <c r="I248" s="22"/>
      <c r="J248" s="22"/>
      <c r="K248" s="22">
        <v>1.36</v>
      </c>
      <c r="L248" s="12" t="s">
        <v>274</v>
      </c>
      <c r="M248" s="12" t="s">
        <v>292</v>
      </c>
      <c r="N248" s="22" t="s">
        <v>31</v>
      </c>
      <c r="O248" s="22">
        <v>0.2</v>
      </c>
      <c r="P248" s="12" t="s">
        <v>273</v>
      </c>
      <c r="Q248" s="22"/>
      <c r="R248" s="22"/>
      <c r="S248" s="22"/>
      <c r="T248" s="269">
        <v>99.8</v>
      </c>
      <c r="U248" s="2"/>
      <c r="V248" s="44">
        <v>99.8</v>
      </c>
      <c r="W248" s="44">
        <v>0</v>
      </c>
      <c r="Y248" s="45">
        <v>247</v>
      </c>
    </row>
    <row r="249" spans="1:25" ht="15.75" customHeight="1">
      <c r="A249" s="228">
        <v>44</v>
      </c>
      <c r="B249" s="75" t="s">
        <v>224</v>
      </c>
      <c r="C249" s="12" t="s">
        <v>270</v>
      </c>
      <c r="D249" s="12" t="s">
        <v>271</v>
      </c>
      <c r="E249" s="22">
        <v>100</v>
      </c>
      <c r="F249" s="22">
        <v>0</v>
      </c>
      <c r="G249" s="58">
        <v>102000</v>
      </c>
      <c r="H249" s="22">
        <v>75000</v>
      </c>
      <c r="I249" s="22"/>
      <c r="J249" s="22"/>
      <c r="K249" s="22">
        <v>1.36</v>
      </c>
      <c r="L249" s="12" t="s">
        <v>274</v>
      </c>
      <c r="M249" s="12" t="s">
        <v>292</v>
      </c>
      <c r="N249" s="22" t="s">
        <v>31</v>
      </c>
      <c r="O249" s="22">
        <v>0.3</v>
      </c>
      <c r="P249" s="12" t="s">
        <v>273</v>
      </c>
      <c r="Q249" s="22"/>
      <c r="R249" s="22"/>
      <c r="S249" s="22"/>
      <c r="T249" s="269">
        <v>99.7</v>
      </c>
      <c r="U249" s="2"/>
      <c r="V249" s="44">
        <v>99.7</v>
      </c>
      <c r="W249" s="44">
        <v>0</v>
      </c>
      <c r="Y249" s="45">
        <v>248</v>
      </c>
    </row>
    <row r="250" spans="1:25" ht="15.75" customHeight="1">
      <c r="A250" s="228">
        <v>44</v>
      </c>
      <c r="B250" s="75" t="s">
        <v>229</v>
      </c>
      <c r="C250" s="12" t="s">
        <v>270</v>
      </c>
      <c r="D250" s="12" t="s">
        <v>271</v>
      </c>
      <c r="E250" s="22">
        <v>100</v>
      </c>
      <c r="F250" s="22">
        <v>0</v>
      </c>
      <c r="G250" s="58">
        <v>102000</v>
      </c>
      <c r="H250" s="22">
        <v>75000</v>
      </c>
      <c r="I250" s="22"/>
      <c r="J250" s="22"/>
      <c r="K250" s="22">
        <v>1.36</v>
      </c>
      <c r="L250" s="12" t="s">
        <v>274</v>
      </c>
      <c r="M250" s="12" t="s">
        <v>292</v>
      </c>
      <c r="N250" s="22" t="s">
        <v>31</v>
      </c>
      <c r="O250" s="22">
        <v>0.5</v>
      </c>
      <c r="P250" s="12" t="s">
        <v>273</v>
      </c>
      <c r="Q250" s="22"/>
      <c r="R250" s="22"/>
      <c r="S250" s="22"/>
      <c r="T250" s="269">
        <v>99.5</v>
      </c>
      <c r="U250" s="2"/>
      <c r="V250" s="44">
        <v>99.5</v>
      </c>
      <c r="W250" s="44">
        <v>0</v>
      </c>
      <c r="Y250" s="45">
        <v>249</v>
      </c>
    </row>
    <row r="251" spans="1:25" ht="15.75" customHeight="1">
      <c r="A251" s="228">
        <v>44</v>
      </c>
      <c r="B251" s="75" t="s">
        <v>225</v>
      </c>
      <c r="C251" s="12" t="s">
        <v>270</v>
      </c>
      <c r="D251" s="12" t="s">
        <v>271</v>
      </c>
      <c r="E251" s="22">
        <v>100</v>
      </c>
      <c r="F251" s="22">
        <v>0</v>
      </c>
      <c r="G251" s="58">
        <v>102000</v>
      </c>
      <c r="H251" s="22">
        <v>75000</v>
      </c>
      <c r="I251" s="22"/>
      <c r="J251" s="22"/>
      <c r="K251" s="22">
        <v>1.36</v>
      </c>
      <c r="L251" s="22" t="s">
        <v>273</v>
      </c>
      <c r="M251" s="22"/>
      <c r="N251" s="22"/>
      <c r="O251" s="22"/>
      <c r="P251" s="12" t="s">
        <v>273</v>
      </c>
      <c r="Q251" s="22"/>
      <c r="R251" s="22"/>
      <c r="S251" s="22"/>
      <c r="T251" s="269">
        <v>100</v>
      </c>
      <c r="U251" s="2"/>
      <c r="V251" s="44">
        <v>100</v>
      </c>
      <c r="W251" s="44">
        <v>0</v>
      </c>
      <c r="Y251" s="45">
        <v>250</v>
      </c>
    </row>
    <row r="252" spans="1:25" ht="15.75" customHeight="1">
      <c r="A252" s="228">
        <v>44</v>
      </c>
      <c r="B252" s="75" t="s">
        <v>226</v>
      </c>
      <c r="C252" s="12" t="s">
        <v>270</v>
      </c>
      <c r="D252" s="12" t="s">
        <v>271</v>
      </c>
      <c r="E252" s="22">
        <v>100</v>
      </c>
      <c r="F252" s="22">
        <v>0</v>
      </c>
      <c r="G252" s="58">
        <v>102000</v>
      </c>
      <c r="H252" s="22">
        <v>75000</v>
      </c>
      <c r="I252" s="22"/>
      <c r="J252" s="22"/>
      <c r="K252" s="22">
        <v>1.36</v>
      </c>
      <c r="L252" s="12" t="s">
        <v>274</v>
      </c>
      <c r="M252" s="12" t="s">
        <v>292</v>
      </c>
      <c r="N252" s="22" t="s">
        <v>31</v>
      </c>
      <c r="O252" s="22">
        <v>0.1</v>
      </c>
      <c r="P252" s="12" t="s">
        <v>273</v>
      </c>
      <c r="Q252" s="22"/>
      <c r="R252" s="22"/>
      <c r="S252" s="22"/>
      <c r="T252" s="269">
        <v>99.9</v>
      </c>
      <c r="U252" s="2"/>
      <c r="V252" s="44">
        <v>99.9</v>
      </c>
      <c r="W252" s="44">
        <v>0</v>
      </c>
      <c r="Y252" s="45">
        <v>251</v>
      </c>
    </row>
    <row r="253" spans="1:25" ht="15.75" customHeight="1">
      <c r="A253" s="228">
        <v>44</v>
      </c>
      <c r="B253" s="75" t="s">
        <v>227</v>
      </c>
      <c r="C253" s="12" t="s">
        <v>270</v>
      </c>
      <c r="D253" s="12" t="s">
        <v>271</v>
      </c>
      <c r="E253" s="22">
        <v>100</v>
      </c>
      <c r="F253" s="22">
        <v>0</v>
      </c>
      <c r="G253" s="58">
        <v>102000</v>
      </c>
      <c r="H253" s="22">
        <v>75000</v>
      </c>
      <c r="I253" s="22"/>
      <c r="J253" s="22"/>
      <c r="K253" s="22">
        <v>1.36</v>
      </c>
      <c r="L253" s="12" t="s">
        <v>274</v>
      </c>
      <c r="M253" s="12" t="s">
        <v>292</v>
      </c>
      <c r="N253" s="22" t="s">
        <v>31</v>
      </c>
      <c r="O253" s="22">
        <v>0.2</v>
      </c>
      <c r="P253" s="12" t="s">
        <v>273</v>
      </c>
      <c r="Q253" s="22"/>
      <c r="R253" s="22"/>
      <c r="S253" s="22"/>
      <c r="T253" s="269">
        <v>99.8</v>
      </c>
      <c r="U253" s="2"/>
      <c r="V253" s="44">
        <v>99.8</v>
      </c>
      <c r="W253" s="44">
        <v>0</v>
      </c>
      <c r="Y253" s="45">
        <v>252</v>
      </c>
    </row>
    <row r="254" spans="1:25" ht="15.75" customHeight="1">
      <c r="A254" s="228">
        <v>44</v>
      </c>
      <c r="B254" s="75" t="s">
        <v>228</v>
      </c>
      <c r="C254" s="12" t="s">
        <v>270</v>
      </c>
      <c r="D254" s="12" t="s">
        <v>271</v>
      </c>
      <c r="E254" s="22">
        <v>100</v>
      </c>
      <c r="F254" s="22">
        <v>0</v>
      </c>
      <c r="G254" s="58">
        <v>102000</v>
      </c>
      <c r="H254" s="22">
        <v>75000</v>
      </c>
      <c r="I254" s="22"/>
      <c r="J254" s="22"/>
      <c r="K254" s="22">
        <v>1.36</v>
      </c>
      <c r="L254" s="12" t="s">
        <v>274</v>
      </c>
      <c r="M254" s="12" t="s">
        <v>292</v>
      </c>
      <c r="N254" s="22" t="s">
        <v>31</v>
      </c>
      <c r="O254" s="22">
        <v>0.3</v>
      </c>
      <c r="P254" s="12" t="s">
        <v>273</v>
      </c>
      <c r="Q254" s="22"/>
      <c r="R254" s="22"/>
      <c r="S254" s="22"/>
      <c r="T254" s="269">
        <v>99.7</v>
      </c>
      <c r="U254" s="2"/>
      <c r="V254" s="44">
        <v>99.7</v>
      </c>
      <c r="W254" s="44">
        <v>0</v>
      </c>
      <c r="Y254" s="45">
        <v>253</v>
      </c>
    </row>
    <row r="255" spans="1:25" ht="15.75" customHeight="1">
      <c r="A255" s="228">
        <v>44</v>
      </c>
      <c r="B255" s="75" t="s">
        <v>230</v>
      </c>
      <c r="C255" s="12" t="s">
        <v>270</v>
      </c>
      <c r="D255" s="12" t="s">
        <v>271</v>
      </c>
      <c r="E255" s="22">
        <v>100</v>
      </c>
      <c r="F255" s="22">
        <v>0</v>
      </c>
      <c r="G255" s="58">
        <v>102000</v>
      </c>
      <c r="H255" s="22">
        <v>75000</v>
      </c>
      <c r="I255" s="22"/>
      <c r="J255" s="22"/>
      <c r="K255" s="22">
        <v>1.36</v>
      </c>
      <c r="L255" s="12" t="s">
        <v>274</v>
      </c>
      <c r="M255" s="12" t="s">
        <v>292</v>
      </c>
      <c r="N255" s="22" t="s">
        <v>31</v>
      </c>
      <c r="O255" s="22">
        <v>0.5</v>
      </c>
      <c r="P255" s="27" t="s">
        <v>273</v>
      </c>
      <c r="Q255" s="22"/>
      <c r="R255" s="22"/>
      <c r="S255" s="22"/>
      <c r="T255" s="269">
        <v>99.5</v>
      </c>
      <c r="U255" s="2"/>
      <c r="V255" s="44">
        <v>99.5</v>
      </c>
      <c r="W255" s="44">
        <v>0</v>
      </c>
      <c r="Y255" s="45">
        <v>254</v>
      </c>
    </row>
    <row r="256" spans="1:25" ht="15.75" customHeight="1">
      <c r="A256" s="199">
        <v>45</v>
      </c>
      <c r="B256" s="200" t="s">
        <v>221</v>
      </c>
      <c r="C256" s="227" t="s">
        <v>270</v>
      </c>
      <c r="D256" s="227" t="s">
        <v>271</v>
      </c>
      <c r="E256" s="227">
        <v>100</v>
      </c>
      <c r="F256" s="227">
        <v>0</v>
      </c>
      <c r="G256" s="279">
        <v>290000</v>
      </c>
      <c r="H256" s="227"/>
      <c r="I256" s="227"/>
      <c r="J256" s="227"/>
      <c r="K256" s="227">
        <v>2.2999999999999998</v>
      </c>
      <c r="L256" s="227" t="s">
        <v>273</v>
      </c>
      <c r="M256" s="227"/>
      <c r="N256" s="227"/>
      <c r="O256" s="227"/>
      <c r="P256" s="227" t="s">
        <v>273</v>
      </c>
      <c r="Q256" s="227"/>
      <c r="R256" s="227"/>
      <c r="S256" s="227"/>
      <c r="T256" s="258">
        <v>100</v>
      </c>
      <c r="U256" s="2"/>
      <c r="V256" s="44">
        <v>100</v>
      </c>
      <c r="W256" s="44">
        <v>0</v>
      </c>
      <c r="Y256" s="45">
        <v>255</v>
      </c>
    </row>
    <row r="257" spans="1:25" ht="15.75" customHeight="1">
      <c r="A257" s="196">
        <v>45</v>
      </c>
      <c r="B257" s="201" t="s">
        <v>222</v>
      </c>
      <c r="C257" s="12" t="s">
        <v>270</v>
      </c>
      <c r="D257" s="12" t="s">
        <v>271</v>
      </c>
      <c r="E257" s="12">
        <v>100</v>
      </c>
      <c r="F257" s="12">
        <v>0</v>
      </c>
      <c r="G257" s="76">
        <v>290000</v>
      </c>
      <c r="H257" s="12"/>
      <c r="I257" s="12"/>
      <c r="J257" s="12"/>
      <c r="K257" s="12">
        <v>2.2999999999999998</v>
      </c>
      <c r="L257" s="12" t="s">
        <v>274</v>
      </c>
      <c r="M257" s="12" t="s">
        <v>295</v>
      </c>
      <c r="N257" s="12" t="s">
        <v>31</v>
      </c>
      <c r="O257" s="12">
        <v>0.25</v>
      </c>
      <c r="P257" s="12" t="s">
        <v>273</v>
      </c>
      <c r="Q257" s="12"/>
      <c r="R257" s="12"/>
      <c r="S257" s="12"/>
      <c r="T257" s="255">
        <v>99.75</v>
      </c>
      <c r="U257" s="2"/>
      <c r="V257" s="44">
        <v>99.75</v>
      </c>
      <c r="W257" s="44">
        <v>0</v>
      </c>
      <c r="Y257" s="45">
        <v>256</v>
      </c>
    </row>
    <row r="258" spans="1:25" ht="15.75" customHeight="1">
      <c r="A258" s="196">
        <v>45</v>
      </c>
      <c r="B258" s="201" t="s">
        <v>223</v>
      </c>
      <c r="C258" s="12" t="s">
        <v>270</v>
      </c>
      <c r="D258" s="12" t="s">
        <v>271</v>
      </c>
      <c r="E258" s="12">
        <v>100</v>
      </c>
      <c r="F258" s="12">
        <v>0</v>
      </c>
      <c r="G258" s="76">
        <v>290000</v>
      </c>
      <c r="H258" s="12"/>
      <c r="I258" s="12"/>
      <c r="J258" s="12"/>
      <c r="K258" s="12">
        <v>2.2999999999999998</v>
      </c>
      <c r="L258" s="12" t="s">
        <v>274</v>
      </c>
      <c r="M258" s="12" t="s">
        <v>295</v>
      </c>
      <c r="N258" s="12" t="s">
        <v>31</v>
      </c>
      <c r="O258" s="12">
        <v>0.5</v>
      </c>
      <c r="P258" s="12" t="s">
        <v>273</v>
      </c>
      <c r="Q258" s="12"/>
      <c r="R258" s="12"/>
      <c r="S258" s="12"/>
      <c r="T258" s="255">
        <v>99.5</v>
      </c>
      <c r="U258" s="2"/>
      <c r="V258" s="44">
        <v>99.5</v>
      </c>
      <c r="W258" s="44">
        <v>0</v>
      </c>
      <c r="Y258" s="45">
        <v>257</v>
      </c>
    </row>
    <row r="259" spans="1:25" ht="15.75" customHeight="1">
      <c r="A259" s="196">
        <v>45</v>
      </c>
      <c r="B259" s="201" t="s">
        <v>224</v>
      </c>
      <c r="C259" s="12" t="s">
        <v>270</v>
      </c>
      <c r="D259" s="12" t="s">
        <v>271</v>
      </c>
      <c r="E259" s="12">
        <v>100</v>
      </c>
      <c r="F259" s="12">
        <v>0</v>
      </c>
      <c r="G259" s="76">
        <v>290000</v>
      </c>
      <c r="H259" s="12"/>
      <c r="I259" s="12"/>
      <c r="J259" s="12"/>
      <c r="K259" s="12">
        <v>2.2999999999999998</v>
      </c>
      <c r="L259" s="12" t="s">
        <v>274</v>
      </c>
      <c r="M259" s="12" t="s">
        <v>295</v>
      </c>
      <c r="N259" s="12" t="s">
        <v>31</v>
      </c>
      <c r="O259" s="12">
        <v>1</v>
      </c>
      <c r="P259" s="12" t="s">
        <v>273</v>
      </c>
      <c r="Q259" s="12"/>
      <c r="R259" s="12"/>
      <c r="S259" s="12"/>
      <c r="T259" s="255">
        <v>99</v>
      </c>
      <c r="U259" s="2"/>
      <c r="V259" s="44">
        <v>99</v>
      </c>
      <c r="W259" s="44">
        <v>0</v>
      </c>
      <c r="Y259" s="45">
        <v>258</v>
      </c>
    </row>
    <row r="260" spans="1:25" ht="15.75" customHeight="1">
      <c r="A260" s="196">
        <v>45</v>
      </c>
      <c r="B260" s="201" t="s">
        <v>225</v>
      </c>
      <c r="C260" s="12" t="s">
        <v>270</v>
      </c>
      <c r="D260" s="12" t="s">
        <v>271</v>
      </c>
      <c r="E260" s="12">
        <v>100</v>
      </c>
      <c r="F260" s="12">
        <v>0</v>
      </c>
      <c r="G260" s="76">
        <v>290000</v>
      </c>
      <c r="H260" s="12"/>
      <c r="I260" s="12"/>
      <c r="J260" s="12"/>
      <c r="K260" s="12">
        <v>2.2999999999999998</v>
      </c>
      <c r="L260" s="12" t="s">
        <v>273</v>
      </c>
      <c r="M260" s="12"/>
      <c r="N260" s="12"/>
      <c r="O260" s="12"/>
      <c r="P260" s="12" t="s">
        <v>273</v>
      </c>
      <c r="Q260" s="12"/>
      <c r="R260" s="12"/>
      <c r="S260" s="12"/>
      <c r="T260" s="255">
        <v>100</v>
      </c>
      <c r="U260" s="2"/>
      <c r="V260" s="44">
        <v>100</v>
      </c>
      <c r="W260" s="44">
        <v>0</v>
      </c>
      <c r="Y260" s="45">
        <v>259</v>
      </c>
    </row>
    <row r="261" spans="1:25" ht="15.75" customHeight="1">
      <c r="A261" s="196">
        <v>45</v>
      </c>
      <c r="B261" s="201" t="s">
        <v>226</v>
      </c>
      <c r="C261" s="12" t="s">
        <v>270</v>
      </c>
      <c r="D261" s="12" t="s">
        <v>271</v>
      </c>
      <c r="E261" s="12">
        <v>100</v>
      </c>
      <c r="F261" s="12">
        <v>0</v>
      </c>
      <c r="G261" s="76">
        <v>290000</v>
      </c>
      <c r="H261" s="12"/>
      <c r="I261" s="12"/>
      <c r="J261" s="12"/>
      <c r="K261" s="12">
        <v>2.2999999999999998</v>
      </c>
      <c r="L261" s="12" t="s">
        <v>274</v>
      </c>
      <c r="M261" s="12" t="s">
        <v>295</v>
      </c>
      <c r="N261" s="12" t="s">
        <v>31</v>
      </c>
      <c r="O261" s="12">
        <v>0.25</v>
      </c>
      <c r="P261" s="12" t="s">
        <v>273</v>
      </c>
      <c r="Q261" s="12"/>
      <c r="R261" s="12"/>
      <c r="S261" s="12"/>
      <c r="T261" s="255">
        <v>99.75</v>
      </c>
      <c r="U261" s="2"/>
      <c r="V261" s="44">
        <v>99.75</v>
      </c>
      <c r="W261" s="44">
        <v>0</v>
      </c>
      <c r="Y261" s="45">
        <v>260</v>
      </c>
    </row>
    <row r="262" spans="1:25" ht="15.75" customHeight="1">
      <c r="A262" s="196">
        <v>45</v>
      </c>
      <c r="B262" s="201" t="s">
        <v>227</v>
      </c>
      <c r="C262" s="12" t="s">
        <v>270</v>
      </c>
      <c r="D262" s="12" t="s">
        <v>271</v>
      </c>
      <c r="E262" s="12">
        <v>100</v>
      </c>
      <c r="F262" s="12">
        <v>0</v>
      </c>
      <c r="G262" s="76">
        <v>290000</v>
      </c>
      <c r="H262" s="12"/>
      <c r="I262" s="12"/>
      <c r="J262" s="12"/>
      <c r="K262" s="12">
        <v>2.2999999999999998</v>
      </c>
      <c r="L262" s="12" t="s">
        <v>274</v>
      </c>
      <c r="M262" s="12" t="s">
        <v>295</v>
      </c>
      <c r="N262" s="12" t="s">
        <v>31</v>
      </c>
      <c r="O262" s="12">
        <v>0.5</v>
      </c>
      <c r="P262" s="12" t="s">
        <v>273</v>
      </c>
      <c r="Q262" s="12"/>
      <c r="R262" s="12"/>
      <c r="S262" s="12"/>
      <c r="T262" s="255">
        <v>99.5</v>
      </c>
      <c r="U262" s="2"/>
      <c r="V262" s="44">
        <v>99.5</v>
      </c>
      <c r="W262" s="44">
        <v>0</v>
      </c>
      <c r="Y262" s="45">
        <v>261</v>
      </c>
    </row>
    <row r="263" spans="1:25" ht="15.75" customHeight="1">
      <c r="A263" s="197">
        <v>45</v>
      </c>
      <c r="B263" s="202" t="s">
        <v>228</v>
      </c>
      <c r="C263" s="27" t="s">
        <v>270</v>
      </c>
      <c r="D263" s="27" t="s">
        <v>271</v>
      </c>
      <c r="E263" s="27">
        <v>100</v>
      </c>
      <c r="F263" s="27">
        <v>0</v>
      </c>
      <c r="G263" s="77">
        <v>290000</v>
      </c>
      <c r="H263" s="27"/>
      <c r="I263" s="27"/>
      <c r="J263" s="12"/>
      <c r="K263" s="27">
        <v>2.2999999999999998</v>
      </c>
      <c r="L263" s="27" t="s">
        <v>274</v>
      </c>
      <c r="M263" s="27" t="s">
        <v>295</v>
      </c>
      <c r="N263" s="27" t="s">
        <v>31</v>
      </c>
      <c r="O263" s="27">
        <v>1</v>
      </c>
      <c r="P263" s="27" t="s">
        <v>273</v>
      </c>
      <c r="Q263" s="27"/>
      <c r="R263" s="27"/>
      <c r="S263" s="27"/>
      <c r="T263" s="256">
        <v>99</v>
      </c>
      <c r="U263" s="2"/>
      <c r="V263" s="44">
        <v>99</v>
      </c>
      <c r="W263" s="44">
        <v>0</v>
      </c>
      <c r="Y263" s="45">
        <v>262</v>
      </c>
    </row>
    <row r="264" spans="1:25" ht="15.75" customHeight="1">
      <c r="A264" s="199">
        <v>46</v>
      </c>
      <c r="B264" s="200">
        <v>1</v>
      </c>
      <c r="C264" s="227" t="s">
        <v>270</v>
      </c>
      <c r="D264" s="227" t="s">
        <v>271</v>
      </c>
      <c r="E264" s="227">
        <v>98.5</v>
      </c>
      <c r="F264" s="227">
        <v>1.5</v>
      </c>
      <c r="G264" s="279">
        <v>400000</v>
      </c>
      <c r="H264" s="227"/>
      <c r="I264" s="227">
        <v>1.2</v>
      </c>
      <c r="J264" s="227" t="s">
        <v>272</v>
      </c>
      <c r="K264" s="227"/>
      <c r="L264" s="227" t="s">
        <v>273</v>
      </c>
      <c r="M264" s="227"/>
      <c r="N264" s="227"/>
      <c r="O264" s="227"/>
      <c r="P264" s="227" t="s">
        <v>273</v>
      </c>
      <c r="Q264" s="227"/>
      <c r="R264" s="227"/>
      <c r="S264" s="227"/>
      <c r="T264" s="258">
        <v>100</v>
      </c>
      <c r="V264" s="44">
        <v>98.5</v>
      </c>
      <c r="W264" s="44">
        <v>1.5</v>
      </c>
      <c r="Y264" s="45">
        <v>263</v>
      </c>
    </row>
    <row r="265" spans="1:25" ht="15.75" customHeight="1">
      <c r="A265" s="196">
        <v>46</v>
      </c>
      <c r="B265" s="201">
        <v>2</v>
      </c>
      <c r="C265" s="12" t="s">
        <v>270</v>
      </c>
      <c r="D265" s="12" t="s">
        <v>271</v>
      </c>
      <c r="E265" s="12">
        <v>98.5</v>
      </c>
      <c r="F265" s="12">
        <v>1.5</v>
      </c>
      <c r="G265" s="76">
        <v>400000</v>
      </c>
      <c r="H265" s="12"/>
      <c r="I265" s="12">
        <v>1.2</v>
      </c>
      <c r="J265" s="12" t="s">
        <v>272</v>
      </c>
      <c r="K265" s="12"/>
      <c r="L265" s="12" t="s">
        <v>273</v>
      </c>
      <c r="M265" s="12"/>
      <c r="N265" s="12"/>
      <c r="O265" s="12"/>
      <c r="P265" s="12" t="s">
        <v>274</v>
      </c>
      <c r="Q265" s="12" t="s">
        <v>277</v>
      </c>
      <c r="R265" s="12" t="s">
        <v>185</v>
      </c>
      <c r="S265" s="12">
        <v>3</v>
      </c>
      <c r="T265" s="255">
        <v>97</v>
      </c>
      <c r="V265" s="44">
        <v>95.545000000000002</v>
      </c>
      <c r="W265" s="44">
        <v>1.4550000000000001</v>
      </c>
      <c r="Y265" s="45">
        <v>264</v>
      </c>
    </row>
    <row r="266" spans="1:25" ht="15.75" customHeight="1">
      <c r="A266" s="196">
        <v>46</v>
      </c>
      <c r="B266" s="201">
        <v>3</v>
      </c>
      <c r="C266" s="12" t="s">
        <v>270</v>
      </c>
      <c r="D266" s="12" t="s">
        <v>271</v>
      </c>
      <c r="E266" s="12">
        <v>98.5</v>
      </c>
      <c r="F266" s="12">
        <v>1.5</v>
      </c>
      <c r="G266" s="76">
        <v>400000</v>
      </c>
      <c r="H266" s="12"/>
      <c r="I266" s="12">
        <v>1.2</v>
      </c>
      <c r="J266" s="12" t="s">
        <v>272</v>
      </c>
      <c r="K266" s="12"/>
      <c r="L266" s="12" t="s">
        <v>274</v>
      </c>
      <c r="M266" s="12" t="s">
        <v>277</v>
      </c>
      <c r="N266" s="12" t="s">
        <v>187</v>
      </c>
      <c r="O266" s="12">
        <v>1</v>
      </c>
      <c r="P266" s="12" t="s">
        <v>274</v>
      </c>
      <c r="Q266" s="12" t="s">
        <v>277</v>
      </c>
      <c r="R266" s="12" t="s">
        <v>185</v>
      </c>
      <c r="S266" s="12">
        <v>2</v>
      </c>
      <c r="T266" s="255">
        <v>97</v>
      </c>
      <c r="V266" s="44">
        <v>95.545000000000002</v>
      </c>
      <c r="W266" s="44">
        <v>1.4550000000000001</v>
      </c>
      <c r="Y266" s="45">
        <v>265</v>
      </c>
    </row>
    <row r="267" spans="1:25" ht="15.75" customHeight="1">
      <c r="A267" s="196">
        <v>46</v>
      </c>
      <c r="B267" s="201">
        <v>4</v>
      </c>
      <c r="C267" s="12" t="s">
        <v>270</v>
      </c>
      <c r="D267" s="12" t="s">
        <v>271</v>
      </c>
      <c r="E267" s="12">
        <v>98.5</v>
      </c>
      <c r="F267" s="12">
        <v>1.5</v>
      </c>
      <c r="G267" s="76">
        <v>400000</v>
      </c>
      <c r="H267" s="12"/>
      <c r="I267" s="12">
        <v>1.2</v>
      </c>
      <c r="J267" s="12" t="s">
        <v>272</v>
      </c>
      <c r="K267" s="12"/>
      <c r="L267" s="12" t="s">
        <v>274</v>
      </c>
      <c r="M267" s="12" t="s">
        <v>277</v>
      </c>
      <c r="N267" s="12" t="s">
        <v>187</v>
      </c>
      <c r="O267" s="12">
        <v>1.5</v>
      </c>
      <c r="P267" s="12" t="s">
        <v>274</v>
      </c>
      <c r="Q267" s="12" t="s">
        <v>277</v>
      </c>
      <c r="R267" s="12" t="s">
        <v>185</v>
      </c>
      <c r="S267" s="12">
        <v>1.5</v>
      </c>
      <c r="T267" s="255">
        <v>97</v>
      </c>
      <c r="V267" s="44">
        <v>95.545000000000002</v>
      </c>
      <c r="W267" s="44">
        <v>1.4550000000000001</v>
      </c>
      <c r="Y267" s="45">
        <v>266</v>
      </c>
    </row>
    <row r="268" spans="1:25" ht="15.75" customHeight="1">
      <c r="A268" s="196">
        <v>46</v>
      </c>
      <c r="B268" s="201">
        <v>5</v>
      </c>
      <c r="C268" s="12" t="s">
        <v>270</v>
      </c>
      <c r="D268" s="12" t="s">
        <v>271</v>
      </c>
      <c r="E268" s="12">
        <v>98.5</v>
      </c>
      <c r="F268" s="12">
        <v>1.5</v>
      </c>
      <c r="G268" s="76">
        <v>400000</v>
      </c>
      <c r="H268" s="12"/>
      <c r="I268" s="12">
        <v>1.2</v>
      </c>
      <c r="J268" s="12" t="s">
        <v>272</v>
      </c>
      <c r="K268" s="12"/>
      <c r="L268" s="12" t="s">
        <v>274</v>
      </c>
      <c r="M268" s="12" t="s">
        <v>277</v>
      </c>
      <c r="N268" s="12" t="s">
        <v>187</v>
      </c>
      <c r="O268" s="12">
        <v>2</v>
      </c>
      <c r="P268" s="12" t="s">
        <v>274</v>
      </c>
      <c r="Q268" s="12" t="s">
        <v>277</v>
      </c>
      <c r="R268" s="12" t="s">
        <v>185</v>
      </c>
      <c r="S268" s="12">
        <v>1</v>
      </c>
      <c r="T268" s="255">
        <v>97</v>
      </c>
      <c r="V268" s="44">
        <v>95.545000000000002</v>
      </c>
      <c r="W268" s="44">
        <v>1.4550000000000001</v>
      </c>
      <c r="Y268" s="45">
        <v>267</v>
      </c>
    </row>
    <row r="269" spans="1:25" ht="15.75" customHeight="1">
      <c r="A269" s="196">
        <v>46</v>
      </c>
      <c r="B269" s="201">
        <v>6</v>
      </c>
      <c r="C269" s="12" t="s">
        <v>270</v>
      </c>
      <c r="D269" s="12" t="s">
        <v>271</v>
      </c>
      <c r="E269" s="12">
        <v>98.5</v>
      </c>
      <c r="F269" s="12">
        <v>1.5</v>
      </c>
      <c r="G269" s="76">
        <v>400000</v>
      </c>
      <c r="H269" s="12"/>
      <c r="I269" s="12">
        <v>1.2</v>
      </c>
      <c r="J269" s="27" t="s">
        <v>272</v>
      </c>
      <c r="K269" s="12"/>
      <c r="L269" s="12" t="s">
        <v>274</v>
      </c>
      <c r="M269" s="12" t="s">
        <v>277</v>
      </c>
      <c r="N269" s="12" t="s">
        <v>187</v>
      </c>
      <c r="O269" s="12">
        <v>3</v>
      </c>
      <c r="P269" s="12" t="s">
        <v>273</v>
      </c>
      <c r="Q269" s="12"/>
      <c r="R269" s="12"/>
      <c r="S269" s="12"/>
      <c r="T269" s="255">
        <v>97</v>
      </c>
      <c r="V269" s="44">
        <v>95.545000000000002</v>
      </c>
      <c r="W269" s="44">
        <v>1.4550000000000001</v>
      </c>
      <c r="Y269" s="45">
        <v>268</v>
      </c>
    </row>
    <row r="270" spans="1:25" ht="15.75" customHeight="1">
      <c r="A270" s="199">
        <v>47</v>
      </c>
      <c r="B270" s="200" t="s">
        <v>221</v>
      </c>
      <c r="C270" s="227" t="s">
        <v>270</v>
      </c>
      <c r="D270" s="227" t="s">
        <v>271</v>
      </c>
      <c r="E270" s="227">
        <v>100</v>
      </c>
      <c r="F270" s="227">
        <v>0</v>
      </c>
      <c r="G270" s="261"/>
      <c r="H270" s="234"/>
      <c r="I270" s="234"/>
      <c r="J270" s="2"/>
      <c r="K270" s="234"/>
      <c r="L270" s="227" t="s">
        <v>273</v>
      </c>
      <c r="M270" s="222"/>
      <c r="N270" s="234"/>
      <c r="O270" s="234"/>
      <c r="P270" s="227" t="s">
        <v>273</v>
      </c>
      <c r="Q270" s="234"/>
      <c r="R270" s="234"/>
      <c r="S270" s="234"/>
      <c r="T270" s="258">
        <v>100</v>
      </c>
      <c r="U270" s="2"/>
      <c r="V270" s="44">
        <v>100</v>
      </c>
      <c r="W270" s="44">
        <v>0</v>
      </c>
      <c r="Y270" s="45">
        <v>269</v>
      </c>
    </row>
    <row r="271" spans="1:25" ht="15.75" customHeight="1">
      <c r="A271" s="196">
        <v>47</v>
      </c>
      <c r="B271" s="201">
        <v>2</v>
      </c>
      <c r="C271" s="12" t="s">
        <v>270</v>
      </c>
      <c r="D271" s="12" t="s">
        <v>271</v>
      </c>
      <c r="E271" s="12">
        <v>100</v>
      </c>
      <c r="F271" s="12">
        <v>0</v>
      </c>
      <c r="G271" s="58"/>
      <c r="H271" s="2"/>
      <c r="I271" s="2"/>
      <c r="J271" s="2"/>
      <c r="K271" s="2"/>
      <c r="L271" s="12" t="s">
        <v>274</v>
      </c>
      <c r="M271" s="12" t="s">
        <v>277</v>
      </c>
      <c r="N271" s="12" t="s">
        <v>189</v>
      </c>
      <c r="O271" s="12">
        <v>1</v>
      </c>
      <c r="P271" s="12" t="s">
        <v>273</v>
      </c>
      <c r="Q271" s="2"/>
      <c r="R271" s="2"/>
      <c r="S271" s="2"/>
      <c r="T271" s="255">
        <v>99</v>
      </c>
      <c r="U271" s="2"/>
      <c r="V271" s="44">
        <v>99</v>
      </c>
      <c r="W271" s="44">
        <v>0</v>
      </c>
      <c r="Y271" s="45">
        <v>270</v>
      </c>
    </row>
    <row r="272" spans="1:25" ht="15.75" customHeight="1">
      <c r="A272" s="196">
        <v>47</v>
      </c>
      <c r="B272" s="201">
        <v>3</v>
      </c>
      <c r="C272" s="12" t="s">
        <v>270</v>
      </c>
      <c r="D272" s="12" t="s">
        <v>271</v>
      </c>
      <c r="E272" s="12">
        <v>100</v>
      </c>
      <c r="F272" s="12">
        <v>0</v>
      </c>
      <c r="G272" s="58"/>
      <c r="H272" s="2"/>
      <c r="I272" s="2"/>
      <c r="J272" s="2"/>
      <c r="K272" s="2"/>
      <c r="L272" s="12" t="s">
        <v>274</v>
      </c>
      <c r="M272" s="12" t="s">
        <v>277</v>
      </c>
      <c r="N272" s="12" t="s">
        <v>189</v>
      </c>
      <c r="O272" s="12">
        <v>5</v>
      </c>
      <c r="P272" s="12" t="s">
        <v>273</v>
      </c>
      <c r="Q272" s="2"/>
      <c r="R272" s="2"/>
      <c r="S272" s="2"/>
      <c r="T272" s="255">
        <v>95</v>
      </c>
      <c r="U272" s="2"/>
      <c r="V272" s="44">
        <v>95</v>
      </c>
      <c r="W272" s="44">
        <v>0</v>
      </c>
      <c r="Y272" s="45">
        <v>271</v>
      </c>
    </row>
    <row r="273" spans="1:25" ht="15.75" customHeight="1">
      <c r="A273" s="196">
        <v>47</v>
      </c>
      <c r="B273" s="201" t="s">
        <v>224</v>
      </c>
      <c r="C273" s="12" t="s">
        <v>270</v>
      </c>
      <c r="D273" s="12" t="s">
        <v>271</v>
      </c>
      <c r="E273" s="12">
        <v>100</v>
      </c>
      <c r="F273" s="12">
        <v>0</v>
      </c>
      <c r="G273" s="58"/>
      <c r="H273" s="2"/>
      <c r="I273" s="2"/>
      <c r="J273" s="2"/>
      <c r="K273" s="2"/>
      <c r="L273" s="12" t="s">
        <v>274</v>
      </c>
      <c r="M273" s="12" t="s">
        <v>277</v>
      </c>
      <c r="N273" s="12" t="s">
        <v>189</v>
      </c>
      <c r="O273" s="12">
        <v>15</v>
      </c>
      <c r="P273" s="12" t="s">
        <v>273</v>
      </c>
      <c r="Q273" s="2"/>
      <c r="R273" s="2"/>
      <c r="S273" s="2"/>
      <c r="T273" s="255">
        <v>85</v>
      </c>
      <c r="U273" s="2"/>
      <c r="V273" s="44">
        <v>85</v>
      </c>
      <c r="W273" s="44">
        <v>0</v>
      </c>
      <c r="Y273" s="45">
        <v>272</v>
      </c>
    </row>
    <row r="274" spans="1:25" ht="15.75" customHeight="1">
      <c r="A274" s="196">
        <v>47</v>
      </c>
      <c r="B274" s="201">
        <v>5</v>
      </c>
      <c r="C274" s="12" t="s">
        <v>270</v>
      </c>
      <c r="D274" s="12" t="s">
        <v>271</v>
      </c>
      <c r="E274" s="12">
        <v>100</v>
      </c>
      <c r="F274" s="12">
        <v>0</v>
      </c>
      <c r="G274" s="58"/>
      <c r="H274" s="2"/>
      <c r="I274" s="2"/>
      <c r="J274" s="2"/>
      <c r="K274" s="2"/>
      <c r="L274" s="12" t="s">
        <v>274</v>
      </c>
      <c r="M274" s="12" t="s">
        <v>277</v>
      </c>
      <c r="N274" s="12" t="s">
        <v>189</v>
      </c>
      <c r="O274" s="12">
        <v>30</v>
      </c>
      <c r="P274" s="12" t="s">
        <v>273</v>
      </c>
      <c r="Q274" s="2"/>
      <c r="R274" s="2"/>
      <c r="S274" s="2"/>
      <c r="T274" s="255">
        <v>70</v>
      </c>
      <c r="U274" s="2"/>
      <c r="V274" s="44">
        <v>70</v>
      </c>
      <c r="W274" s="44">
        <v>0</v>
      </c>
      <c r="Y274" s="45">
        <v>273</v>
      </c>
    </row>
    <row r="275" spans="1:25" ht="15.75" customHeight="1">
      <c r="A275" s="196">
        <v>47</v>
      </c>
      <c r="B275" s="201" t="s">
        <v>225</v>
      </c>
      <c r="C275" s="12" t="s">
        <v>270</v>
      </c>
      <c r="D275" s="12" t="s">
        <v>271</v>
      </c>
      <c r="E275" s="12">
        <v>100</v>
      </c>
      <c r="F275" s="12">
        <v>0</v>
      </c>
      <c r="G275" s="58"/>
      <c r="H275" s="2"/>
      <c r="I275" s="2"/>
      <c r="J275" s="2"/>
      <c r="K275" s="2"/>
      <c r="L275" s="12" t="s">
        <v>273</v>
      </c>
      <c r="M275" s="22"/>
      <c r="N275" s="2"/>
      <c r="O275" s="2"/>
      <c r="P275" s="12" t="s">
        <v>273</v>
      </c>
      <c r="Q275" s="2"/>
      <c r="R275" s="2"/>
      <c r="S275" s="2"/>
      <c r="T275" s="255">
        <v>100</v>
      </c>
      <c r="U275" s="2"/>
      <c r="V275" s="44">
        <v>100</v>
      </c>
      <c r="W275" s="44">
        <v>0</v>
      </c>
      <c r="Y275" s="45">
        <v>274</v>
      </c>
    </row>
    <row r="276" spans="1:25" ht="15.75" customHeight="1">
      <c r="A276" s="196">
        <v>47</v>
      </c>
      <c r="B276" s="201" t="s">
        <v>228</v>
      </c>
      <c r="C276" s="12" t="s">
        <v>270</v>
      </c>
      <c r="D276" s="12" t="s">
        <v>271</v>
      </c>
      <c r="E276" s="12">
        <v>100</v>
      </c>
      <c r="F276" s="12">
        <v>0</v>
      </c>
      <c r="G276" s="58"/>
      <c r="H276" s="2"/>
      <c r="I276" s="2"/>
      <c r="J276" s="2"/>
      <c r="K276" s="2"/>
      <c r="L276" s="12" t="s">
        <v>274</v>
      </c>
      <c r="M276" s="12" t="s">
        <v>277</v>
      </c>
      <c r="N276" s="12" t="s">
        <v>189</v>
      </c>
      <c r="O276" s="12">
        <v>15</v>
      </c>
      <c r="P276" s="12" t="s">
        <v>273</v>
      </c>
      <c r="Q276" s="2"/>
      <c r="R276" s="2"/>
      <c r="S276" s="2"/>
      <c r="T276" s="255">
        <v>85</v>
      </c>
      <c r="U276" s="2"/>
      <c r="V276" s="44">
        <v>85</v>
      </c>
      <c r="W276" s="44">
        <v>0</v>
      </c>
      <c r="Y276" s="45">
        <v>275</v>
      </c>
    </row>
    <row r="277" spans="1:25" ht="15.75" customHeight="1">
      <c r="A277" s="199">
        <v>48</v>
      </c>
      <c r="B277" s="200">
        <v>1</v>
      </c>
      <c r="C277" s="227" t="s">
        <v>270</v>
      </c>
      <c r="D277" s="227" t="s">
        <v>271</v>
      </c>
      <c r="E277" s="227">
        <v>100</v>
      </c>
      <c r="F277" s="227">
        <v>0</v>
      </c>
      <c r="G277" s="261"/>
      <c r="H277" s="222"/>
      <c r="I277" s="222"/>
      <c r="J277" s="222"/>
      <c r="K277" s="222"/>
      <c r="L277" s="227" t="s">
        <v>274</v>
      </c>
      <c r="M277" s="227" t="s">
        <v>295</v>
      </c>
      <c r="N277" s="222" t="s">
        <v>296</v>
      </c>
      <c r="O277" s="222">
        <v>0.2</v>
      </c>
      <c r="P277" s="222" t="s">
        <v>273</v>
      </c>
      <c r="Q277" s="222"/>
      <c r="R277" s="222"/>
      <c r="S277" s="222"/>
      <c r="T277" s="271">
        <v>99.8</v>
      </c>
      <c r="U277" s="2"/>
      <c r="V277" s="44">
        <v>99.8</v>
      </c>
      <c r="W277" s="44">
        <v>0</v>
      </c>
      <c r="Y277" s="45">
        <v>276</v>
      </c>
    </row>
    <row r="278" spans="1:25" ht="15.75" customHeight="1">
      <c r="A278" s="196">
        <v>48</v>
      </c>
      <c r="B278" s="201">
        <v>2</v>
      </c>
      <c r="C278" s="12" t="s">
        <v>270</v>
      </c>
      <c r="D278" s="12" t="s">
        <v>271</v>
      </c>
      <c r="E278" s="12">
        <v>100</v>
      </c>
      <c r="F278" s="12">
        <v>0</v>
      </c>
      <c r="G278" s="58"/>
      <c r="H278" s="22"/>
      <c r="I278" s="22"/>
      <c r="J278" s="22"/>
      <c r="K278" s="22"/>
      <c r="L278" s="12" t="s">
        <v>274</v>
      </c>
      <c r="M278" s="12" t="s">
        <v>295</v>
      </c>
      <c r="N278" s="22" t="s">
        <v>296</v>
      </c>
      <c r="O278" s="22">
        <v>0.3</v>
      </c>
      <c r="P278" s="22" t="s">
        <v>273</v>
      </c>
      <c r="Q278" s="22"/>
      <c r="R278" s="22"/>
      <c r="S278" s="22"/>
      <c r="T278" s="269">
        <v>99.7</v>
      </c>
      <c r="U278" s="2"/>
      <c r="V278" s="44">
        <v>99.7</v>
      </c>
      <c r="W278" s="44">
        <v>0</v>
      </c>
      <c r="Y278" s="45">
        <v>277</v>
      </c>
    </row>
    <row r="279" spans="1:25" ht="15.75" customHeight="1">
      <c r="A279" s="196">
        <v>48</v>
      </c>
      <c r="B279" s="201">
        <v>3</v>
      </c>
      <c r="C279" s="12" t="s">
        <v>270</v>
      </c>
      <c r="D279" s="12" t="s">
        <v>271</v>
      </c>
      <c r="E279" s="12">
        <v>100</v>
      </c>
      <c r="F279" s="12">
        <v>0</v>
      </c>
      <c r="G279" s="58"/>
      <c r="H279" s="22"/>
      <c r="I279" s="22"/>
      <c r="J279" s="22"/>
      <c r="K279" s="22"/>
      <c r="L279" s="12" t="s">
        <v>274</v>
      </c>
      <c r="M279" s="12" t="s">
        <v>295</v>
      </c>
      <c r="N279" s="22" t="s">
        <v>296</v>
      </c>
      <c r="O279" s="22">
        <v>0.4</v>
      </c>
      <c r="P279" s="22" t="s">
        <v>273</v>
      </c>
      <c r="Q279" s="22"/>
      <c r="R279" s="22"/>
      <c r="S279" s="22"/>
      <c r="T279" s="269">
        <v>99.6</v>
      </c>
      <c r="U279" s="2"/>
      <c r="V279" s="44">
        <v>99.6</v>
      </c>
      <c r="W279" s="44">
        <v>0</v>
      </c>
      <c r="Y279" s="45">
        <v>278</v>
      </c>
    </row>
    <row r="280" spans="1:25" ht="15.75" customHeight="1">
      <c r="A280" s="196">
        <v>48</v>
      </c>
      <c r="B280" s="201">
        <v>4</v>
      </c>
      <c r="C280" s="12" t="s">
        <v>270</v>
      </c>
      <c r="D280" s="12" t="s">
        <v>271</v>
      </c>
      <c r="E280" s="12">
        <v>100</v>
      </c>
      <c r="F280" s="12">
        <v>0</v>
      </c>
      <c r="G280" s="58"/>
      <c r="H280" s="22"/>
      <c r="I280" s="22"/>
      <c r="J280" s="22"/>
      <c r="K280" s="22"/>
      <c r="L280" s="12" t="s">
        <v>274</v>
      </c>
      <c r="M280" s="12" t="s">
        <v>295</v>
      </c>
      <c r="N280" s="22" t="s">
        <v>296</v>
      </c>
      <c r="O280" s="22">
        <v>0.02</v>
      </c>
      <c r="P280" s="12" t="s">
        <v>274</v>
      </c>
      <c r="Q280" s="12" t="s">
        <v>295</v>
      </c>
      <c r="R280" s="22" t="s">
        <v>297</v>
      </c>
      <c r="S280" s="22">
        <v>0.125</v>
      </c>
      <c r="T280" s="255">
        <v>99.674999999999997</v>
      </c>
      <c r="U280" s="2"/>
      <c r="V280" s="63">
        <v>99.674999999999997</v>
      </c>
      <c r="W280" s="44">
        <v>0</v>
      </c>
      <c r="Y280" s="45">
        <v>279</v>
      </c>
    </row>
    <row r="281" spans="1:25" ht="15.75" customHeight="1">
      <c r="A281" s="196">
        <v>48</v>
      </c>
      <c r="B281" s="201">
        <v>5</v>
      </c>
      <c r="C281" s="12" t="s">
        <v>270</v>
      </c>
      <c r="D281" s="12" t="s">
        <v>271</v>
      </c>
      <c r="E281" s="12">
        <v>100</v>
      </c>
      <c r="F281" s="12">
        <v>0</v>
      </c>
      <c r="G281" s="58"/>
      <c r="H281" s="22"/>
      <c r="I281" s="22"/>
      <c r="J281" s="22"/>
      <c r="K281" s="22"/>
      <c r="L281" s="12" t="s">
        <v>274</v>
      </c>
      <c r="M281" s="12" t="s">
        <v>295</v>
      </c>
      <c r="N281" s="22" t="s">
        <v>296</v>
      </c>
      <c r="O281" s="22">
        <v>0.02</v>
      </c>
      <c r="P281" s="12" t="s">
        <v>274</v>
      </c>
      <c r="Q281" s="12" t="s">
        <v>295</v>
      </c>
      <c r="R281" s="22" t="s">
        <v>297</v>
      </c>
      <c r="S281" s="22">
        <v>0.2</v>
      </c>
      <c r="T281" s="255">
        <v>99.78</v>
      </c>
      <c r="U281" s="2"/>
      <c r="V281" s="44">
        <v>99.78</v>
      </c>
      <c r="W281" s="44">
        <v>0</v>
      </c>
      <c r="Y281" s="45">
        <v>280</v>
      </c>
    </row>
    <row r="282" spans="1:25" ht="15.75" customHeight="1">
      <c r="A282" s="196">
        <v>48</v>
      </c>
      <c r="B282" s="201">
        <v>6</v>
      </c>
      <c r="C282" s="12" t="s">
        <v>270</v>
      </c>
      <c r="D282" s="12" t="s">
        <v>271</v>
      </c>
      <c r="E282" s="12">
        <v>100</v>
      </c>
      <c r="F282" s="12">
        <v>0</v>
      </c>
      <c r="G282" s="58"/>
      <c r="H282" s="22"/>
      <c r="I282" s="22"/>
      <c r="J282" s="22"/>
      <c r="K282" s="22"/>
      <c r="L282" s="12" t="s">
        <v>274</v>
      </c>
      <c r="M282" s="12" t="s">
        <v>295</v>
      </c>
      <c r="N282" s="22" t="s">
        <v>296</v>
      </c>
      <c r="O282" s="22">
        <v>0.03</v>
      </c>
      <c r="P282" s="12" t="s">
        <v>274</v>
      </c>
      <c r="Q282" s="12" t="s">
        <v>295</v>
      </c>
      <c r="R282" s="22" t="s">
        <v>297</v>
      </c>
      <c r="S282" s="22">
        <v>0.3</v>
      </c>
      <c r="T282" s="269">
        <v>99.67</v>
      </c>
      <c r="U282" s="2"/>
      <c r="V282" s="44">
        <v>99.67</v>
      </c>
      <c r="W282" s="44">
        <v>0</v>
      </c>
      <c r="Y282" s="45">
        <v>281</v>
      </c>
    </row>
    <row r="283" spans="1:25" ht="15.75" customHeight="1">
      <c r="A283" s="196">
        <v>48</v>
      </c>
      <c r="B283" s="201">
        <v>7</v>
      </c>
      <c r="C283" s="12" t="s">
        <v>270</v>
      </c>
      <c r="D283" s="12" t="s">
        <v>271</v>
      </c>
      <c r="E283" s="12">
        <v>100</v>
      </c>
      <c r="F283" s="12">
        <v>0</v>
      </c>
      <c r="G283" s="58"/>
      <c r="H283" s="22"/>
      <c r="I283" s="22"/>
      <c r="J283" s="22"/>
      <c r="K283" s="22"/>
      <c r="L283" s="12" t="s">
        <v>274</v>
      </c>
      <c r="M283" s="12" t="s">
        <v>295</v>
      </c>
      <c r="N283" s="22" t="s">
        <v>296</v>
      </c>
      <c r="O283" s="22">
        <v>0.04</v>
      </c>
      <c r="P283" s="12" t="s">
        <v>274</v>
      </c>
      <c r="Q283" s="12" t="s">
        <v>295</v>
      </c>
      <c r="R283" s="22" t="s">
        <v>297</v>
      </c>
      <c r="S283" s="22">
        <v>0.4</v>
      </c>
      <c r="T283" s="269">
        <v>99.56</v>
      </c>
      <c r="U283" s="2"/>
      <c r="V283" s="44">
        <v>99.56</v>
      </c>
      <c r="W283" s="44">
        <v>0</v>
      </c>
      <c r="Y283" s="45">
        <v>282</v>
      </c>
    </row>
    <row r="284" spans="1:25" ht="15.75" customHeight="1">
      <c r="A284" s="196">
        <v>48</v>
      </c>
      <c r="B284" s="201">
        <v>8</v>
      </c>
      <c r="C284" s="12" t="s">
        <v>270</v>
      </c>
      <c r="D284" s="12" t="s">
        <v>271</v>
      </c>
      <c r="E284" s="12">
        <v>100</v>
      </c>
      <c r="F284" s="12">
        <v>0</v>
      </c>
      <c r="G284" s="58"/>
      <c r="H284" s="22"/>
      <c r="I284" s="22"/>
      <c r="J284" s="22"/>
      <c r="K284" s="22"/>
      <c r="L284" s="12" t="s">
        <v>273</v>
      </c>
      <c r="M284" s="22"/>
      <c r="N284" s="22"/>
      <c r="O284" s="22"/>
      <c r="P284" s="22" t="s">
        <v>273</v>
      </c>
      <c r="Q284" s="12"/>
      <c r="R284" s="22"/>
      <c r="S284" s="22"/>
      <c r="T284" s="255">
        <v>100</v>
      </c>
      <c r="U284" s="2"/>
      <c r="V284" s="44">
        <v>100</v>
      </c>
      <c r="W284" s="44">
        <v>0</v>
      </c>
      <c r="Y284" s="45">
        <v>283</v>
      </c>
    </row>
    <row r="285" spans="1:25" ht="15.75" customHeight="1">
      <c r="A285" s="196">
        <v>48</v>
      </c>
      <c r="B285" s="201">
        <v>9</v>
      </c>
      <c r="C285" s="12" t="s">
        <v>270</v>
      </c>
      <c r="D285" s="12" t="s">
        <v>271</v>
      </c>
      <c r="E285" s="12">
        <v>100</v>
      </c>
      <c r="F285" s="12">
        <v>0</v>
      </c>
      <c r="G285" s="58"/>
      <c r="H285" s="22"/>
      <c r="I285" s="22"/>
      <c r="J285" s="22"/>
      <c r="K285" s="22"/>
      <c r="L285" s="12" t="s">
        <v>274</v>
      </c>
      <c r="M285" s="12" t="s">
        <v>295</v>
      </c>
      <c r="N285" s="22" t="s">
        <v>296</v>
      </c>
      <c r="O285" s="22">
        <v>0.2</v>
      </c>
      <c r="P285" s="12" t="s">
        <v>274</v>
      </c>
      <c r="Q285" s="12" t="s">
        <v>295</v>
      </c>
      <c r="R285" s="22" t="s">
        <v>298</v>
      </c>
      <c r="S285" s="22">
        <v>0.5</v>
      </c>
      <c r="T285" s="269">
        <v>99.3</v>
      </c>
      <c r="U285" s="2"/>
      <c r="V285" s="44">
        <v>99.3</v>
      </c>
      <c r="W285" s="44">
        <v>0</v>
      </c>
      <c r="Y285" s="45">
        <v>284</v>
      </c>
    </row>
    <row r="286" spans="1:25" ht="15.75" customHeight="1">
      <c r="A286" s="196">
        <v>48</v>
      </c>
      <c r="B286" s="201">
        <v>10</v>
      </c>
      <c r="C286" s="12" t="s">
        <v>270</v>
      </c>
      <c r="D286" s="12" t="s">
        <v>271</v>
      </c>
      <c r="E286" s="12">
        <v>100</v>
      </c>
      <c r="F286" s="12">
        <v>0</v>
      </c>
      <c r="G286" s="58"/>
      <c r="H286" s="22"/>
      <c r="I286" s="22"/>
      <c r="J286" s="22"/>
      <c r="K286" s="22"/>
      <c r="L286" s="12" t="s">
        <v>274</v>
      </c>
      <c r="M286" s="22" t="s">
        <v>275</v>
      </c>
      <c r="N286" s="22" t="s">
        <v>193</v>
      </c>
      <c r="O286" s="22">
        <v>6</v>
      </c>
      <c r="P286" s="12" t="s">
        <v>274</v>
      </c>
      <c r="Q286" s="12" t="s">
        <v>295</v>
      </c>
      <c r="R286" s="22" t="s">
        <v>197</v>
      </c>
      <c r="S286" s="22">
        <v>2</v>
      </c>
      <c r="T286" s="269">
        <v>92</v>
      </c>
      <c r="U286" s="2"/>
      <c r="V286" s="44">
        <v>92</v>
      </c>
      <c r="W286" s="44">
        <v>0</v>
      </c>
      <c r="Y286" s="45">
        <v>285</v>
      </c>
    </row>
    <row r="287" spans="1:25" ht="15.75" customHeight="1">
      <c r="A287" s="196">
        <v>48</v>
      </c>
      <c r="B287" s="201">
        <v>11</v>
      </c>
      <c r="C287" s="12" t="s">
        <v>270</v>
      </c>
      <c r="D287" s="12" t="s">
        <v>271</v>
      </c>
      <c r="E287" s="12">
        <v>100</v>
      </c>
      <c r="F287" s="12">
        <v>0</v>
      </c>
      <c r="G287" s="58"/>
      <c r="H287" s="22"/>
      <c r="I287" s="22"/>
      <c r="J287" s="22"/>
      <c r="K287" s="22"/>
      <c r="L287" s="12" t="s">
        <v>274</v>
      </c>
      <c r="M287" s="22" t="s">
        <v>275</v>
      </c>
      <c r="N287" s="22" t="s">
        <v>195</v>
      </c>
      <c r="O287" s="22">
        <v>6</v>
      </c>
      <c r="P287" s="12" t="s">
        <v>274</v>
      </c>
      <c r="Q287" s="12" t="s">
        <v>295</v>
      </c>
      <c r="R287" s="22" t="s">
        <v>197</v>
      </c>
      <c r="S287" s="22">
        <v>2</v>
      </c>
      <c r="T287" s="269">
        <v>92</v>
      </c>
      <c r="U287" s="2"/>
      <c r="V287" s="44">
        <v>92</v>
      </c>
      <c r="W287" s="44">
        <v>0</v>
      </c>
      <c r="Y287" s="45">
        <v>286</v>
      </c>
    </row>
    <row r="288" spans="1:25" ht="15.75" customHeight="1">
      <c r="A288" s="196">
        <v>48</v>
      </c>
      <c r="B288" s="201">
        <v>12</v>
      </c>
      <c r="C288" s="12" t="s">
        <v>270</v>
      </c>
      <c r="D288" s="12" t="s">
        <v>271</v>
      </c>
      <c r="E288" s="12">
        <v>100</v>
      </c>
      <c r="F288" s="12">
        <v>0</v>
      </c>
      <c r="G288" s="58"/>
      <c r="H288" s="22"/>
      <c r="I288" s="22"/>
      <c r="J288" s="22"/>
      <c r="K288" s="22"/>
      <c r="L288" s="12" t="s">
        <v>274</v>
      </c>
      <c r="M288" s="22" t="s">
        <v>275</v>
      </c>
      <c r="N288" s="22" t="s">
        <v>195</v>
      </c>
      <c r="O288" s="22">
        <v>10</v>
      </c>
      <c r="P288" s="12" t="s">
        <v>274</v>
      </c>
      <c r="Q288" s="12" t="s">
        <v>295</v>
      </c>
      <c r="R288" s="22" t="s">
        <v>197</v>
      </c>
      <c r="S288" s="22">
        <v>4</v>
      </c>
      <c r="T288" s="269">
        <v>86</v>
      </c>
      <c r="U288" s="2"/>
      <c r="V288" s="44">
        <v>86</v>
      </c>
      <c r="W288" s="44">
        <v>0</v>
      </c>
      <c r="Y288" s="45">
        <v>287</v>
      </c>
    </row>
    <row r="289" spans="1:25" ht="15.75" customHeight="1">
      <c r="A289" s="229">
        <v>49</v>
      </c>
      <c r="B289" s="74">
        <v>1</v>
      </c>
      <c r="C289" s="227" t="s">
        <v>270</v>
      </c>
      <c r="D289" s="227" t="s">
        <v>271</v>
      </c>
      <c r="E289" s="222">
        <v>97</v>
      </c>
      <c r="F289" s="222">
        <v>3</v>
      </c>
      <c r="G289" s="261"/>
      <c r="H289" s="222"/>
      <c r="I289" s="222"/>
      <c r="J289" s="222"/>
      <c r="K289" s="222"/>
      <c r="L289" s="222" t="s">
        <v>273</v>
      </c>
      <c r="M289" s="222"/>
      <c r="N289" s="222"/>
      <c r="O289" s="222"/>
      <c r="P289" s="222" t="s">
        <v>273</v>
      </c>
      <c r="Q289" s="222"/>
      <c r="R289" s="222"/>
      <c r="S289" s="222"/>
      <c r="T289" s="271">
        <v>100</v>
      </c>
      <c r="U289" s="2"/>
      <c r="V289" s="44">
        <v>97</v>
      </c>
      <c r="W289" s="44">
        <v>3</v>
      </c>
      <c r="Y289" s="45">
        <v>288</v>
      </c>
    </row>
    <row r="290" spans="1:25" ht="15.75" customHeight="1">
      <c r="A290" s="228">
        <v>49</v>
      </c>
      <c r="B290" s="75">
        <v>2</v>
      </c>
      <c r="C290" s="12" t="s">
        <v>270</v>
      </c>
      <c r="D290" s="12" t="s">
        <v>271</v>
      </c>
      <c r="E290" s="22">
        <v>97</v>
      </c>
      <c r="F290" s="22">
        <v>3</v>
      </c>
      <c r="G290" s="58"/>
      <c r="H290" s="22"/>
      <c r="I290" s="22"/>
      <c r="J290" s="22"/>
      <c r="K290" s="22"/>
      <c r="L290" s="12" t="s">
        <v>274</v>
      </c>
      <c r="M290" s="22" t="s">
        <v>275</v>
      </c>
      <c r="N290" s="22" t="s">
        <v>299</v>
      </c>
      <c r="O290" s="12">
        <v>30</v>
      </c>
      <c r="P290" s="22" t="s">
        <v>273</v>
      </c>
      <c r="Q290" s="22"/>
      <c r="R290" s="22"/>
      <c r="S290" s="22"/>
      <c r="T290" s="269">
        <v>70</v>
      </c>
      <c r="U290" s="2"/>
      <c r="V290" s="44">
        <v>67.900000000000006</v>
      </c>
      <c r="W290" s="44">
        <v>2.1</v>
      </c>
      <c r="Y290" s="45">
        <v>289</v>
      </c>
    </row>
    <row r="291" spans="1:25" ht="15.75" customHeight="1">
      <c r="A291" s="228">
        <v>49</v>
      </c>
      <c r="B291" s="75">
        <v>3</v>
      </c>
      <c r="C291" s="12" t="s">
        <v>270</v>
      </c>
      <c r="D291" s="12" t="s">
        <v>271</v>
      </c>
      <c r="E291" s="22">
        <v>97</v>
      </c>
      <c r="F291" s="22">
        <v>3</v>
      </c>
      <c r="G291" s="58"/>
      <c r="H291" s="22"/>
      <c r="I291" s="22"/>
      <c r="J291" s="22"/>
      <c r="K291" s="22"/>
      <c r="L291" s="12" t="s">
        <v>274</v>
      </c>
      <c r="M291" s="22" t="s">
        <v>275</v>
      </c>
      <c r="N291" s="22" t="s">
        <v>299</v>
      </c>
      <c r="O291" s="12">
        <v>50</v>
      </c>
      <c r="P291" s="22" t="s">
        <v>273</v>
      </c>
      <c r="Q291" s="22"/>
      <c r="R291" s="22"/>
      <c r="S291" s="22"/>
      <c r="T291" s="269">
        <v>50</v>
      </c>
      <c r="U291" s="2"/>
      <c r="V291" s="44">
        <v>48.5</v>
      </c>
      <c r="W291" s="44">
        <v>1.5</v>
      </c>
      <c r="Y291" s="45">
        <v>290</v>
      </c>
    </row>
    <row r="292" spans="1:25" ht="15.75" customHeight="1">
      <c r="A292" s="228">
        <v>49</v>
      </c>
      <c r="B292" s="75">
        <v>4</v>
      </c>
      <c r="C292" s="12" t="s">
        <v>270</v>
      </c>
      <c r="D292" s="12" t="s">
        <v>271</v>
      </c>
      <c r="E292" s="22">
        <v>97</v>
      </c>
      <c r="F292" s="22">
        <v>3</v>
      </c>
      <c r="G292" s="58"/>
      <c r="H292" s="22"/>
      <c r="I292" s="22"/>
      <c r="J292" s="22"/>
      <c r="K292" s="22"/>
      <c r="L292" s="12" t="s">
        <v>274</v>
      </c>
      <c r="M292" s="22" t="s">
        <v>275</v>
      </c>
      <c r="N292" s="22" t="s">
        <v>299</v>
      </c>
      <c r="O292" s="12">
        <v>70</v>
      </c>
      <c r="P292" s="22" t="s">
        <v>273</v>
      </c>
      <c r="Q292" s="22"/>
      <c r="R292" s="22"/>
      <c r="S292" s="22"/>
      <c r="T292" s="269">
        <v>30</v>
      </c>
      <c r="U292" s="2"/>
      <c r="V292" s="44">
        <v>29.1</v>
      </c>
      <c r="W292" s="44">
        <v>0.9</v>
      </c>
      <c r="Y292" s="45">
        <v>291</v>
      </c>
    </row>
    <row r="293" spans="1:25" ht="15.75" customHeight="1">
      <c r="A293" s="229">
        <v>50</v>
      </c>
      <c r="B293" s="74">
        <v>1</v>
      </c>
      <c r="C293" s="227" t="s">
        <v>270</v>
      </c>
      <c r="D293" s="227" t="s">
        <v>271</v>
      </c>
      <c r="E293" s="222">
        <v>95</v>
      </c>
      <c r="F293" s="222">
        <v>5</v>
      </c>
      <c r="G293" s="261">
        <v>245000</v>
      </c>
      <c r="H293" s="222">
        <v>126800</v>
      </c>
      <c r="I293" s="222"/>
      <c r="J293" s="222"/>
      <c r="K293" s="222">
        <v>1.93</v>
      </c>
      <c r="L293" s="222" t="s">
        <v>273</v>
      </c>
      <c r="M293" s="222"/>
      <c r="N293" s="222"/>
      <c r="O293" s="222"/>
      <c r="P293" s="222" t="s">
        <v>273</v>
      </c>
      <c r="Q293" s="222"/>
      <c r="R293" s="222"/>
      <c r="S293" s="222"/>
      <c r="T293" s="271">
        <v>100</v>
      </c>
      <c r="U293" s="2"/>
      <c r="V293" s="44">
        <v>95</v>
      </c>
      <c r="W293" s="44">
        <v>5</v>
      </c>
      <c r="Y293" s="45">
        <v>292</v>
      </c>
    </row>
    <row r="294" spans="1:25" ht="15.75" customHeight="1">
      <c r="A294" s="228">
        <v>50</v>
      </c>
      <c r="B294" s="75">
        <v>2</v>
      </c>
      <c r="C294" s="12" t="s">
        <v>270</v>
      </c>
      <c r="D294" s="12" t="s">
        <v>271</v>
      </c>
      <c r="E294" s="22">
        <v>95</v>
      </c>
      <c r="F294" s="22">
        <v>5</v>
      </c>
      <c r="G294" s="58">
        <v>245000</v>
      </c>
      <c r="H294" s="22">
        <v>126800</v>
      </c>
      <c r="I294" s="22"/>
      <c r="J294" s="22"/>
      <c r="K294" s="22">
        <v>1.93</v>
      </c>
      <c r="L294" s="12" t="s">
        <v>274</v>
      </c>
      <c r="M294" s="22" t="s">
        <v>277</v>
      </c>
      <c r="N294" s="22" t="s">
        <v>203</v>
      </c>
      <c r="O294" s="22">
        <v>10</v>
      </c>
      <c r="P294" s="22" t="s">
        <v>273</v>
      </c>
      <c r="Q294" s="22"/>
      <c r="R294" s="22"/>
      <c r="S294" s="22"/>
      <c r="T294" s="269">
        <v>90</v>
      </c>
      <c r="U294" s="2"/>
      <c r="V294" s="44">
        <v>85.5</v>
      </c>
      <c r="W294" s="44">
        <v>4.5</v>
      </c>
      <c r="Y294" s="45">
        <v>293</v>
      </c>
    </row>
    <row r="295" spans="1:25" ht="15.75" customHeight="1">
      <c r="A295" s="228">
        <v>50</v>
      </c>
      <c r="B295" s="75">
        <v>3</v>
      </c>
      <c r="C295" s="12" t="s">
        <v>270</v>
      </c>
      <c r="D295" s="12" t="s">
        <v>271</v>
      </c>
      <c r="E295" s="22">
        <v>95</v>
      </c>
      <c r="F295" s="22">
        <v>5</v>
      </c>
      <c r="G295" s="58">
        <v>245000</v>
      </c>
      <c r="H295" s="22">
        <v>126800</v>
      </c>
      <c r="I295" s="22"/>
      <c r="J295" s="22"/>
      <c r="K295" s="22">
        <v>1.93</v>
      </c>
      <c r="L295" s="12" t="s">
        <v>274</v>
      </c>
      <c r="M295" s="22" t="s">
        <v>277</v>
      </c>
      <c r="N295" s="22" t="s">
        <v>203</v>
      </c>
      <c r="O295" s="22">
        <v>17.5</v>
      </c>
      <c r="P295" s="22" t="s">
        <v>273</v>
      </c>
      <c r="Q295" s="22"/>
      <c r="R295" s="22"/>
      <c r="S295" s="22"/>
      <c r="T295" s="269">
        <v>82.5</v>
      </c>
      <c r="U295" s="2"/>
      <c r="V295" s="44">
        <v>78.375</v>
      </c>
      <c r="W295" s="44">
        <v>4.125</v>
      </c>
      <c r="Y295" s="45">
        <v>294</v>
      </c>
    </row>
    <row r="296" spans="1:25" ht="15.75" customHeight="1">
      <c r="A296" s="228">
        <v>50</v>
      </c>
      <c r="B296" s="75">
        <v>4</v>
      </c>
      <c r="C296" s="12" t="s">
        <v>270</v>
      </c>
      <c r="D296" s="12" t="s">
        <v>271</v>
      </c>
      <c r="E296" s="22">
        <v>95</v>
      </c>
      <c r="F296" s="22">
        <v>5</v>
      </c>
      <c r="G296" s="58">
        <v>245000</v>
      </c>
      <c r="H296" s="22">
        <v>126800</v>
      </c>
      <c r="I296" s="22"/>
      <c r="J296" s="22"/>
      <c r="K296" s="22">
        <v>1.93</v>
      </c>
      <c r="L296" s="12" t="s">
        <v>274</v>
      </c>
      <c r="M296" s="22" t="s">
        <v>277</v>
      </c>
      <c r="N296" s="22" t="s">
        <v>203</v>
      </c>
      <c r="O296" s="22">
        <v>29.3</v>
      </c>
      <c r="P296" s="22" t="s">
        <v>273</v>
      </c>
      <c r="Q296" s="22"/>
      <c r="R296" s="22"/>
      <c r="S296" s="22"/>
      <c r="T296" s="269">
        <v>70.3</v>
      </c>
      <c r="U296" s="2"/>
      <c r="V296" s="44">
        <v>66.784999999999997</v>
      </c>
      <c r="W296" s="44">
        <v>3.5150000000000001</v>
      </c>
      <c r="Y296" s="45">
        <v>295</v>
      </c>
    </row>
    <row r="297" spans="1:25" ht="15.75" customHeight="1">
      <c r="A297" s="229">
        <v>51</v>
      </c>
      <c r="B297" s="74">
        <v>1</v>
      </c>
      <c r="C297" s="227" t="s">
        <v>270</v>
      </c>
      <c r="D297" s="227" t="s">
        <v>271</v>
      </c>
      <c r="E297" s="222"/>
      <c r="F297" s="222"/>
      <c r="G297" s="261">
        <v>290000</v>
      </c>
      <c r="H297" s="222"/>
      <c r="I297" s="222"/>
      <c r="J297" s="222"/>
      <c r="K297" s="222">
        <v>1.62</v>
      </c>
      <c r="L297" s="222" t="s">
        <v>273</v>
      </c>
      <c r="M297" s="222"/>
      <c r="N297" s="222"/>
      <c r="O297" s="222"/>
      <c r="P297" s="222" t="s">
        <v>273</v>
      </c>
      <c r="Q297" s="222"/>
      <c r="R297" s="222"/>
      <c r="S297" s="222"/>
      <c r="T297" s="271">
        <v>100</v>
      </c>
      <c r="U297" s="2"/>
      <c r="V297" s="44"/>
      <c r="W297" s="44"/>
      <c r="Y297" s="45">
        <v>296</v>
      </c>
    </row>
    <row r="298" spans="1:25" ht="15.75" customHeight="1">
      <c r="A298" s="228">
        <v>51</v>
      </c>
      <c r="B298" s="75">
        <v>2</v>
      </c>
      <c r="C298" s="12" t="s">
        <v>270</v>
      </c>
      <c r="D298" s="12" t="s">
        <v>271</v>
      </c>
      <c r="E298" s="22"/>
      <c r="F298" s="22"/>
      <c r="G298" s="58">
        <v>290000</v>
      </c>
      <c r="H298" s="22"/>
      <c r="I298" s="22"/>
      <c r="J298" s="22"/>
      <c r="K298" s="22">
        <v>1.62</v>
      </c>
      <c r="L298" s="12" t="s">
        <v>274</v>
      </c>
      <c r="M298" s="22" t="s">
        <v>279</v>
      </c>
      <c r="N298" s="8" t="s">
        <v>300</v>
      </c>
      <c r="O298" s="22">
        <v>30</v>
      </c>
      <c r="P298" s="22" t="s">
        <v>273</v>
      </c>
      <c r="Q298" s="22"/>
      <c r="R298" s="22"/>
      <c r="S298" s="22"/>
      <c r="T298" s="269">
        <v>70</v>
      </c>
      <c r="U298" s="2"/>
      <c r="V298" s="44"/>
      <c r="W298" s="44"/>
      <c r="Y298" s="45">
        <v>297</v>
      </c>
    </row>
    <row r="299" spans="1:25" ht="15.75" customHeight="1">
      <c r="A299" s="228">
        <v>51</v>
      </c>
      <c r="B299" s="75">
        <v>3</v>
      </c>
      <c r="C299" s="12" t="s">
        <v>270</v>
      </c>
      <c r="D299" s="12" t="s">
        <v>271</v>
      </c>
      <c r="E299" s="22"/>
      <c r="F299" s="22"/>
      <c r="G299" s="58">
        <v>290000</v>
      </c>
      <c r="H299" s="22"/>
      <c r="I299" s="22"/>
      <c r="J299" s="22"/>
      <c r="K299" s="22">
        <v>1.62</v>
      </c>
      <c r="L299" s="12" t="s">
        <v>274</v>
      </c>
      <c r="M299" s="22" t="s">
        <v>279</v>
      </c>
      <c r="N299" s="8" t="s">
        <v>300</v>
      </c>
      <c r="O299" s="22">
        <v>30</v>
      </c>
      <c r="P299" s="12" t="s">
        <v>274</v>
      </c>
      <c r="Q299" s="12" t="s">
        <v>295</v>
      </c>
      <c r="R299" s="22" t="s">
        <v>31</v>
      </c>
      <c r="S299" s="22">
        <v>0.1</v>
      </c>
      <c r="T299" s="269">
        <v>69.900000000000006</v>
      </c>
      <c r="U299" s="2"/>
      <c r="V299" s="44"/>
      <c r="W299" s="44"/>
      <c r="Y299" s="45">
        <v>298</v>
      </c>
    </row>
    <row r="300" spans="1:25" ht="15.75" customHeight="1">
      <c r="A300" s="228">
        <v>51</v>
      </c>
      <c r="B300" s="75">
        <v>4</v>
      </c>
      <c r="C300" s="12" t="s">
        <v>270</v>
      </c>
      <c r="D300" s="12" t="s">
        <v>271</v>
      </c>
      <c r="E300" s="22"/>
      <c r="F300" s="22"/>
      <c r="G300" s="58">
        <v>290000</v>
      </c>
      <c r="H300" s="22"/>
      <c r="I300" s="22"/>
      <c r="J300" s="22"/>
      <c r="K300" s="22">
        <v>1.62</v>
      </c>
      <c r="L300" s="12" t="s">
        <v>274</v>
      </c>
      <c r="M300" s="22" t="s">
        <v>279</v>
      </c>
      <c r="N300" s="8" t="s">
        <v>300</v>
      </c>
      <c r="O300" s="22">
        <v>30</v>
      </c>
      <c r="P300" s="12" t="s">
        <v>274</v>
      </c>
      <c r="Q300" s="12" t="s">
        <v>295</v>
      </c>
      <c r="R300" s="22" t="s">
        <v>31</v>
      </c>
      <c r="S300" s="22">
        <v>0.3</v>
      </c>
      <c r="T300" s="269">
        <v>69.7</v>
      </c>
      <c r="U300" s="2"/>
      <c r="V300" s="44"/>
      <c r="W300" s="44"/>
      <c r="Y300" s="45">
        <v>299</v>
      </c>
    </row>
    <row r="301" spans="1:25" ht="15.75" customHeight="1">
      <c r="A301" s="228">
        <v>51</v>
      </c>
      <c r="B301" s="75">
        <v>5</v>
      </c>
      <c r="C301" s="12" t="s">
        <v>270</v>
      </c>
      <c r="D301" s="12" t="s">
        <v>271</v>
      </c>
      <c r="E301" s="22"/>
      <c r="F301" s="22"/>
      <c r="G301" s="58">
        <v>290000</v>
      </c>
      <c r="H301" s="22"/>
      <c r="I301" s="22"/>
      <c r="J301" s="22"/>
      <c r="K301" s="22">
        <v>1.62</v>
      </c>
      <c r="L301" s="12" t="s">
        <v>274</v>
      </c>
      <c r="M301" s="22" t="s">
        <v>279</v>
      </c>
      <c r="N301" s="8" t="s">
        <v>300</v>
      </c>
      <c r="O301" s="22">
        <v>30</v>
      </c>
      <c r="P301" s="12" t="s">
        <v>274</v>
      </c>
      <c r="Q301" s="12" t="s">
        <v>295</v>
      </c>
      <c r="R301" s="22" t="s">
        <v>31</v>
      </c>
      <c r="S301" s="22">
        <v>0.5</v>
      </c>
      <c r="T301" s="269">
        <v>69.5</v>
      </c>
      <c r="U301" s="2"/>
      <c r="V301" s="44"/>
      <c r="W301" s="44"/>
      <c r="Y301" s="45">
        <v>300</v>
      </c>
    </row>
    <row r="302" spans="1:25" ht="15.75" customHeight="1">
      <c r="A302" s="228">
        <v>51</v>
      </c>
      <c r="B302" s="75">
        <v>6</v>
      </c>
      <c r="C302" s="12" t="s">
        <v>270</v>
      </c>
      <c r="D302" s="12" t="s">
        <v>271</v>
      </c>
      <c r="E302" s="22"/>
      <c r="F302" s="22"/>
      <c r="G302" s="58">
        <v>290000</v>
      </c>
      <c r="H302" s="22"/>
      <c r="I302" s="22"/>
      <c r="J302" s="22"/>
      <c r="K302" s="22">
        <v>1.62</v>
      </c>
      <c r="L302" s="12" t="s">
        <v>274</v>
      </c>
      <c r="M302" s="22" t="s">
        <v>279</v>
      </c>
      <c r="N302" s="8" t="s">
        <v>300</v>
      </c>
      <c r="O302" s="22">
        <v>30</v>
      </c>
      <c r="P302" s="12" t="s">
        <v>274</v>
      </c>
      <c r="Q302" s="12" t="s">
        <v>295</v>
      </c>
      <c r="R302" s="22" t="s">
        <v>31</v>
      </c>
      <c r="S302" s="22">
        <v>0.7</v>
      </c>
      <c r="T302" s="269">
        <v>69.3</v>
      </c>
      <c r="U302" s="2"/>
      <c r="V302" s="44"/>
      <c r="W302" s="44"/>
      <c r="Y302" s="45">
        <v>301</v>
      </c>
    </row>
    <row r="303" spans="1:25" ht="15.75" customHeight="1">
      <c r="A303" s="228">
        <v>51</v>
      </c>
      <c r="B303" s="75">
        <v>7</v>
      </c>
      <c r="C303" s="27" t="s">
        <v>270</v>
      </c>
      <c r="D303" s="27" t="s">
        <v>271</v>
      </c>
      <c r="E303" s="30"/>
      <c r="F303" s="30"/>
      <c r="G303" s="59">
        <v>290000</v>
      </c>
      <c r="H303" s="30"/>
      <c r="I303" s="30"/>
      <c r="J303" s="30"/>
      <c r="K303" s="30">
        <v>1.62</v>
      </c>
      <c r="L303" s="27" t="s">
        <v>274</v>
      </c>
      <c r="M303" s="30" t="s">
        <v>279</v>
      </c>
      <c r="N303" s="34" t="s">
        <v>300</v>
      </c>
      <c r="O303" s="30">
        <v>30</v>
      </c>
      <c r="P303" s="27" t="s">
        <v>274</v>
      </c>
      <c r="Q303" s="27" t="s">
        <v>295</v>
      </c>
      <c r="R303" s="30" t="s">
        <v>31</v>
      </c>
      <c r="S303" s="30">
        <v>1</v>
      </c>
      <c r="T303" s="273">
        <v>69</v>
      </c>
      <c r="U303" s="2"/>
      <c r="V303" s="44"/>
      <c r="W303" s="44"/>
      <c r="Y303" s="45">
        <v>302</v>
      </c>
    </row>
    <row r="304" spans="1:25" ht="15.75" customHeight="1">
      <c r="A304" s="272">
        <v>52</v>
      </c>
      <c r="B304" s="200">
        <v>1</v>
      </c>
      <c r="C304" s="227" t="s">
        <v>270</v>
      </c>
      <c r="D304" s="227" t="s">
        <v>271</v>
      </c>
      <c r="E304" s="227">
        <v>100</v>
      </c>
      <c r="F304" s="227">
        <v>0</v>
      </c>
      <c r="G304" s="279">
        <v>150000</v>
      </c>
      <c r="H304" s="227"/>
      <c r="I304" s="227"/>
      <c r="J304" s="227"/>
      <c r="K304" s="227"/>
      <c r="L304" s="227" t="s">
        <v>273</v>
      </c>
      <c r="M304" s="227"/>
      <c r="N304" s="227"/>
      <c r="O304" s="227"/>
      <c r="P304" s="227" t="s">
        <v>273</v>
      </c>
      <c r="Q304" s="227"/>
      <c r="R304" s="227"/>
      <c r="S304" s="227"/>
      <c r="T304" s="258">
        <v>100</v>
      </c>
      <c r="V304" s="44">
        <v>100</v>
      </c>
      <c r="W304" s="44">
        <v>0</v>
      </c>
      <c r="Y304" s="45">
        <v>303</v>
      </c>
    </row>
    <row r="305" spans="1:25" ht="15.75" customHeight="1">
      <c r="A305" s="233">
        <v>52</v>
      </c>
      <c r="B305" s="201">
        <v>2</v>
      </c>
      <c r="C305" s="12" t="s">
        <v>270</v>
      </c>
      <c r="D305" s="12" t="s">
        <v>271</v>
      </c>
      <c r="E305" s="12">
        <v>100</v>
      </c>
      <c r="F305" s="12">
        <v>0</v>
      </c>
      <c r="G305" s="76">
        <v>150000</v>
      </c>
      <c r="H305" s="12"/>
      <c r="I305" s="12"/>
      <c r="J305" s="12"/>
      <c r="K305" s="12"/>
      <c r="L305" s="12" t="s">
        <v>274</v>
      </c>
      <c r="M305" s="22" t="s">
        <v>275</v>
      </c>
      <c r="N305" s="12" t="s">
        <v>205</v>
      </c>
      <c r="O305" s="12">
        <v>20</v>
      </c>
      <c r="P305" s="12" t="s">
        <v>273</v>
      </c>
      <c r="Q305" s="12"/>
      <c r="R305" s="12"/>
      <c r="S305" s="12"/>
      <c r="T305" s="255">
        <v>80</v>
      </c>
      <c r="V305" s="44">
        <v>80</v>
      </c>
      <c r="W305" s="44">
        <v>0</v>
      </c>
      <c r="Y305" s="45">
        <v>304</v>
      </c>
    </row>
    <row r="306" spans="1:25" ht="15.75" customHeight="1">
      <c r="A306" s="233">
        <v>52</v>
      </c>
      <c r="B306" s="201">
        <v>3</v>
      </c>
      <c r="C306" s="12" t="s">
        <v>270</v>
      </c>
      <c r="D306" s="12" t="s">
        <v>271</v>
      </c>
      <c r="E306" s="12">
        <v>100</v>
      </c>
      <c r="F306" s="12">
        <v>0</v>
      </c>
      <c r="G306" s="76">
        <v>150000</v>
      </c>
      <c r="H306" s="12"/>
      <c r="I306" s="12"/>
      <c r="J306" s="12"/>
      <c r="K306" s="12"/>
      <c r="L306" s="12" t="s">
        <v>274</v>
      </c>
      <c r="M306" s="22" t="s">
        <v>275</v>
      </c>
      <c r="N306" s="12" t="s">
        <v>205</v>
      </c>
      <c r="O306" s="12">
        <v>40</v>
      </c>
      <c r="P306" s="12" t="s">
        <v>273</v>
      </c>
      <c r="Q306" s="12"/>
      <c r="R306" s="12"/>
      <c r="S306" s="12"/>
      <c r="T306" s="255">
        <v>60</v>
      </c>
      <c r="V306" s="44">
        <v>60</v>
      </c>
      <c r="W306" s="44">
        <v>0</v>
      </c>
      <c r="Y306" s="45">
        <v>305</v>
      </c>
    </row>
    <row r="307" spans="1:25" ht="15.75" customHeight="1">
      <c r="A307" s="241">
        <v>52</v>
      </c>
      <c r="B307" s="202">
        <v>4</v>
      </c>
      <c r="C307" s="27" t="s">
        <v>270</v>
      </c>
      <c r="D307" s="27" t="s">
        <v>271</v>
      </c>
      <c r="E307" s="27">
        <v>100</v>
      </c>
      <c r="F307" s="27">
        <v>0</v>
      </c>
      <c r="G307" s="77">
        <v>150000</v>
      </c>
      <c r="H307" s="27"/>
      <c r="I307" s="27"/>
      <c r="J307" s="27"/>
      <c r="K307" s="27"/>
      <c r="L307" s="27" t="s">
        <v>274</v>
      </c>
      <c r="M307" s="22" t="s">
        <v>275</v>
      </c>
      <c r="N307" s="27" t="s">
        <v>205</v>
      </c>
      <c r="O307" s="27">
        <v>60</v>
      </c>
      <c r="P307" s="27" t="s">
        <v>273</v>
      </c>
      <c r="Q307" s="27"/>
      <c r="R307" s="27"/>
      <c r="S307" s="27"/>
      <c r="T307" s="256">
        <v>40</v>
      </c>
      <c r="V307" s="44">
        <v>40</v>
      </c>
      <c r="W307" s="44">
        <v>0</v>
      </c>
      <c r="Y307" s="45">
        <v>306</v>
      </c>
    </row>
    <row r="308" spans="1:25" ht="15.75" customHeight="1">
      <c r="A308" s="233">
        <v>53</v>
      </c>
      <c r="B308" s="201">
        <v>1</v>
      </c>
      <c r="C308" s="227" t="s">
        <v>270</v>
      </c>
      <c r="D308" s="227" t="s">
        <v>271</v>
      </c>
      <c r="E308" s="227">
        <v>100</v>
      </c>
      <c r="F308" s="227">
        <v>0</v>
      </c>
      <c r="G308" s="279">
        <v>370000</v>
      </c>
      <c r="H308" s="227"/>
      <c r="I308" s="227"/>
      <c r="J308" s="227"/>
      <c r="K308" s="227">
        <v>1.67</v>
      </c>
      <c r="L308" s="227" t="s">
        <v>273</v>
      </c>
      <c r="M308" s="227"/>
      <c r="N308" s="227"/>
      <c r="O308" s="227"/>
      <c r="P308" s="227" t="s">
        <v>273</v>
      </c>
      <c r="Q308" s="227"/>
      <c r="R308" s="227"/>
      <c r="S308" s="227"/>
      <c r="T308" s="258">
        <v>100</v>
      </c>
      <c r="V308" s="44">
        <v>100</v>
      </c>
      <c r="W308" s="44">
        <v>0</v>
      </c>
      <c r="Y308" s="45">
        <v>307</v>
      </c>
    </row>
    <row r="309" spans="1:25" ht="15.75" customHeight="1">
      <c r="A309" s="233">
        <v>53</v>
      </c>
      <c r="B309" s="201">
        <v>2</v>
      </c>
      <c r="C309" s="12" t="s">
        <v>270</v>
      </c>
      <c r="D309" s="12" t="s">
        <v>271</v>
      </c>
      <c r="E309" s="12">
        <v>100</v>
      </c>
      <c r="F309" s="12">
        <v>0</v>
      </c>
      <c r="G309" s="76">
        <v>370000</v>
      </c>
      <c r="H309" s="12"/>
      <c r="I309" s="12"/>
      <c r="J309" s="12"/>
      <c r="K309" s="12">
        <v>1.67</v>
      </c>
      <c r="L309" s="12" t="s">
        <v>274</v>
      </c>
      <c r="M309" s="22" t="s">
        <v>275</v>
      </c>
      <c r="N309" s="12" t="s">
        <v>207</v>
      </c>
      <c r="O309" s="12">
        <v>5</v>
      </c>
      <c r="P309" s="12" t="s">
        <v>273</v>
      </c>
      <c r="Q309" s="12"/>
      <c r="R309" s="12"/>
      <c r="S309" s="12"/>
      <c r="T309" s="255">
        <v>95</v>
      </c>
      <c r="V309" s="44">
        <v>95</v>
      </c>
      <c r="W309" s="44">
        <v>0</v>
      </c>
      <c r="Y309" s="45">
        <v>308</v>
      </c>
    </row>
    <row r="310" spans="1:25" ht="15.75" customHeight="1">
      <c r="A310" s="233">
        <v>53</v>
      </c>
      <c r="B310" s="201">
        <v>3</v>
      </c>
      <c r="C310" s="12" t="s">
        <v>270</v>
      </c>
      <c r="D310" s="12" t="s">
        <v>271</v>
      </c>
      <c r="E310" s="12">
        <v>100</v>
      </c>
      <c r="F310" s="12">
        <v>0</v>
      </c>
      <c r="G310" s="76">
        <v>370000</v>
      </c>
      <c r="H310" s="12"/>
      <c r="I310" s="12"/>
      <c r="J310" s="12"/>
      <c r="K310" s="12">
        <v>1.67</v>
      </c>
      <c r="L310" s="12" t="s">
        <v>274</v>
      </c>
      <c r="M310" s="22" t="s">
        <v>275</v>
      </c>
      <c r="N310" s="12" t="s">
        <v>207</v>
      </c>
      <c r="O310" s="12">
        <v>17</v>
      </c>
      <c r="P310" s="12" t="s">
        <v>273</v>
      </c>
      <c r="Q310" s="12"/>
      <c r="R310" s="12"/>
      <c r="S310" s="12"/>
      <c r="T310" s="255">
        <v>83</v>
      </c>
      <c r="V310" s="44">
        <v>83</v>
      </c>
      <c r="W310" s="44">
        <v>0</v>
      </c>
      <c r="Y310" s="45">
        <v>309</v>
      </c>
    </row>
    <row r="311" spans="1:25" ht="15.75" customHeight="1">
      <c r="A311" s="233">
        <v>53</v>
      </c>
      <c r="B311" s="201">
        <v>4</v>
      </c>
      <c r="C311" s="12" t="s">
        <v>270</v>
      </c>
      <c r="D311" s="12" t="s">
        <v>271</v>
      </c>
      <c r="E311" s="12">
        <v>100</v>
      </c>
      <c r="F311" s="12">
        <v>0</v>
      </c>
      <c r="G311" s="76">
        <v>370000</v>
      </c>
      <c r="H311" s="12"/>
      <c r="I311" s="12"/>
      <c r="J311" s="12"/>
      <c r="K311" s="12">
        <v>1.67</v>
      </c>
      <c r="L311" s="12" t="s">
        <v>274</v>
      </c>
      <c r="M311" s="22" t="s">
        <v>275</v>
      </c>
      <c r="N311" s="12" t="s">
        <v>209</v>
      </c>
      <c r="O311" s="12">
        <v>5</v>
      </c>
      <c r="P311" s="12" t="s">
        <v>273</v>
      </c>
      <c r="Q311" s="12"/>
      <c r="R311" s="12"/>
      <c r="S311" s="12"/>
      <c r="T311" s="255">
        <v>95</v>
      </c>
      <c r="V311" s="44">
        <v>95</v>
      </c>
      <c r="W311" s="44">
        <v>0</v>
      </c>
      <c r="Y311" s="45">
        <v>310</v>
      </c>
    </row>
    <row r="312" spans="1:25" ht="15.75" customHeight="1">
      <c r="A312" s="233">
        <v>53</v>
      </c>
      <c r="B312" s="201">
        <v>5</v>
      </c>
      <c r="C312" s="12" t="s">
        <v>270</v>
      </c>
      <c r="D312" s="12" t="s">
        <v>271</v>
      </c>
      <c r="E312" s="12">
        <v>100</v>
      </c>
      <c r="F312" s="12">
        <v>0</v>
      </c>
      <c r="G312" s="76">
        <v>370000</v>
      </c>
      <c r="H312" s="12"/>
      <c r="I312" s="12"/>
      <c r="J312" s="12"/>
      <c r="K312" s="12">
        <v>1.67</v>
      </c>
      <c r="L312" s="12" t="s">
        <v>274</v>
      </c>
      <c r="M312" s="22" t="s">
        <v>275</v>
      </c>
      <c r="N312" s="12" t="s">
        <v>209</v>
      </c>
      <c r="O312" s="12">
        <v>17</v>
      </c>
      <c r="P312" s="12" t="s">
        <v>273</v>
      </c>
      <c r="Q312" s="12"/>
      <c r="R312" s="12"/>
      <c r="S312" s="12"/>
      <c r="T312" s="255">
        <v>83</v>
      </c>
      <c r="V312" s="44">
        <v>83</v>
      </c>
      <c r="W312" s="44">
        <v>0</v>
      </c>
      <c r="Y312" s="45">
        <v>311</v>
      </c>
    </row>
    <row r="313" spans="1:25" ht="15.75" customHeight="1">
      <c r="A313" s="229">
        <v>54</v>
      </c>
      <c r="B313" s="200">
        <v>1</v>
      </c>
      <c r="C313" s="227" t="s">
        <v>270</v>
      </c>
      <c r="D313" s="227" t="s">
        <v>271</v>
      </c>
      <c r="E313" s="227">
        <v>100</v>
      </c>
      <c r="F313" s="227">
        <v>0</v>
      </c>
      <c r="G313" s="227"/>
      <c r="H313" s="234"/>
      <c r="I313" s="227"/>
      <c r="J313" s="227"/>
      <c r="K313" s="227"/>
      <c r="L313" s="227" t="s">
        <v>273</v>
      </c>
      <c r="M313" s="227"/>
      <c r="N313" s="227"/>
      <c r="O313" s="227"/>
      <c r="P313" s="227" t="s">
        <v>273</v>
      </c>
      <c r="Q313" s="227"/>
      <c r="R313" s="227"/>
      <c r="S313" s="227"/>
      <c r="T313" s="258">
        <v>100</v>
      </c>
      <c r="U313" s="2"/>
      <c r="V313" s="44">
        <v>100</v>
      </c>
      <c r="W313" s="44">
        <v>0</v>
      </c>
      <c r="Y313" s="45">
        <v>312</v>
      </c>
    </row>
    <row r="314" spans="1:25" ht="15.75" customHeight="1">
      <c r="A314" s="228">
        <v>54</v>
      </c>
      <c r="B314" s="201">
        <v>2</v>
      </c>
      <c r="C314" s="12" t="s">
        <v>270</v>
      </c>
      <c r="D314" s="12" t="s">
        <v>271</v>
      </c>
      <c r="E314" s="12">
        <v>100</v>
      </c>
      <c r="F314" s="12">
        <v>0</v>
      </c>
      <c r="G314" s="12"/>
      <c r="H314" s="2"/>
      <c r="I314" s="12"/>
      <c r="J314" s="12"/>
      <c r="K314" s="12"/>
      <c r="L314" s="12" t="s">
        <v>274</v>
      </c>
      <c r="M314" s="22" t="s">
        <v>279</v>
      </c>
      <c r="N314" s="12" t="s">
        <v>1</v>
      </c>
      <c r="O314" s="12">
        <v>3</v>
      </c>
      <c r="P314" s="12" t="s">
        <v>273</v>
      </c>
      <c r="Q314" s="12"/>
      <c r="R314" s="12"/>
      <c r="S314" s="12"/>
      <c r="T314" s="255">
        <v>97</v>
      </c>
      <c r="U314" s="2"/>
      <c r="V314" s="44">
        <v>97</v>
      </c>
      <c r="W314" s="44">
        <v>0</v>
      </c>
      <c r="Y314" s="45">
        <v>313</v>
      </c>
    </row>
    <row r="315" spans="1:25" ht="15.75" customHeight="1">
      <c r="A315" s="228">
        <v>54</v>
      </c>
      <c r="B315" s="201">
        <v>3</v>
      </c>
      <c r="C315" s="12" t="s">
        <v>270</v>
      </c>
      <c r="D315" s="12" t="s">
        <v>271</v>
      </c>
      <c r="E315" s="12">
        <v>100</v>
      </c>
      <c r="F315" s="12">
        <v>0</v>
      </c>
      <c r="G315" s="12"/>
      <c r="H315" s="2"/>
      <c r="I315" s="12"/>
      <c r="J315" s="12"/>
      <c r="K315" s="12"/>
      <c r="L315" s="12" t="s">
        <v>274</v>
      </c>
      <c r="M315" s="22" t="s">
        <v>279</v>
      </c>
      <c r="N315" s="12" t="s">
        <v>1</v>
      </c>
      <c r="O315" s="12">
        <v>5</v>
      </c>
      <c r="P315" s="12" t="s">
        <v>273</v>
      </c>
      <c r="Q315" s="12"/>
      <c r="R315" s="12"/>
      <c r="S315" s="12"/>
      <c r="T315" s="255">
        <v>95</v>
      </c>
      <c r="U315" s="2"/>
      <c r="V315" s="44">
        <v>95</v>
      </c>
      <c r="W315" s="44">
        <v>0</v>
      </c>
      <c r="Y315" s="45">
        <v>314</v>
      </c>
    </row>
    <row r="316" spans="1:25" ht="15.75" customHeight="1">
      <c r="A316" s="228">
        <v>54</v>
      </c>
      <c r="B316" s="201">
        <v>4</v>
      </c>
      <c r="C316" s="12" t="s">
        <v>270</v>
      </c>
      <c r="D316" s="12" t="s">
        <v>271</v>
      </c>
      <c r="E316" s="12">
        <v>100</v>
      </c>
      <c r="F316" s="12">
        <v>0</v>
      </c>
      <c r="G316" s="12"/>
      <c r="H316" s="2"/>
      <c r="I316" s="12"/>
      <c r="J316" s="12"/>
      <c r="K316" s="12"/>
      <c r="L316" s="12" t="s">
        <v>274</v>
      </c>
      <c r="M316" s="22" t="s">
        <v>279</v>
      </c>
      <c r="N316" s="12" t="s">
        <v>1</v>
      </c>
      <c r="O316" s="12">
        <v>10</v>
      </c>
      <c r="P316" s="12" t="s">
        <v>273</v>
      </c>
      <c r="Q316" s="12"/>
      <c r="R316" s="12"/>
      <c r="S316" s="12"/>
      <c r="T316" s="255">
        <v>90</v>
      </c>
      <c r="U316" s="2"/>
      <c r="V316" s="44">
        <v>90</v>
      </c>
      <c r="W316" s="44">
        <v>0</v>
      </c>
      <c r="Y316" s="45">
        <v>315</v>
      </c>
    </row>
    <row r="317" spans="1:25" ht="15.75" customHeight="1">
      <c r="A317" s="229">
        <v>55</v>
      </c>
      <c r="B317" s="200" t="s">
        <v>221</v>
      </c>
      <c r="C317" s="227" t="s">
        <v>270</v>
      </c>
      <c r="D317" s="227" t="s">
        <v>271</v>
      </c>
      <c r="E317" s="227">
        <v>100</v>
      </c>
      <c r="F317" s="227">
        <v>0</v>
      </c>
      <c r="G317" s="279">
        <v>500000</v>
      </c>
      <c r="H317" s="227"/>
      <c r="I317" s="227"/>
      <c r="J317" s="227"/>
      <c r="K317" s="227"/>
      <c r="L317" s="227" t="s">
        <v>273</v>
      </c>
      <c r="M317" s="227"/>
      <c r="N317" s="227"/>
      <c r="O317" s="227"/>
      <c r="P317" s="227" t="s">
        <v>273</v>
      </c>
      <c r="Q317" s="227"/>
      <c r="R317" s="227"/>
      <c r="S317" s="227"/>
      <c r="T317" s="258">
        <v>100</v>
      </c>
      <c r="U317" s="2"/>
      <c r="V317" s="44">
        <v>100</v>
      </c>
      <c r="W317" s="44">
        <v>0</v>
      </c>
      <c r="Y317" s="45">
        <v>316</v>
      </c>
    </row>
    <row r="318" spans="1:25" ht="15.75" customHeight="1">
      <c r="A318" s="228">
        <v>55</v>
      </c>
      <c r="B318" s="201" t="s">
        <v>222</v>
      </c>
      <c r="C318" s="12" t="s">
        <v>270</v>
      </c>
      <c r="D318" s="12" t="s">
        <v>271</v>
      </c>
      <c r="E318" s="12">
        <v>100</v>
      </c>
      <c r="F318" s="12">
        <v>0</v>
      </c>
      <c r="G318" s="76">
        <v>500000</v>
      </c>
      <c r="H318" s="12"/>
      <c r="I318" s="12"/>
      <c r="J318" s="12"/>
      <c r="K318" s="12"/>
      <c r="L318" s="12" t="s">
        <v>274</v>
      </c>
      <c r="M318" s="12" t="s">
        <v>301</v>
      </c>
      <c r="N318" s="12" t="s">
        <v>217</v>
      </c>
      <c r="O318" s="12">
        <v>0.5</v>
      </c>
      <c r="P318" s="12" t="s">
        <v>273</v>
      </c>
      <c r="Q318" s="12"/>
      <c r="R318" s="12"/>
      <c r="S318" s="12"/>
      <c r="T318" s="255">
        <v>99.5</v>
      </c>
      <c r="U318" s="2"/>
      <c r="V318" s="44">
        <v>99.5</v>
      </c>
      <c r="W318" s="44">
        <v>0</v>
      </c>
      <c r="Y318" s="45">
        <v>317</v>
      </c>
    </row>
    <row r="319" spans="1:25" ht="15.75" customHeight="1">
      <c r="A319" s="228">
        <v>55</v>
      </c>
      <c r="B319" s="201" t="s">
        <v>223</v>
      </c>
      <c r="C319" s="12" t="s">
        <v>270</v>
      </c>
      <c r="D319" s="12" t="s">
        <v>271</v>
      </c>
      <c r="E319" s="12">
        <v>100</v>
      </c>
      <c r="F319" s="12">
        <v>0</v>
      </c>
      <c r="G319" s="76">
        <v>500000</v>
      </c>
      <c r="H319" s="12"/>
      <c r="I319" s="12"/>
      <c r="J319" s="12"/>
      <c r="K319" s="12"/>
      <c r="L319" s="12" t="s">
        <v>274</v>
      </c>
      <c r="M319" s="12" t="s">
        <v>301</v>
      </c>
      <c r="N319" s="12" t="s">
        <v>302</v>
      </c>
      <c r="O319" s="12">
        <v>2</v>
      </c>
      <c r="P319" s="12" t="s">
        <v>273</v>
      </c>
      <c r="Q319" s="12"/>
      <c r="R319" s="12"/>
      <c r="S319" s="12"/>
      <c r="T319" s="255">
        <v>98</v>
      </c>
      <c r="U319" s="2"/>
      <c r="V319" s="44">
        <v>98</v>
      </c>
      <c r="W319" s="44">
        <v>0</v>
      </c>
      <c r="Y319" s="45">
        <v>318</v>
      </c>
    </row>
    <row r="320" spans="1:25" ht="15.75" customHeight="1">
      <c r="A320" s="228">
        <v>55</v>
      </c>
      <c r="B320" s="201" t="s">
        <v>225</v>
      </c>
      <c r="C320" s="12" t="s">
        <v>270</v>
      </c>
      <c r="D320" s="12" t="s">
        <v>271</v>
      </c>
      <c r="E320" s="12">
        <v>100</v>
      </c>
      <c r="F320" s="12">
        <v>0</v>
      </c>
      <c r="G320" s="76">
        <v>500000</v>
      </c>
      <c r="H320" s="12"/>
      <c r="I320" s="12"/>
      <c r="J320" s="12"/>
      <c r="K320" s="12"/>
      <c r="L320" s="12" t="s">
        <v>273</v>
      </c>
      <c r="M320" s="12"/>
      <c r="N320" s="12"/>
      <c r="O320" s="12"/>
      <c r="P320" s="12" t="s">
        <v>273</v>
      </c>
      <c r="Q320" s="12"/>
      <c r="R320" s="12"/>
      <c r="S320" s="12"/>
      <c r="T320" s="255">
        <v>100</v>
      </c>
      <c r="U320" s="2"/>
      <c r="V320" s="44">
        <v>100</v>
      </c>
      <c r="W320" s="44">
        <v>0</v>
      </c>
      <c r="Y320" s="45">
        <v>319</v>
      </c>
    </row>
    <row r="321" spans="1:25" ht="15.75" customHeight="1">
      <c r="A321" s="228">
        <v>55</v>
      </c>
      <c r="B321" s="201" t="s">
        <v>226</v>
      </c>
      <c r="C321" s="12" t="s">
        <v>270</v>
      </c>
      <c r="D321" s="12" t="s">
        <v>271</v>
      </c>
      <c r="E321" s="12">
        <v>100</v>
      </c>
      <c r="F321" s="12">
        <v>0</v>
      </c>
      <c r="G321" s="76">
        <v>500000</v>
      </c>
      <c r="H321" s="12"/>
      <c r="I321" s="12"/>
      <c r="J321" s="12"/>
      <c r="K321" s="12"/>
      <c r="L321" s="12" t="s">
        <v>274</v>
      </c>
      <c r="M321" s="12" t="s">
        <v>301</v>
      </c>
      <c r="N321" s="12" t="s">
        <v>217</v>
      </c>
      <c r="O321" s="12">
        <v>0.5</v>
      </c>
      <c r="P321" s="12" t="s">
        <v>273</v>
      </c>
      <c r="Q321" s="12"/>
      <c r="R321" s="12"/>
      <c r="S321" s="12"/>
      <c r="T321" s="255">
        <v>99.5</v>
      </c>
      <c r="U321" s="2"/>
      <c r="V321" s="44">
        <v>99.5</v>
      </c>
      <c r="W321" s="44">
        <v>0</v>
      </c>
      <c r="Y321" s="45">
        <v>320</v>
      </c>
    </row>
    <row r="322" spans="1:25" ht="15.75" customHeight="1">
      <c r="A322" s="228">
        <v>55</v>
      </c>
      <c r="B322" s="201" t="s">
        <v>227</v>
      </c>
      <c r="C322" s="12" t="s">
        <v>270</v>
      </c>
      <c r="D322" s="12" t="s">
        <v>271</v>
      </c>
      <c r="E322" s="12">
        <v>100</v>
      </c>
      <c r="F322" s="12">
        <v>0</v>
      </c>
      <c r="G322" s="76">
        <v>500000</v>
      </c>
      <c r="H322" s="12"/>
      <c r="I322" s="12"/>
      <c r="J322" s="12"/>
      <c r="K322" s="12"/>
      <c r="L322" s="12" t="s">
        <v>274</v>
      </c>
      <c r="M322" s="12" t="s">
        <v>301</v>
      </c>
      <c r="N322" s="12" t="s">
        <v>302</v>
      </c>
      <c r="O322" s="12">
        <v>2</v>
      </c>
      <c r="P322" s="12" t="s">
        <v>273</v>
      </c>
      <c r="Q322" s="12"/>
      <c r="R322" s="12"/>
      <c r="S322" s="12"/>
      <c r="T322" s="255">
        <v>98</v>
      </c>
      <c r="U322" s="2"/>
      <c r="V322" s="44">
        <v>98</v>
      </c>
      <c r="W322" s="44">
        <v>0</v>
      </c>
      <c r="Y322" s="45">
        <v>321</v>
      </c>
    </row>
    <row r="323" spans="1:25" ht="15.75" customHeight="1">
      <c r="A323" s="228">
        <v>55</v>
      </c>
      <c r="B323" s="201" t="s">
        <v>231</v>
      </c>
      <c r="C323" s="12" t="s">
        <v>270</v>
      </c>
      <c r="D323" s="12" t="s">
        <v>271</v>
      </c>
      <c r="E323" s="12">
        <v>100</v>
      </c>
      <c r="F323" s="12">
        <v>0</v>
      </c>
      <c r="G323" s="76">
        <v>500000</v>
      </c>
      <c r="H323" s="12"/>
      <c r="I323" s="12"/>
      <c r="J323" s="12"/>
      <c r="K323" s="12"/>
      <c r="L323" s="12" t="s">
        <v>273</v>
      </c>
      <c r="M323" s="12"/>
      <c r="N323" s="12"/>
      <c r="O323" s="12"/>
      <c r="P323" s="12" t="s">
        <v>273</v>
      </c>
      <c r="Q323" s="12"/>
      <c r="R323" s="12"/>
      <c r="S323" s="12"/>
      <c r="T323" s="255">
        <v>100</v>
      </c>
      <c r="U323" s="2"/>
      <c r="V323" s="44">
        <v>100</v>
      </c>
      <c r="W323" s="44">
        <v>0</v>
      </c>
      <c r="Y323" s="45">
        <v>322</v>
      </c>
    </row>
    <row r="324" spans="1:25" ht="15.75" customHeight="1">
      <c r="A324" s="228">
        <v>55</v>
      </c>
      <c r="B324" s="201" t="s">
        <v>232</v>
      </c>
      <c r="C324" s="12" t="s">
        <v>270</v>
      </c>
      <c r="D324" s="12" t="s">
        <v>271</v>
      </c>
      <c r="E324" s="12">
        <v>100</v>
      </c>
      <c r="F324" s="12">
        <v>0</v>
      </c>
      <c r="G324" s="76">
        <v>500000</v>
      </c>
      <c r="H324" s="12"/>
      <c r="I324" s="12"/>
      <c r="J324" s="12"/>
      <c r="K324" s="12"/>
      <c r="L324" s="12" t="s">
        <v>274</v>
      </c>
      <c r="M324" s="12" t="s">
        <v>301</v>
      </c>
      <c r="N324" s="12" t="s">
        <v>217</v>
      </c>
      <c r="O324" s="12">
        <v>0.5</v>
      </c>
      <c r="P324" s="12" t="s">
        <v>273</v>
      </c>
      <c r="Q324" s="12"/>
      <c r="R324" s="12"/>
      <c r="S324" s="12"/>
      <c r="T324" s="255">
        <v>99.5</v>
      </c>
      <c r="U324" s="2"/>
      <c r="V324" s="44">
        <v>99.5</v>
      </c>
      <c r="W324" s="44">
        <v>0</v>
      </c>
      <c r="Y324" s="45">
        <v>323</v>
      </c>
    </row>
    <row r="325" spans="1:25" ht="15.75" customHeight="1">
      <c r="A325" s="228">
        <v>55</v>
      </c>
      <c r="B325" s="201" t="s">
        <v>233</v>
      </c>
      <c r="C325" s="12" t="s">
        <v>270</v>
      </c>
      <c r="D325" s="12" t="s">
        <v>271</v>
      </c>
      <c r="E325" s="12">
        <v>100</v>
      </c>
      <c r="F325" s="12">
        <v>0</v>
      </c>
      <c r="G325" s="76">
        <v>500000</v>
      </c>
      <c r="H325" s="12"/>
      <c r="I325" s="12"/>
      <c r="J325" s="12"/>
      <c r="K325" s="12"/>
      <c r="L325" s="12" t="s">
        <v>274</v>
      </c>
      <c r="M325" s="12" t="s">
        <v>301</v>
      </c>
      <c r="N325" s="12" t="s">
        <v>302</v>
      </c>
      <c r="O325" s="12">
        <v>2</v>
      </c>
      <c r="P325" s="12" t="s">
        <v>273</v>
      </c>
      <c r="Q325" s="12"/>
      <c r="R325" s="12"/>
      <c r="S325" s="12"/>
      <c r="T325" s="255">
        <v>98</v>
      </c>
      <c r="U325" s="2"/>
      <c r="V325" s="44">
        <v>98</v>
      </c>
      <c r="W325" s="44">
        <v>0</v>
      </c>
      <c r="Y325" s="45">
        <v>324</v>
      </c>
    </row>
    <row r="326" spans="1:25" ht="15.75" customHeight="1">
      <c r="A326" s="199">
        <v>56</v>
      </c>
      <c r="B326" s="200" t="s">
        <v>221</v>
      </c>
      <c r="C326" s="227" t="s">
        <v>270</v>
      </c>
      <c r="D326" s="227" t="s">
        <v>271</v>
      </c>
      <c r="E326" s="227">
        <v>100</v>
      </c>
      <c r="F326" s="227">
        <v>0</v>
      </c>
      <c r="G326" s="279">
        <v>293500</v>
      </c>
      <c r="H326" s="227"/>
      <c r="I326" s="227">
        <v>1.25</v>
      </c>
      <c r="J326" s="227" t="s">
        <v>272</v>
      </c>
      <c r="K326" s="227"/>
      <c r="L326" s="227" t="s">
        <v>273</v>
      </c>
      <c r="M326" s="227"/>
      <c r="N326" s="227"/>
      <c r="O326" s="227"/>
      <c r="P326" s="227" t="s">
        <v>273</v>
      </c>
      <c r="Q326" s="227"/>
      <c r="R326" s="227"/>
      <c r="S326" s="227"/>
      <c r="T326" s="258">
        <v>100</v>
      </c>
      <c r="U326" s="2"/>
      <c r="V326" s="44">
        <v>100</v>
      </c>
      <c r="W326" s="44">
        <v>0</v>
      </c>
      <c r="Y326" s="45">
        <v>325</v>
      </c>
    </row>
    <row r="327" spans="1:25" ht="15.75" customHeight="1">
      <c r="A327" s="197">
        <v>56</v>
      </c>
      <c r="B327" s="202" t="s">
        <v>225</v>
      </c>
      <c r="C327" s="27" t="s">
        <v>270</v>
      </c>
      <c r="D327" s="27" t="s">
        <v>271</v>
      </c>
      <c r="E327" s="27">
        <v>100</v>
      </c>
      <c r="F327" s="27">
        <v>0</v>
      </c>
      <c r="G327" s="77">
        <v>293500</v>
      </c>
      <c r="H327" s="27"/>
      <c r="I327" s="27">
        <v>1.25</v>
      </c>
      <c r="J327" s="27" t="s">
        <v>272</v>
      </c>
      <c r="K327" s="27"/>
      <c r="L327" s="27" t="s">
        <v>273</v>
      </c>
      <c r="M327" s="27"/>
      <c r="N327" s="27"/>
      <c r="O327" s="27"/>
      <c r="P327" s="27" t="s">
        <v>273</v>
      </c>
      <c r="Q327" s="27"/>
      <c r="R327" s="27"/>
      <c r="S327" s="27"/>
      <c r="T327" s="256">
        <v>100</v>
      </c>
      <c r="U327" s="2"/>
      <c r="V327" s="44">
        <v>100</v>
      </c>
      <c r="W327" s="44">
        <v>0</v>
      </c>
      <c r="Y327" s="45">
        <v>326</v>
      </c>
    </row>
    <row r="328" spans="1:25" ht="15.75" customHeight="1">
      <c r="A328" s="199">
        <v>57</v>
      </c>
      <c r="B328" s="200">
        <v>1</v>
      </c>
      <c r="C328" s="227" t="s">
        <v>270</v>
      </c>
      <c r="D328" s="227" t="s">
        <v>271</v>
      </c>
      <c r="E328" s="227">
        <v>100</v>
      </c>
      <c r="F328" s="227">
        <v>0</v>
      </c>
      <c r="G328" s="278"/>
      <c r="H328" s="234"/>
      <c r="I328" s="234"/>
      <c r="J328" s="234"/>
      <c r="K328" s="234"/>
      <c r="L328" s="227" t="s">
        <v>273</v>
      </c>
      <c r="M328" s="222"/>
      <c r="N328" s="234"/>
      <c r="O328" s="234"/>
      <c r="P328" s="227" t="s">
        <v>273</v>
      </c>
      <c r="Q328" s="234"/>
      <c r="R328" s="234"/>
      <c r="S328" s="234"/>
      <c r="T328" s="258">
        <v>100</v>
      </c>
      <c r="V328" s="44">
        <v>100</v>
      </c>
      <c r="W328" s="44">
        <v>0</v>
      </c>
      <c r="Y328" s="45">
        <v>327</v>
      </c>
    </row>
    <row r="329" spans="1:25" ht="15.75" customHeight="1">
      <c r="A329" s="196">
        <v>57</v>
      </c>
      <c r="B329" s="201">
        <v>2</v>
      </c>
      <c r="C329" s="12" t="s">
        <v>270</v>
      </c>
      <c r="D329" s="12" t="s">
        <v>271</v>
      </c>
      <c r="E329" s="12">
        <v>85.4</v>
      </c>
      <c r="F329" s="12">
        <v>14.6</v>
      </c>
      <c r="G329" s="72"/>
      <c r="H329" s="2"/>
      <c r="I329" s="2"/>
      <c r="J329" s="2"/>
      <c r="K329" s="2"/>
      <c r="L329" s="12" t="s">
        <v>273</v>
      </c>
      <c r="M329" s="22"/>
      <c r="N329" s="2"/>
      <c r="O329" s="2"/>
      <c r="P329" s="12" t="s">
        <v>273</v>
      </c>
      <c r="Q329" s="2"/>
      <c r="R329" s="2"/>
      <c r="S329" s="2"/>
      <c r="T329" s="255">
        <v>100</v>
      </c>
      <c r="V329" s="44">
        <v>85.4</v>
      </c>
      <c r="W329" s="44">
        <v>14.6</v>
      </c>
      <c r="Y329" s="45">
        <v>328</v>
      </c>
    </row>
    <row r="330" spans="1:25" ht="15.75" customHeight="1">
      <c r="A330" s="229">
        <v>58</v>
      </c>
      <c r="B330" s="74">
        <v>1</v>
      </c>
      <c r="C330" s="222" t="s">
        <v>270</v>
      </c>
      <c r="D330" s="222" t="s">
        <v>271</v>
      </c>
      <c r="E330" s="222">
        <v>100</v>
      </c>
      <c r="F330" s="222">
        <v>0</v>
      </c>
      <c r="G330" s="261">
        <v>472000</v>
      </c>
      <c r="H330" s="222">
        <v>192000</v>
      </c>
      <c r="I330" s="222"/>
      <c r="J330" s="222" t="s">
        <v>272</v>
      </c>
      <c r="K330" s="222">
        <v>2.46</v>
      </c>
      <c r="L330" s="222" t="s">
        <v>273</v>
      </c>
      <c r="M330" s="222"/>
      <c r="N330" s="222"/>
      <c r="O330" s="222"/>
      <c r="P330" s="222" t="s">
        <v>273</v>
      </c>
      <c r="Q330" s="222"/>
      <c r="R330" s="222"/>
      <c r="S330" s="222"/>
      <c r="T330" s="271">
        <v>100</v>
      </c>
      <c r="U330" s="2"/>
      <c r="V330" s="44">
        <v>100</v>
      </c>
      <c r="W330" s="44">
        <v>0</v>
      </c>
      <c r="Y330" s="45">
        <v>329</v>
      </c>
    </row>
    <row r="331" spans="1:25" ht="15.75" customHeight="1">
      <c r="A331" s="228">
        <v>58</v>
      </c>
      <c r="B331" s="75">
        <v>2</v>
      </c>
      <c r="C331" s="22" t="s">
        <v>270</v>
      </c>
      <c r="D331" s="22" t="s">
        <v>271</v>
      </c>
      <c r="E331" s="22">
        <v>100</v>
      </c>
      <c r="F331" s="22">
        <v>0</v>
      </c>
      <c r="G331" s="58">
        <v>472000</v>
      </c>
      <c r="H331" s="22">
        <v>192000</v>
      </c>
      <c r="I331" s="22"/>
      <c r="J331" s="22" t="s">
        <v>272</v>
      </c>
      <c r="K331" s="22">
        <v>2.46</v>
      </c>
      <c r="L331" s="22" t="s">
        <v>274</v>
      </c>
      <c r="M331" s="22" t="s">
        <v>275</v>
      </c>
      <c r="N331" s="22" t="s">
        <v>303</v>
      </c>
      <c r="O331" s="22">
        <v>20</v>
      </c>
      <c r="P331" s="22" t="s">
        <v>273</v>
      </c>
      <c r="Q331" s="22"/>
      <c r="R331" s="22"/>
      <c r="S331" s="22"/>
      <c r="T331" s="269">
        <v>80</v>
      </c>
      <c r="U331" s="2"/>
      <c r="V331" s="44">
        <v>80</v>
      </c>
      <c r="W331" s="44">
        <v>0</v>
      </c>
      <c r="Y331" s="45">
        <v>330</v>
      </c>
    </row>
    <row r="332" spans="1:25" ht="15.75" customHeight="1">
      <c r="A332" s="228">
        <v>58</v>
      </c>
      <c r="B332" s="75">
        <v>3</v>
      </c>
      <c r="C332" s="22" t="s">
        <v>270</v>
      </c>
      <c r="D332" s="22" t="s">
        <v>271</v>
      </c>
      <c r="E332" s="22">
        <v>100</v>
      </c>
      <c r="F332" s="22">
        <v>0</v>
      </c>
      <c r="G332" s="58">
        <v>472000</v>
      </c>
      <c r="H332" s="22">
        <v>192000</v>
      </c>
      <c r="I332" s="22"/>
      <c r="J332" s="22" t="s">
        <v>272</v>
      </c>
      <c r="K332" s="22">
        <v>2.46</v>
      </c>
      <c r="L332" s="22" t="s">
        <v>274</v>
      </c>
      <c r="M332" s="22" t="s">
        <v>275</v>
      </c>
      <c r="N332" s="22" t="s">
        <v>303</v>
      </c>
      <c r="O332" s="22">
        <v>40</v>
      </c>
      <c r="P332" s="22" t="s">
        <v>273</v>
      </c>
      <c r="Q332" s="22"/>
      <c r="R332" s="22"/>
      <c r="S332" s="22"/>
      <c r="T332" s="269">
        <v>60</v>
      </c>
      <c r="U332" s="2"/>
      <c r="V332" s="44">
        <v>60</v>
      </c>
      <c r="W332" s="44">
        <v>0</v>
      </c>
      <c r="Y332" s="45">
        <v>331</v>
      </c>
    </row>
    <row r="333" spans="1:25" ht="15.75" customHeight="1">
      <c r="A333" s="228">
        <v>58</v>
      </c>
      <c r="B333" s="75">
        <v>4</v>
      </c>
      <c r="C333" s="22" t="s">
        <v>270</v>
      </c>
      <c r="D333" s="22" t="s">
        <v>271</v>
      </c>
      <c r="E333" s="22">
        <v>100</v>
      </c>
      <c r="F333" s="22">
        <v>0</v>
      </c>
      <c r="G333" s="58">
        <v>472000</v>
      </c>
      <c r="H333" s="22">
        <v>192000</v>
      </c>
      <c r="I333" s="22"/>
      <c r="J333" s="22" t="s">
        <v>272</v>
      </c>
      <c r="K333" s="22">
        <v>2.46</v>
      </c>
      <c r="L333" s="22" t="s">
        <v>274</v>
      </c>
      <c r="M333" s="22" t="s">
        <v>275</v>
      </c>
      <c r="N333" s="22" t="s">
        <v>303</v>
      </c>
      <c r="O333" s="22">
        <v>60</v>
      </c>
      <c r="P333" s="22" t="s">
        <v>273</v>
      </c>
      <c r="Q333" s="22"/>
      <c r="R333" s="22"/>
      <c r="S333" s="22"/>
      <c r="T333" s="269">
        <v>40</v>
      </c>
      <c r="U333" s="2"/>
      <c r="V333" s="44">
        <v>40</v>
      </c>
      <c r="W333" s="44">
        <v>0</v>
      </c>
      <c r="Y333" s="45">
        <v>332</v>
      </c>
    </row>
    <row r="334" spans="1:25" ht="15.75" customHeight="1">
      <c r="A334" s="228">
        <v>58</v>
      </c>
      <c r="B334" s="75">
        <v>5</v>
      </c>
      <c r="C334" s="22" t="s">
        <v>270</v>
      </c>
      <c r="D334" s="22" t="s">
        <v>271</v>
      </c>
      <c r="E334" s="22">
        <v>100</v>
      </c>
      <c r="F334" s="22">
        <v>0</v>
      </c>
      <c r="G334" s="58">
        <v>472000</v>
      </c>
      <c r="H334" s="22">
        <v>192000</v>
      </c>
      <c r="I334" s="22"/>
      <c r="J334" s="22" t="s">
        <v>272</v>
      </c>
      <c r="K334" s="22">
        <v>2.46</v>
      </c>
      <c r="L334" s="22" t="s">
        <v>274</v>
      </c>
      <c r="M334" s="22" t="s">
        <v>275</v>
      </c>
      <c r="N334" s="22" t="s">
        <v>303</v>
      </c>
      <c r="O334" s="22">
        <v>80</v>
      </c>
      <c r="P334" s="22" t="s">
        <v>273</v>
      </c>
      <c r="Q334" s="22"/>
      <c r="R334" s="22"/>
      <c r="S334" s="22"/>
      <c r="T334" s="269">
        <v>20</v>
      </c>
      <c r="U334" s="2"/>
      <c r="V334" s="44">
        <v>20</v>
      </c>
      <c r="W334" s="44">
        <v>0</v>
      </c>
      <c r="Y334" s="45">
        <v>333</v>
      </c>
    </row>
    <row r="335" spans="1:25" ht="15.75" customHeight="1">
      <c r="A335" s="229">
        <v>59</v>
      </c>
      <c r="B335" s="74">
        <v>1</v>
      </c>
      <c r="C335" s="227" t="s">
        <v>270</v>
      </c>
      <c r="D335" s="227" t="s">
        <v>271</v>
      </c>
      <c r="E335" s="227">
        <v>100</v>
      </c>
      <c r="F335" s="227">
        <v>0</v>
      </c>
      <c r="G335" s="279">
        <v>550000</v>
      </c>
      <c r="H335" s="222"/>
      <c r="I335" s="222"/>
      <c r="J335" s="222"/>
      <c r="K335" s="222"/>
      <c r="L335" s="227" t="s">
        <v>273</v>
      </c>
      <c r="M335" s="227"/>
      <c r="N335" s="222"/>
      <c r="O335" s="222"/>
      <c r="P335" s="227" t="s">
        <v>273</v>
      </c>
      <c r="Q335" s="222"/>
      <c r="R335" s="222"/>
      <c r="S335" s="222"/>
      <c r="T335" s="258">
        <v>100</v>
      </c>
      <c r="U335" s="2"/>
      <c r="V335" s="44">
        <v>100</v>
      </c>
      <c r="W335" s="44">
        <v>0</v>
      </c>
      <c r="Y335" s="45">
        <v>334</v>
      </c>
    </row>
    <row r="336" spans="1:25" ht="15.75" customHeight="1">
      <c r="A336" s="228">
        <v>59</v>
      </c>
      <c r="B336" s="75">
        <v>2</v>
      </c>
      <c r="C336" s="12" t="s">
        <v>270</v>
      </c>
      <c r="D336" s="12" t="s">
        <v>271</v>
      </c>
      <c r="E336" s="12">
        <v>100</v>
      </c>
      <c r="F336" s="12">
        <v>0</v>
      </c>
      <c r="G336" s="76">
        <v>550000</v>
      </c>
      <c r="H336" s="22"/>
      <c r="I336" s="22"/>
      <c r="J336" s="22"/>
      <c r="K336" s="22"/>
      <c r="L336" s="12" t="s">
        <v>274</v>
      </c>
      <c r="M336" s="22" t="s">
        <v>279</v>
      </c>
      <c r="N336" s="12" t="s">
        <v>304</v>
      </c>
      <c r="O336" s="12">
        <v>5</v>
      </c>
      <c r="P336" s="12" t="s">
        <v>273</v>
      </c>
      <c r="Q336" s="12"/>
      <c r="R336" s="22"/>
      <c r="S336" s="12"/>
      <c r="T336" s="255">
        <v>95</v>
      </c>
      <c r="U336" s="2"/>
      <c r="V336" s="44">
        <v>95</v>
      </c>
      <c r="W336" s="44">
        <v>0</v>
      </c>
      <c r="Y336" s="45">
        <v>335</v>
      </c>
    </row>
    <row r="337" spans="1:25" ht="15.75" customHeight="1">
      <c r="A337" s="228">
        <v>59</v>
      </c>
      <c r="B337" s="75">
        <v>3</v>
      </c>
      <c r="C337" s="12" t="s">
        <v>270</v>
      </c>
      <c r="D337" s="12" t="s">
        <v>271</v>
      </c>
      <c r="E337" s="12">
        <v>100</v>
      </c>
      <c r="F337" s="12">
        <v>0</v>
      </c>
      <c r="G337" s="76">
        <v>550000</v>
      </c>
      <c r="H337" s="22"/>
      <c r="I337" s="22"/>
      <c r="J337" s="22"/>
      <c r="K337" s="22"/>
      <c r="L337" s="12" t="s">
        <v>274</v>
      </c>
      <c r="M337" s="22" t="s">
        <v>275</v>
      </c>
      <c r="N337" s="12" t="s">
        <v>305</v>
      </c>
      <c r="O337" s="12">
        <v>10</v>
      </c>
      <c r="P337" s="12" t="s">
        <v>274</v>
      </c>
      <c r="Q337" s="22" t="s">
        <v>279</v>
      </c>
      <c r="R337" s="12" t="s">
        <v>304</v>
      </c>
      <c r="S337" s="12">
        <v>5</v>
      </c>
      <c r="T337" s="255">
        <v>85</v>
      </c>
      <c r="U337" s="78"/>
      <c r="V337" s="44">
        <v>85</v>
      </c>
      <c r="W337" s="44">
        <v>0</v>
      </c>
      <c r="Y337" s="45">
        <v>336</v>
      </c>
    </row>
    <row r="338" spans="1:25" ht="15.75" customHeight="1">
      <c r="A338" s="228">
        <v>59</v>
      </c>
      <c r="B338" s="75">
        <v>4</v>
      </c>
      <c r="C338" s="12" t="s">
        <v>270</v>
      </c>
      <c r="D338" s="12" t="s">
        <v>271</v>
      </c>
      <c r="E338" s="12">
        <v>100</v>
      </c>
      <c r="F338" s="12">
        <v>0</v>
      </c>
      <c r="G338" s="76">
        <v>550000</v>
      </c>
      <c r="H338" s="22"/>
      <c r="I338" s="22"/>
      <c r="J338" s="22"/>
      <c r="K338" s="22"/>
      <c r="L338" s="12" t="s">
        <v>274</v>
      </c>
      <c r="M338" s="22" t="s">
        <v>275</v>
      </c>
      <c r="N338" s="12" t="s">
        <v>305</v>
      </c>
      <c r="O338" s="12">
        <v>10</v>
      </c>
      <c r="P338" s="12" t="s">
        <v>274</v>
      </c>
      <c r="Q338" s="22" t="s">
        <v>279</v>
      </c>
      <c r="R338" s="12" t="s">
        <v>304</v>
      </c>
      <c r="S338" s="12">
        <v>5</v>
      </c>
      <c r="T338" s="255">
        <v>85</v>
      </c>
      <c r="U338" s="78"/>
      <c r="V338" s="44">
        <v>85</v>
      </c>
      <c r="W338" s="44">
        <v>0</v>
      </c>
      <c r="Y338" s="45">
        <v>337</v>
      </c>
    </row>
    <row r="339" spans="1:25" ht="15.75" customHeight="1">
      <c r="A339" s="228">
        <v>59</v>
      </c>
      <c r="B339" s="75">
        <v>5</v>
      </c>
      <c r="C339" s="12" t="s">
        <v>270</v>
      </c>
      <c r="D339" s="12" t="s">
        <v>271</v>
      </c>
      <c r="E339" s="12">
        <v>100</v>
      </c>
      <c r="F339" s="12">
        <v>0</v>
      </c>
      <c r="G339" s="76">
        <v>550000</v>
      </c>
      <c r="H339" s="22"/>
      <c r="I339" s="22"/>
      <c r="J339" s="22"/>
      <c r="K339" s="22"/>
      <c r="L339" s="12" t="s">
        <v>274</v>
      </c>
      <c r="M339" s="22" t="s">
        <v>275</v>
      </c>
      <c r="N339" s="12" t="s">
        <v>305</v>
      </c>
      <c r="O339" s="12">
        <v>10</v>
      </c>
      <c r="P339" s="12" t="s">
        <v>273</v>
      </c>
      <c r="Q339" s="12"/>
      <c r="R339" s="22"/>
      <c r="S339" s="22"/>
      <c r="T339" s="255">
        <v>90</v>
      </c>
      <c r="U339" s="78"/>
      <c r="V339" s="44">
        <v>90</v>
      </c>
      <c r="W339" s="44">
        <v>0</v>
      </c>
      <c r="Y339" s="45">
        <v>338</v>
      </c>
    </row>
    <row r="340" spans="1:25" ht="15.75" customHeight="1">
      <c r="A340" s="230">
        <v>59</v>
      </c>
      <c r="B340" s="231">
        <v>6</v>
      </c>
      <c r="C340" s="27" t="s">
        <v>270</v>
      </c>
      <c r="D340" s="27" t="s">
        <v>271</v>
      </c>
      <c r="E340" s="27">
        <v>100</v>
      </c>
      <c r="F340" s="27">
        <v>0</v>
      </c>
      <c r="G340" s="77">
        <v>550000</v>
      </c>
      <c r="H340" s="30"/>
      <c r="I340" s="30"/>
      <c r="J340" s="30"/>
      <c r="K340" s="30"/>
      <c r="L340" s="27" t="s">
        <v>274</v>
      </c>
      <c r="M340" s="22" t="s">
        <v>275</v>
      </c>
      <c r="N340" s="27" t="s">
        <v>305</v>
      </c>
      <c r="O340" s="27">
        <v>10</v>
      </c>
      <c r="P340" s="27" t="s">
        <v>273</v>
      </c>
      <c r="Q340" s="27"/>
      <c r="R340" s="30"/>
      <c r="S340" s="30"/>
      <c r="T340" s="256">
        <v>90</v>
      </c>
      <c r="U340" s="78"/>
      <c r="V340" s="44">
        <v>90</v>
      </c>
      <c r="W340" s="44">
        <v>0</v>
      </c>
      <c r="Y340" s="45">
        <v>339</v>
      </c>
    </row>
    <row r="341" spans="1:25" ht="15.75" customHeight="1">
      <c r="A341" s="233">
        <v>60</v>
      </c>
      <c r="B341" s="74">
        <v>1</v>
      </c>
      <c r="C341" s="79" t="s">
        <v>270</v>
      </c>
      <c r="D341" s="79" t="s">
        <v>271</v>
      </c>
      <c r="E341" s="12">
        <v>100</v>
      </c>
      <c r="F341" s="12">
        <v>0</v>
      </c>
      <c r="G341" s="72"/>
      <c r="L341" s="12" t="s">
        <v>273</v>
      </c>
      <c r="M341" s="222"/>
      <c r="P341" s="12" t="s">
        <v>273</v>
      </c>
      <c r="T341" s="258">
        <v>100</v>
      </c>
      <c r="U341" s="2"/>
      <c r="V341" s="44">
        <v>100</v>
      </c>
      <c r="W341" s="44">
        <v>0</v>
      </c>
      <c r="Y341" s="45">
        <v>340</v>
      </c>
    </row>
    <row r="342" spans="1:25" ht="15.75" customHeight="1">
      <c r="A342" s="233">
        <v>60</v>
      </c>
      <c r="B342" s="75">
        <v>2</v>
      </c>
      <c r="C342" s="12" t="s">
        <v>270</v>
      </c>
      <c r="D342" s="12" t="s">
        <v>271</v>
      </c>
      <c r="E342" s="12">
        <v>100</v>
      </c>
      <c r="F342" s="12">
        <v>0</v>
      </c>
      <c r="G342" s="72"/>
      <c r="L342" s="12" t="s">
        <v>274</v>
      </c>
      <c r="M342" s="22" t="s">
        <v>275</v>
      </c>
      <c r="N342" s="12" t="s">
        <v>305</v>
      </c>
      <c r="O342" s="12">
        <v>10</v>
      </c>
      <c r="P342" s="12" t="s">
        <v>273</v>
      </c>
      <c r="T342" s="255">
        <v>90</v>
      </c>
      <c r="U342" s="78"/>
      <c r="V342" s="44">
        <v>90</v>
      </c>
      <c r="W342" s="44">
        <v>0</v>
      </c>
      <c r="Y342" s="45">
        <v>341</v>
      </c>
    </row>
    <row r="343" spans="1:25" ht="15.75" customHeight="1">
      <c r="A343" s="233">
        <v>60</v>
      </c>
      <c r="B343" s="75">
        <v>3</v>
      </c>
      <c r="C343" s="12" t="s">
        <v>270</v>
      </c>
      <c r="D343" s="12" t="s">
        <v>271</v>
      </c>
      <c r="E343" s="12">
        <v>100</v>
      </c>
      <c r="F343" s="12">
        <v>0</v>
      </c>
      <c r="G343" s="72"/>
      <c r="L343" s="12" t="s">
        <v>274</v>
      </c>
      <c r="M343" s="22" t="s">
        <v>275</v>
      </c>
      <c r="N343" s="12" t="s">
        <v>305</v>
      </c>
      <c r="O343" s="12">
        <v>20</v>
      </c>
      <c r="P343" s="12" t="s">
        <v>273</v>
      </c>
      <c r="T343" s="255">
        <v>80</v>
      </c>
      <c r="U343" s="78"/>
      <c r="V343" s="44">
        <v>80</v>
      </c>
      <c r="W343" s="44">
        <v>0</v>
      </c>
      <c r="Y343" s="45">
        <v>342</v>
      </c>
    </row>
    <row r="344" spans="1:25" ht="15.75" customHeight="1">
      <c r="A344" s="233">
        <v>60</v>
      </c>
      <c r="B344" s="75">
        <v>4</v>
      </c>
      <c r="C344" s="12" t="s">
        <v>270</v>
      </c>
      <c r="D344" s="12" t="s">
        <v>271</v>
      </c>
      <c r="E344" s="12">
        <v>100</v>
      </c>
      <c r="F344" s="12">
        <v>0</v>
      </c>
      <c r="G344" s="72"/>
      <c r="L344" s="12" t="s">
        <v>274</v>
      </c>
      <c r="M344" s="22" t="s">
        <v>275</v>
      </c>
      <c r="N344" s="12" t="s">
        <v>305</v>
      </c>
      <c r="O344" s="12">
        <v>35</v>
      </c>
      <c r="P344" s="12" t="s">
        <v>273</v>
      </c>
      <c r="T344" s="255">
        <v>65</v>
      </c>
      <c r="U344" s="78"/>
      <c r="V344" s="44">
        <v>65</v>
      </c>
      <c r="W344" s="44">
        <v>0</v>
      </c>
      <c r="Y344" s="45">
        <v>343</v>
      </c>
    </row>
    <row r="345" spans="1:25" ht="15.75" customHeight="1">
      <c r="A345" s="233">
        <v>60</v>
      </c>
      <c r="B345" s="75">
        <v>5</v>
      </c>
      <c r="C345" s="12" t="s">
        <v>270</v>
      </c>
      <c r="D345" s="12" t="s">
        <v>271</v>
      </c>
      <c r="E345" s="12">
        <v>100</v>
      </c>
      <c r="F345" s="12">
        <v>0</v>
      </c>
      <c r="G345" s="72"/>
      <c r="L345" s="12" t="s">
        <v>274</v>
      </c>
      <c r="M345" s="22" t="s">
        <v>275</v>
      </c>
      <c r="N345" s="12" t="s">
        <v>305</v>
      </c>
      <c r="O345" s="12">
        <v>50</v>
      </c>
      <c r="P345" s="12" t="s">
        <v>273</v>
      </c>
      <c r="T345" s="255">
        <v>50</v>
      </c>
      <c r="U345" s="78"/>
      <c r="V345" s="44">
        <v>50</v>
      </c>
      <c r="W345" s="44">
        <v>0</v>
      </c>
      <c r="Y345" s="45">
        <v>344</v>
      </c>
    </row>
    <row r="346" spans="1:25" ht="15.75" customHeight="1">
      <c r="A346" s="233">
        <v>60</v>
      </c>
      <c r="B346" s="75">
        <v>6</v>
      </c>
      <c r="C346" s="12" t="s">
        <v>270</v>
      </c>
      <c r="D346" s="12" t="s">
        <v>271</v>
      </c>
      <c r="E346" s="12">
        <v>100</v>
      </c>
      <c r="F346" s="12">
        <v>0</v>
      </c>
      <c r="G346" s="72"/>
      <c r="L346" s="12" t="s">
        <v>274</v>
      </c>
      <c r="M346" s="22" t="s">
        <v>275</v>
      </c>
      <c r="N346" s="12" t="s">
        <v>305</v>
      </c>
      <c r="O346" s="12">
        <v>65</v>
      </c>
      <c r="P346" s="12" t="s">
        <v>273</v>
      </c>
      <c r="T346" s="255">
        <v>35</v>
      </c>
      <c r="U346" s="78"/>
      <c r="V346" s="44">
        <v>35</v>
      </c>
      <c r="W346" s="44">
        <v>0</v>
      </c>
      <c r="Y346" s="45">
        <v>345</v>
      </c>
    </row>
    <row r="347" spans="1:25" ht="15.75" customHeight="1">
      <c r="A347" s="233">
        <v>60</v>
      </c>
      <c r="B347" s="75">
        <v>7</v>
      </c>
      <c r="C347" s="12" t="s">
        <v>270</v>
      </c>
      <c r="D347" s="12" t="s">
        <v>271</v>
      </c>
      <c r="E347" s="12">
        <v>100</v>
      </c>
      <c r="F347" s="12">
        <v>0</v>
      </c>
      <c r="G347" s="72"/>
      <c r="L347" s="12" t="s">
        <v>274</v>
      </c>
      <c r="M347" s="22" t="s">
        <v>275</v>
      </c>
      <c r="N347" s="12" t="s">
        <v>305</v>
      </c>
      <c r="O347" s="12">
        <v>80</v>
      </c>
      <c r="P347" s="12" t="s">
        <v>273</v>
      </c>
      <c r="T347" s="255">
        <v>20</v>
      </c>
      <c r="U347" s="78"/>
      <c r="V347" s="44">
        <v>20</v>
      </c>
      <c r="W347" s="44">
        <v>0</v>
      </c>
      <c r="Y347" s="45">
        <v>346</v>
      </c>
    </row>
    <row r="348" spans="1:25" ht="15.75" customHeight="1">
      <c r="A348" s="241">
        <v>60</v>
      </c>
      <c r="B348" s="231">
        <v>8</v>
      </c>
      <c r="C348" s="27" t="s">
        <v>270</v>
      </c>
      <c r="D348" s="27" t="s">
        <v>271</v>
      </c>
      <c r="E348" s="27">
        <v>100</v>
      </c>
      <c r="F348" s="27">
        <v>0</v>
      </c>
      <c r="G348" s="73"/>
      <c r="H348" s="34"/>
      <c r="I348" s="34"/>
      <c r="J348" s="34"/>
      <c r="K348" s="34"/>
      <c r="L348" s="27" t="s">
        <v>274</v>
      </c>
      <c r="M348" s="22" t="s">
        <v>275</v>
      </c>
      <c r="N348" s="27" t="s">
        <v>305</v>
      </c>
      <c r="O348" s="27">
        <v>90</v>
      </c>
      <c r="P348" s="27" t="s">
        <v>273</v>
      </c>
      <c r="Q348" s="34"/>
      <c r="R348" s="34"/>
      <c r="S348" s="34"/>
      <c r="T348" s="256">
        <v>10</v>
      </c>
      <c r="U348" s="78"/>
      <c r="V348" s="44">
        <v>10</v>
      </c>
      <c r="W348" s="44">
        <v>0</v>
      </c>
      <c r="Y348" s="45">
        <v>347</v>
      </c>
    </row>
    <row r="349" spans="1:25" ht="15.75" customHeight="1">
      <c r="A349" s="241">
        <v>61</v>
      </c>
      <c r="B349" s="281">
        <v>1</v>
      </c>
      <c r="C349" s="27" t="s">
        <v>270</v>
      </c>
      <c r="D349" s="27" t="s">
        <v>271</v>
      </c>
      <c r="E349" s="27">
        <v>100</v>
      </c>
      <c r="F349" s="27">
        <v>0</v>
      </c>
      <c r="G349" s="59"/>
      <c r="H349" s="30"/>
      <c r="I349" s="30"/>
      <c r="J349" s="30"/>
      <c r="K349" s="30"/>
      <c r="L349" s="27" t="s">
        <v>274</v>
      </c>
      <c r="M349" s="80" t="s">
        <v>275</v>
      </c>
      <c r="N349" s="27" t="s">
        <v>305</v>
      </c>
      <c r="O349" s="27">
        <v>15.8</v>
      </c>
      <c r="P349" s="27" t="s">
        <v>274</v>
      </c>
      <c r="Q349" s="80" t="s">
        <v>275</v>
      </c>
      <c r="R349" s="27" t="s">
        <v>306</v>
      </c>
      <c r="S349" s="27">
        <v>12.7</v>
      </c>
      <c r="T349" s="256">
        <v>71.5</v>
      </c>
      <c r="U349" s="78"/>
      <c r="V349" s="44">
        <v>71.5</v>
      </c>
      <c r="W349" s="44">
        <v>0</v>
      </c>
      <c r="Y349" s="45">
        <v>348</v>
      </c>
    </row>
    <row r="350" spans="1:25" ht="15.75" customHeight="1">
      <c r="A350" s="16"/>
      <c r="B350" s="22"/>
      <c r="G350" s="58"/>
      <c r="L350" s="22"/>
      <c r="M350" s="22"/>
      <c r="O350" s="22"/>
      <c r="T350" s="81"/>
      <c r="V350" s="44"/>
      <c r="W350" s="44"/>
      <c r="Y350" s="45"/>
    </row>
    <row r="351" spans="1:25" ht="15.75" customHeight="1">
      <c r="A351" s="16"/>
      <c r="B351" s="22"/>
      <c r="G351" s="58"/>
      <c r="L351" s="22"/>
      <c r="M351" s="22"/>
      <c r="O351" s="22"/>
      <c r="T351" s="81"/>
      <c r="V351" s="44"/>
      <c r="W351" s="44"/>
    </row>
    <row r="352" spans="1:25" ht="15.75" customHeight="1">
      <c r="A352" s="16"/>
      <c r="B352" s="22"/>
      <c r="G352" s="58"/>
      <c r="L352" s="22"/>
      <c r="M352" s="22"/>
      <c r="O352" s="22"/>
      <c r="T352" s="81"/>
      <c r="V352" s="44"/>
      <c r="W352" s="44"/>
    </row>
    <row r="353" spans="1:23" ht="15.75" customHeight="1">
      <c r="A353" s="16"/>
      <c r="B353" s="22"/>
      <c r="G353" s="58"/>
      <c r="L353" s="22"/>
      <c r="M353" s="22"/>
      <c r="O353" s="22"/>
      <c r="T353" s="81"/>
      <c r="V353" s="44"/>
      <c r="W353" s="44"/>
    </row>
    <row r="354" spans="1:23" ht="15.75" customHeight="1">
      <c r="A354" s="16"/>
      <c r="B354" s="22"/>
      <c r="G354" s="58"/>
      <c r="L354" s="22"/>
      <c r="M354" s="22"/>
      <c r="O354" s="22"/>
      <c r="T354" s="81"/>
      <c r="V354" s="44"/>
      <c r="W354" s="44"/>
    </row>
    <row r="355" spans="1:23" ht="15.75" customHeight="1">
      <c r="A355" s="16"/>
      <c r="B355" s="22"/>
      <c r="G355" s="58"/>
      <c r="L355" s="22"/>
      <c r="M355" s="22"/>
      <c r="O355" s="22"/>
      <c r="T355" s="81"/>
      <c r="V355" s="44"/>
      <c r="W355" s="44"/>
    </row>
    <row r="356" spans="1:23" ht="15.75" customHeight="1">
      <c r="A356" s="16"/>
      <c r="B356" s="22"/>
      <c r="G356" s="58"/>
      <c r="L356" s="22"/>
      <c r="M356" s="22"/>
      <c r="O356" s="22"/>
      <c r="T356" s="81"/>
      <c r="V356" s="44"/>
      <c r="W356" s="44"/>
    </row>
    <row r="357" spans="1:23" ht="15.75" customHeight="1">
      <c r="A357" s="16"/>
      <c r="B357" s="22"/>
      <c r="G357" s="58"/>
      <c r="L357" s="22"/>
      <c r="M357" s="22"/>
      <c r="O357" s="22"/>
      <c r="T357" s="81"/>
      <c r="V357" s="44"/>
      <c r="W357" s="44"/>
    </row>
    <row r="358" spans="1:23" ht="15.75" customHeight="1">
      <c r="A358" s="16"/>
      <c r="B358" s="22"/>
      <c r="G358" s="58"/>
      <c r="L358" s="22"/>
      <c r="M358" s="22"/>
      <c r="O358" s="22"/>
      <c r="T358" s="81"/>
      <c r="V358" s="44"/>
      <c r="W358" s="44"/>
    </row>
    <row r="359" spans="1:23" ht="15.75" customHeight="1">
      <c r="A359" s="16"/>
      <c r="B359" s="22"/>
      <c r="G359" s="58"/>
      <c r="L359" s="22"/>
      <c r="M359" s="22"/>
      <c r="O359" s="22"/>
      <c r="T359" s="81"/>
      <c r="V359" s="44"/>
      <c r="W359" s="44"/>
    </row>
    <row r="360" spans="1:23" ht="15.75" customHeight="1">
      <c r="A360" s="16"/>
      <c r="B360" s="22"/>
      <c r="G360" s="58"/>
      <c r="L360" s="22"/>
      <c r="M360" s="22"/>
      <c r="O360" s="22"/>
      <c r="T360" s="81"/>
      <c r="V360" s="44"/>
      <c r="W360" s="44"/>
    </row>
    <row r="361" spans="1:23" ht="15.75" customHeight="1">
      <c r="A361" s="16"/>
      <c r="B361" s="22"/>
      <c r="G361" s="58"/>
      <c r="L361" s="22"/>
      <c r="M361" s="22"/>
      <c r="O361" s="22"/>
      <c r="T361" s="81"/>
      <c r="V361" s="44"/>
      <c r="W361" s="44"/>
    </row>
    <row r="362" spans="1:23" ht="15.75" customHeight="1">
      <c r="A362" s="16"/>
      <c r="B362" s="22"/>
      <c r="G362" s="58"/>
      <c r="L362" s="22"/>
      <c r="M362" s="22"/>
      <c r="O362" s="22"/>
      <c r="T362" s="81"/>
      <c r="V362" s="44"/>
      <c r="W362" s="44"/>
    </row>
    <row r="363" spans="1:23" ht="15.75" customHeight="1">
      <c r="A363" s="16"/>
      <c r="B363" s="22"/>
      <c r="G363" s="58"/>
      <c r="L363" s="22"/>
      <c r="M363" s="22"/>
      <c r="O363" s="22"/>
      <c r="T363" s="81"/>
      <c r="V363" s="44"/>
      <c r="W363" s="44"/>
    </row>
    <row r="364" spans="1:23" ht="15.75" customHeight="1">
      <c r="A364" s="16"/>
      <c r="B364" s="22"/>
      <c r="G364" s="58"/>
      <c r="L364" s="22"/>
      <c r="M364" s="22"/>
      <c r="O364" s="22"/>
      <c r="T364" s="81"/>
      <c r="V364" s="44"/>
      <c r="W364" s="44"/>
    </row>
    <row r="365" spans="1:23" ht="15.75" customHeight="1">
      <c r="A365" s="16"/>
      <c r="B365" s="22"/>
      <c r="G365" s="58"/>
      <c r="L365" s="22"/>
      <c r="M365" s="22"/>
      <c r="O365" s="22"/>
      <c r="T365" s="81"/>
      <c r="V365" s="44"/>
      <c r="W365" s="44"/>
    </row>
    <row r="366" spans="1:23" ht="15.75" customHeight="1">
      <c r="A366" s="16"/>
      <c r="B366" s="22"/>
      <c r="G366" s="58"/>
      <c r="L366" s="22"/>
      <c r="M366" s="22"/>
      <c r="O366" s="22"/>
      <c r="T366" s="81"/>
      <c r="V366" s="44"/>
      <c r="W366" s="44"/>
    </row>
    <row r="367" spans="1:23" ht="15.75" customHeight="1">
      <c r="A367" s="16"/>
      <c r="B367" s="22"/>
      <c r="G367" s="58"/>
      <c r="L367" s="22"/>
      <c r="M367" s="22"/>
      <c r="O367" s="22"/>
      <c r="T367" s="81"/>
      <c r="V367" s="44"/>
      <c r="W367" s="44"/>
    </row>
    <row r="368" spans="1:23" ht="15.75" customHeight="1">
      <c r="A368" s="16"/>
      <c r="B368" s="22"/>
      <c r="G368" s="58"/>
      <c r="L368" s="22"/>
      <c r="M368" s="22"/>
      <c r="O368" s="22"/>
      <c r="T368" s="81"/>
      <c r="V368" s="44"/>
      <c r="W368" s="44"/>
    </row>
    <row r="369" spans="1:23" ht="15.75" customHeight="1">
      <c r="A369" s="16"/>
      <c r="B369" s="22"/>
      <c r="G369" s="58"/>
      <c r="L369" s="22"/>
      <c r="M369" s="22"/>
      <c r="O369" s="22"/>
      <c r="T369" s="81"/>
      <c r="V369" s="44"/>
      <c r="W369" s="44"/>
    </row>
    <row r="370" spans="1:23" ht="15.75" customHeight="1">
      <c r="A370" s="16"/>
      <c r="B370" s="22"/>
      <c r="G370" s="58"/>
      <c r="L370" s="22"/>
      <c r="M370" s="22"/>
      <c r="O370" s="22"/>
      <c r="T370" s="81"/>
      <c r="V370" s="44"/>
      <c r="W370" s="44"/>
    </row>
    <row r="371" spans="1:23" ht="15.75" customHeight="1">
      <c r="A371" s="16"/>
      <c r="B371" s="22"/>
      <c r="G371" s="58"/>
      <c r="L371" s="22"/>
      <c r="M371" s="22"/>
      <c r="O371" s="22"/>
      <c r="T371" s="81"/>
      <c r="V371" s="44"/>
      <c r="W371" s="44"/>
    </row>
    <row r="372" spans="1:23" ht="15.75" customHeight="1">
      <c r="A372" s="16"/>
      <c r="B372" s="22"/>
      <c r="G372" s="58"/>
      <c r="L372" s="22"/>
      <c r="M372" s="22"/>
      <c r="O372" s="22"/>
      <c r="T372" s="81"/>
      <c r="V372" s="44"/>
      <c r="W372" s="44"/>
    </row>
    <row r="373" spans="1:23" ht="15.75" customHeight="1">
      <c r="A373" s="16"/>
      <c r="B373" s="22"/>
      <c r="G373" s="58"/>
      <c r="L373" s="22"/>
      <c r="M373" s="22"/>
      <c r="O373" s="22"/>
      <c r="T373" s="81"/>
      <c r="V373" s="44"/>
      <c r="W373" s="44"/>
    </row>
    <row r="374" spans="1:23" ht="15.75" customHeight="1">
      <c r="A374" s="16"/>
      <c r="B374" s="22"/>
      <c r="G374" s="58"/>
      <c r="L374" s="22"/>
      <c r="M374" s="22"/>
      <c r="O374" s="22"/>
      <c r="T374" s="81"/>
      <c r="V374" s="44"/>
      <c r="W374" s="44"/>
    </row>
    <row r="375" spans="1:23" ht="15.75" customHeight="1">
      <c r="A375" s="16"/>
      <c r="B375" s="22"/>
      <c r="G375" s="58"/>
      <c r="L375" s="22"/>
      <c r="M375" s="22"/>
      <c r="O375" s="22"/>
      <c r="T375" s="81"/>
      <c r="V375" s="44"/>
      <c r="W375" s="44"/>
    </row>
    <row r="376" spans="1:23" ht="15.75" customHeight="1">
      <c r="A376" s="16"/>
      <c r="B376" s="22"/>
      <c r="G376" s="58"/>
      <c r="L376" s="22"/>
      <c r="M376" s="22"/>
      <c r="O376" s="22"/>
      <c r="T376" s="81"/>
      <c r="V376" s="44"/>
      <c r="W376" s="44"/>
    </row>
    <row r="377" spans="1:23" ht="15.75" customHeight="1">
      <c r="A377" s="16"/>
      <c r="B377" s="22"/>
      <c r="G377" s="58"/>
      <c r="L377" s="22"/>
      <c r="M377" s="22"/>
      <c r="O377" s="22"/>
      <c r="T377" s="81"/>
      <c r="V377" s="44"/>
      <c r="W377" s="44"/>
    </row>
    <row r="378" spans="1:23" ht="15.75" customHeight="1">
      <c r="A378" s="16"/>
      <c r="B378" s="22"/>
      <c r="G378" s="58"/>
      <c r="L378" s="22"/>
      <c r="M378" s="22"/>
      <c r="O378" s="22"/>
      <c r="T378" s="81"/>
      <c r="V378" s="44"/>
      <c r="W378" s="44"/>
    </row>
    <row r="379" spans="1:23" ht="15.75" customHeight="1">
      <c r="A379" s="16"/>
      <c r="B379" s="22"/>
      <c r="G379" s="58"/>
      <c r="L379" s="22"/>
      <c r="M379" s="22"/>
      <c r="O379" s="22"/>
      <c r="T379" s="81"/>
      <c r="V379" s="44"/>
      <c r="W379" s="44"/>
    </row>
    <row r="380" spans="1:23" ht="15.75" customHeight="1">
      <c r="A380" s="16"/>
      <c r="B380" s="22"/>
      <c r="G380" s="58"/>
      <c r="L380" s="22"/>
      <c r="M380" s="22"/>
      <c r="O380" s="22"/>
      <c r="T380" s="81"/>
      <c r="V380" s="44"/>
      <c r="W380" s="44"/>
    </row>
    <row r="381" spans="1:23" ht="15.75" customHeight="1">
      <c r="A381" s="16"/>
      <c r="B381" s="22"/>
      <c r="G381" s="58"/>
      <c r="L381" s="22"/>
      <c r="M381" s="22"/>
      <c r="O381" s="22"/>
      <c r="T381" s="81"/>
      <c r="V381" s="44"/>
      <c r="W381" s="44"/>
    </row>
    <row r="382" spans="1:23" ht="15.75" customHeight="1">
      <c r="A382" s="16"/>
      <c r="B382" s="22"/>
      <c r="G382" s="58"/>
      <c r="L382" s="22"/>
      <c r="M382" s="22"/>
      <c r="O382" s="22"/>
      <c r="T382" s="81"/>
      <c r="V382" s="44"/>
      <c r="W382" s="44"/>
    </row>
    <row r="383" spans="1:23" ht="15.75" customHeight="1">
      <c r="A383" s="16"/>
      <c r="B383" s="22"/>
      <c r="G383" s="58"/>
      <c r="L383" s="22"/>
      <c r="M383" s="22"/>
      <c r="O383" s="22"/>
      <c r="T383" s="81"/>
      <c r="V383" s="44"/>
      <c r="W383" s="44"/>
    </row>
    <row r="384" spans="1:23" ht="15.75" customHeight="1">
      <c r="A384" s="16"/>
      <c r="B384" s="22"/>
      <c r="G384" s="58"/>
      <c r="L384" s="22"/>
      <c r="M384" s="22"/>
      <c r="O384" s="22"/>
      <c r="T384" s="81"/>
      <c r="V384" s="44"/>
      <c r="W384" s="44"/>
    </row>
    <row r="385" spans="1:23" ht="15.75" customHeight="1">
      <c r="A385" s="16"/>
      <c r="B385" s="22"/>
      <c r="G385" s="58"/>
      <c r="L385" s="22"/>
      <c r="M385" s="22"/>
      <c r="O385" s="22"/>
      <c r="T385" s="81"/>
      <c r="V385" s="44"/>
      <c r="W385" s="44"/>
    </row>
    <row r="386" spans="1:23" ht="15.75" customHeight="1">
      <c r="A386" s="16"/>
      <c r="B386" s="22"/>
      <c r="G386" s="58"/>
      <c r="L386" s="22"/>
      <c r="M386" s="22"/>
      <c r="O386" s="22"/>
      <c r="T386" s="81"/>
      <c r="V386" s="44"/>
      <c r="W386" s="44"/>
    </row>
    <row r="387" spans="1:23" ht="15.75" customHeight="1">
      <c r="A387" s="16"/>
      <c r="B387" s="22"/>
      <c r="G387" s="58"/>
      <c r="L387" s="22"/>
      <c r="M387" s="22"/>
      <c r="O387" s="22"/>
      <c r="T387" s="81"/>
      <c r="V387" s="44"/>
      <c r="W387" s="44"/>
    </row>
    <row r="388" spans="1:23" ht="15.75" customHeight="1">
      <c r="A388" s="16"/>
      <c r="B388" s="22"/>
      <c r="G388" s="58"/>
      <c r="L388" s="22"/>
      <c r="M388" s="22"/>
      <c r="O388" s="22"/>
      <c r="T388" s="81"/>
      <c r="V388" s="44"/>
      <c r="W388" s="44"/>
    </row>
    <row r="389" spans="1:23" ht="15.75" customHeight="1">
      <c r="A389" s="16"/>
      <c r="B389" s="22"/>
      <c r="G389" s="58"/>
      <c r="L389" s="22"/>
      <c r="M389" s="22"/>
      <c r="O389" s="22"/>
      <c r="T389" s="81"/>
      <c r="V389" s="44"/>
      <c r="W389" s="44"/>
    </row>
    <row r="390" spans="1:23" ht="15.75" customHeight="1">
      <c r="A390" s="16"/>
      <c r="B390" s="22"/>
      <c r="G390" s="58"/>
      <c r="L390" s="22"/>
      <c r="M390" s="22"/>
      <c r="O390" s="22"/>
      <c r="T390" s="81"/>
      <c r="V390" s="44"/>
      <c r="W390" s="44"/>
    </row>
    <row r="391" spans="1:23" ht="15.75" customHeight="1">
      <c r="A391" s="16"/>
      <c r="B391" s="22"/>
      <c r="G391" s="58"/>
      <c r="L391" s="22"/>
      <c r="M391" s="22"/>
      <c r="O391" s="22"/>
      <c r="T391" s="81"/>
      <c r="V391" s="44"/>
      <c r="W391" s="44"/>
    </row>
    <row r="392" spans="1:23" ht="15.75" customHeight="1">
      <c r="A392" s="16"/>
      <c r="B392" s="22"/>
      <c r="G392" s="58"/>
      <c r="L392" s="22"/>
      <c r="M392" s="22"/>
      <c r="O392" s="22"/>
      <c r="T392" s="81"/>
      <c r="V392" s="44"/>
      <c r="W392" s="44"/>
    </row>
    <row r="393" spans="1:23" ht="15.75" customHeight="1">
      <c r="A393" s="16"/>
      <c r="B393" s="22"/>
      <c r="G393" s="58"/>
      <c r="L393" s="22"/>
      <c r="M393" s="22"/>
      <c r="O393" s="22"/>
      <c r="T393" s="81"/>
      <c r="V393" s="44"/>
      <c r="W393" s="44"/>
    </row>
    <row r="394" spans="1:23" ht="15.75" customHeight="1">
      <c r="A394" s="16"/>
      <c r="B394" s="22"/>
      <c r="G394" s="58"/>
      <c r="L394" s="22"/>
      <c r="M394" s="22"/>
      <c r="O394" s="22"/>
      <c r="T394" s="81"/>
      <c r="V394" s="44"/>
      <c r="W394" s="44"/>
    </row>
    <row r="395" spans="1:23" ht="15.75" customHeight="1">
      <c r="A395" s="16"/>
      <c r="B395" s="22"/>
      <c r="G395" s="58"/>
      <c r="L395" s="22"/>
      <c r="M395" s="22"/>
      <c r="O395" s="22"/>
      <c r="T395" s="81"/>
      <c r="V395" s="44"/>
      <c r="W395" s="44"/>
    </row>
    <row r="396" spans="1:23" ht="15.75" customHeight="1">
      <c r="A396" s="16"/>
      <c r="B396" s="22"/>
      <c r="G396" s="58"/>
      <c r="L396" s="22"/>
      <c r="M396" s="22"/>
      <c r="O396" s="22"/>
      <c r="T396" s="81"/>
      <c r="V396" s="44"/>
      <c r="W396" s="44"/>
    </row>
    <row r="397" spans="1:23" ht="15.75" customHeight="1">
      <c r="A397" s="16"/>
      <c r="B397" s="22"/>
      <c r="G397" s="58"/>
      <c r="L397" s="22"/>
      <c r="M397" s="22"/>
      <c r="O397" s="22"/>
      <c r="T397" s="81"/>
      <c r="V397" s="44"/>
      <c r="W397" s="44"/>
    </row>
    <row r="398" spans="1:23" ht="15.75" customHeight="1">
      <c r="A398" s="16"/>
      <c r="B398" s="22"/>
      <c r="G398" s="58"/>
      <c r="L398" s="22"/>
      <c r="M398" s="22"/>
      <c r="O398" s="22"/>
      <c r="T398" s="81"/>
      <c r="V398" s="44"/>
      <c r="W398" s="44"/>
    </row>
    <row r="399" spans="1:23" ht="15.75" customHeight="1">
      <c r="A399" s="16"/>
      <c r="B399" s="22"/>
      <c r="G399" s="58"/>
      <c r="L399" s="22"/>
      <c r="M399" s="22"/>
      <c r="O399" s="22"/>
      <c r="T399" s="81"/>
      <c r="V399" s="44"/>
      <c r="W399" s="44"/>
    </row>
    <row r="400" spans="1:23" ht="15.75" customHeight="1">
      <c r="A400" s="16"/>
      <c r="B400" s="22"/>
      <c r="G400" s="58"/>
      <c r="L400" s="22"/>
      <c r="M400" s="22"/>
      <c r="O400" s="22"/>
      <c r="T400" s="81"/>
      <c r="V400" s="44"/>
      <c r="W400" s="44"/>
    </row>
    <row r="401" spans="1:23" ht="15.75" customHeight="1">
      <c r="A401" s="16"/>
      <c r="B401" s="22"/>
      <c r="G401" s="58"/>
      <c r="L401" s="22"/>
      <c r="M401" s="22"/>
      <c r="O401" s="22"/>
      <c r="T401" s="81"/>
      <c r="V401" s="44"/>
      <c r="W401" s="44"/>
    </row>
    <row r="402" spans="1:23" ht="15.75" customHeight="1">
      <c r="A402" s="16"/>
      <c r="B402" s="22"/>
      <c r="G402" s="58"/>
      <c r="L402" s="22"/>
      <c r="M402" s="22"/>
      <c r="O402" s="22"/>
      <c r="T402" s="81"/>
      <c r="V402" s="44"/>
      <c r="W402" s="44"/>
    </row>
    <row r="403" spans="1:23" ht="15.75" customHeight="1">
      <c r="A403" s="16"/>
      <c r="B403" s="22"/>
      <c r="G403" s="58"/>
      <c r="L403" s="22"/>
      <c r="M403" s="22"/>
      <c r="O403" s="22"/>
      <c r="T403" s="81"/>
      <c r="V403" s="44"/>
      <c r="W403" s="44"/>
    </row>
    <row r="404" spans="1:23" ht="15.75" customHeight="1">
      <c r="A404" s="16"/>
      <c r="B404" s="22"/>
      <c r="G404" s="58"/>
      <c r="L404" s="22"/>
      <c r="M404" s="22"/>
      <c r="O404" s="22"/>
      <c r="T404" s="81"/>
      <c r="V404" s="44"/>
      <c r="W404" s="44"/>
    </row>
    <row r="405" spans="1:23" ht="15.75" customHeight="1">
      <c r="A405" s="16"/>
      <c r="B405" s="22"/>
      <c r="G405" s="58"/>
      <c r="L405" s="22"/>
      <c r="M405" s="22"/>
      <c r="O405" s="22"/>
      <c r="T405" s="81"/>
      <c r="V405" s="44"/>
      <c r="W405" s="44"/>
    </row>
    <row r="406" spans="1:23" ht="15.75" customHeight="1">
      <c r="A406" s="16"/>
      <c r="B406" s="22"/>
      <c r="G406" s="58"/>
      <c r="L406" s="22"/>
      <c r="M406" s="22"/>
      <c r="O406" s="22"/>
      <c r="T406" s="81"/>
      <c r="V406" s="44"/>
      <c r="W406" s="44"/>
    </row>
    <row r="407" spans="1:23" ht="15.75" customHeight="1">
      <c r="A407" s="16"/>
      <c r="B407" s="22"/>
      <c r="G407" s="58"/>
      <c r="L407" s="22"/>
      <c r="M407" s="22"/>
      <c r="O407" s="22"/>
      <c r="T407" s="81"/>
      <c r="V407" s="44"/>
      <c r="W407" s="44"/>
    </row>
    <row r="408" spans="1:23" ht="15.75" customHeight="1">
      <c r="A408" s="16"/>
      <c r="B408" s="22"/>
      <c r="G408" s="58"/>
      <c r="L408" s="22"/>
      <c r="M408" s="22"/>
      <c r="O408" s="22"/>
      <c r="T408" s="81"/>
      <c r="V408" s="44"/>
      <c r="W408" s="44"/>
    </row>
    <row r="409" spans="1:23" ht="15.75" customHeight="1">
      <c r="A409" s="16"/>
      <c r="B409" s="22"/>
      <c r="G409" s="58"/>
      <c r="L409" s="22"/>
      <c r="M409" s="22"/>
      <c r="O409" s="22"/>
      <c r="T409" s="81"/>
      <c r="V409" s="44"/>
      <c r="W409" s="44"/>
    </row>
    <row r="410" spans="1:23" ht="15.75" customHeight="1">
      <c r="A410" s="16"/>
      <c r="B410" s="22"/>
      <c r="G410" s="58"/>
      <c r="L410" s="22"/>
      <c r="M410" s="22"/>
      <c r="O410" s="22"/>
      <c r="T410" s="81"/>
      <c r="V410" s="44"/>
      <c r="W410" s="44"/>
    </row>
    <row r="411" spans="1:23" ht="15.75" customHeight="1">
      <c r="A411" s="16"/>
      <c r="B411" s="22"/>
      <c r="G411" s="58"/>
      <c r="L411" s="22"/>
      <c r="M411" s="22"/>
      <c r="O411" s="22"/>
      <c r="T411" s="81"/>
      <c r="V411" s="44"/>
      <c r="W411" s="44"/>
    </row>
    <row r="412" spans="1:23" ht="15.75" customHeight="1">
      <c r="A412" s="16"/>
      <c r="B412" s="22"/>
      <c r="G412" s="58"/>
      <c r="L412" s="22"/>
      <c r="M412" s="22"/>
      <c r="O412" s="22"/>
      <c r="T412" s="81"/>
      <c r="V412" s="44"/>
      <c r="W412" s="44"/>
    </row>
    <row r="413" spans="1:23" ht="15.75" customHeight="1">
      <c r="A413" s="16"/>
      <c r="B413" s="22"/>
      <c r="G413" s="58"/>
      <c r="L413" s="22"/>
      <c r="M413" s="22"/>
      <c r="O413" s="22"/>
      <c r="T413" s="81"/>
      <c r="V413" s="44"/>
      <c r="W413" s="44"/>
    </row>
    <row r="414" spans="1:23" ht="15.75" customHeight="1">
      <c r="A414" s="16"/>
      <c r="B414" s="22"/>
      <c r="G414" s="58"/>
      <c r="L414" s="22"/>
      <c r="M414" s="22"/>
      <c r="O414" s="22"/>
      <c r="T414" s="81"/>
      <c r="V414" s="44"/>
      <c r="W414" s="44"/>
    </row>
    <row r="415" spans="1:23" ht="15.75" customHeight="1">
      <c r="A415" s="16"/>
      <c r="B415" s="22"/>
      <c r="G415" s="58"/>
      <c r="L415" s="22"/>
      <c r="M415" s="22"/>
      <c r="O415" s="22"/>
      <c r="T415" s="81"/>
      <c r="V415" s="44"/>
      <c r="W415" s="44"/>
    </row>
    <row r="416" spans="1:23" ht="15.75" customHeight="1">
      <c r="A416" s="16"/>
      <c r="B416" s="22"/>
      <c r="G416" s="58"/>
      <c r="L416" s="22"/>
      <c r="M416" s="22"/>
      <c r="O416" s="22"/>
      <c r="T416" s="81"/>
      <c r="V416" s="44"/>
      <c r="W416" s="44"/>
    </row>
    <row r="417" spans="1:23" ht="15.75" customHeight="1">
      <c r="A417" s="16"/>
      <c r="B417" s="22"/>
      <c r="G417" s="58"/>
      <c r="L417" s="22"/>
      <c r="M417" s="22"/>
      <c r="O417" s="22"/>
      <c r="T417" s="81"/>
      <c r="V417" s="44"/>
      <c r="W417" s="44"/>
    </row>
    <row r="418" spans="1:23" ht="15.75" customHeight="1">
      <c r="A418" s="16"/>
      <c r="B418" s="22"/>
      <c r="G418" s="58"/>
      <c r="L418" s="22"/>
      <c r="M418" s="22"/>
      <c r="O418" s="22"/>
      <c r="T418" s="81"/>
      <c r="V418" s="44"/>
      <c r="W418" s="44"/>
    </row>
    <row r="419" spans="1:23" ht="15.75" customHeight="1">
      <c r="A419" s="16"/>
      <c r="B419" s="22"/>
      <c r="G419" s="58"/>
      <c r="L419" s="22"/>
      <c r="M419" s="22"/>
      <c r="O419" s="22"/>
      <c r="T419" s="81"/>
      <c r="V419" s="44"/>
      <c r="W419" s="44"/>
    </row>
    <row r="420" spans="1:23" ht="15.75" customHeight="1">
      <c r="A420" s="16"/>
      <c r="B420" s="22"/>
      <c r="G420" s="58"/>
      <c r="L420" s="22"/>
      <c r="M420" s="22"/>
      <c r="O420" s="22"/>
      <c r="T420" s="81"/>
      <c r="V420" s="44"/>
      <c r="W420" s="44"/>
    </row>
    <row r="421" spans="1:23" ht="15.75" customHeight="1">
      <c r="A421" s="16"/>
      <c r="B421" s="22"/>
      <c r="G421" s="58"/>
      <c r="L421" s="22"/>
      <c r="M421" s="22"/>
      <c r="O421" s="22"/>
      <c r="T421" s="81"/>
      <c r="V421" s="44"/>
      <c r="W421" s="44"/>
    </row>
    <row r="422" spans="1:23" ht="15.75" customHeight="1">
      <c r="A422" s="16"/>
      <c r="B422" s="22"/>
      <c r="G422" s="58"/>
      <c r="L422" s="22"/>
      <c r="M422" s="22"/>
      <c r="O422" s="22"/>
      <c r="T422" s="81"/>
      <c r="V422" s="44"/>
      <c r="W422" s="44"/>
    </row>
    <row r="423" spans="1:23" ht="15.75" customHeight="1">
      <c r="A423" s="16"/>
      <c r="B423" s="22"/>
      <c r="G423" s="58"/>
      <c r="L423" s="22"/>
      <c r="M423" s="22"/>
      <c r="O423" s="22"/>
      <c r="T423" s="81"/>
      <c r="V423" s="44"/>
      <c r="W423" s="44"/>
    </row>
    <row r="424" spans="1:23" ht="15.75" customHeight="1">
      <c r="A424" s="16"/>
      <c r="B424" s="22"/>
      <c r="G424" s="58"/>
      <c r="L424" s="22"/>
      <c r="M424" s="22"/>
      <c r="O424" s="22"/>
      <c r="T424" s="81"/>
      <c r="V424" s="44"/>
      <c r="W424" s="44"/>
    </row>
    <row r="425" spans="1:23" ht="15.75" customHeight="1">
      <c r="A425" s="16"/>
      <c r="B425" s="22"/>
      <c r="G425" s="58"/>
      <c r="L425" s="22"/>
      <c r="M425" s="22"/>
      <c r="O425" s="22"/>
      <c r="T425" s="81"/>
      <c r="V425" s="44"/>
      <c r="W425" s="44"/>
    </row>
    <row r="426" spans="1:23" ht="15.75" customHeight="1">
      <c r="A426" s="16"/>
      <c r="B426" s="22"/>
      <c r="G426" s="58"/>
      <c r="L426" s="22"/>
      <c r="M426" s="22"/>
      <c r="O426" s="22"/>
      <c r="T426" s="81"/>
      <c r="V426" s="44"/>
      <c r="W426" s="44"/>
    </row>
    <row r="427" spans="1:23" ht="15.75" customHeight="1">
      <c r="A427" s="16"/>
      <c r="B427" s="22"/>
      <c r="G427" s="58"/>
      <c r="L427" s="22"/>
      <c r="M427" s="22"/>
      <c r="O427" s="22"/>
      <c r="T427" s="81"/>
      <c r="V427" s="44"/>
      <c r="W427" s="44"/>
    </row>
    <row r="428" spans="1:23" ht="15.75" customHeight="1">
      <c r="A428" s="16"/>
      <c r="B428" s="22"/>
      <c r="G428" s="58"/>
      <c r="L428" s="22"/>
      <c r="M428" s="22"/>
      <c r="O428" s="22"/>
      <c r="T428" s="81"/>
      <c r="V428" s="44"/>
      <c r="W428" s="44"/>
    </row>
    <row r="429" spans="1:23" ht="15.75" customHeight="1">
      <c r="A429" s="16"/>
      <c r="B429" s="22"/>
      <c r="G429" s="58"/>
      <c r="L429" s="22"/>
      <c r="M429" s="22"/>
      <c r="O429" s="22"/>
      <c r="T429" s="81"/>
      <c r="V429" s="44"/>
      <c r="W429" s="44"/>
    </row>
    <row r="430" spans="1:23" ht="15.75" customHeight="1">
      <c r="A430" s="16"/>
      <c r="B430" s="22"/>
      <c r="G430" s="58"/>
      <c r="L430" s="22"/>
      <c r="M430" s="22"/>
      <c r="O430" s="22"/>
      <c r="T430" s="81"/>
      <c r="V430" s="44"/>
      <c r="W430" s="44"/>
    </row>
    <row r="431" spans="1:23" ht="15.75" customHeight="1">
      <c r="A431" s="16"/>
      <c r="B431" s="22"/>
      <c r="G431" s="58"/>
      <c r="L431" s="22"/>
      <c r="M431" s="22"/>
      <c r="O431" s="22"/>
      <c r="T431" s="81"/>
      <c r="V431" s="44"/>
      <c r="W431" s="44"/>
    </row>
    <row r="432" spans="1:23" ht="15.75" customHeight="1">
      <c r="A432" s="16"/>
      <c r="B432" s="22"/>
      <c r="G432" s="58"/>
      <c r="L432" s="22"/>
      <c r="M432" s="22"/>
      <c r="O432" s="22"/>
      <c r="T432" s="81"/>
      <c r="V432" s="44"/>
      <c r="W432" s="44"/>
    </row>
    <row r="433" spans="1:23" ht="15.75" customHeight="1">
      <c r="A433" s="16"/>
      <c r="B433" s="22"/>
      <c r="G433" s="58"/>
      <c r="L433" s="22"/>
      <c r="M433" s="22"/>
      <c r="O433" s="22"/>
      <c r="T433" s="81"/>
      <c r="V433" s="44"/>
      <c r="W433" s="44"/>
    </row>
    <row r="434" spans="1:23" ht="15.75" customHeight="1">
      <c r="A434" s="16"/>
      <c r="B434" s="22"/>
      <c r="G434" s="58"/>
      <c r="L434" s="22"/>
      <c r="M434" s="22"/>
      <c r="O434" s="22"/>
      <c r="T434" s="81"/>
      <c r="V434" s="44"/>
      <c r="W434" s="44"/>
    </row>
    <row r="435" spans="1:23" ht="15.75" customHeight="1">
      <c r="A435" s="16"/>
      <c r="B435" s="22"/>
      <c r="G435" s="58"/>
      <c r="L435" s="22"/>
      <c r="M435" s="22"/>
      <c r="O435" s="22"/>
      <c r="T435" s="81"/>
      <c r="V435" s="44"/>
      <c r="W435" s="44"/>
    </row>
    <row r="436" spans="1:23" ht="15.75" customHeight="1">
      <c r="A436" s="16"/>
      <c r="B436" s="22"/>
      <c r="G436" s="58"/>
      <c r="L436" s="22"/>
      <c r="M436" s="22"/>
      <c r="O436" s="22"/>
      <c r="T436" s="81"/>
      <c r="V436" s="44"/>
      <c r="W436" s="44"/>
    </row>
    <row r="437" spans="1:23" ht="15.75" customHeight="1">
      <c r="A437" s="16"/>
      <c r="B437" s="22"/>
      <c r="G437" s="58"/>
      <c r="L437" s="22"/>
      <c r="M437" s="22"/>
      <c r="O437" s="22"/>
      <c r="T437" s="81"/>
      <c r="V437" s="44"/>
      <c r="W437" s="44"/>
    </row>
    <row r="438" spans="1:23" ht="15.75" customHeight="1">
      <c r="A438" s="16"/>
      <c r="B438" s="22"/>
      <c r="G438" s="58"/>
      <c r="L438" s="22"/>
      <c r="M438" s="22"/>
      <c r="O438" s="22"/>
      <c r="T438" s="81"/>
      <c r="V438" s="44"/>
      <c r="W438" s="44"/>
    </row>
    <row r="439" spans="1:23" ht="15.75" customHeight="1">
      <c r="A439" s="16"/>
      <c r="B439" s="22"/>
      <c r="G439" s="58"/>
      <c r="L439" s="22"/>
      <c r="M439" s="22"/>
      <c r="O439" s="22"/>
      <c r="T439" s="81"/>
      <c r="V439" s="44"/>
      <c r="W439" s="44"/>
    </row>
    <row r="440" spans="1:23" ht="15.75" customHeight="1">
      <c r="A440" s="16"/>
      <c r="B440" s="22"/>
      <c r="G440" s="58"/>
      <c r="L440" s="22"/>
      <c r="M440" s="22"/>
      <c r="O440" s="22"/>
      <c r="T440" s="81"/>
      <c r="V440" s="44"/>
      <c r="W440" s="44"/>
    </row>
    <row r="441" spans="1:23" ht="15.75" customHeight="1">
      <c r="A441" s="16"/>
      <c r="B441" s="22"/>
      <c r="G441" s="58"/>
      <c r="L441" s="22"/>
      <c r="M441" s="22"/>
      <c r="O441" s="22"/>
      <c r="T441" s="81"/>
      <c r="V441" s="44"/>
      <c r="W441" s="44"/>
    </row>
    <row r="442" spans="1:23" ht="15.75" customHeight="1">
      <c r="A442" s="16"/>
      <c r="B442" s="22"/>
      <c r="G442" s="58"/>
      <c r="L442" s="22"/>
      <c r="M442" s="22"/>
      <c r="O442" s="22"/>
      <c r="T442" s="81"/>
      <c r="V442" s="44"/>
      <c r="W442" s="44"/>
    </row>
    <row r="443" spans="1:23" ht="15.75" customHeight="1">
      <c r="A443" s="16"/>
      <c r="B443" s="22"/>
      <c r="G443" s="58"/>
      <c r="L443" s="22"/>
      <c r="M443" s="22"/>
      <c r="O443" s="22"/>
      <c r="T443" s="81"/>
      <c r="V443" s="44"/>
      <c r="W443" s="44"/>
    </row>
    <row r="444" spans="1:23" ht="15.75" customHeight="1">
      <c r="A444" s="16"/>
      <c r="B444" s="22"/>
      <c r="G444" s="58"/>
      <c r="L444" s="22"/>
      <c r="M444" s="22"/>
      <c r="O444" s="22"/>
      <c r="T444" s="81"/>
      <c r="V444" s="44"/>
      <c r="W444" s="44"/>
    </row>
    <row r="445" spans="1:23" ht="15.75" customHeight="1">
      <c r="A445" s="16"/>
      <c r="B445" s="22"/>
      <c r="G445" s="58"/>
      <c r="L445" s="22"/>
      <c r="M445" s="22"/>
      <c r="O445" s="22"/>
      <c r="T445" s="81"/>
      <c r="V445" s="44"/>
      <c r="W445" s="44"/>
    </row>
    <row r="446" spans="1:23" ht="15.75" customHeight="1">
      <c r="A446" s="16"/>
      <c r="B446" s="22"/>
      <c r="G446" s="58"/>
      <c r="L446" s="22"/>
      <c r="M446" s="22"/>
      <c r="O446" s="22"/>
      <c r="T446" s="81"/>
      <c r="V446" s="44"/>
      <c r="W446" s="44"/>
    </row>
    <row r="447" spans="1:23" ht="15.75" customHeight="1">
      <c r="A447" s="16"/>
      <c r="B447" s="22"/>
      <c r="G447" s="58"/>
      <c r="L447" s="22"/>
      <c r="M447" s="22"/>
      <c r="O447" s="22"/>
      <c r="T447" s="81"/>
      <c r="V447" s="44"/>
      <c r="W447" s="44"/>
    </row>
    <row r="448" spans="1:23" ht="15.75" customHeight="1">
      <c r="A448" s="16"/>
      <c r="B448" s="22"/>
      <c r="G448" s="58"/>
      <c r="L448" s="22"/>
      <c r="M448" s="22"/>
      <c r="O448" s="22"/>
      <c r="T448" s="81"/>
      <c r="V448" s="44"/>
      <c r="W448" s="44"/>
    </row>
    <row r="449" spans="1:23" ht="15.75" customHeight="1">
      <c r="A449" s="16"/>
      <c r="B449" s="22"/>
      <c r="G449" s="58"/>
      <c r="L449" s="22"/>
      <c r="M449" s="22"/>
      <c r="O449" s="22"/>
      <c r="T449" s="81"/>
      <c r="V449" s="44"/>
      <c r="W449" s="44"/>
    </row>
    <row r="450" spans="1:23" ht="15.75" customHeight="1">
      <c r="A450" s="16"/>
      <c r="B450" s="22"/>
      <c r="G450" s="58"/>
      <c r="L450" s="22"/>
      <c r="M450" s="22"/>
      <c r="O450" s="22"/>
      <c r="T450" s="81"/>
      <c r="V450" s="44"/>
      <c r="W450" s="44"/>
    </row>
    <row r="451" spans="1:23" ht="15.75" customHeight="1">
      <c r="A451" s="16"/>
      <c r="B451" s="22"/>
      <c r="G451" s="58"/>
      <c r="L451" s="22"/>
      <c r="M451" s="22"/>
      <c r="O451" s="22"/>
      <c r="T451" s="81"/>
      <c r="V451" s="44"/>
      <c r="W451" s="44"/>
    </row>
    <row r="452" spans="1:23" ht="15.75" customHeight="1">
      <c r="A452" s="16"/>
      <c r="B452" s="22"/>
      <c r="G452" s="58"/>
      <c r="L452" s="22"/>
      <c r="M452" s="22"/>
      <c r="O452" s="22"/>
      <c r="T452" s="81"/>
      <c r="V452" s="44"/>
      <c r="W452" s="44"/>
    </row>
    <row r="453" spans="1:23" ht="15.75" customHeight="1">
      <c r="A453" s="16"/>
      <c r="B453" s="22"/>
      <c r="G453" s="58"/>
      <c r="L453" s="22"/>
      <c r="M453" s="22"/>
      <c r="O453" s="22"/>
      <c r="T453" s="81"/>
      <c r="V453" s="44"/>
      <c r="W453" s="44"/>
    </row>
    <row r="454" spans="1:23" ht="15.75" customHeight="1">
      <c r="A454" s="16"/>
      <c r="B454" s="22"/>
      <c r="G454" s="58"/>
      <c r="L454" s="22"/>
      <c r="M454" s="22"/>
      <c r="O454" s="22"/>
      <c r="T454" s="81"/>
      <c r="V454" s="44"/>
      <c r="W454" s="44"/>
    </row>
    <row r="455" spans="1:23" ht="15.75" customHeight="1">
      <c r="A455" s="16"/>
      <c r="B455" s="22"/>
      <c r="G455" s="58"/>
      <c r="L455" s="22"/>
      <c r="M455" s="22"/>
      <c r="O455" s="22"/>
      <c r="T455" s="81"/>
      <c r="V455" s="44"/>
      <c r="W455" s="44"/>
    </row>
    <row r="456" spans="1:23" ht="15.75" customHeight="1">
      <c r="A456" s="16"/>
      <c r="B456" s="22"/>
      <c r="G456" s="58"/>
      <c r="L456" s="22"/>
      <c r="M456" s="22"/>
      <c r="O456" s="22"/>
      <c r="T456" s="81"/>
      <c r="V456" s="44"/>
      <c r="W456" s="44"/>
    </row>
    <row r="457" spans="1:23" ht="15.75" customHeight="1">
      <c r="A457" s="16"/>
      <c r="B457" s="22"/>
      <c r="G457" s="58"/>
      <c r="L457" s="22"/>
      <c r="M457" s="22"/>
      <c r="O457" s="22"/>
      <c r="T457" s="81"/>
      <c r="V457" s="44"/>
      <c r="W457" s="44"/>
    </row>
    <row r="458" spans="1:23" ht="15.75" customHeight="1">
      <c r="A458" s="16"/>
      <c r="B458" s="22"/>
      <c r="G458" s="58"/>
      <c r="L458" s="22"/>
      <c r="M458" s="22"/>
      <c r="O458" s="22"/>
      <c r="T458" s="81"/>
      <c r="V458" s="44"/>
      <c r="W458" s="44"/>
    </row>
    <row r="459" spans="1:23" ht="15.75" customHeight="1">
      <c r="A459" s="16"/>
      <c r="B459" s="22"/>
      <c r="G459" s="58"/>
      <c r="L459" s="22"/>
      <c r="M459" s="22"/>
      <c r="O459" s="22"/>
      <c r="T459" s="81"/>
      <c r="V459" s="44"/>
      <c r="W459" s="44"/>
    </row>
    <row r="460" spans="1:23" ht="15.75" customHeight="1">
      <c r="A460" s="16"/>
      <c r="B460" s="22"/>
      <c r="G460" s="58"/>
      <c r="L460" s="22"/>
      <c r="M460" s="22"/>
      <c r="O460" s="22"/>
      <c r="T460" s="81"/>
      <c r="V460" s="44"/>
      <c r="W460" s="44"/>
    </row>
    <row r="461" spans="1:23" ht="15.75" customHeight="1">
      <c r="A461" s="16"/>
      <c r="B461" s="22"/>
      <c r="G461" s="58"/>
      <c r="L461" s="22"/>
      <c r="M461" s="22"/>
      <c r="O461" s="22"/>
      <c r="T461" s="81"/>
      <c r="V461" s="44"/>
      <c r="W461" s="44"/>
    </row>
    <row r="462" spans="1:23" ht="15.75" customHeight="1">
      <c r="A462" s="16"/>
      <c r="B462" s="22"/>
      <c r="G462" s="58"/>
      <c r="L462" s="22"/>
      <c r="M462" s="22"/>
      <c r="O462" s="22"/>
      <c r="T462" s="81"/>
      <c r="V462" s="44"/>
      <c r="W462" s="44"/>
    </row>
    <row r="463" spans="1:23" ht="15.75" customHeight="1">
      <c r="A463" s="16"/>
      <c r="B463" s="22"/>
      <c r="G463" s="58"/>
      <c r="L463" s="22"/>
      <c r="M463" s="22"/>
      <c r="O463" s="22"/>
      <c r="T463" s="81"/>
      <c r="V463" s="44"/>
      <c r="W463" s="44"/>
    </row>
    <row r="464" spans="1:23" ht="15.75" customHeight="1">
      <c r="A464" s="16"/>
      <c r="B464" s="22"/>
      <c r="G464" s="58"/>
      <c r="L464" s="22"/>
      <c r="M464" s="22"/>
      <c r="O464" s="22"/>
      <c r="T464" s="81"/>
      <c r="V464" s="44"/>
      <c r="W464" s="44"/>
    </row>
    <row r="465" spans="1:23" ht="15.75" customHeight="1">
      <c r="A465" s="16"/>
      <c r="B465" s="22"/>
      <c r="G465" s="58"/>
      <c r="L465" s="22"/>
      <c r="M465" s="22"/>
      <c r="O465" s="22"/>
      <c r="T465" s="81"/>
      <c r="V465" s="44"/>
      <c r="W465" s="44"/>
    </row>
    <row r="466" spans="1:23" ht="15.75" customHeight="1">
      <c r="A466" s="16"/>
      <c r="B466" s="22"/>
      <c r="G466" s="58"/>
      <c r="L466" s="22"/>
      <c r="M466" s="22"/>
      <c r="O466" s="22"/>
      <c r="T466" s="81"/>
      <c r="V466" s="44"/>
      <c r="W466" s="44"/>
    </row>
    <row r="467" spans="1:23" ht="15.75" customHeight="1">
      <c r="A467" s="16"/>
      <c r="B467" s="22"/>
      <c r="G467" s="58"/>
      <c r="L467" s="22"/>
      <c r="M467" s="22"/>
      <c r="O467" s="22"/>
      <c r="T467" s="81"/>
      <c r="V467" s="44"/>
      <c r="W467" s="44"/>
    </row>
    <row r="468" spans="1:23" ht="15.75" customHeight="1">
      <c r="A468" s="16"/>
      <c r="B468" s="22"/>
      <c r="G468" s="58"/>
      <c r="L468" s="22"/>
      <c r="M468" s="22"/>
      <c r="O468" s="22"/>
      <c r="T468" s="81"/>
      <c r="V468" s="44"/>
      <c r="W468" s="44"/>
    </row>
    <row r="469" spans="1:23" ht="15.75" customHeight="1">
      <c r="A469" s="16"/>
      <c r="B469" s="22"/>
      <c r="G469" s="58"/>
      <c r="L469" s="22"/>
      <c r="M469" s="22"/>
      <c r="O469" s="22"/>
      <c r="T469" s="81"/>
      <c r="V469" s="44"/>
      <c r="W469" s="44"/>
    </row>
    <row r="470" spans="1:23" ht="15.75" customHeight="1">
      <c r="A470" s="16"/>
      <c r="B470" s="22"/>
      <c r="G470" s="58"/>
      <c r="L470" s="22"/>
      <c r="M470" s="22"/>
      <c r="O470" s="22"/>
      <c r="T470" s="81"/>
      <c r="V470" s="44"/>
      <c r="W470" s="44"/>
    </row>
    <row r="471" spans="1:23" ht="15.75" customHeight="1">
      <c r="A471" s="16"/>
      <c r="B471" s="22"/>
      <c r="G471" s="58"/>
      <c r="L471" s="22"/>
      <c r="M471" s="22"/>
      <c r="O471" s="22"/>
      <c r="T471" s="81"/>
      <c r="V471" s="44"/>
      <c r="W471" s="44"/>
    </row>
    <row r="472" spans="1:23" ht="15.75" customHeight="1">
      <c r="A472" s="16"/>
      <c r="B472" s="22"/>
      <c r="G472" s="58"/>
      <c r="L472" s="22"/>
      <c r="M472" s="22"/>
      <c r="O472" s="22"/>
      <c r="T472" s="81"/>
      <c r="V472" s="44"/>
      <c r="W472" s="44"/>
    </row>
    <row r="473" spans="1:23" ht="15.75" customHeight="1">
      <c r="A473" s="16"/>
      <c r="B473" s="22"/>
      <c r="G473" s="58"/>
      <c r="L473" s="22"/>
      <c r="M473" s="22"/>
      <c r="O473" s="22"/>
      <c r="T473" s="81"/>
      <c r="V473" s="44"/>
      <c r="W473" s="44"/>
    </row>
    <row r="474" spans="1:23" ht="15.75" customHeight="1">
      <c r="A474" s="16"/>
      <c r="B474" s="22"/>
      <c r="G474" s="58"/>
      <c r="L474" s="22"/>
      <c r="M474" s="22"/>
      <c r="O474" s="22"/>
      <c r="T474" s="81"/>
      <c r="V474" s="44"/>
      <c r="W474" s="44"/>
    </row>
    <row r="475" spans="1:23" ht="15.75" customHeight="1">
      <c r="A475" s="16"/>
      <c r="B475" s="22"/>
      <c r="G475" s="58"/>
      <c r="L475" s="22"/>
      <c r="M475" s="22"/>
      <c r="O475" s="22"/>
      <c r="T475" s="81"/>
      <c r="V475" s="44"/>
      <c r="W475" s="44"/>
    </row>
    <row r="476" spans="1:23" ht="15.75" customHeight="1">
      <c r="A476" s="16"/>
      <c r="B476" s="22"/>
      <c r="G476" s="58"/>
      <c r="L476" s="22"/>
      <c r="M476" s="22"/>
      <c r="O476" s="22"/>
      <c r="T476" s="81"/>
      <c r="V476" s="44"/>
      <c r="W476" s="44"/>
    </row>
    <row r="477" spans="1:23" ht="15.75" customHeight="1">
      <c r="A477" s="16"/>
      <c r="B477" s="22"/>
      <c r="G477" s="58"/>
      <c r="L477" s="22"/>
      <c r="M477" s="22"/>
      <c r="O477" s="22"/>
      <c r="T477" s="81"/>
      <c r="V477" s="44"/>
      <c r="W477" s="44"/>
    </row>
    <row r="478" spans="1:23" ht="15.75" customHeight="1">
      <c r="A478" s="16"/>
      <c r="B478" s="22"/>
      <c r="G478" s="58"/>
      <c r="L478" s="22"/>
      <c r="M478" s="22"/>
      <c r="O478" s="22"/>
      <c r="T478" s="81"/>
      <c r="V478" s="44"/>
      <c r="W478" s="44"/>
    </row>
    <row r="479" spans="1:23" ht="15.75" customHeight="1">
      <c r="A479" s="16"/>
      <c r="B479" s="22"/>
      <c r="G479" s="58"/>
      <c r="L479" s="22"/>
      <c r="M479" s="22"/>
      <c r="O479" s="22"/>
      <c r="T479" s="81"/>
      <c r="V479" s="44"/>
      <c r="W479" s="44"/>
    </row>
    <row r="480" spans="1:23" ht="15.75" customHeight="1">
      <c r="A480" s="16"/>
      <c r="B480" s="22"/>
      <c r="G480" s="58"/>
      <c r="L480" s="22"/>
      <c r="M480" s="22"/>
      <c r="O480" s="22"/>
      <c r="T480" s="81"/>
      <c r="V480" s="44"/>
      <c r="W480" s="44"/>
    </row>
    <row r="481" spans="1:23" ht="15.75" customHeight="1">
      <c r="A481" s="16"/>
      <c r="B481" s="22"/>
      <c r="G481" s="58"/>
      <c r="L481" s="22"/>
      <c r="M481" s="22"/>
      <c r="O481" s="22"/>
      <c r="T481" s="81"/>
      <c r="V481" s="44"/>
      <c r="W481" s="44"/>
    </row>
    <row r="482" spans="1:23" ht="15.75" customHeight="1">
      <c r="A482" s="16"/>
      <c r="B482" s="22"/>
      <c r="G482" s="58"/>
      <c r="L482" s="22"/>
      <c r="M482" s="22"/>
      <c r="O482" s="22"/>
      <c r="T482" s="81"/>
      <c r="V482" s="44"/>
      <c r="W482" s="44"/>
    </row>
    <row r="483" spans="1:23" ht="15.75" customHeight="1">
      <c r="A483" s="16"/>
      <c r="B483" s="22"/>
      <c r="G483" s="58"/>
      <c r="L483" s="22"/>
      <c r="M483" s="22"/>
      <c r="O483" s="22"/>
      <c r="T483" s="81"/>
      <c r="V483" s="44"/>
      <c r="W483" s="44"/>
    </row>
    <row r="484" spans="1:23" ht="15.75" customHeight="1">
      <c r="A484" s="16"/>
      <c r="B484" s="22"/>
      <c r="G484" s="58"/>
      <c r="L484" s="22"/>
      <c r="M484" s="22"/>
      <c r="O484" s="22"/>
      <c r="T484" s="81"/>
      <c r="V484" s="44"/>
      <c r="W484" s="44"/>
    </row>
    <row r="485" spans="1:23" ht="15.75" customHeight="1">
      <c r="A485" s="16"/>
      <c r="B485" s="22"/>
      <c r="G485" s="58"/>
      <c r="L485" s="22"/>
      <c r="M485" s="22"/>
      <c r="O485" s="22"/>
      <c r="T485" s="81"/>
      <c r="V485" s="44"/>
      <c r="W485" s="44"/>
    </row>
    <row r="486" spans="1:23" ht="15.75" customHeight="1">
      <c r="A486" s="16"/>
      <c r="B486" s="22"/>
      <c r="G486" s="58"/>
      <c r="L486" s="22"/>
      <c r="M486" s="22"/>
      <c r="O486" s="22"/>
      <c r="T486" s="81"/>
      <c r="V486" s="44"/>
      <c r="W486" s="44"/>
    </row>
    <row r="487" spans="1:23" ht="15.75" customHeight="1">
      <c r="A487" s="16"/>
      <c r="B487" s="22"/>
      <c r="G487" s="58"/>
      <c r="L487" s="22"/>
      <c r="M487" s="22"/>
      <c r="O487" s="22"/>
      <c r="T487" s="81"/>
      <c r="V487" s="44"/>
      <c r="W487" s="44"/>
    </row>
    <row r="488" spans="1:23" ht="15.75" customHeight="1">
      <c r="A488" s="16"/>
      <c r="B488" s="22"/>
      <c r="G488" s="58"/>
      <c r="L488" s="22"/>
      <c r="M488" s="22"/>
      <c r="O488" s="22"/>
      <c r="T488" s="81"/>
      <c r="V488" s="44"/>
      <c r="W488" s="44"/>
    </row>
    <row r="489" spans="1:23" ht="15.75" customHeight="1">
      <c r="A489" s="16"/>
      <c r="B489" s="22"/>
      <c r="G489" s="58"/>
      <c r="L489" s="22"/>
      <c r="M489" s="22"/>
      <c r="O489" s="22"/>
      <c r="T489" s="81"/>
      <c r="V489" s="44"/>
      <c r="W489" s="44"/>
    </row>
    <row r="490" spans="1:23" ht="15.75" customHeight="1">
      <c r="A490" s="16"/>
      <c r="B490" s="22"/>
      <c r="G490" s="58"/>
      <c r="L490" s="22"/>
      <c r="M490" s="22"/>
      <c r="O490" s="22"/>
      <c r="T490" s="81"/>
      <c r="V490" s="44"/>
      <c r="W490" s="44"/>
    </row>
    <row r="491" spans="1:23" ht="15.75" customHeight="1">
      <c r="A491" s="16"/>
      <c r="B491" s="22"/>
      <c r="G491" s="58"/>
      <c r="L491" s="22"/>
      <c r="M491" s="22"/>
      <c r="O491" s="22"/>
      <c r="T491" s="81"/>
      <c r="V491" s="44"/>
      <c r="W491" s="44"/>
    </row>
    <row r="492" spans="1:23" ht="15.75" customHeight="1">
      <c r="A492" s="16"/>
      <c r="B492" s="22"/>
      <c r="G492" s="58"/>
      <c r="L492" s="22"/>
      <c r="M492" s="22"/>
      <c r="O492" s="22"/>
      <c r="T492" s="81"/>
      <c r="V492" s="44"/>
      <c r="W492" s="44"/>
    </row>
    <row r="493" spans="1:23" ht="15.75" customHeight="1">
      <c r="A493" s="16"/>
      <c r="B493" s="22"/>
      <c r="G493" s="58"/>
      <c r="L493" s="22"/>
      <c r="M493" s="22"/>
      <c r="O493" s="22"/>
      <c r="T493" s="81"/>
      <c r="V493" s="44"/>
      <c r="W493" s="44"/>
    </row>
    <row r="494" spans="1:23" ht="15.75" customHeight="1">
      <c r="A494" s="16"/>
      <c r="B494" s="22"/>
      <c r="G494" s="58"/>
      <c r="L494" s="22"/>
      <c r="M494" s="22"/>
      <c r="O494" s="22"/>
      <c r="T494" s="81"/>
      <c r="V494" s="44"/>
      <c r="W494" s="44"/>
    </row>
    <row r="495" spans="1:23" ht="15.75" customHeight="1">
      <c r="A495" s="16"/>
      <c r="B495" s="22"/>
      <c r="G495" s="58"/>
      <c r="L495" s="22"/>
      <c r="M495" s="22"/>
      <c r="O495" s="22"/>
      <c r="T495" s="81"/>
      <c r="V495" s="44"/>
      <c r="W495" s="44"/>
    </row>
    <row r="496" spans="1:23" ht="15.75" customHeight="1">
      <c r="A496" s="16"/>
      <c r="B496" s="22"/>
      <c r="G496" s="58"/>
      <c r="J496" s="1"/>
      <c r="L496" s="22"/>
      <c r="M496" s="22"/>
      <c r="O496" s="22"/>
      <c r="T496" s="81"/>
      <c r="V496" s="44"/>
      <c r="W496" s="44"/>
    </row>
    <row r="497" spans="7:23" ht="15.75" customHeight="1">
      <c r="G497" s="22"/>
      <c r="M497" s="61"/>
      <c r="O497" s="22"/>
      <c r="T497" s="81"/>
      <c r="V497" s="44"/>
      <c r="W497" s="44"/>
    </row>
    <row r="498" spans="7:23" ht="15.75" customHeight="1">
      <c r="G498" s="22"/>
      <c r="M498" s="61"/>
      <c r="O498" s="22"/>
      <c r="T498" s="81"/>
      <c r="V498" s="44"/>
      <c r="W498" s="44"/>
    </row>
    <row r="499" spans="7:23" ht="15.75" customHeight="1">
      <c r="G499" s="22"/>
      <c r="M499" s="61"/>
      <c r="O499" s="22"/>
      <c r="T499" s="81"/>
      <c r="V499" s="44"/>
      <c r="W499" s="44"/>
    </row>
    <row r="500" spans="7:23" ht="15.75" customHeight="1">
      <c r="G500" s="22"/>
      <c r="M500" s="61"/>
      <c r="O500" s="22"/>
      <c r="T500" s="81"/>
      <c r="V500" s="44"/>
      <c r="W500" s="44"/>
    </row>
    <row r="501" spans="7:23" ht="15.75" customHeight="1">
      <c r="G501" s="22"/>
      <c r="M501" s="61"/>
      <c r="O501" s="22"/>
      <c r="T501" s="81"/>
      <c r="V501" s="44"/>
      <c r="W501" s="44"/>
    </row>
    <row r="502" spans="7:23" ht="15.75" customHeight="1">
      <c r="G502" s="22"/>
      <c r="M502" s="61"/>
      <c r="O502" s="22"/>
      <c r="T502" s="81"/>
      <c r="V502" s="44"/>
      <c r="W502" s="44"/>
    </row>
    <row r="503" spans="7:23" ht="15.75" customHeight="1">
      <c r="G503" s="22"/>
      <c r="M503" s="61"/>
      <c r="O503" s="22"/>
      <c r="T503" s="81"/>
      <c r="V503" s="44"/>
      <c r="W503" s="44"/>
    </row>
    <row r="504" spans="7:23" ht="15.75" customHeight="1">
      <c r="G504" s="22"/>
      <c r="M504" s="61"/>
      <c r="O504" s="22"/>
      <c r="T504" s="81"/>
      <c r="V504" s="44"/>
      <c r="W504" s="44"/>
    </row>
    <row r="505" spans="7:23" ht="15.75" customHeight="1">
      <c r="G505" s="22"/>
      <c r="M505" s="61"/>
      <c r="O505" s="22"/>
      <c r="T505" s="81"/>
      <c r="V505" s="44"/>
      <c r="W505" s="44"/>
    </row>
    <row r="506" spans="7:23" ht="15.75" customHeight="1">
      <c r="G506" s="22"/>
      <c r="M506" s="61"/>
      <c r="O506" s="22"/>
      <c r="T506" s="81"/>
      <c r="V506" s="44"/>
      <c r="W506" s="44"/>
    </row>
    <row r="507" spans="7:23" ht="15.75" customHeight="1">
      <c r="G507" s="22"/>
      <c r="M507" s="61"/>
      <c r="O507" s="22"/>
      <c r="T507" s="81"/>
      <c r="V507" s="44"/>
      <c r="W507" s="44"/>
    </row>
    <row r="508" spans="7:23" ht="15.75" customHeight="1">
      <c r="G508" s="22"/>
      <c r="M508" s="61"/>
      <c r="O508" s="22"/>
      <c r="T508" s="81"/>
      <c r="V508" s="44"/>
      <c r="W508" s="44"/>
    </row>
    <row r="509" spans="7:23" ht="15.75" customHeight="1">
      <c r="G509" s="22"/>
      <c r="M509" s="61"/>
      <c r="O509" s="22"/>
      <c r="T509" s="81"/>
      <c r="V509" s="44"/>
      <c r="W509" s="44"/>
    </row>
    <row r="510" spans="7:23" ht="15.75" customHeight="1">
      <c r="G510" s="22"/>
      <c r="M510" s="61"/>
      <c r="O510" s="22"/>
      <c r="T510" s="81"/>
      <c r="V510" s="44"/>
      <c r="W510" s="44"/>
    </row>
    <row r="511" spans="7:23" ht="15.75" customHeight="1">
      <c r="G511" s="22"/>
      <c r="M511" s="61"/>
      <c r="O511" s="22"/>
      <c r="T511" s="81"/>
      <c r="V511" s="44"/>
      <c r="W511" s="44"/>
    </row>
    <row r="512" spans="7:23" ht="15.75" customHeight="1">
      <c r="G512" s="22"/>
      <c r="M512" s="61"/>
      <c r="O512" s="22"/>
      <c r="T512" s="81"/>
      <c r="V512" s="44"/>
      <c r="W512" s="44"/>
    </row>
    <row r="513" spans="7:23" ht="15.75" customHeight="1">
      <c r="G513" s="22"/>
      <c r="M513" s="61"/>
      <c r="O513" s="22"/>
      <c r="T513" s="81"/>
      <c r="V513" s="44"/>
      <c r="W513" s="44"/>
    </row>
    <row r="514" spans="7:23" ht="15.75" customHeight="1">
      <c r="G514" s="22"/>
      <c r="M514" s="61"/>
      <c r="O514" s="22"/>
      <c r="T514" s="81"/>
      <c r="V514" s="44"/>
      <c r="W514" s="44"/>
    </row>
    <row r="515" spans="7:23" ht="15.75" customHeight="1">
      <c r="G515" s="22"/>
      <c r="M515" s="61"/>
      <c r="O515" s="22"/>
      <c r="T515" s="81"/>
      <c r="V515" s="44"/>
      <c r="W515" s="44"/>
    </row>
    <row r="516" spans="7:23" ht="15.75" customHeight="1">
      <c r="G516" s="22"/>
      <c r="M516" s="61"/>
      <c r="O516" s="22"/>
      <c r="T516" s="81"/>
      <c r="V516" s="44"/>
      <c r="W516" s="44"/>
    </row>
    <row r="517" spans="7:23" ht="15.75" customHeight="1">
      <c r="G517" s="22"/>
      <c r="M517" s="61"/>
      <c r="O517" s="22"/>
      <c r="T517" s="81"/>
      <c r="V517" s="44"/>
      <c r="W517" s="44"/>
    </row>
    <row r="518" spans="7:23" ht="15.75" customHeight="1">
      <c r="G518" s="22"/>
      <c r="M518" s="61"/>
      <c r="O518" s="22"/>
      <c r="T518" s="81"/>
      <c r="V518" s="44"/>
      <c r="W518" s="44"/>
    </row>
    <row r="519" spans="7:23" ht="15.75" customHeight="1">
      <c r="G519" s="22"/>
      <c r="M519" s="61"/>
      <c r="O519" s="22"/>
      <c r="T519" s="81"/>
      <c r="V519" s="44"/>
      <c r="W519" s="44"/>
    </row>
    <row r="520" spans="7:23" ht="15.75" customHeight="1">
      <c r="G520" s="22"/>
      <c r="M520" s="61"/>
      <c r="O520" s="22"/>
      <c r="T520" s="81"/>
      <c r="V520" s="44"/>
      <c r="W520" s="44"/>
    </row>
    <row r="521" spans="7:23" ht="15.75" customHeight="1">
      <c r="G521" s="22"/>
      <c r="M521" s="61"/>
      <c r="O521" s="22"/>
      <c r="T521" s="81"/>
      <c r="V521" s="44"/>
      <c r="W521" s="44"/>
    </row>
    <row r="522" spans="7:23" ht="15.75" customHeight="1">
      <c r="G522" s="22"/>
      <c r="M522" s="61"/>
      <c r="O522" s="22"/>
      <c r="T522" s="81"/>
      <c r="V522" s="44"/>
      <c r="W522" s="44"/>
    </row>
    <row r="523" spans="7:23" ht="15.75" customHeight="1">
      <c r="G523" s="22"/>
      <c r="M523" s="61"/>
      <c r="O523" s="22"/>
      <c r="T523" s="81"/>
      <c r="V523" s="44"/>
      <c r="W523" s="44"/>
    </row>
    <row r="524" spans="7:23" ht="15.75" customHeight="1">
      <c r="G524" s="22"/>
      <c r="M524" s="61"/>
      <c r="O524" s="22"/>
      <c r="T524" s="81"/>
      <c r="V524" s="44"/>
      <c r="W524" s="44"/>
    </row>
    <row r="525" spans="7:23" ht="15.75" customHeight="1">
      <c r="G525" s="22"/>
      <c r="M525" s="61"/>
      <c r="O525" s="22"/>
      <c r="T525" s="81"/>
      <c r="V525" s="44"/>
      <c r="W525" s="44"/>
    </row>
    <row r="526" spans="7:23" ht="15.75" customHeight="1">
      <c r="G526" s="22"/>
      <c r="M526" s="61"/>
      <c r="O526" s="22"/>
      <c r="T526" s="81"/>
      <c r="V526" s="44"/>
      <c r="W526" s="44"/>
    </row>
    <row r="527" spans="7:23" ht="15.75" customHeight="1">
      <c r="G527" s="22"/>
      <c r="M527" s="61"/>
      <c r="O527" s="22"/>
      <c r="T527" s="81"/>
      <c r="V527" s="44"/>
      <c r="W527" s="44"/>
    </row>
    <row r="528" spans="7:23" ht="15.75" customHeight="1">
      <c r="G528" s="22"/>
      <c r="M528" s="61"/>
      <c r="O528" s="22"/>
      <c r="T528" s="81"/>
      <c r="V528" s="44"/>
      <c r="W528" s="44"/>
    </row>
    <row r="529" spans="7:23" ht="15.75" customHeight="1">
      <c r="G529" s="22"/>
      <c r="M529" s="61"/>
      <c r="O529" s="22"/>
      <c r="T529" s="81"/>
      <c r="V529" s="44"/>
      <c r="W529" s="44"/>
    </row>
    <row r="530" spans="7:23" ht="15.75" customHeight="1">
      <c r="G530" s="22"/>
      <c r="M530" s="61"/>
      <c r="O530" s="22"/>
      <c r="T530" s="81"/>
      <c r="V530" s="44"/>
      <c r="W530" s="44"/>
    </row>
    <row r="531" spans="7:23" ht="15.75" customHeight="1">
      <c r="G531" s="22"/>
      <c r="M531" s="61"/>
      <c r="O531" s="22"/>
      <c r="T531" s="81"/>
      <c r="V531" s="44"/>
      <c r="W531" s="44"/>
    </row>
    <row r="532" spans="7:23" ht="15.75" customHeight="1">
      <c r="G532" s="22"/>
      <c r="M532" s="61"/>
      <c r="O532" s="22"/>
      <c r="T532" s="81"/>
      <c r="V532" s="44"/>
      <c r="W532" s="44"/>
    </row>
    <row r="533" spans="7:23" ht="15.75" customHeight="1">
      <c r="G533" s="22"/>
      <c r="M533" s="61"/>
      <c r="O533" s="22"/>
      <c r="T533" s="81"/>
      <c r="V533" s="44"/>
      <c r="W533" s="44"/>
    </row>
    <row r="534" spans="7:23" ht="15.75" customHeight="1">
      <c r="G534" s="22"/>
      <c r="M534" s="61"/>
      <c r="O534" s="22"/>
      <c r="T534" s="81"/>
      <c r="V534" s="44"/>
      <c r="W534" s="44"/>
    </row>
    <row r="535" spans="7:23" ht="15.75" customHeight="1">
      <c r="G535" s="22"/>
      <c r="M535" s="61"/>
      <c r="O535" s="22"/>
      <c r="T535" s="81"/>
      <c r="V535" s="44"/>
      <c r="W535" s="44"/>
    </row>
    <row r="536" spans="7:23" ht="15.75" customHeight="1">
      <c r="G536" s="22"/>
      <c r="M536" s="61"/>
      <c r="O536" s="22"/>
      <c r="T536" s="81"/>
      <c r="V536" s="44"/>
      <c r="W536" s="44"/>
    </row>
    <row r="537" spans="7:23" ht="15.75" customHeight="1">
      <c r="G537" s="22"/>
      <c r="M537" s="61"/>
      <c r="O537" s="22"/>
      <c r="T537" s="81"/>
      <c r="V537" s="44"/>
      <c r="W537" s="44"/>
    </row>
    <row r="538" spans="7:23" ht="15.75" customHeight="1">
      <c r="G538" s="22"/>
      <c r="M538" s="61"/>
      <c r="O538" s="22"/>
      <c r="T538" s="81"/>
      <c r="V538" s="44"/>
      <c r="W538" s="44"/>
    </row>
    <row r="539" spans="7:23" ht="15.75" customHeight="1">
      <c r="G539" s="22"/>
      <c r="M539" s="61"/>
      <c r="O539" s="22"/>
      <c r="T539" s="81"/>
      <c r="V539" s="44"/>
      <c r="W539" s="44"/>
    </row>
    <row r="540" spans="7:23" ht="15.75" customHeight="1">
      <c r="G540" s="22"/>
      <c r="M540" s="61"/>
      <c r="O540" s="22"/>
      <c r="T540" s="81"/>
      <c r="V540" s="44"/>
      <c r="W540" s="44"/>
    </row>
    <row r="541" spans="7:23" ht="15.75" customHeight="1">
      <c r="G541" s="22"/>
      <c r="M541" s="61"/>
      <c r="O541" s="22"/>
      <c r="T541" s="81"/>
      <c r="V541" s="44"/>
      <c r="W541" s="44"/>
    </row>
    <row r="542" spans="7:23" ht="15.75" customHeight="1">
      <c r="G542" s="22"/>
      <c r="M542" s="61"/>
      <c r="O542" s="22"/>
      <c r="T542" s="81"/>
      <c r="V542" s="44"/>
      <c r="W542" s="44"/>
    </row>
    <row r="543" spans="7:23" ht="15.75" customHeight="1">
      <c r="G543" s="22"/>
      <c r="M543" s="61"/>
      <c r="O543" s="22"/>
      <c r="T543" s="81"/>
      <c r="V543" s="44"/>
      <c r="W543" s="44"/>
    </row>
    <row r="544" spans="7:23" ht="15.75" customHeight="1">
      <c r="G544" s="22"/>
      <c r="M544" s="61"/>
      <c r="O544" s="22"/>
      <c r="T544" s="81"/>
      <c r="V544" s="44"/>
      <c r="W544" s="44"/>
    </row>
    <row r="545" spans="7:23" ht="15.75" customHeight="1">
      <c r="G545" s="22"/>
      <c r="M545" s="61"/>
      <c r="O545" s="22"/>
      <c r="T545" s="81"/>
      <c r="V545" s="44"/>
      <c r="W545" s="44"/>
    </row>
    <row r="546" spans="7:23" ht="15.75" customHeight="1">
      <c r="G546" s="22"/>
      <c r="M546" s="61"/>
      <c r="O546" s="22"/>
      <c r="T546" s="81"/>
      <c r="V546" s="44"/>
      <c r="W546" s="44"/>
    </row>
    <row r="547" spans="7:23" ht="15.75" customHeight="1">
      <c r="G547" s="22"/>
      <c r="M547" s="61"/>
      <c r="O547" s="22"/>
      <c r="T547" s="81"/>
      <c r="V547" s="44"/>
      <c r="W547" s="44"/>
    </row>
    <row r="548" spans="7:23" ht="15.75" customHeight="1">
      <c r="G548" s="22"/>
      <c r="M548" s="61"/>
      <c r="O548" s="22"/>
      <c r="T548" s="81"/>
      <c r="V548" s="44"/>
      <c r="W548" s="44"/>
    </row>
    <row r="549" spans="7:23" ht="15.75" customHeight="1">
      <c r="G549" s="22"/>
      <c r="M549" s="61"/>
      <c r="O549" s="22"/>
      <c r="T549" s="81"/>
      <c r="V549" s="44"/>
      <c r="W549" s="44"/>
    </row>
    <row r="550" spans="7:23" ht="15.75" customHeight="1">
      <c r="G550" s="22"/>
      <c r="M550" s="61"/>
      <c r="O550" s="22"/>
      <c r="T550" s="81"/>
      <c r="V550" s="44"/>
      <c r="W550" s="44"/>
    </row>
    <row r="551" spans="7:23" ht="15.75" customHeight="1">
      <c r="G551" s="22"/>
      <c r="M551" s="61"/>
      <c r="O551" s="22"/>
      <c r="T551" s="81"/>
      <c r="V551" s="44"/>
      <c r="W551" s="44"/>
    </row>
    <row r="552" spans="7:23" ht="15.75" customHeight="1">
      <c r="G552" s="22"/>
      <c r="M552" s="61"/>
      <c r="O552" s="22"/>
      <c r="T552" s="81"/>
      <c r="V552" s="44"/>
      <c r="W552" s="44"/>
    </row>
    <row r="553" spans="7:23" ht="15.75" customHeight="1">
      <c r="G553" s="22"/>
      <c r="M553" s="61"/>
      <c r="O553" s="22"/>
      <c r="T553" s="81"/>
      <c r="V553" s="44"/>
      <c r="W553" s="44"/>
    </row>
    <row r="554" spans="7:23" ht="15.75" customHeight="1">
      <c r="G554" s="22"/>
      <c r="M554" s="61"/>
      <c r="O554" s="22"/>
      <c r="T554" s="81"/>
      <c r="V554" s="44"/>
      <c r="W554" s="44"/>
    </row>
    <row r="555" spans="7:23" ht="15.75" customHeight="1">
      <c r="G555" s="22"/>
      <c r="M555" s="61"/>
      <c r="O555" s="22"/>
      <c r="T555" s="81"/>
      <c r="V555" s="44"/>
      <c r="W555" s="44"/>
    </row>
    <row r="556" spans="7:23" ht="15.75" customHeight="1">
      <c r="G556" s="22"/>
      <c r="M556" s="61"/>
      <c r="O556" s="22"/>
      <c r="T556" s="81"/>
      <c r="V556" s="44"/>
      <c r="W556" s="44"/>
    </row>
    <row r="557" spans="7:23" ht="15.75" customHeight="1">
      <c r="G557" s="22"/>
      <c r="M557" s="61"/>
      <c r="O557" s="22"/>
      <c r="T557" s="81"/>
      <c r="V557" s="44"/>
      <c r="W557" s="44"/>
    </row>
    <row r="558" spans="7:23" ht="15.75" customHeight="1">
      <c r="G558" s="22"/>
      <c r="M558" s="61"/>
      <c r="O558" s="22"/>
      <c r="T558" s="81"/>
      <c r="V558" s="44"/>
      <c r="W558" s="44"/>
    </row>
    <row r="559" spans="7:23" ht="15.75" customHeight="1">
      <c r="G559" s="22"/>
      <c r="M559" s="61"/>
      <c r="O559" s="22"/>
      <c r="T559" s="81"/>
      <c r="V559" s="44"/>
      <c r="W559" s="44"/>
    </row>
    <row r="560" spans="7:23" ht="15.75" customHeight="1">
      <c r="G560" s="22"/>
      <c r="M560" s="61"/>
      <c r="O560" s="22"/>
      <c r="T560" s="81"/>
      <c r="V560" s="44"/>
      <c r="W560" s="44"/>
    </row>
    <row r="561" spans="7:23" ht="15.75" customHeight="1">
      <c r="G561" s="22"/>
      <c r="M561" s="61"/>
      <c r="O561" s="22"/>
      <c r="T561" s="81"/>
      <c r="V561" s="44"/>
      <c r="W561" s="44"/>
    </row>
    <row r="562" spans="7:23" ht="15.75" customHeight="1">
      <c r="G562" s="22"/>
      <c r="M562" s="61"/>
      <c r="O562" s="22"/>
      <c r="T562" s="81"/>
      <c r="V562" s="44"/>
      <c r="W562" s="44"/>
    </row>
    <row r="563" spans="7:23" ht="15.75" customHeight="1">
      <c r="G563" s="22"/>
      <c r="M563" s="61"/>
      <c r="O563" s="22"/>
      <c r="T563" s="81"/>
      <c r="V563" s="44"/>
      <c r="W563" s="44"/>
    </row>
    <row r="564" spans="7:23" ht="15.75" customHeight="1">
      <c r="G564" s="22"/>
      <c r="M564" s="61"/>
      <c r="O564" s="22"/>
      <c r="T564" s="81"/>
      <c r="V564" s="44"/>
      <c r="W564" s="44"/>
    </row>
    <row r="565" spans="7:23" ht="15.75" customHeight="1">
      <c r="G565" s="22"/>
      <c r="M565" s="61"/>
      <c r="O565" s="22"/>
      <c r="T565" s="81"/>
      <c r="V565" s="44"/>
      <c r="W565" s="44"/>
    </row>
    <row r="566" spans="7:23" ht="15.75" customHeight="1">
      <c r="G566" s="22"/>
      <c r="M566" s="61"/>
      <c r="O566" s="22"/>
      <c r="T566" s="81"/>
      <c r="V566" s="44"/>
      <c r="W566" s="44"/>
    </row>
    <row r="567" spans="7:23" ht="15.75" customHeight="1">
      <c r="G567" s="22"/>
      <c r="M567" s="61"/>
      <c r="O567" s="22"/>
      <c r="T567" s="81"/>
      <c r="V567" s="44"/>
      <c r="W567" s="44"/>
    </row>
    <row r="568" spans="7:23" ht="15.75" customHeight="1">
      <c r="G568" s="22"/>
      <c r="M568" s="61"/>
      <c r="O568" s="22"/>
      <c r="T568" s="81"/>
      <c r="V568" s="44"/>
      <c r="W568" s="44"/>
    </row>
    <row r="569" spans="7:23" ht="15.75" customHeight="1">
      <c r="G569" s="22"/>
      <c r="M569" s="61"/>
      <c r="O569" s="22"/>
      <c r="T569" s="81"/>
      <c r="V569" s="44"/>
      <c r="W569" s="44"/>
    </row>
    <row r="570" spans="7:23" ht="15.75" customHeight="1">
      <c r="G570" s="22"/>
      <c r="M570" s="61"/>
      <c r="O570" s="22"/>
      <c r="T570" s="81"/>
      <c r="V570" s="44"/>
      <c r="W570" s="44"/>
    </row>
    <row r="571" spans="7:23" ht="15.75" customHeight="1">
      <c r="G571" s="22"/>
      <c r="M571" s="61"/>
      <c r="O571" s="22"/>
      <c r="T571" s="81"/>
      <c r="V571" s="44"/>
      <c r="W571" s="44"/>
    </row>
    <row r="572" spans="7:23" ht="15.75" customHeight="1">
      <c r="G572" s="22"/>
      <c r="M572" s="61"/>
      <c r="O572" s="22"/>
      <c r="T572" s="81"/>
      <c r="V572" s="44"/>
      <c r="W572" s="44"/>
    </row>
    <row r="573" spans="7:23" ht="15.75" customHeight="1">
      <c r="G573" s="22"/>
      <c r="M573" s="61"/>
      <c r="O573" s="22"/>
      <c r="T573" s="81"/>
      <c r="V573" s="44"/>
      <c r="W573" s="44"/>
    </row>
    <row r="574" spans="7:23" ht="15.75" customHeight="1">
      <c r="G574" s="22"/>
      <c r="M574" s="61"/>
      <c r="O574" s="22"/>
      <c r="T574" s="81"/>
      <c r="V574" s="44"/>
      <c r="W574" s="44"/>
    </row>
    <row r="575" spans="7:23" ht="15.75" customHeight="1">
      <c r="G575" s="22"/>
      <c r="M575" s="61"/>
      <c r="O575" s="22"/>
      <c r="T575" s="81"/>
      <c r="V575" s="44"/>
      <c r="W575" s="44"/>
    </row>
    <row r="576" spans="7:23" ht="15.75" customHeight="1">
      <c r="G576" s="22"/>
      <c r="M576" s="61"/>
      <c r="O576" s="22"/>
      <c r="T576" s="81"/>
      <c r="V576" s="44"/>
      <c r="W576" s="44"/>
    </row>
    <row r="577" spans="7:23" ht="15.75" customHeight="1">
      <c r="G577" s="22"/>
      <c r="M577" s="61"/>
      <c r="O577" s="22"/>
      <c r="T577" s="81"/>
      <c r="V577" s="44"/>
      <c r="W577" s="44"/>
    </row>
    <row r="578" spans="7:23" ht="15.75" customHeight="1">
      <c r="G578" s="22"/>
      <c r="M578" s="61"/>
      <c r="O578" s="22"/>
      <c r="T578" s="81"/>
      <c r="V578" s="44"/>
      <c r="W578" s="44"/>
    </row>
    <row r="579" spans="7:23" ht="15.75" customHeight="1">
      <c r="G579" s="22"/>
      <c r="M579" s="61"/>
      <c r="O579" s="22"/>
      <c r="T579" s="81"/>
      <c r="V579" s="44"/>
      <c r="W579" s="44"/>
    </row>
    <row r="580" spans="7:23" ht="15.75" customHeight="1">
      <c r="G580" s="22"/>
      <c r="M580" s="61"/>
      <c r="O580" s="22"/>
      <c r="T580" s="81"/>
      <c r="V580" s="44"/>
      <c r="W580" s="44"/>
    </row>
    <row r="581" spans="7:23" ht="15.75" customHeight="1">
      <c r="G581" s="22"/>
      <c r="M581" s="61"/>
      <c r="O581" s="22"/>
      <c r="T581" s="81"/>
      <c r="V581" s="44"/>
      <c r="W581" s="44"/>
    </row>
    <row r="582" spans="7:23" ht="15.75" customHeight="1">
      <c r="G582" s="22"/>
      <c r="M582" s="61"/>
      <c r="O582" s="22"/>
      <c r="T582" s="81"/>
      <c r="V582" s="44"/>
      <c r="W582" s="44"/>
    </row>
    <row r="583" spans="7:23" ht="15.75" customHeight="1">
      <c r="G583" s="22"/>
      <c r="M583" s="61"/>
      <c r="O583" s="22"/>
      <c r="T583" s="81"/>
      <c r="V583" s="44"/>
      <c r="W583" s="44"/>
    </row>
    <row r="584" spans="7:23" ht="15.75" customHeight="1">
      <c r="G584" s="22"/>
      <c r="M584" s="61"/>
      <c r="O584" s="22"/>
      <c r="T584" s="81"/>
      <c r="V584" s="44"/>
      <c r="W584" s="44"/>
    </row>
    <row r="585" spans="7:23" ht="15.75" customHeight="1">
      <c r="G585" s="22"/>
      <c r="M585" s="61"/>
      <c r="O585" s="22"/>
      <c r="T585" s="81"/>
      <c r="V585" s="44"/>
      <c r="W585" s="44"/>
    </row>
    <row r="586" spans="7:23" ht="15.75" customHeight="1">
      <c r="G586" s="22"/>
      <c r="M586" s="61"/>
      <c r="O586" s="22"/>
      <c r="T586" s="81"/>
      <c r="V586" s="44"/>
      <c r="W586" s="44"/>
    </row>
    <row r="587" spans="7:23" ht="15.75" customHeight="1">
      <c r="G587" s="22"/>
      <c r="M587" s="61"/>
      <c r="O587" s="22"/>
      <c r="T587" s="81"/>
      <c r="V587" s="44"/>
      <c r="W587" s="44"/>
    </row>
    <row r="588" spans="7:23" ht="15.75" customHeight="1">
      <c r="G588" s="22"/>
      <c r="M588" s="61"/>
      <c r="O588" s="22"/>
      <c r="T588" s="81"/>
      <c r="V588" s="44"/>
      <c r="W588" s="44"/>
    </row>
    <row r="589" spans="7:23" ht="15.75" customHeight="1">
      <c r="G589" s="22"/>
      <c r="M589" s="61"/>
      <c r="O589" s="22"/>
      <c r="T589" s="81"/>
      <c r="V589" s="44"/>
      <c r="W589" s="44"/>
    </row>
    <row r="590" spans="7:23" ht="15.75" customHeight="1">
      <c r="G590" s="22"/>
      <c r="M590" s="61"/>
      <c r="O590" s="22"/>
      <c r="T590" s="81"/>
      <c r="V590" s="44"/>
      <c r="W590" s="44"/>
    </row>
    <row r="591" spans="7:23" ht="15.75" customHeight="1">
      <c r="G591" s="22"/>
      <c r="M591" s="61"/>
      <c r="O591" s="22"/>
      <c r="T591" s="81"/>
      <c r="V591" s="44"/>
      <c r="W591" s="44"/>
    </row>
    <row r="592" spans="7:23" ht="15.75" customHeight="1">
      <c r="G592" s="22"/>
      <c r="M592" s="61"/>
      <c r="O592" s="22"/>
      <c r="T592" s="81"/>
      <c r="V592" s="44"/>
      <c r="W592" s="44"/>
    </row>
    <row r="593" spans="7:23" ht="15.75" customHeight="1">
      <c r="G593" s="22"/>
      <c r="M593" s="61"/>
      <c r="O593" s="22"/>
      <c r="T593" s="81"/>
      <c r="V593" s="44"/>
      <c r="W593" s="44"/>
    </row>
    <row r="594" spans="7:23" ht="15.75" customHeight="1">
      <c r="G594" s="22"/>
      <c r="M594" s="61"/>
      <c r="O594" s="22"/>
      <c r="T594" s="81"/>
      <c r="V594" s="44"/>
      <c r="W594" s="44"/>
    </row>
    <row r="595" spans="7:23" ht="15.75" customHeight="1">
      <c r="G595" s="22"/>
      <c r="M595" s="61"/>
      <c r="O595" s="22"/>
      <c r="T595" s="81"/>
      <c r="V595" s="44"/>
      <c r="W595" s="44"/>
    </row>
    <row r="596" spans="7:23" ht="15.75" customHeight="1">
      <c r="G596" s="22"/>
      <c r="M596" s="61"/>
      <c r="O596" s="22"/>
      <c r="T596" s="81"/>
      <c r="V596" s="44"/>
      <c r="W596" s="44"/>
    </row>
    <row r="597" spans="7:23" ht="15.75" customHeight="1">
      <c r="G597" s="22"/>
      <c r="M597" s="61"/>
      <c r="O597" s="22"/>
      <c r="T597" s="81"/>
      <c r="V597" s="44"/>
      <c r="W597" s="44"/>
    </row>
    <row r="598" spans="7:23" ht="15.75" customHeight="1">
      <c r="G598" s="22"/>
      <c r="M598" s="61"/>
      <c r="O598" s="22"/>
      <c r="T598" s="81"/>
      <c r="V598" s="44"/>
      <c r="W598" s="44"/>
    </row>
    <row r="599" spans="7:23" ht="15.75" customHeight="1">
      <c r="G599" s="22"/>
      <c r="M599" s="61"/>
      <c r="O599" s="22"/>
      <c r="T599" s="81"/>
      <c r="V599" s="44"/>
      <c r="W599" s="44"/>
    </row>
    <row r="600" spans="7:23" ht="15.75" customHeight="1">
      <c r="G600" s="22"/>
      <c r="M600" s="61"/>
      <c r="O600" s="22"/>
      <c r="T600" s="81"/>
      <c r="V600" s="44"/>
      <c r="W600" s="44"/>
    </row>
    <row r="601" spans="7:23" ht="15.75" customHeight="1">
      <c r="G601" s="22"/>
      <c r="M601" s="61"/>
      <c r="O601" s="22"/>
      <c r="T601" s="81"/>
      <c r="V601" s="44"/>
      <c r="W601" s="44"/>
    </row>
    <row r="602" spans="7:23" ht="15.75" customHeight="1">
      <c r="G602" s="22"/>
      <c r="M602" s="61"/>
      <c r="O602" s="22"/>
      <c r="T602" s="81"/>
      <c r="V602" s="44"/>
      <c r="W602" s="44"/>
    </row>
    <row r="603" spans="7:23" ht="15.75" customHeight="1">
      <c r="G603" s="22"/>
      <c r="M603" s="61"/>
      <c r="O603" s="22"/>
      <c r="T603" s="81"/>
      <c r="V603" s="44"/>
      <c r="W603" s="44"/>
    </row>
    <row r="604" spans="7:23" ht="15.75" customHeight="1">
      <c r="G604" s="22"/>
      <c r="M604" s="61"/>
      <c r="O604" s="22"/>
      <c r="T604" s="81"/>
      <c r="V604" s="44"/>
      <c r="W604" s="44"/>
    </row>
    <row r="605" spans="7:23" ht="15.75" customHeight="1">
      <c r="G605" s="22"/>
      <c r="M605" s="61"/>
      <c r="O605" s="22"/>
      <c r="T605" s="81"/>
      <c r="V605" s="44"/>
      <c r="W605" s="44"/>
    </row>
    <row r="606" spans="7:23" ht="15.75" customHeight="1">
      <c r="G606" s="22"/>
      <c r="M606" s="61"/>
      <c r="O606" s="22"/>
      <c r="T606" s="81"/>
      <c r="V606" s="44"/>
      <c r="W606" s="44"/>
    </row>
    <row r="607" spans="7:23" ht="15.75" customHeight="1">
      <c r="G607" s="22"/>
      <c r="M607" s="61"/>
      <c r="O607" s="22"/>
      <c r="T607" s="81"/>
      <c r="V607" s="44"/>
      <c r="W607" s="44"/>
    </row>
    <row r="608" spans="7:23" ht="15.75" customHeight="1">
      <c r="G608" s="22"/>
      <c r="M608" s="61"/>
      <c r="O608" s="22"/>
      <c r="T608" s="81"/>
      <c r="V608" s="44"/>
      <c r="W608" s="44"/>
    </row>
    <row r="609" spans="7:23" ht="15.75" customHeight="1">
      <c r="G609" s="22"/>
      <c r="M609" s="61"/>
      <c r="O609" s="22"/>
      <c r="T609" s="81"/>
      <c r="V609" s="44"/>
      <c r="W609" s="44"/>
    </row>
    <row r="610" spans="7:23" ht="15.75" customHeight="1">
      <c r="G610" s="22"/>
      <c r="M610" s="61"/>
      <c r="O610" s="22"/>
      <c r="T610" s="81"/>
      <c r="V610" s="44"/>
      <c r="W610" s="44"/>
    </row>
    <row r="611" spans="7:23" ht="15.75" customHeight="1">
      <c r="G611" s="22"/>
      <c r="M611" s="61"/>
      <c r="O611" s="22"/>
      <c r="T611" s="81"/>
      <c r="V611" s="44"/>
      <c r="W611" s="44"/>
    </row>
    <row r="612" spans="7:23" ht="15.75" customHeight="1">
      <c r="G612" s="22"/>
      <c r="M612" s="61"/>
      <c r="O612" s="22"/>
      <c r="T612" s="81"/>
      <c r="V612" s="44"/>
      <c r="W612" s="44"/>
    </row>
    <row r="613" spans="7:23" ht="15.75" customHeight="1">
      <c r="G613" s="22"/>
      <c r="M613" s="61"/>
      <c r="O613" s="22"/>
      <c r="T613" s="81"/>
      <c r="V613" s="44"/>
      <c r="W613" s="44"/>
    </row>
    <row r="614" spans="7:23" ht="15.75" customHeight="1">
      <c r="G614" s="22"/>
      <c r="M614" s="61"/>
      <c r="O614" s="22"/>
      <c r="T614" s="81"/>
      <c r="V614" s="44"/>
      <c r="W614" s="44"/>
    </row>
    <row r="615" spans="7:23" ht="15.75" customHeight="1">
      <c r="G615" s="22"/>
      <c r="M615" s="61"/>
      <c r="O615" s="22"/>
      <c r="T615" s="81"/>
      <c r="V615" s="44"/>
      <c r="W615" s="44"/>
    </row>
    <row r="616" spans="7:23" ht="15.75" customHeight="1">
      <c r="G616" s="22"/>
      <c r="M616" s="61"/>
      <c r="O616" s="22"/>
      <c r="T616" s="81"/>
      <c r="V616" s="44"/>
      <c r="W616" s="44"/>
    </row>
    <row r="617" spans="7:23" ht="15.75" customHeight="1">
      <c r="G617" s="22"/>
      <c r="M617" s="61"/>
      <c r="O617" s="22"/>
      <c r="T617" s="81"/>
      <c r="V617" s="44"/>
      <c r="W617" s="44"/>
    </row>
    <row r="618" spans="7:23" ht="15.75" customHeight="1">
      <c r="G618" s="22"/>
      <c r="M618" s="61"/>
      <c r="O618" s="22"/>
      <c r="T618" s="81"/>
      <c r="V618" s="44"/>
      <c r="W618" s="44"/>
    </row>
    <row r="619" spans="7:23" ht="15.75" customHeight="1">
      <c r="G619" s="22"/>
      <c r="M619" s="61"/>
      <c r="O619" s="22"/>
      <c r="T619" s="81"/>
      <c r="V619" s="44"/>
      <c r="W619" s="44"/>
    </row>
    <row r="620" spans="7:23" ht="15.75" customHeight="1">
      <c r="G620" s="22"/>
      <c r="M620" s="61"/>
      <c r="O620" s="22"/>
      <c r="T620" s="81"/>
      <c r="V620" s="44"/>
      <c r="W620" s="44"/>
    </row>
    <row r="621" spans="7:23" ht="15.75" customHeight="1">
      <c r="G621" s="22"/>
      <c r="M621" s="61"/>
      <c r="O621" s="22"/>
      <c r="T621" s="81"/>
      <c r="V621" s="44"/>
      <c r="W621" s="44"/>
    </row>
    <row r="622" spans="7:23" ht="15.75" customHeight="1">
      <c r="G622" s="22"/>
      <c r="M622" s="61"/>
      <c r="O622" s="22"/>
      <c r="T622" s="81"/>
      <c r="V622" s="44"/>
      <c r="W622" s="44"/>
    </row>
    <row r="623" spans="7:23" ht="15.75" customHeight="1">
      <c r="G623" s="22"/>
      <c r="M623" s="61"/>
      <c r="O623" s="22"/>
      <c r="T623" s="81"/>
      <c r="V623" s="44"/>
      <c r="W623" s="44"/>
    </row>
    <row r="624" spans="7:23" ht="15.75" customHeight="1">
      <c r="G624" s="22"/>
      <c r="M624" s="61"/>
      <c r="O624" s="22"/>
      <c r="T624" s="81"/>
      <c r="V624" s="44"/>
      <c r="W624" s="44"/>
    </row>
    <row r="625" spans="7:23" ht="15.75" customHeight="1">
      <c r="G625" s="22"/>
      <c r="M625" s="61"/>
      <c r="O625" s="22"/>
      <c r="T625" s="81"/>
      <c r="V625" s="44"/>
      <c r="W625" s="44"/>
    </row>
    <row r="626" spans="7:23" ht="15.75" customHeight="1">
      <c r="G626" s="22"/>
      <c r="M626" s="61"/>
      <c r="O626" s="22"/>
      <c r="T626" s="81"/>
      <c r="V626" s="44"/>
      <c r="W626" s="44"/>
    </row>
    <row r="627" spans="7:23" ht="15.75" customHeight="1">
      <c r="G627" s="22"/>
      <c r="M627" s="61"/>
      <c r="O627" s="22"/>
      <c r="T627" s="81"/>
      <c r="V627" s="44"/>
      <c r="W627" s="44"/>
    </row>
    <row r="628" spans="7:23" ht="15.75" customHeight="1">
      <c r="G628" s="22"/>
      <c r="M628" s="61"/>
      <c r="O628" s="22"/>
      <c r="T628" s="81"/>
      <c r="V628" s="44"/>
      <c r="W628" s="44"/>
    </row>
    <row r="629" spans="7:23" ht="15.75" customHeight="1">
      <c r="G629" s="22"/>
      <c r="M629" s="61"/>
      <c r="O629" s="22"/>
      <c r="T629" s="81"/>
      <c r="V629" s="44"/>
      <c r="W629" s="44"/>
    </row>
    <row r="630" spans="7:23" ht="15.75" customHeight="1">
      <c r="G630" s="22"/>
      <c r="M630" s="61"/>
      <c r="O630" s="22"/>
      <c r="T630" s="81"/>
      <c r="V630" s="44"/>
      <c r="W630" s="44"/>
    </row>
    <row r="631" spans="7:23" ht="15.75" customHeight="1">
      <c r="G631" s="22"/>
      <c r="M631" s="61"/>
      <c r="O631" s="22"/>
      <c r="T631" s="81"/>
      <c r="V631" s="44"/>
      <c r="W631" s="44"/>
    </row>
    <row r="632" spans="7:23" ht="15.75" customHeight="1">
      <c r="G632" s="22"/>
      <c r="M632" s="61"/>
      <c r="O632" s="22"/>
      <c r="T632" s="81"/>
      <c r="V632" s="44"/>
      <c r="W632" s="44"/>
    </row>
    <row r="633" spans="7:23" ht="15.75" customHeight="1">
      <c r="G633" s="22"/>
      <c r="M633" s="61"/>
      <c r="O633" s="22"/>
      <c r="T633" s="81"/>
      <c r="V633" s="44"/>
      <c r="W633" s="44"/>
    </row>
    <row r="634" spans="7:23" ht="15.75" customHeight="1">
      <c r="G634" s="22"/>
      <c r="M634" s="61"/>
      <c r="O634" s="22"/>
      <c r="T634" s="81"/>
      <c r="V634" s="44"/>
      <c r="W634" s="44"/>
    </row>
    <row r="635" spans="7:23" ht="15.75" customHeight="1">
      <c r="G635" s="22"/>
      <c r="M635" s="61"/>
      <c r="O635" s="22"/>
      <c r="T635" s="81"/>
      <c r="V635" s="44"/>
      <c r="W635" s="44"/>
    </row>
    <row r="636" spans="7:23" ht="15.75" customHeight="1">
      <c r="G636" s="22"/>
      <c r="M636" s="61"/>
      <c r="O636" s="22"/>
      <c r="T636" s="81"/>
      <c r="V636" s="44"/>
      <c r="W636" s="44"/>
    </row>
    <row r="637" spans="7:23" ht="15.75" customHeight="1">
      <c r="G637" s="22"/>
      <c r="M637" s="61"/>
      <c r="O637" s="22"/>
      <c r="T637" s="81"/>
      <c r="V637" s="44"/>
      <c r="W637" s="44"/>
    </row>
    <row r="638" spans="7:23" ht="15.75" customHeight="1">
      <c r="G638" s="22"/>
      <c r="M638" s="61"/>
      <c r="O638" s="22"/>
      <c r="T638" s="81"/>
      <c r="V638" s="44"/>
      <c r="W638" s="44"/>
    </row>
    <row r="639" spans="7:23" ht="15.75" customHeight="1">
      <c r="G639" s="22"/>
      <c r="M639" s="61"/>
      <c r="O639" s="22"/>
      <c r="T639" s="81"/>
      <c r="V639" s="44"/>
      <c r="W639" s="44"/>
    </row>
    <row r="640" spans="7:23" ht="15.75" customHeight="1">
      <c r="G640" s="22"/>
      <c r="M640" s="61"/>
      <c r="O640" s="22"/>
      <c r="T640" s="81"/>
      <c r="V640" s="44"/>
      <c r="W640" s="44"/>
    </row>
    <row r="641" spans="7:23" ht="15.75" customHeight="1">
      <c r="G641" s="22"/>
      <c r="M641" s="61"/>
      <c r="O641" s="22"/>
      <c r="T641" s="81"/>
      <c r="V641" s="44"/>
      <c r="W641" s="44"/>
    </row>
    <row r="642" spans="7:23" ht="15.75" customHeight="1">
      <c r="G642" s="22"/>
      <c r="M642" s="61"/>
      <c r="O642" s="22"/>
      <c r="T642" s="81"/>
      <c r="V642" s="44"/>
      <c r="W642" s="44"/>
    </row>
    <row r="643" spans="7:23" ht="15.75" customHeight="1">
      <c r="G643" s="22"/>
      <c r="M643" s="61"/>
      <c r="O643" s="22"/>
      <c r="T643" s="81"/>
      <c r="V643" s="44"/>
      <c r="W643" s="44"/>
    </row>
    <row r="644" spans="7:23" ht="15.75" customHeight="1">
      <c r="G644" s="22"/>
      <c r="M644" s="61"/>
      <c r="O644" s="22"/>
      <c r="T644" s="81"/>
      <c r="V644" s="44"/>
      <c r="W644" s="44"/>
    </row>
    <row r="645" spans="7:23" ht="15.75" customHeight="1">
      <c r="G645" s="22"/>
      <c r="M645" s="61"/>
      <c r="O645" s="22"/>
      <c r="T645" s="81"/>
      <c r="V645" s="44"/>
      <c r="W645" s="44"/>
    </row>
    <row r="646" spans="7:23" ht="15.75" customHeight="1">
      <c r="G646" s="22"/>
      <c r="M646" s="61"/>
      <c r="O646" s="22"/>
      <c r="T646" s="81"/>
      <c r="V646" s="44"/>
      <c r="W646" s="44"/>
    </row>
    <row r="647" spans="7:23" ht="15.75" customHeight="1">
      <c r="G647" s="22"/>
      <c r="M647" s="61"/>
      <c r="O647" s="22"/>
      <c r="T647" s="81"/>
      <c r="V647" s="44"/>
      <c r="W647" s="44"/>
    </row>
    <row r="648" spans="7:23" ht="15.75" customHeight="1">
      <c r="G648" s="22"/>
      <c r="M648" s="61"/>
      <c r="O648" s="22"/>
      <c r="T648" s="81"/>
      <c r="V648" s="44"/>
      <c r="W648" s="44"/>
    </row>
    <row r="649" spans="7:23" ht="15.75" customHeight="1">
      <c r="G649" s="22"/>
      <c r="M649" s="61"/>
      <c r="O649" s="22"/>
      <c r="T649" s="81"/>
      <c r="V649" s="44"/>
      <c r="W649" s="44"/>
    </row>
    <row r="650" spans="7:23" ht="15.75" customHeight="1">
      <c r="G650" s="22"/>
      <c r="M650" s="61"/>
      <c r="O650" s="22"/>
      <c r="T650" s="81"/>
      <c r="V650" s="44"/>
      <c r="W650" s="44"/>
    </row>
    <row r="651" spans="7:23" ht="15.75" customHeight="1">
      <c r="G651" s="22"/>
      <c r="M651" s="61"/>
      <c r="O651" s="22"/>
      <c r="T651" s="81"/>
      <c r="V651" s="44"/>
      <c r="W651" s="44"/>
    </row>
    <row r="652" spans="7:23" ht="15.75" customHeight="1">
      <c r="G652" s="22"/>
      <c r="M652" s="61"/>
      <c r="O652" s="22"/>
      <c r="T652" s="81"/>
      <c r="V652" s="44"/>
      <c r="W652" s="44"/>
    </row>
    <row r="653" spans="7:23" ht="15.75" customHeight="1">
      <c r="G653" s="22"/>
      <c r="M653" s="61"/>
      <c r="O653" s="22"/>
      <c r="T653" s="81"/>
      <c r="V653" s="44"/>
      <c r="W653" s="44"/>
    </row>
    <row r="654" spans="7:23" ht="15.75" customHeight="1">
      <c r="G654" s="22"/>
      <c r="M654" s="61"/>
      <c r="O654" s="22"/>
      <c r="T654" s="81"/>
      <c r="V654" s="44"/>
      <c r="W654" s="44"/>
    </row>
    <row r="655" spans="7:23" ht="15.75" customHeight="1">
      <c r="G655" s="22"/>
      <c r="M655" s="61"/>
      <c r="O655" s="22"/>
      <c r="T655" s="81"/>
      <c r="V655" s="44"/>
      <c r="W655" s="44"/>
    </row>
    <row r="656" spans="7:23" ht="15.75" customHeight="1">
      <c r="G656" s="22"/>
      <c r="M656" s="61"/>
      <c r="O656" s="22"/>
      <c r="T656" s="81"/>
      <c r="V656" s="44"/>
      <c r="W656" s="44"/>
    </row>
    <row r="657" spans="7:23" ht="15.75" customHeight="1">
      <c r="G657" s="22"/>
      <c r="M657" s="61"/>
      <c r="O657" s="22"/>
      <c r="T657" s="81"/>
      <c r="V657" s="44"/>
      <c r="W657" s="44"/>
    </row>
    <row r="658" spans="7:23" ht="15.75" customHeight="1">
      <c r="G658" s="22"/>
      <c r="M658" s="61"/>
      <c r="O658" s="22"/>
      <c r="T658" s="81"/>
      <c r="V658" s="44"/>
      <c r="W658" s="44"/>
    </row>
    <row r="659" spans="7:23" ht="15.75" customHeight="1">
      <c r="G659" s="22"/>
      <c r="M659" s="61"/>
      <c r="O659" s="22"/>
      <c r="T659" s="81"/>
      <c r="V659" s="44"/>
      <c r="W659" s="44"/>
    </row>
    <row r="660" spans="7:23" ht="15.75" customHeight="1">
      <c r="G660" s="22"/>
      <c r="M660" s="61"/>
      <c r="O660" s="22"/>
      <c r="T660" s="81"/>
      <c r="V660" s="44"/>
      <c r="W660" s="44"/>
    </row>
    <row r="661" spans="7:23" ht="15.75" customHeight="1">
      <c r="G661" s="22"/>
      <c r="M661" s="61"/>
      <c r="O661" s="22"/>
      <c r="T661" s="81"/>
      <c r="V661" s="44"/>
      <c r="W661" s="44"/>
    </row>
    <row r="662" spans="7:23" ht="15.75" customHeight="1">
      <c r="G662" s="22"/>
      <c r="M662" s="61"/>
      <c r="O662" s="22"/>
      <c r="T662" s="81"/>
      <c r="V662" s="44"/>
      <c r="W662" s="44"/>
    </row>
    <row r="663" spans="7:23" ht="15.75" customHeight="1">
      <c r="G663" s="22"/>
      <c r="M663" s="61"/>
      <c r="O663" s="22"/>
      <c r="T663" s="81"/>
      <c r="V663" s="44"/>
      <c r="W663" s="44"/>
    </row>
    <row r="664" spans="7:23" ht="15.75" customHeight="1">
      <c r="G664" s="22"/>
      <c r="M664" s="61"/>
      <c r="O664" s="22"/>
      <c r="T664" s="81"/>
      <c r="V664" s="44"/>
      <c r="W664" s="44"/>
    </row>
    <row r="665" spans="7:23" ht="15.75" customHeight="1">
      <c r="G665" s="22"/>
      <c r="M665" s="61"/>
      <c r="O665" s="22"/>
      <c r="T665" s="81"/>
      <c r="V665" s="44"/>
      <c r="W665" s="44"/>
    </row>
    <row r="666" spans="7:23" ht="15.75" customHeight="1">
      <c r="G666" s="22"/>
      <c r="M666" s="61"/>
      <c r="O666" s="22"/>
      <c r="T666" s="81"/>
      <c r="V666" s="44"/>
      <c r="W666" s="44"/>
    </row>
    <row r="667" spans="7:23" ht="15.75" customHeight="1">
      <c r="G667" s="22"/>
      <c r="M667" s="61"/>
      <c r="O667" s="22"/>
      <c r="T667" s="81"/>
      <c r="V667" s="44"/>
      <c r="W667" s="44"/>
    </row>
    <row r="668" spans="7:23" ht="15.75" customHeight="1">
      <c r="G668" s="22"/>
      <c r="M668" s="61"/>
      <c r="O668" s="22"/>
      <c r="T668" s="81"/>
      <c r="V668" s="44"/>
      <c r="W668" s="44"/>
    </row>
    <row r="669" spans="7:23" ht="15.75" customHeight="1">
      <c r="G669" s="22"/>
      <c r="M669" s="61"/>
      <c r="O669" s="22"/>
      <c r="T669" s="81"/>
      <c r="V669" s="44"/>
      <c r="W669" s="44"/>
    </row>
    <row r="670" spans="7:23" ht="15.75" customHeight="1">
      <c r="G670" s="22"/>
      <c r="M670" s="61"/>
      <c r="O670" s="22"/>
      <c r="T670" s="81"/>
      <c r="V670" s="44"/>
      <c r="W670" s="44"/>
    </row>
    <row r="671" spans="7:23" ht="15.75" customHeight="1">
      <c r="G671" s="22"/>
      <c r="M671" s="61"/>
      <c r="O671" s="22"/>
      <c r="T671" s="81"/>
      <c r="V671" s="44"/>
      <c r="W671" s="44"/>
    </row>
    <row r="672" spans="7:23" ht="15.75" customHeight="1">
      <c r="G672" s="22"/>
      <c r="M672" s="61"/>
      <c r="O672" s="22"/>
      <c r="T672" s="81"/>
      <c r="V672" s="44"/>
      <c r="W672" s="44"/>
    </row>
    <row r="673" spans="7:23" ht="15.75" customHeight="1">
      <c r="G673" s="22"/>
      <c r="M673" s="61"/>
      <c r="O673" s="22"/>
      <c r="T673" s="81"/>
      <c r="V673" s="44"/>
      <c r="W673" s="44"/>
    </row>
    <row r="674" spans="7:23" ht="15.75" customHeight="1">
      <c r="G674" s="22"/>
      <c r="M674" s="61"/>
      <c r="O674" s="22"/>
      <c r="T674" s="81"/>
      <c r="V674" s="44"/>
      <c r="W674" s="44"/>
    </row>
    <row r="675" spans="7:23" ht="15.75" customHeight="1">
      <c r="G675" s="22"/>
      <c r="M675" s="61"/>
      <c r="O675" s="22"/>
      <c r="T675" s="81"/>
      <c r="V675" s="44"/>
      <c r="W675" s="44"/>
    </row>
    <row r="676" spans="7:23" ht="15.75" customHeight="1">
      <c r="G676" s="22"/>
      <c r="M676" s="61"/>
      <c r="O676" s="22"/>
      <c r="T676" s="81"/>
      <c r="V676" s="44"/>
      <c r="W676" s="44"/>
    </row>
    <row r="677" spans="7:23" ht="15.75" customHeight="1">
      <c r="G677" s="22"/>
      <c r="M677" s="61"/>
      <c r="O677" s="22"/>
      <c r="T677" s="81"/>
      <c r="V677" s="44"/>
      <c r="W677" s="44"/>
    </row>
    <row r="678" spans="7:23" ht="15.75" customHeight="1">
      <c r="G678" s="22"/>
      <c r="M678" s="61"/>
      <c r="O678" s="22"/>
      <c r="T678" s="81"/>
      <c r="V678" s="44"/>
      <c r="W678" s="44"/>
    </row>
    <row r="679" spans="7:23" ht="15.75" customHeight="1">
      <c r="G679" s="22"/>
      <c r="M679" s="61"/>
      <c r="O679" s="22"/>
      <c r="T679" s="81"/>
      <c r="V679" s="44"/>
      <c r="W679" s="44"/>
    </row>
    <row r="680" spans="7:23" ht="15.75" customHeight="1">
      <c r="G680" s="22"/>
      <c r="M680" s="61"/>
      <c r="O680" s="22"/>
      <c r="T680" s="81"/>
      <c r="V680" s="44"/>
      <c r="W680" s="44"/>
    </row>
    <row r="681" spans="7:23" ht="15.75" customHeight="1">
      <c r="G681" s="22"/>
      <c r="M681" s="61"/>
      <c r="O681" s="22"/>
      <c r="T681" s="81"/>
      <c r="V681" s="44"/>
      <c r="W681" s="44"/>
    </row>
    <row r="682" spans="7:23" ht="15.75" customHeight="1">
      <c r="G682" s="22"/>
      <c r="M682" s="61"/>
      <c r="O682" s="22"/>
      <c r="T682" s="81"/>
      <c r="V682" s="44"/>
      <c r="W682" s="44"/>
    </row>
    <row r="683" spans="7:23" ht="15.75" customHeight="1">
      <c r="G683" s="22"/>
      <c r="M683" s="61"/>
      <c r="O683" s="22"/>
      <c r="T683" s="81"/>
      <c r="V683" s="44"/>
      <c r="W683" s="44"/>
    </row>
    <row r="684" spans="7:23" ht="15.75" customHeight="1">
      <c r="G684" s="22"/>
      <c r="M684" s="61"/>
      <c r="O684" s="22"/>
      <c r="T684" s="81"/>
      <c r="V684" s="44"/>
      <c r="W684" s="44"/>
    </row>
    <row r="685" spans="7:23" ht="15.75" customHeight="1">
      <c r="G685" s="22"/>
      <c r="M685" s="61"/>
      <c r="O685" s="22"/>
      <c r="T685" s="81"/>
      <c r="V685" s="44"/>
      <c r="W685" s="44"/>
    </row>
    <row r="686" spans="7:23" ht="15.75" customHeight="1">
      <c r="G686" s="22"/>
      <c r="M686" s="61"/>
      <c r="O686" s="22"/>
      <c r="T686" s="81"/>
      <c r="V686" s="44"/>
      <c r="W686" s="44"/>
    </row>
    <row r="687" spans="7:23" ht="15.75" customHeight="1">
      <c r="G687" s="22"/>
      <c r="M687" s="61"/>
      <c r="O687" s="22"/>
      <c r="T687" s="81"/>
      <c r="V687" s="44"/>
      <c r="W687" s="44"/>
    </row>
    <row r="688" spans="7:23" ht="15.75" customHeight="1">
      <c r="G688" s="22"/>
      <c r="M688" s="61"/>
      <c r="O688" s="22"/>
      <c r="T688" s="81"/>
      <c r="V688" s="44"/>
      <c r="W688" s="44"/>
    </row>
    <row r="689" spans="7:23" ht="15.75" customHeight="1">
      <c r="G689" s="22"/>
      <c r="M689" s="61"/>
      <c r="O689" s="22"/>
      <c r="T689" s="81"/>
      <c r="V689" s="44"/>
      <c r="W689" s="44"/>
    </row>
    <row r="690" spans="7:23" ht="15.75" customHeight="1">
      <c r="G690" s="22"/>
      <c r="M690" s="61"/>
      <c r="O690" s="22"/>
      <c r="T690" s="81"/>
      <c r="V690" s="44"/>
      <c r="W690" s="44"/>
    </row>
    <row r="691" spans="7:23" ht="15.75" customHeight="1">
      <c r="G691" s="22"/>
      <c r="M691" s="61"/>
      <c r="O691" s="22"/>
      <c r="T691" s="81"/>
      <c r="V691" s="44"/>
      <c r="W691" s="44"/>
    </row>
    <row r="692" spans="7:23" ht="15.75" customHeight="1">
      <c r="G692" s="22"/>
      <c r="M692" s="61"/>
      <c r="O692" s="22"/>
      <c r="T692" s="81"/>
      <c r="V692" s="44"/>
      <c r="W692" s="44"/>
    </row>
    <row r="693" spans="7:23" ht="15.75" customHeight="1">
      <c r="G693" s="22"/>
      <c r="M693" s="61"/>
      <c r="O693" s="22"/>
      <c r="T693" s="81"/>
      <c r="V693" s="44"/>
      <c r="W693" s="44"/>
    </row>
    <row r="694" spans="7:23" ht="15.75" customHeight="1">
      <c r="G694" s="22"/>
      <c r="M694" s="61"/>
      <c r="O694" s="22"/>
      <c r="T694" s="81"/>
      <c r="V694" s="44"/>
      <c r="W694" s="44"/>
    </row>
    <row r="695" spans="7:23" ht="15.75" customHeight="1">
      <c r="G695" s="22"/>
      <c r="M695" s="61"/>
      <c r="O695" s="22"/>
      <c r="T695" s="81"/>
      <c r="V695" s="44"/>
      <c r="W695" s="44"/>
    </row>
    <row r="696" spans="7:23" ht="15.75" customHeight="1">
      <c r="G696" s="22"/>
      <c r="M696" s="61"/>
      <c r="O696" s="22"/>
      <c r="T696" s="81"/>
      <c r="V696" s="44"/>
      <c r="W696" s="44"/>
    </row>
    <row r="697" spans="7:23" ht="15.75" customHeight="1">
      <c r="G697" s="22"/>
      <c r="M697" s="61"/>
      <c r="O697" s="22"/>
      <c r="T697" s="81"/>
      <c r="V697" s="44"/>
      <c r="W697" s="44"/>
    </row>
    <row r="698" spans="7:23" ht="15.75" customHeight="1">
      <c r="G698" s="22"/>
      <c r="M698" s="61"/>
      <c r="O698" s="22"/>
      <c r="T698" s="81"/>
      <c r="V698" s="44"/>
      <c r="W698" s="44"/>
    </row>
    <row r="699" spans="7:23" ht="15.75" customHeight="1">
      <c r="G699" s="22"/>
      <c r="M699" s="61"/>
      <c r="O699" s="22"/>
      <c r="T699" s="81"/>
      <c r="V699" s="44"/>
      <c r="W699" s="44"/>
    </row>
    <row r="700" spans="7:23" ht="15.75" customHeight="1">
      <c r="G700" s="22"/>
      <c r="M700" s="61"/>
      <c r="O700" s="22"/>
      <c r="T700" s="81"/>
      <c r="V700" s="44"/>
      <c r="W700" s="44"/>
    </row>
    <row r="701" spans="7:23" ht="15.75" customHeight="1">
      <c r="G701" s="22"/>
      <c r="M701" s="61"/>
      <c r="O701" s="22"/>
      <c r="T701" s="81"/>
      <c r="V701" s="44"/>
      <c r="W701" s="44"/>
    </row>
    <row r="702" spans="7:23" ht="15.75" customHeight="1">
      <c r="G702" s="22"/>
      <c r="M702" s="61"/>
      <c r="O702" s="22"/>
      <c r="T702" s="81"/>
      <c r="V702" s="44"/>
      <c r="W702" s="44"/>
    </row>
    <row r="703" spans="7:23" ht="15.75" customHeight="1">
      <c r="G703" s="22"/>
      <c r="M703" s="61"/>
      <c r="O703" s="22"/>
      <c r="T703" s="81"/>
      <c r="V703" s="44"/>
      <c r="W703" s="44"/>
    </row>
    <row r="704" spans="7:23" ht="15.75" customHeight="1">
      <c r="G704" s="22"/>
      <c r="M704" s="61"/>
      <c r="O704" s="22"/>
      <c r="T704" s="81"/>
      <c r="V704" s="44"/>
      <c r="W704" s="44"/>
    </row>
    <row r="705" spans="7:23" ht="15.75" customHeight="1">
      <c r="G705" s="22"/>
      <c r="M705" s="61"/>
      <c r="O705" s="22"/>
      <c r="T705" s="81"/>
      <c r="V705" s="44"/>
      <c r="W705" s="44"/>
    </row>
    <row r="706" spans="7:23" ht="15.75" customHeight="1">
      <c r="G706" s="22"/>
      <c r="M706" s="61"/>
      <c r="O706" s="22"/>
      <c r="T706" s="81"/>
      <c r="V706" s="44"/>
      <c r="W706" s="44"/>
    </row>
    <row r="707" spans="7:23" ht="15.75" customHeight="1">
      <c r="G707" s="22"/>
      <c r="M707" s="61"/>
      <c r="O707" s="22"/>
      <c r="T707" s="81"/>
      <c r="V707" s="44"/>
      <c r="W707" s="44"/>
    </row>
    <row r="708" spans="7:23" ht="15.75" customHeight="1">
      <c r="G708" s="22"/>
      <c r="M708" s="61"/>
      <c r="O708" s="22"/>
      <c r="T708" s="81"/>
      <c r="V708" s="44"/>
      <c r="W708" s="44"/>
    </row>
    <row r="709" spans="7:23" ht="15.75" customHeight="1">
      <c r="G709" s="22"/>
      <c r="M709" s="61"/>
      <c r="O709" s="22"/>
      <c r="T709" s="81"/>
      <c r="V709" s="44"/>
      <c r="W709" s="44"/>
    </row>
    <row r="710" spans="7:23" ht="15.75" customHeight="1">
      <c r="G710" s="22"/>
      <c r="M710" s="61"/>
      <c r="O710" s="22"/>
      <c r="T710" s="81"/>
      <c r="V710" s="44"/>
      <c r="W710" s="44"/>
    </row>
    <row r="711" spans="7:23" ht="15.75" customHeight="1">
      <c r="G711" s="22"/>
      <c r="M711" s="61"/>
      <c r="O711" s="22"/>
      <c r="T711" s="81"/>
      <c r="V711" s="44"/>
      <c r="W711" s="44"/>
    </row>
    <row r="712" spans="7:23" ht="15.75" customHeight="1">
      <c r="G712" s="22"/>
      <c r="M712" s="61"/>
      <c r="O712" s="22"/>
      <c r="T712" s="81"/>
      <c r="V712" s="44"/>
      <c r="W712" s="44"/>
    </row>
    <row r="713" spans="7:23" ht="15.75" customHeight="1">
      <c r="G713" s="22"/>
      <c r="M713" s="61"/>
      <c r="O713" s="22"/>
      <c r="T713" s="81"/>
      <c r="V713" s="44"/>
      <c r="W713" s="44"/>
    </row>
    <row r="714" spans="7:23" ht="15.75" customHeight="1">
      <c r="G714" s="22"/>
      <c r="M714" s="61"/>
      <c r="O714" s="22"/>
      <c r="T714" s="81"/>
      <c r="V714" s="44"/>
      <c r="W714" s="44"/>
    </row>
    <row r="715" spans="7:23" ht="15.75" customHeight="1">
      <c r="G715" s="22"/>
      <c r="M715" s="61"/>
      <c r="O715" s="22"/>
      <c r="T715" s="81"/>
      <c r="V715" s="44"/>
      <c r="W715" s="44"/>
    </row>
    <row r="716" spans="7:23" ht="15.75" customHeight="1">
      <c r="G716" s="22"/>
      <c r="M716" s="61"/>
      <c r="O716" s="22"/>
      <c r="T716" s="81"/>
      <c r="V716" s="44"/>
      <c r="W716" s="44"/>
    </row>
    <row r="717" spans="7:23" ht="15.75" customHeight="1">
      <c r="G717" s="22"/>
      <c r="M717" s="61"/>
      <c r="O717" s="22"/>
      <c r="T717" s="81"/>
      <c r="V717" s="44"/>
      <c r="W717" s="44"/>
    </row>
    <row r="718" spans="7:23" ht="15.75" customHeight="1">
      <c r="G718" s="22"/>
      <c r="M718" s="61"/>
      <c r="O718" s="22"/>
      <c r="T718" s="81"/>
      <c r="V718" s="44"/>
      <c r="W718" s="44"/>
    </row>
    <row r="719" spans="7:23" ht="15.75" customHeight="1">
      <c r="G719" s="22"/>
      <c r="M719" s="61"/>
      <c r="O719" s="22"/>
      <c r="T719" s="81"/>
      <c r="V719" s="44"/>
      <c r="W719" s="44"/>
    </row>
    <row r="720" spans="7:23" ht="15.75" customHeight="1">
      <c r="G720" s="22"/>
      <c r="M720" s="61"/>
      <c r="O720" s="22"/>
      <c r="T720" s="81"/>
      <c r="V720" s="44"/>
      <c r="W720" s="44"/>
    </row>
    <row r="721" spans="7:23" ht="15.75" customHeight="1">
      <c r="G721" s="22"/>
      <c r="M721" s="61"/>
      <c r="O721" s="22"/>
      <c r="T721" s="81"/>
      <c r="V721" s="44"/>
      <c r="W721" s="44"/>
    </row>
    <row r="722" spans="7:23" ht="15.75" customHeight="1">
      <c r="G722" s="22"/>
      <c r="M722" s="61"/>
      <c r="O722" s="22"/>
      <c r="T722" s="81"/>
      <c r="V722" s="44"/>
      <c r="W722" s="44"/>
    </row>
    <row r="723" spans="7:23" ht="15.75" customHeight="1">
      <c r="G723" s="22"/>
      <c r="M723" s="61"/>
      <c r="O723" s="22"/>
      <c r="T723" s="81"/>
      <c r="V723" s="44"/>
      <c r="W723" s="44"/>
    </row>
    <row r="724" spans="7:23" ht="15.75" customHeight="1">
      <c r="G724" s="22"/>
      <c r="M724" s="61"/>
      <c r="O724" s="22"/>
      <c r="T724" s="81"/>
      <c r="V724" s="44"/>
      <c r="W724" s="44"/>
    </row>
    <row r="725" spans="7:23" ht="15.75" customHeight="1">
      <c r="G725" s="22"/>
      <c r="M725" s="61"/>
      <c r="O725" s="22"/>
      <c r="T725" s="81"/>
      <c r="V725" s="44"/>
      <c r="W725" s="44"/>
    </row>
    <row r="726" spans="7:23" ht="15.75" customHeight="1">
      <c r="G726" s="22"/>
      <c r="M726" s="61"/>
      <c r="O726" s="22"/>
      <c r="T726" s="81"/>
      <c r="V726" s="44"/>
      <c r="W726" s="44"/>
    </row>
    <row r="727" spans="7:23" ht="15.75" customHeight="1">
      <c r="G727" s="22"/>
      <c r="M727" s="61"/>
      <c r="O727" s="22"/>
      <c r="T727" s="81"/>
      <c r="V727" s="44"/>
      <c r="W727" s="44"/>
    </row>
    <row r="728" spans="7:23" ht="15.75" customHeight="1">
      <c r="G728" s="22"/>
      <c r="M728" s="61"/>
      <c r="O728" s="22"/>
      <c r="T728" s="81"/>
      <c r="V728" s="44"/>
      <c r="W728" s="44"/>
    </row>
    <row r="729" spans="7:23" ht="15.75" customHeight="1">
      <c r="G729" s="22"/>
      <c r="M729" s="61"/>
      <c r="O729" s="22"/>
      <c r="T729" s="81"/>
      <c r="V729" s="44"/>
      <c r="W729" s="44"/>
    </row>
    <row r="730" spans="7:23" ht="15.75" customHeight="1">
      <c r="G730" s="22"/>
      <c r="M730" s="61"/>
      <c r="O730" s="22"/>
      <c r="T730" s="81"/>
      <c r="V730" s="44"/>
      <c r="W730" s="44"/>
    </row>
    <row r="731" spans="7:23" ht="15.75" customHeight="1">
      <c r="G731" s="22"/>
      <c r="M731" s="61"/>
      <c r="O731" s="22"/>
      <c r="T731" s="81"/>
      <c r="V731" s="44"/>
      <c r="W731" s="44"/>
    </row>
    <row r="732" spans="7:23" ht="15.75" customHeight="1">
      <c r="G732" s="22"/>
      <c r="M732" s="61"/>
      <c r="O732" s="22"/>
      <c r="T732" s="81"/>
      <c r="V732" s="44"/>
      <c r="W732" s="44"/>
    </row>
    <row r="733" spans="7:23" ht="15.75" customHeight="1">
      <c r="G733" s="22"/>
      <c r="M733" s="61"/>
      <c r="O733" s="22"/>
      <c r="T733" s="81"/>
      <c r="V733" s="44"/>
      <c r="W733" s="44"/>
    </row>
    <row r="734" spans="7:23" ht="15.75" customHeight="1">
      <c r="G734" s="22"/>
      <c r="M734" s="61"/>
      <c r="O734" s="22"/>
      <c r="T734" s="81"/>
      <c r="V734" s="44"/>
      <c r="W734" s="44"/>
    </row>
    <row r="735" spans="7:23" ht="15.75" customHeight="1">
      <c r="G735" s="22"/>
      <c r="M735" s="61"/>
      <c r="O735" s="22"/>
      <c r="T735" s="81"/>
      <c r="V735" s="44"/>
      <c r="W735" s="44"/>
    </row>
    <row r="736" spans="7:23" ht="15.75" customHeight="1">
      <c r="G736" s="22"/>
      <c r="M736" s="61"/>
      <c r="O736" s="22"/>
      <c r="T736" s="81"/>
      <c r="V736" s="44"/>
      <c r="W736" s="44"/>
    </row>
    <row r="737" spans="7:23" ht="15.75" customHeight="1">
      <c r="G737" s="22"/>
      <c r="M737" s="61"/>
      <c r="O737" s="22"/>
      <c r="T737" s="81"/>
      <c r="V737" s="44"/>
      <c r="W737" s="44"/>
    </row>
    <row r="738" spans="7:23" ht="15.75" customHeight="1">
      <c r="G738" s="22"/>
      <c r="M738" s="61"/>
      <c r="O738" s="22"/>
      <c r="T738" s="81"/>
      <c r="V738" s="44"/>
      <c r="W738" s="44"/>
    </row>
    <row r="739" spans="7:23" ht="15.75" customHeight="1">
      <c r="G739" s="22"/>
      <c r="M739" s="61"/>
      <c r="O739" s="22"/>
      <c r="T739" s="81"/>
      <c r="V739" s="44"/>
      <c r="W739" s="44"/>
    </row>
    <row r="740" spans="7:23" ht="15.75" customHeight="1">
      <c r="G740" s="22"/>
      <c r="M740" s="61"/>
      <c r="O740" s="22"/>
      <c r="T740" s="81"/>
      <c r="V740" s="44"/>
      <c r="W740" s="44"/>
    </row>
    <row r="741" spans="7:23" ht="15.75" customHeight="1">
      <c r="G741" s="22"/>
      <c r="M741" s="61"/>
      <c r="O741" s="22"/>
      <c r="T741" s="81"/>
      <c r="V741" s="44"/>
      <c r="W741" s="44"/>
    </row>
    <row r="742" spans="7:23" ht="15.75" customHeight="1">
      <c r="G742" s="22"/>
      <c r="M742" s="61"/>
      <c r="O742" s="22"/>
      <c r="T742" s="81"/>
      <c r="V742" s="44"/>
      <c r="W742" s="44"/>
    </row>
    <row r="743" spans="7:23" ht="15.75" customHeight="1">
      <c r="G743" s="22"/>
      <c r="M743" s="61"/>
      <c r="O743" s="22"/>
      <c r="T743" s="81"/>
      <c r="V743" s="44"/>
      <c r="W743" s="44"/>
    </row>
    <row r="744" spans="7:23" ht="15.75" customHeight="1">
      <c r="G744" s="22"/>
      <c r="M744" s="61"/>
      <c r="O744" s="22"/>
      <c r="T744" s="81"/>
      <c r="V744" s="44"/>
      <c r="W744" s="44"/>
    </row>
    <row r="745" spans="7:23" ht="15.75" customHeight="1">
      <c r="G745" s="22"/>
      <c r="M745" s="61"/>
      <c r="O745" s="22"/>
      <c r="T745" s="81"/>
      <c r="V745" s="44"/>
      <c r="W745" s="44"/>
    </row>
    <row r="746" spans="7:23" ht="15.75" customHeight="1">
      <c r="G746" s="22"/>
      <c r="M746" s="61"/>
      <c r="O746" s="22"/>
      <c r="T746" s="81"/>
      <c r="V746" s="44"/>
      <c r="W746" s="44"/>
    </row>
    <row r="747" spans="7:23" ht="15.75" customHeight="1">
      <c r="G747" s="22"/>
      <c r="M747" s="61"/>
      <c r="O747" s="22"/>
      <c r="T747" s="81"/>
      <c r="V747" s="44"/>
      <c r="W747" s="44"/>
    </row>
    <row r="748" spans="7:23" ht="15.75" customHeight="1">
      <c r="G748" s="22"/>
      <c r="M748" s="61"/>
      <c r="O748" s="22"/>
      <c r="T748" s="81"/>
      <c r="V748" s="44"/>
      <c r="W748" s="44"/>
    </row>
    <row r="749" spans="7:23" ht="15.75" customHeight="1">
      <c r="G749" s="22"/>
      <c r="M749" s="61"/>
      <c r="O749" s="22"/>
      <c r="T749" s="81"/>
      <c r="V749" s="44"/>
      <c r="W749" s="44"/>
    </row>
    <row r="750" spans="7:23" ht="15.75" customHeight="1">
      <c r="G750" s="22"/>
      <c r="M750" s="61"/>
      <c r="O750" s="22"/>
      <c r="T750" s="81"/>
      <c r="V750" s="44"/>
      <c r="W750" s="44"/>
    </row>
    <row r="751" spans="7:23" ht="15.75" customHeight="1">
      <c r="G751" s="22"/>
      <c r="M751" s="61"/>
      <c r="O751" s="22"/>
      <c r="T751" s="81"/>
      <c r="V751" s="44"/>
      <c r="W751" s="44"/>
    </row>
    <row r="752" spans="7:23" ht="15.75" customHeight="1">
      <c r="G752" s="22"/>
      <c r="M752" s="61"/>
      <c r="O752" s="22"/>
      <c r="T752" s="81"/>
      <c r="V752" s="44"/>
      <c r="W752" s="44"/>
    </row>
    <row r="753" spans="7:23" ht="15.75" customHeight="1">
      <c r="G753" s="22"/>
      <c r="M753" s="61"/>
      <c r="O753" s="22"/>
      <c r="T753" s="81"/>
      <c r="V753" s="44"/>
      <c r="W753" s="44"/>
    </row>
    <row r="754" spans="7:23" ht="15.75" customHeight="1">
      <c r="G754" s="22"/>
      <c r="M754" s="61"/>
      <c r="O754" s="22"/>
      <c r="T754" s="81"/>
      <c r="V754" s="44"/>
      <c r="W754" s="44"/>
    </row>
    <row r="755" spans="7:23" ht="15.75" customHeight="1">
      <c r="G755" s="22"/>
      <c r="M755" s="61"/>
      <c r="O755" s="22"/>
      <c r="T755" s="81"/>
      <c r="V755" s="44"/>
      <c r="W755" s="44"/>
    </row>
    <row r="756" spans="7:23" ht="15.75" customHeight="1">
      <c r="G756" s="22"/>
      <c r="M756" s="61"/>
      <c r="O756" s="22"/>
      <c r="T756" s="81"/>
      <c r="V756" s="44"/>
      <c r="W756" s="44"/>
    </row>
    <row r="757" spans="7:23" ht="15.75" customHeight="1">
      <c r="G757" s="22"/>
      <c r="M757" s="61"/>
      <c r="O757" s="22"/>
      <c r="T757" s="81"/>
      <c r="V757" s="44"/>
      <c r="W757" s="44"/>
    </row>
    <row r="758" spans="7:23" ht="15.75" customHeight="1">
      <c r="G758" s="22"/>
      <c r="M758" s="61"/>
      <c r="O758" s="22"/>
      <c r="T758" s="81"/>
      <c r="V758" s="44"/>
      <c r="W758" s="44"/>
    </row>
    <row r="759" spans="7:23" ht="15.75" customHeight="1">
      <c r="G759" s="22"/>
      <c r="M759" s="61"/>
      <c r="O759" s="22"/>
      <c r="T759" s="81"/>
      <c r="V759" s="44"/>
      <c r="W759" s="44"/>
    </row>
    <row r="760" spans="7:23" ht="15.75" customHeight="1">
      <c r="G760" s="22"/>
      <c r="M760" s="61"/>
      <c r="O760" s="22"/>
      <c r="T760" s="81"/>
      <c r="V760" s="44"/>
      <c r="W760" s="44"/>
    </row>
    <row r="761" spans="7:23" ht="15.75" customHeight="1">
      <c r="G761" s="22"/>
      <c r="M761" s="61"/>
      <c r="O761" s="22"/>
      <c r="T761" s="81"/>
      <c r="V761" s="44"/>
      <c r="W761" s="44"/>
    </row>
    <row r="762" spans="7:23" ht="15.75" customHeight="1">
      <c r="G762" s="22"/>
      <c r="M762" s="61"/>
      <c r="O762" s="22"/>
      <c r="T762" s="81"/>
      <c r="V762" s="44"/>
      <c r="W762" s="44"/>
    </row>
    <row r="763" spans="7:23" ht="15.75" customHeight="1">
      <c r="G763" s="22"/>
      <c r="M763" s="61"/>
      <c r="O763" s="22"/>
      <c r="T763" s="81"/>
      <c r="V763" s="44"/>
      <c r="W763" s="44"/>
    </row>
    <row r="764" spans="7:23" ht="15.75" customHeight="1">
      <c r="G764" s="22"/>
      <c r="M764" s="61"/>
      <c r="O764" s="22"/>
      <c r="T764" s="81"/>
      <c r="V764" s="44"/>
      <c r="W764" s="44"/>
    </row>
    <row r="765" spans="7:23" ht="15.75" customHeight="1">
      <c r="G765" s="22"/>
      <c r="M765" s="61"/>
      <c r="O765" s="22"/>
      <c r="T765" s="81"/>
      <c r="V765" s="44"/>
      <c r="W765" s="44"/>
    </row>
    <row r="766" spans="7:23" ht="15.75" customHeight="1">
      <c r="G766" s="22"/>
      <c r="M766" s="61"/>
      <c r="O766" s="22"/>
      <c r="T766" s="81"/>
      <c r="V766" s="44"/>
      <c r="W766" s="44"/>
    </row>
    <row r="767" spans="7:23" ht="15.75" customHeight="1">
      <c r="G767" s="22"/>
      <c r="M767" s="61"/>
      <c r="O767" s="22"/>
      <c r="T767" s="81"/>
      <c r="V767" s="44"/>
      <c r="W767" s="44"/>
    </row>
    <row r="768" spans="7:23" ht="15.75" customHeight="1">
      <c r="G768" s="22"/>
      <c r="M768" s="61"/>
      <c r="O768" s="22"/>
      <c r="T768" s="81"/>
      <c r="V768" s="44"/>
      <c r="W768" s="44"/>
    </row>
    <row r="769" spans="7:23" ht="15.75" customHeight="1">
      <c r="G769" s="22"/>
      <c r="M769" s="61"/>
      <c r="O769" s="22"/>
      <c r="T769" s="81"/>
      <c r="V769" s="44"/>
      <c r="W769" s="44"/>
    </row>
    <row r="770" spans="7:23" ht="15.75" customHeight="1">
      <c r="G770" s="22"/>
      <c r="M770" s="61"/>
      <c r="O770" s="22"/>
      <c r="T770" s="81"/>
      <c r="V770" s="44"/>
      <c r="W770" s="44"/>
    </row>
    <row r="771" spans="7:23" ht="15.75" customHeight="1">
      <c r="G771" s="22"/>
      <c r="M771" s="61"/>
      <c r="O771" s="22"/>
      <c r="T771" s="81"/>
      <c r="V771" s="44"/>
      <c r="W771" s="44"/>
    </row>
    <row r="772" spans="7:23" ht="15.75" customHeight="1">
      <c r="G772" s="22"/>
      <c r="M772" s="61"/>
      <c r="O772" s="22"/>
      <c r="T772" s="81"/>
      <c r="V772" s="44"/>
      <c r="W772" s="44"/>
    </row>
    <row r="773" spans="7:23" ht="15.75" customHeight="1">
      <c r="G773" s="22"/>
      <c r="M773" s="61"/>
      <c r="O773" s="22"/>
      <c r="T773" s="81"/>
      <c r="V773" s="44"/>
      <c r="W773" s="44"/>
    </row>
    <row r="774" spans="7:23" ht="15.75" customHeight="1">
      <c r="G774" s="22"/>
      <c r="M774" s="61"/>
      <c r="O774" s="22"/>
      <c r="T774" s="81"/>
      <c r="V774" s="44"/>
      <c r="W774" s="44"/>
    </row>
    <row r="775" spans="7:23" ht="15.75" customHeight="1">
      <c r="G775" s="22"/>
      <c r="M775" s="61"/>
      <c r="O775" s="22"/>
      <c r="T775" s="81"/>
      <c r="V775" s="44"/>
      <c r="W775" s="44"/>
    </row>
    <row r="776" spans="7:23" ht="15.75" customHeight="1">
      <c r="G776" s="22"/>
      <c r="M776" s="61"/>
      <c r="O776" s="22"/>
      <c r="T776" s="81"/>
      <c r="V776" s="44"/>
      <c r="W776" s="44"/>
    </row>
    <row r="777" spans="7:23" ht="15.75" customHeight="1">
      <c r="G777" s="22"/>
      <c r="M777" s="61"/>
      <c r="O777" s="22"/>
      <c r="T777" s="81"/>
      <c r="V777" s="44"/>
      <c r="W777" s="44"/>
    </row>
    <row r="778" spans="7:23" ht="15.75" customHeight="1">
      <c r="G778" s="22"/>
      <c r="M778" s="61"/>
      <c r="O778" s="22"/>
      <c r="T778" s="81"/>
      <c r="V778" s="44"/>
      <c r="W778" s="44"/>
    </row>
    <row r="779" spans="7:23" ht="15.75" customHeight="1">
      <c r="G779" s="22"/>
      <c r="M779" s="61"/>
      <c r="O779" s="22"/>
      <c r="T779" s="81"/>
      <c r="V779" s="44"/>
      <c r="W779" s="44"/>
    </row>
    <row r="780" spans="7:23" ht="15.75" customHeight="1">
      <c r="G780" s="22"/>
      <c r="M780" s="61"/>
      <c r="O780" s="22"/>
      <c r="T780" s="81"/>
      <c r="V780" s="44"/>
      <c r="W780" s="44"/>
    </row>
    <row r="781" spans="7:23" ht="15.75" customHeight="1">
      <c r="G781" s="22"/>
      <c r="M781" s="61"/>
      <c r="O781" s="22"/>
      <c r="T781" s="81"/>
      <c r="V781" s="44"/>
      <c r="W781" s="44"/>
    </row>
    <row r="782" spans="7:23" ht="15.75" customHeight="1">
      <c r="G782" s="22"/>
      <c r="M782" s="61"/>
      <c r="O782" s="22"/>
      <c r="T782" s="81"/>
      <c r="V782" s="44"/>
      <c r="W782" s="44"/>
    </row>
    <row r="783" spans="7:23" ht="15.75" customHeight="1">
      <c r="G783" s="22"/>
      <c r="M783" s="61"/>
      <c r="O783" s="22"/>
      <c r="T783" s="81"/>
      <c r="V783" s="44"/>
      <c r="W783" s="44"/>
    </row>
    <row r="784" spans="7:23" ht="15.75" customHeight="1">
      <c r="G784" s="22"/>
      <c r="M784" s="61"/>
      <c r="O784" s="22"/>
      <c r="T784" s="81"/>
      <c r="V784" s="44"/>
      <c r="W784" s="44"/>
    </row>
    <row r="785" spans="7:23" ht="15.75" customHeight="1">
      <c r="G785" s="22"/>
      <c r="M785" s="61"/>
      <c r="O785" s="22"/>
      <c r="T785" s="81"/>
      <c r="V785" s="44"/>
      <c r="W785" s="44"/>
    </row>
    <row r="786" spans="7:23" ht="15.75" customHeight="1">
      <c r="G786" s="22"/>
      <c r="M786" s="61"/>
      <c r="O786" s="22"/>
      <c r="T786" s="81"/>
      <c r="V786" s="44"/>
      <c r="W786" s="44"/>
    </row>
    <row r="787" spans="7:23" ht="15.75" customHeight="1">
      <c r="G787" s="22"/>
      <c r="M787" s="61"/>
      <c r="O787" s="22"/>
      <c r="T787" s="81"/>
      <c r="V787" s="44"/>
      <c r="W787" s="44"/>
    </row>
    <row r="788" spans="7:23" ht="15.75" customHeight="1">
      <c r="G788" s="22"/>
      <c r="M788" s="61"/>
      <c r="O788" s="22"/>
      <c r="T788" s="81"/>
      <c r="V788" s="44"/>
      <c r="W788" s="44"/>
    </row>
    <row r="789" spans="7:23" ht="15.75" customHeight="1">
      <c r="G789" s="22"/>
      <c r="M789" s="61"/>
      <c r="O789" s="22"/>
      <c r="T789" s="81"/>
      <c r="V789" s="44"/>
      <c r="W789" s="44"/>
    </row>
    <row r="790" spans="7:23" ht="15.75" customHeight="1">
      <c r="G790" s="22"/>
      <c r="M790" s="61"/>
      <c r="O790" s="22"/>
      <c r="T790" s="81"/>
      <c r="V790" s="44"/>
      <c r="W790" s="44"/>
    </row>
    <row r="791" spans="7:23" ht="15.75" customHeight="1">
      <c r="G791" s="22"/>
      <c r="M791" s="61"/>
      <c r="O791" s="22"/>
      <c r="T791" s="81"/>
      <c r="V791" s="44"/>
      <c r="W791" s="44"/>
    </row>
    <row r="792" spans="7:23" ht="15.75" customHeight="1">
      <c r="G792" s="22"/>
      <c r="M792" s="61"/>
      <c r="O792" s="22"/>
      <c r="T792" s="81"/>
      <c r="V792" s="44"/>
      <c r="W792" s="44"/>
    </row>
    <row r="793" spans="7:23" ht="15.75" customHeight="1">
      <c r="G793" s="22"/>
      <c r="M793" s="61"/>
      <c r="O793" s="22"/>
      <c r="T793" s="81"/>
      <c r="V793" s="44"/>
      <c r="W793" s="44"/>
    </row>
    <row r="794" spans="7:23" ht="15.75" customHeight="1">
      <c r="G794" s="22"/>
      <c r="M794" s="61"/>
      <c r="O794" s="22"/>
      <c r="T794" s="81"/>
      <c r="V794" s="44"/>
      <c r="W794" s="44"/>
    </row>
    <row r="795" spans="7:23" ht="15.75" customHeight="1">
      <c r="G795" s="22"/>
      <c r="M795" s="61"/>
      <c r="O795" s="22"/>
      <c r="T795" s="81"/>
      <c r="V795" s="44"/>
      <c r="W795" s="44"/>
    </row>
    <row r="796" spans="7:23" ht="15.75" customHeight="1">
      <c r="G796" s="22"/>
      <c r="M796" s="61"/>
      <c r="O796" s="22"/>
      <c r="T796" s="81"/>
      <c r="V796" s="44"/>
      <c r="W796" s="44"/>
    </row>
    <row r="797" spans="7:23" ht="15.75" customHeight="1">
      <c r="G797" s="22"/>
      <c r="M797" s="61"/>
      <c r="O797" s="22"/>
      <c r="T797" s="81"/>
      <c r="V797" s="44"/>
      <c r="W797" s="44"/>
    </row>
    <row r="798" spans="7:23" ht="15.75" customHeight="1">
      <c r="G798" s="22"/>
      <c r="M798" s="61"/>
      <c r="O798" s="22"/>
      <c r="T798" s="81"/>
      <c r="V798" s="44"/>
      <c r="W798" s="44"/>
    </row>
    <row r="799" spans="7:23" ht="15.75" customHeight="1">
      <c r="G799" s="22"/>
      <c r="M799" s="61"/>
      <c r="O799" s="22"/>
      <c r="T799" s="81"/>
      <c r="V799" s="44"/>
      <c r="W799" s="44"/>
    </row>
    <row r="800" spans="7:23" ht="15.75" customHeight="1">
      <c r="G800" s="22"/>
      <c r="M800" s="61"/>
      <c r="O800" s="22"/>
      <c r="T800" s="81"/>
      <c r="V800" s="44"/>
      <c r="W800" s="44"/>
    </row>
    <row r="801" spans="7:23" ht="15.75" customHeight="1">
      <c r="G801" s="22"/>
      <c r="M801" s="61"/>
      <c r="O801" s="22"/>
      <c r="T801" s="81"/>
      <c r="V801" s="44"/>
      <c r="W801" s="44"/>
    </row>
    <row r="802" spans="7:23" ht="15.75" customHeight="1">
      <c r="G802" s="22"/>
      <c r="M802" s="61"/>
      <c r="O802" s="22"/>
      <c r="T802" s="81"/>
      <c r="V802" s="44"/>
      <c r="W802" s="44"/>
    </row>
    <row r="803" spans="7:23" ht="15.75" customHeight="1">
      <c r="G803" s="22"/>
      <c r="M803" s="61"/>
      <c r="O803" s="22"/>
      <c r="T803" s="81"/>
      <c r="V803" s="44"/>
      <c r="W803" s="44"/>
    </row>
    <row r="804" spans="7:23" ht="15.75" customHeight="1">
      <c r="G804" s="22"/>
      <c r="M804" s="61"/>
      <c r="O804" s="22"/>
      <c r="T804" s="81"/>
      <c r="V804" s="44"/>
      <c r="W804" s="44"/>
    </row>
    <row r="805" spans="7:23" ht="15.75" customHeight="1">
      <c r="G805" s="22"/>
      <c r="M805" s="61"/>
      <c r="O805" s="22"/>
      <c r="T805" s="81"/>
      <c r="V805" s="44"/>
      <c r="W805" s="44"/>
    </row>
    <row r="806" spans="7:23" ht="15.75" customHeight="1">
      <c r="G806" s="22"/>
      <c r="M806" s="61"/>
      <c r="O806" s="22"/>
      <c r="T806" s="81"/>
      <c r="V806" s="44"/>
      <c r="W806" s="44"/>
    </row>
    <row r="807" spans="7:23" ht="15.75" customHeight="1">
      <c r="G807" s="22"/>
      <c r="M807" s="61"/>
      <c r="O807" s="22"/>
      <c r="T807" s="81"/>
      <c r="V807" s="44"/>
      <c r="W807" s="44"/>
    </row>
    <row r="808" spans="7:23" ht="15.75" customHeight="1">
      <c r="G808" s="22"/>
      <c r="M808" s="61"/>
      <c r="O808" s="22"/>
      <c r="T808" s="81"/>
      <c r="V808" s="44"/>
      <c r="W808" s="44"/>
    </row>
    <row r="809" spans="7:23" ht="15.75" customHeight="1">
      <c r="G809" s="22"/>
      <c r="M809" s="61"/>
      <c r="O809" s="22"/>
      <c r="T809" s="81"/>
      <c r="V809" s="44"/>
      <c r="W809" s="44"/>
    </row>
    <row r="810" spans="7:23" ht="15.75" customHeight="1">
      <c r="G810" s="22"/>
      <c r="M810" s="61"/>
      <c r="O810" s="22"/>
      <c r="T810" s="81"/>
      <c r="V810" s="44"/>
      <c r="W810" s="44"/>
    </row>
    <row r="811" spans="7:23" ht="15.75" customHeight="1">
      <c r="G811" s="22"/>
      <c r="M811" s="61"/>
      <c r="O811" s="22"/>
      <c r="T811" s="81"/>
      <c r="V811" s="44"/>
      <c r="W811" s="44"/>
    </row>
    <row r="812" spans="7:23" ht="15.75" customHeight="1">
      <c r="G812" s="22"/>
      <c r="M812" s="61"/>
      <c r="O812" s="22"/>
      <c r="T812" s="81"/>
      <c r="V812" s="44"/>
      <c r="W812" s="44"/>
    </row>
    <row r="813" spans="7:23" ht="15.75" customHeight="1">
      <c r="G813" s="22"/>
      <c r="M813" s="61"/>
      <c r="O813" s="22"/>
      <c r="T813" s="81"/>
      <c r="V813" s="44"/>
      <c r="W813" s="44"/>
    </row>
    <row r="814" spans="7:23" ht="15.75" customHeight="1">
      <c r="G814" s="22"/>
      <c r="M814" s="61"/>
      <c r="O814" s="22"/>
      <c r="T814" s="81"/>
      <c r="V814" s="44"/>
      <c r="W814" s="44"/>
    </row>
    <row r="815" spans="7:23" ht="15.75" customHeight="1">
      <c r="G815" s="22"/>
      <c r="M815" s="61"/>
      <c r="O815" s="22"/>
      <c r="T815" s="81"/>
      <c r="V815" s="44"/>
      <c r="W815" s="44"/>
    </row>
    <row r="816" spans="7:23" ht="15.75" customHeight="1">
      <c r="G816" s="22"/>
      <c r="M816" s="61"/>
      <c r="O816" s="22"/>
      <c r="T816" s="81"/>
      <c r="V816" s="44"/>
      <c r="W816" s="44"/>
    </row>
    <row r="817" spans="7:23" ht="15.75" customHeight="1">
      <c r="G817" s="22"/>
      <c r="M817" s="61"/>
      <c r="O817" s="22"/>
      <c r="T817" s="81"/>
      <c r="V817" s="44"/>
      <c r="W817" s="44"/>
    </row>
    <row r="818" spans="7:23" ht="15.75" customHeight="1">
      <c r="G818" s="22"/>
      <c r="M818" s="61"/>
      <c r="O818" s="22"/>
      <c r="T818" s="81"/>
      <c r="V818" s="44"/>
      <c r="W818" s="44"/>
    </row>
    <row r="819" spans="7:23" ht="15.75" customHeight="1">
      <c r="G819" s="22"/>
      <c r="M819" s="61"/>
      <c r="O819" s="22"/>
      <c r="T819" s="81"/>
      <c r="V819" s="44"/>
      <c r="W819" s="44"/>
    </row>
    <row r="820" spans="7:23" ht="15.75" customHeight="1">
      <c r="G820" s="22"/>
      <c r="M820" s="61"/>
      <c r="O820" s="22"/>
      <c r="T820" s="81"/>
      <c r="V820" s="44"/>
      <c r="W820" s="44"/>
    </row>
    <row r="821" spans="7:23" ht="15.75" customHeight="1">
      <c r="G821" s="22"/>
      <c r="M821" s="61"/>
      <c r="O821" s="22"/>
      <c r="T821" s="81"/>
      <c r="V821" s="44"/>
      <c r="W821" s="44"/>
    </row>
    <row r="822" spans="7:23" ht="15.75" customHeight="1">
      <c r="G822" s="22"/>
      <c r="M822" s="61"/>
      <c r="O822" s="22"/>
      <c r="T822" s="81"/>
      <c r="V822" s="44"/>
      <c r="W822" s="44"/>
    </row>
    <row r="823" spans="7:23" ht="15.75" customHeight="1">
      <c r="G823" s="22"/>
      <c r="M823" s="61"/>
      <c r="O823" s="22"/>
      <c r="T823" s="81"/>
      <c r="V823" s="44"/>
      <c r="W823" s="44"/>
    </row>
    <row r="824" spans="7:23" ht="15.75" customHeight="1">
      <c r="G824" s="22"/>
      <c r="M824" s="61"/>
      <c r="O824" s="22"/>
      <c r="T824" s="81"/>
      <c r="V824" s="44"/>
      <c r="W824" s="44"/>
    </row>
    <row r="825" spans="7:23" ht="15.75" customHeight="1">
      <c r="G825" s="22"/>
      <c r="M825" s="61"/>
      <c r="O825" s="22"/>
      <c r="T825" s="81"/>
      <c r="V825" s="44"/>
      <c r="W825" s="44"/>
    </row>
    <row r="826" spans="7:23" ht="15.75" customHeight="1">
      <c r="G826" s="22"/>
      <c r="M826" s="61"/>
      <c r="O826" s="22"/>
      <c r="T826" s="81"/>
      <c r="V826" s="44"/>
      <c r="W826" s="44"/>
    </row>
    <row r="827" spans="7:23" ht="15.75" customHeight="1">
      <c r="G827" s="22"/>
      <c r="M827" s="61"/>
      <c r="O827" s="22"/>
      <c r="T827" s="81"/>
      <c r="V827" s="44"/>
      <c r="W827" s="44"/>
    </row>
    <row r="828" spans="7:23" ht="15.75" customHeight="1">
      <c r="G828" s="22"/>
      <c r="M828" s="61"/>
      <c r="O828" s="22"/>
      <c r="T828" s="81"/>
      <c r="V828" s="44"/>
      <c r="W828" s="44"/>
    </row>
    <row r="829" spans="7:23" ht="15.75" customHeight="1">
      <c r="G829" s="22"/>
      <c r="M829" s="61"/>
      <c r="O829" s="22"/>
      <c r="T829" s="81"/>
      <c r="V829" s="44"/>
      <c r="W829" s="44"/>
    </row>
    <row r="830" spans="7:23" ht="15.75" customHeight="1">
      <c r="G830" s="22"/>
      <c r="M830" s="61"/>
      <c r="O830" s="22"/>
      <c r="T830" s="81"/>
      <c r="V830" s="44"/>
      <c r="W830" s="44"/>
    </row>
    <row r="831" spans="7:23" ht="15.75" customHeight="1">
      <c r="G831" s="22"/>
      <c r="M831" s="61"/>
      <c r="O831" s="22"/>
      <c r="T831" s="81"/>
      <c r="V831" s="44"/>
      <c r="W831" s="44"/>
    </row>
    <row r="832" spans="7:23" ht="15.75" customHeight="1">
      <c r="G832" s="22"/>
      <c r="M832" s="61"/>
      <c r="O832" s="22"/>
      <c r="T832" s="81"/>
      <c r="V832" s="44"/>
      <c r="W832" s="44"/>
    </row>
    <row r="833" spans="7:23" ht="15.75" customHeight="1">
      <c r="G833" s="22"/>
      <c r="M833" s="61"/>
      <c r="O833" s="22"/>
      <c r="T833" s="81"/>
      <c r="V833" s="44"/>
      <c r="W833" s="44"/>
    </row>
    <row r="834" spans="7:23" ht="15.75" customHeight="1">
      <c r="G834" s="22"/>
      <c r="M834" s="61"/>
      <c r="O834" s="22"/>
      <c r="T834" s="81"/>
      <c r="V834" s="44"/>
      <c r="W834" s="44"/>
    </row>
    <row r="835" spans="7:23" ht="15.75" customHeight="1">
      <c r="G835" s="22"/>
      <c r="M835" s="61"/>
      <c r="O835" s="22"/>
      <c r="T835" s="81"/>
      <c r="V835" s="44"/>
      <c r="W835" s="44"/>
    </row>
    <row r="836" spans="7:23" ht="15.75" customHeight="1">
      <c r="G836" s="22"/>
      <c r="M836" s="61"/>
      <c r="O836" s="22"/>
      <c r="T836" s="81"/>
      <c r="V836" s="44"/>
      <c r="W836" s="44"/>
    </row>
    <row r="837" spans="7:23" ht="15.75" customHeight="1">
      <c r="G837" s="22"/>
      <c r="M837" s="61"/>
      <c r="O837" s="22"/>
      <c r="T837" s="81"/>
      <c r="V837" s="44"/>
      <c r="W837" s="44"/>
    </row>
    <row r="838" spans="7:23" ht="15.75" customHeight="1">
      <c r="G838" s="22"/>
      <c r="M838" s="61"/>
      <c r="O838" s="22"/>
      <c r="T838" s="81"/>
      <c r="V838" s="44"/>
      <c r="W838" s="44"/>
    </row>
    <row r="839" spans="7:23" ht="15.75" customHeight="1">
      <c r="G839" s="22"/>
      <c r="M839" s="61"/>
      <c r="O839" s="22"/>
      <c r="T839" s="81"/>
      <c r="V839" s="44"/>
      <c r="W839" s="44"/>
    </row>
    <row r="840" spans="7:23" ht="15.75" customHeight="1">
      <c r="G840" s="22"/>
      <c r="M840" s="61"/>
      <c r="O840" s="22"/>
      <c r="T840" s="81"/>
      <c r="V840" s="44"/>
      <c r="W840" s="44"/>
    </row>
    <row r="841" spans="7:23" ht="15.75" customHeight="1">
      <c r="G841" s="22"/>
      <c r="M841" s="61"/>
      <c r="O841" s="22"/>
      <c r="T841" s="81"/>
      <c r="V841" s="44"/>
      <c r="W841" s="44"/>
    </row>
    <row r="842" spans="7:23" ht="15.75" customHeight="1">
      <c r="G842" s="22"/>
      <c r="M842" s="61"/>
      <c r="O842" s="22"/>
      <c r="T842" s="81"/>
      <c r="V842" s="44"/>
      <c r="W842" s="44"/>
    </row>
    <row r="843" spans="7:23" ht="15.75" customHeight="1">
      <c r="G843" s="22"/>
      <c r="M843" s="61"/>
      <c r="O843" s="22"/>
      <c r="T843" s="81"/>
      <c r="V843" s="44"/>
      <c r="W843" s="44"/>
    </row>
    <row r="844" spans="7:23" ht="15.75" customHeight="1">
      <c r="G844" s="22"/>
      <c r="M844" s="61"/>
      <c r="O844" s="22"/>
      <c r="T844" s="81"/>
      <c r="V844" s="44"/>
      <c r="W844" s="44"/>
    </row>
    <row r="845" spans="7:23" ht="15.75" customHeight="1">
      <c r="G845" s="22"/>
      <c r="M845" s="61"/>
      <c r="O845" s="22"/>
      <c r="T845" s="81"/>
      <c r="V845" s="44"/>
      <c r="W845" s="44"/>
    </row>
    <row r="846" spans="7:23" ht="15.75" customHeight="1">
      <c r="G846" s="22"/>
      <c r="M846" s="61"/>
      <c r="O846" s="22"/>
      <c r="T846" s="81"/>
      <c r="V846" s="44"/>
      <c r="W846" s="44"/>
    </row>
    <row r="847" spans="7:23" ht="15.75" customHeight="1">
      <c r="G847" s="22"/>
      <c r="M847" s="61"/>
      <c r="O847" s="22"/>
      <c r="T847" s="81"/>
      <c r="V847" s="44"/>
      <c r="W847" s="44"/>
    </row>
    <row r="848" spans="7:23" ht="15.75" customHeight="1">
      <c r="G848" s="22"/>
      <c r="M848" s="61"/>
      <c r="O848" s="22"/>
      <c r="T848" s="81"/>
      <c r="V848" s="44"/>
      <c r="W848" s="44"/>
    </row>
    <row r="849" spans="7:23" ht="15.75" customHeight="1">
      <c r="G849" s="22"/>
      <c r="M849" s="61"/>
      <c r="O849" s="22"/>
      <c r="T849" s="81"/>
      <c r="V849" s="44"/>
      <c r="W849" s="44"/>
    </row>
    <row r="850" spans="7:23" ht="15.75" customHeight="1">
      <c r="G850" s="22"/>
      <c r="M850" s="61"/>
      <c r="O850" s="22"/>
      <c r="T850" s="81"/>
      <c r="V850" s="44"/>
      <c r="W850" s="44"/>
    </row>
    <row r="851" spans="7:23" ht="15.75" customHeight="1">
      <c r="G851" s="22"/>
      <c r="M851" s="61"/>
      <c r="O851" s="22"/>
      <c r="T851" s="81"/>
      <c r="V851" s="44"/>
      <c r="W851" s="44"/>
    </row>
    <row r="852" spans="7:23" ht="15.75" customHeight="1">
      <c r="G852" s="22"/>
      <c r="M852" s="61"/>
      <c r="O852" s="22"/>
      <c r="T852" s="81"/>
      <c r="V852" s="44"/>
      <c r="W852" s="44"/>
    </row>
    <row r="853" spans="7:23" ht="15.75" customHeight="1">
      <c r="G853" s="22"/>
      <c r="M853" s="61"/>
      <c r="O853" s="22"/>
      <c r="T853" s="81"/>
      <c r="V853" s="44"/>
      <c r="W853" s="44"/>
    </row>
    <row r="854" spans="7:23" ht="15.75" customHeight="1">
      <c r="G854" s="22"/>
      <c r="M854" s="61"/>
      <c r="O854" s="22"/>
      <c r="T854" s="81"/>
      <c r="V854" s="44"/>
      <c r="W854" s="44"/>
    </row>
    <row r="855" spans="7:23" ht="15.75" customHeight="1">
      <c r="G855" s="22"/>
      <c r="M855" s="61"/>
      <c r="O855" s="22"/>
      <c r="T855" s="81"/>
      <c r="V855" s="44"/>
      <c r="W855" s="44"/>
    </row>
    <row r="856" spans="7:23" ht="15.75" customHeight="1">
      <c r="G856" s="22"/>
      <c r="M856" s="61"/>
      <c r="O856" s="22"/>
      <c r="T856" s="81"/>
      <c r="V856" s="44"/>
      <c r="W856" s="44"/>
    </row>
    <row r="857" spans="7:23" ht="15.75" customHeight="1">
      <c r="G857" s="22"/>
      <c r="M857" s="61"/>
      <c r="O857" s="22"/>
      <c r="T857" s="81"/>
      <c r="V857" s="44"/>
      <c r="W857" s="44"/>
    </row>
    <row r="858" spans="7:23" ht="15.75" customHeight="1">
      <c r="G858" s="22"/>
      <c r="M858" s="61"/>
      <c r="O858" s="22"/>
      <c r="T858" s="81"/>
      <c r="V858" s="44"/>
      <c r="W858" s="44"/>
    </row>
    <row r="859" spans="7:23" ht="15.75" customHeight="1">
      <c r="G859" s="22"/>
      <c r="M859" s="61"/>
      <c r="O859" s="22"/>
      <c r="T859" s="81"/>
      <c r="V859" s="44"/>
      <c r="W859" s="44"/>
    </row>
    <row r="860" spans="7:23" ht="15.75" customHeight="1">
      <c r="G860" s="22"/>
      <c r="M860" s="61"/>
      <c r="O860" s="22"/>
      <c r="T860" s="81"/>
      <c r="V860" s="44"/>
      <c r="W860" s="44"/>
    </row>
    <row r="861" spans="7:23" ht="15.75" customHeight="1">
      <c r="G861" s="22"/>
      <c r="M861" s="61"/>
      <c r="O861" s="22"/>
      <c r="T861" s="81"/>
      <c r="V861" s="44"/>
      <c r="W861" s="44"/>
    </row>
    <row r="862" spans="7:23" ht="15.75" customHeight="1">
      <c r="G862" s="22"/>
      <c r="M862" s="61"/>
      <c r="O862" s="22"/>
      <c r="T862" s="81"/>
      <c r="V862" s="44"/>
      <c r="W862" s="44"/>
    </row>
    <row r="863" spans="7:23" ht="15.75" customHeight="1">
      <c r="G863" s="22"/>
      <c r="M863" s="61"/>
      <c r="O863" s="22"/>
      <c r="T863" s="81"/>
      <c r="V863" s="44"/>
      <c r="W863" s="44"/>
    </row>
    <row r="864" spans="7:23" ht="15.75" customHeight="1">
      <c r="G864" s="22"/>
      <c r="M864" s="61"/>
      <c r="O864" s="22"/>
      <c r="T864" s="81"/>
      <c r="V864" s="44"/>
      <c r="W864" s="44"/>
    </row>
    <row r="865" spans="7:23" ht="15.75" customHeight="1">
      <c r="G865" s="22"/>
      <c r="M865" s="61"/>
      <c r="O865" s="22"/>
      <c r="T865" s="81"/>
      <c r="V865" s="44"/>
      <c r="W865" s="44"/>
    </row>
    <row r="866" spans="7:23" ht="15.75" customHeight="1">
      <c r="G866" s="22"/>
      <c r="M866" s="61"/>
      <c r="O866" s="22"/>
      <c r="T866" s="81"/>
      <c r="V866" s="44"/>
      <c r="W866" s="44"/>
    </row>
    <row r="867" spans="7:23" ht="15.75" customHeight="1">
      <c r="G867" s="22"/>
      <c r="M867" s="61"/>
      <c r="O867" s="22"/>
      <c r="T867" s="81"/>
      <c r="V867" s="44"/>
      <c r="W867" s="44"/>
    </row>
    <row r="868" spans="7:23" ht="15.75" customHeight="1">
      <c r="G868" s="22"/>
      <c r="M868" s="61"/>
      <c r="O868" s="22"/>
      <c r="T868" s="81"/>
      <c r="V868" s="44"/>
      <c r="W868" s="44"/>
    </row>
    <row r="869" spans="7:23" ht="15.75" customHeight="1">
      <c r="G869" s="22"/>
      <c r="M869" s="61"/>
      <c r="O869" s="22"/>
      <c r="T869" s="81"/>
      <c r="V869" s="44"/>
      <c r="W869" s="44"/>
    </row>
    <row r="870" spans="7:23" ht="15.75" customHeight="1">
      <c r="G870" s="22"/>
      <c r="M870" s="61"/>
      <c r="O870" s="22"/>
      <c r="T870" s="81"/>
      <c r="V870" s="44"/>
      <c r="W870" s="44"/>
    </row>
    <row r="871" spans="7:23" ht="15.75" customHeight="1">
      <c r="G871" s="22"/>
      <c r="M871" s="61"/>
      <c r="O871" s="22"/>
      <c r="T871" s="81"/>
      <c r="V871" s="44"/>
      <c r="W871" s="44"/>
    </row>
    <row r="872" spans="7:23" ht="15.75" customHeight="1">
      <c r="G872" s="22"/>
      <c r="M872" s="61"/>
      <c r="O872" s="22"/>
      <c r="T872" s="81"/>
      <c r="V872" s="44"/>
      <c r="W872" s="44"/>
    </row>
    <row r="873" spans="7:23" ht="15.75" customHeight="1">
      <c r="G873" s="22"/>
      <c r="M873" s="61"/>
      <c r="O873" s="22"/>
      <c r="T873" s="81"/>
      <c r="V873" s="44"/>
      <c r="W873" s="44"/>
    </row>
    <row r="874" spans="7:23" ht="15.75" customHeight="1">
      <c r="G874" s="22"/>
      <c r="M874" s="61"/>
      <c r="O874" s="22"/>
      <c r="T874" s="81"/>
      <c r="V874" s="44"/>
      <c r="W874" s="44"/>
    </row>
    <row r="875" spans="7:23" ht="15.75" customHeight="1">
      <c r="G875" s="22"/>
      <c r="M875" s="61"/>
      <c r="O875" s="22"/>
      <c r="T875" s="81"/>
      <c r="V875" s="44"/>
      <c r="W875" s="44"/>
    </row>
    <row r="876" spans="7:23" ht="15.75" customHeight="1">
      <c r="G876" s="22"/>
      <c r="M876" s="61"/>
      <c r="O876" s="22"/>
      <c r="T876" s="81"/>
      <c r="V876" s="44"/>
      <c r="W876" s="44"/>
    </row>
    <row r="877" spans="7:23" ht="15.75" customHeight="1">
      <c r="G877" s="22"/>
      <c r="M877" s="61"/>
      <c r="O877" s="22"/>
      <c r="T877" s="81"/>
      <c r="V877" s="44"/>
      <c r="W877" s="44"/>
    </row>
    <row r="878" spans="7:23" ht="15.75" customHeight="1">
      <c r="G878" s="22"/>
      <c r="M878" s="61"/>
      <c r="O878" s="22"/>
      <c r="T878" s="81"/>
      <c r="V878" s="44"/>
      <c r="W878" s="44"/>
    </row>
    <row r="879" spans="7:23" ht="15.75" customHeight="1">
      <c r="G879" s="22"/>
      <c r="M879" s="61"/>
      <c r="O879" s="22"/>
      <c r="T879" s="81"/>
      <c r="V879" s="44"/>
      <c r="W879" s="44"/>
    </row>
    <row r="880" spans="7:23" ht="15.75" customHeight="1">
      <c r="G880" s="22"/>
      <c r="M880" s="61"/>
      <c r="O880" s="22"/>
      <c r="T880" s="81"/>
      <c r="V880" s="44"/>
      <c r="W880" s="44"/>
    </row>
    <row r="881" spans="7:23" ht="15.75" customHeight="1">
      <c r="G881" s="22"/>
      <c r="M881" s="61"/>
      <c r="O881" s="22"/>
      <c r="T881" s="81"/>
      <c r="V881" s="44"/>
      <c r="W881" s="44"/>
    </row>
    <row r="882" spans="7:23" ht="15.75" customHeight="1">
      <c r="G882" s="22"/>
      <c r="M882" s="61"/>
      <c r="O882" s="22"/>
      <c r="T882" s="81"/>
      <c r="V882" s="44"/>
      <c r="W882" s="44"/>
    </row>
    <row r="883" spans="7:23" ht="15.75" customHeight="1">
      <c r="G883" s="22"/>
      <c r="M883" s="61"/>
      <c r="O883" s="22"/>
      <c r="T883" s="81"/>
      <c r="V883" s="44"/>
      <c r="W883" s="44"/>
    </row>
    <row r="884" spans="7:23" ht="15.75" customHeight="1">
      <c r="G884" s="22"/>
      <c r="M884" s="61"/>
      <c r="O884" s="22"/>
      <c r="T884" s="81"/>
      <c r="V884" s="44"/>
      <c r="W884" s="44"/>
    </row>
    <row r="885" spans="7:23" ht="15.75" customHeight="1">
      <c r="G885" s="22"/>
      <c r="M885" s="61"/>
      <c r="O885" s="22"/>
      <c r="T885" s="81"/>
      <c r="V885" s="44"/>
      <c r="W885" s="44"/>
    </row>
    <row r="886" spans="7:23" ht="15.75" customHeight="1">
      <c r="G886" s="22"/>
      <c r="M886" s="61"/>
      <c r="O886" s="22"/>
      <c r="T886" s="81"/>
      <c r="V886" s="44"/>
      <c r="W886" s="44"/>
    </row>
    <row r="887" spans="7:23" ht="15.75" customHeight="1">
      <c r="G887" s="22"/>
      <c r="M887" s="61"/>
      <c r="O887" s="22"/>
      <c r="T887" s="81"/>
      <c r="V887" s="44"/>
      <c r="W887" s="44"/>
    </row>
    <row r="888" spans="7:23" ht="15.75" customHeight="1">
      <c r="G888" s="22"/>
      <c r="M888" s="61"/>
      <c r="O888" s="22"/>
      <c r="T888" s="81"/>
      <c r="V888" s="44"/>
      <c r="W888" s="44"/>
    </row>
    <row r="889" spans="7:23" ht="15.75" customHeight="1">
      <c r="G889" s="22"/>
      <c r="M889" s="61"/>
      <c r="O889" s="22"/>
      <c r="T889" s="81"/>
      <c r="V889" s="44"/>
      <c r="W889" s="44"/>
    </row>
    <row r="890" spans="7:23" ht="15.75" customHeight="1">
      <c r="G890" s="22"/>
      <c r="M890" s="61"/>
      <c r="O890" s="22"/>
      <c r="T890" s="81"/>
      <c r="V890" s="44"/>
      <c r="W890" s="44"/>
    </row>
    <row r="891" spans="7:23" ht="15.75" customHeight="1">
      <c r="G891" s="22"/>
      <c r="M891" s="61"/>
      <c r="O891" s="22"/>
      <c r="T891" s="81"/>
      <c r="V891" s="44"/>
      <c r="W891" s="44"/>
    </row>
    <row r="892" spans="7:23" ht="15.75" customHeight="1">
      <c r="G892" s="22"/>
      <c r="M892" s="61"/>
      <c r="O892" s="22"/>
      <c r="T892" s="81"/>
      <c r="V892" s="44"/>
      <c r="W892" s="44"/>
    </row>
    <row r="893" spans="7:23" ht="15.75" customHeight="1">
      <c r="G893" s="22"/>
      <c r="M893" s="61"/>
      <c r="O893" s="22"/>
      <c r="T893" s="81"/>
      <c r="V893" s="44"/>
      <c r="W893" s="44"/>
    </row>
    <row r="894" spans="7:23" ht="15.75" customHeight="1">
      <c r="G894" s="22"/>
      <c r="M894" s="61"/>
      <c r="O894" s="22"/>
      <c r="T894" s="81"/>
      <c r="V894" s="44"/>
      <c r="W894" s="44"/>
    </row>
    <row r="895" spans="7:23" ht="15.75" customHeight="1">
      <c r="G895" s="22"/>
      <c r="M895" s="61"/>
      <c r="O895" s="22"/>
      <c r="T895" s="81"/>
      <c r="V895" s="44"/>
      <c r="W895" s="44"/>
    </row>
    <row r="896" spans="7:23" ht="15.75" customHeight="1">
      <c r="G896" s="22"/>
      <c r="M896" s="61"/>
      <c r="O896" s="22"/>
      <c r="T896" s="81"/>
      <c r="V896" s="44"/>
      <c r="W896" s="44"/>
    </row>
    <row r="897" spans="7:23" ht="15.75" customHeight="1">
      <c r="G897" s="22"/>
      <c r="M897" s="61"/>
      <c r="O897" s="22"/>
      <c r="T897" s="81"/>
      <c r="V897" s="44"/>
      <c r="W897" s="44"/>
    </row>
    <row r="898" spans="7:23" ht="15.75" customHeight="1">
      <c r="G898" s="22"/>
      <c r="M898" s="61"/>
      <c r="O898" s="22"/>
      <c r="T898" s="81"/>
      <c r="V898" s="44"/>
      <c r="W898" s="44"/>
    </row>
    <row r="899" spans="7:23" ht="15.75" customHeight="1">
      <c r="G899" s="22"/>
      <c r="M899" s="61"/>
      <c r="O899" s="22"/>
      <c r="T899" s="81"/>
      <c r="V899" s="44"/>
      <c r="W899" s="44"/>
    </row>
    <row r="900" spans="7:23" ht="15.75" customHeight="1">
      <c r="G900" s="22"/>
      <c r="M900" s="61"/>
      <c r="O900" s="22"/>
      <c r="T900" s="81"/>
      <c r="V900" s="44"/>
      <c r="W900" s="44"/>
    </row>
    <row r="901" spans="7:23" ht="15.75" customHeight="1">
      <c r="G901" s="22"/>
      <c r="M901" s="61"/>
      <c r="O901" s="22"/>
      <c r="T901" s="81"/>
      <c r="V901" s="44"/>
      <c r="W901" s="44"/>
    </row>
    <row r="902" spans="7:23" ht="15.75" customHeight="1">
      <c r="G902" s="22"/>
      <c r="M902" s="61"/>
      <c r="O902" s="22"/>
      <c r="T902" s="81"/>
      <c r="V902" s="44"/>
      <c r="W902" s="44"/>
    </row>
    <row r="903" spans="7:23" ht="15.75" customHeight="1">
      <c r="G903" s="22"/>
      <c r="M903" s="61"/>
      <c r="O903" s="22"/>
      <c r="T903" s="81"/>
      <c r="V903" s="44"/>
      <c r="W903" s="44"/>
    </row>
    <row r="904" spans="7:23" ht="15.75" customHeight="1">
      <c r="G904" s="22"/>
      <c r="M904" s="61"/>
      <c r="O904" s="22"/>
      <c r="T904" s="81"/>
      <c r="V904" s="44"/>
      <c r="W904" s="44"/>
    </row>
    <row r="905" spans="7:23" ht="15.75" customHeight="1">
      <c r="G905" s="22"/>
      <c r="M905" s="61"/>
      <c r="O905" s="22"/>
      <c r="T905" s="81"/>
      <c r="V905" s="44"/>
      <c r="W905" s="44"/>
    </row>
    <row r="906" spans="7:23" ht="15.75" customHeight="1">
      <c r="G906" s="22"/>
      <c r="M906" s="61"/>
      <c r="O906" s="22"/>
      <c r="T906" s="81"/>
      <c r="V906" s="44"/>
      <c r="W906" s="44"/>
    </row>
    <row r="907" spans="7:23" ht="15.75" customHeight="1">
      <c r="G907" s="22"/>
      <c r="M907" s="61"/>
      <c r="O907" s="22"/>
      <c r="T907" s="81"/>
      <c r="V907" s="44"/>
      <c r="W907" s="44"/>
    </row>
    <row r="908" spans="7:23" ht="15.75" customHeight="1">
      <c r="G908" s="22"/>
      <c r="M908" s="61"/>
      <c r="O908" s="22"/>
      <c r="T908" s="81"/>
      <c r="V908" s="44"/>
      <c r="W908" s="44"/>
    </row>
    <row r="909" spans="7:23" ht="15.75" customHeight="1">
      <c r="G909" s="22"/>
      <c r="M909" s="61"/>
      <c r="O909" s="22"/>
      <c r="T909" s="81"/>
      <c r="V909" s="44"/>
      <c r="W909" s="44"/>
    </row>
    <row r="910" spans="7:23" ht="15.75" customHeight="1">
      <c r="G910" s="22"/>
      <c r="M910" s="61"/>
      <c r="O910" s="22"/>
      <c r="T910" s="81"/>
      <c r="V910" s="44"/>
      <c r="W910" s="44"/>
    </row>
    <row r="911" spans="7:23" ht="15.75" customHeight="1">
      <c r="G911" s="22"/>
      <c r="M911" s="61"/>
      <c r="O911" s="22"/>
      <c r="T911" s="81"/>
      <c r="V911" s="44"/>
      <c r="W911" s="44"/>
    </row>
    <row r="912" spans="7:23" ht="15.75" customHeight="1">
      <c r="G912" s="22"/>
      <c r="M912" s="61"/>
      <c r="O912" s="22"/>
      <c r="T912" s="81"/>
      <c r="V912" s="44"/>
      <c r="W912" s="44"/>
    </row>
    <row r="913" spans="7:23" ht="15.75" customHeight="1">
      <c r="G913" s="22"/>
      <c r="M913" s="61"/>
      <c r="O913" s="22"/>
      <c r="T913" s="81"/>
      <c r="V913" s="44"/>
      <c r="W913" s="44"/>
    </row>
    <row r="914" spans="7:23" ht="15.75" customHeight="1">
      <c r="G914" s="22"/>
      <c r="M914" s="61"/>
      <c r="O914" s="22"/>
      <c r="T914" s="81"/>
      <c r="V914" s="44"/>
      <c r="W914" s="44"/>
    </row>
    <row r="915" spans="7:23" ht="15.75" customHeight="1">
      <c r="G915" s="22"/>
      <c r="M915" s="61"/>
      <c r="O915" s="22"/>
      <c r="T915" s="81"/>
      <c r="V915" s="44"/>
      <c r="W915" s="44"/>
    </row>
    <row r="916" spans="7:23" ht="15.75" customHeight="1">
      <c r="G916" s="22"/>
      <c r="M916" s="61"/>
      <c r="O916" s="22"/>
      <c r="T916" s="81"/>
      <c r="V916" s="44"/>
      <c r="W916" s="44"/>
    </row>
    <row r="917" spans="7:23" ht="15.75" customHeight="1">
      <c r="G917" s="22"/>
      <c r="M917" s="61"/>
      <c r="O917" s="22"/>
      <c r="T917" s="81"/>
      <c r="V917" s="44"/>
      <c r="W917" s="44"/>
    </row>
    <row r="918" spans="7:23" ht="15.75" customHeight="1">
      <c r="G918" s="22"/>
      <c r="M918" s="61"/>
      <c r="O918" s="22"/>
      <c r="T918" s="81"/>
      <c r="V918" s="44"/>
      <c r="W918" s="44"/>
    </row>
    <row r="919" spans="7:23" ht="15.75" customHeight="1">
      <c r="G919" s="22"/>
      <c r="M919" s="61"/>
      <c r="O919" s="22"/>
      <c r="T919" s="81"/>
      <c r="V919" s="44"/>
      <c r="W919" s="44"/>
    </row>
    <row r="920" spans="7:23" ht="15.75" customHeight="1">
      <c r="G920" s="22"/>
      <c r="M920" s="61"/>
      <c r="O920" s="22"/>
      <c r="T920" s="81"/>
      <c r="V920" s="44"/>
      <c r="W920" s="44"/>
    </row>
    <row r="921" spans="7:23" ht="15.75" customHeight="1">
      <c r="G921" s="22"/>
      <c r="M921" s="61"/>
      <c r="O921" s="22"/>
      <c r="T921" s="81"/>
      <c r="V921" s="44"/>
      <c r="W921" s="44"/>
    </row>
    <row r="922" spans="7:23" ht="15.75" customHeight="1">
      <c r="G922" s="22"/>
      <c r="M922" s="61"/>
      <c r="O922" s="22"/>
      <c r="T922" s="81"/>
      <c r="V922" s="44"/>
      <c r="W922" s="44"/>
    </row>
    <row r="923" spans="7:23" ht="15.75" customHeight="1">
      <c r="G923" s="22"/>
      <c r="M923" s="61"/>
      <c r="O923" s="22"/>
      <c r="T923" s="81"/>
      <c r="V923" s="44"/>
      <c r="W923" s="44"/>
    </row>
    <row r="924" spans="7:23" ht="15.75" customHeight="1">
      <c r="G924" s="22"/>
      <c r="M924" s="61"/>
      <c r="O924" s="22"/>
      <c r="T924" s="81"/>
      <c r="V924" s="44"/>
      <c r="W924" s="44"/>
    </row>
    <row r="925" spans="7:23" ht="15.75" customHeight="1">
      <c r="G925" s="22"/>
      <c r="M925" s="61"/>
      <c r="O925" s="22"/>
      <c r="T925" s="81"/>
      <c r="V925" s="44"/>
      <c r="W925" s="44"/>
    </row>
    <row r="926" spans="7:23" ht="15.75" customHeight="1">
      <c r="G926" s="22"/>
      <c r="M926" s="61"/>
      <c r="O926" s="22"/>
      <c r="T926" s="81"/>
      <c r="V926" s="44"/>
      <c r="W926" s="44"/>
    </row>
    <row r="927" spans="7:23" ht="15.75" customHeight="1">
      <c r="G927" s="22"/>
      <c r="M927" s="61"/>
      <c r="O927" s="22"/>
      <c r="T927" s="81"/>
      <c r="V927" s="44"/>
      <c r="W927" s="44"/>
    </row>
    <row r="928" spans="7:23" ht="15.75" customHeight="1">
      <c r="G928" s="22"/>
      <c r="M928" s="61"/>
      <c r="O928" s="22"/>
      <c r="T928" s="81"/>
      <c r="V928" s="44"/>
      <c r="W928" s="44"/>
    </row>
    <row r="929" spans="7:23" ht="15.75" customHeight="1">
      <c r="G929" s="22"/>
      <c r="M929" s="61"/>
      <c r="O929" s="22"/>
      <c r="T929" s="81"/>
      <c r="V929" s="44"/>
      <c r="W929" s="44"/>
    </row>
    <row r="930" spans="7:23" ht="15.75" customHeight="1">
      <c r="G930" s="22"/>
      <c r="M930" s="61"/>
      <c r="O930" s="22"/>
      <c r="T930" s="81"/>
      <c r="V930" s="44"/>
      <c r="W930" s="44"/>
    </row>
    <row r="931" spans="7:23" ht="15.75" customHeight="1">
      <c r="G931" s="22"/>
      <c r="M931" s="61"/>
      <c r="O931" s="22"/>
      <c r="T931" s="81"/>
      <c r="V931" s="44"/>
      <c r="W931" s="44"/>
    </row>
    <row r="932" spans="7:23" ht="15.75" customHeight="1">
      <c r="G932" s="22"/>
      <c r="M932" s="61"/>
      <c r="O932" s="22"/>
      <c r="T932" s="81"/>
      <c r="V932" s="44"/>
      <c r="W932" s="44"/>
    </row>
    <row r="933" spans="7:23" ht="15.75" customHeight="1">
      <c r="G933" s="22"/>
      <c r="M933" s="61"/>
      <c r="O933" s="22"/>
      <c r="T933" s="81"/>
      <c r="V933" s="44"/>
      <c r="W933" s="44"/>
    </row>
    <row r="934" spans="7:23" ht="15.75" customHeight="1">
      <c r="G934" s="22"/>
      <c r="M934" s="61"/>
      <c r="O934" s="22"/>
      <c r="T934" s="81"/>
      <c r="V934" s="44"/>
      <c r="W934" s="44"/>
    </row>
    <row r="935" spans="7:23" ht="15.75" customHeight="1">
      <c r="G935" s="22"/>
      <c r="M935" s="61"/>
      <c r="O935" s="22"/>
      <c r="T935" s="81"/>
      <c r="V935" s="44"/>
      <c r="W935" s="44"/>
    </row>
    <row r="936" spans="7:23" ht="15.75" customHeight="1">
      <c r="G936" s="22"/>
      <c r="M936" s="61"/>
      <c r="O936" s="22"/>
      <c r="T936" s="81"/>
      <c r="V936" s="44"/>
      <c r="W936" s="44"/>
    </row>
    <row r="937" spans="7:23" ht="15.75" customHeight="1">
      <c r="G937" s="22"/>
      <c r="M937" s="61"/>
      <c r="O937" s="22"/>
      <c r="T937" s="81"/>
      <c r="V937" s="44"/>
      <c r="W937" s="44"/>
    </row>
    <row r="938" spans="7:23" ht="15.75" customHeight="1">
      <c r="G938" s="22"/>
      <c r="M938" s="61"/>
      <c r="O938" s="22"/>
      <c r="T938" s="81"/>
      <c r="V938" s="44"/>
      <c r="W938" s="44"/>
    </row>
    <row r="939" spans="7:23" ht="15.75" customHeight="1">
      <c r="G939" s="22"/>
      <c r="M939" s="61"/>
      <c r="O939" s="22"/>
      <c r="T939" s="81"/>
      <c r="V939" s="44"/>
      <c r="W939" s="44"/>
    </row>
    <row r="940" spans="7:23" ht="15.75" customHeight="1">
      <c r="G940" s="22"/>
      <c r="M940" s="61"/>
      <c r="O940" s="22"/>
      <c r="T940" s="81"/>
      <c r="V940" s="44"/>
      <c r="W940" s="44"/>
    </row>
    <row r="941" spans="7:23" ht="15.75" customHeight="1">
      <c r="G941" s="22"/>
      <c r="M941" s="61"/>
      <c r="O941" s="22"/>
      <c r="T941" s="81"/>
      <c r="V941" s="44"/>
      <c r="W941" s="44"/>
    </row>
    <row r="942" spans="7:23" ht="15.75" customHeight="1">
      <c r="G942" s="22"/>
      <c r="M942" s="61"/>
      <c r="O942" s="22"/>
      <c r="T942" s="81"/>
      <c r="V942" s="44"/>
      <c r="W942" s="44"/>
    </row>
    <row r="943" spans="7:23" ht="15.75" customHeight="1">
      <c r="G943" s="22"/>
      <c r="M943" s="61"/>
      <c r="O943" s="22"/>
      <c r="T943" s="81"/>
      <c r="V943" s="44"/>
      <c r="W943" s="44"/>
    </row>
    <row r="944" spans="7:23" ht="15.75" customHeight="1">
      <c r="G944" s="22"/>
      <c r="M944" s="61"/>
      <c r="O944" s="22"/>
      <c r="T944" s="81"/>
      <c r="V944" s="44"/>
      <c r="W944" s="44"/>
    </row>
    <row r="945" spans="7:23" ht="15.75" customHeight="1">
      <c r="G945" s="22"/>
      <c r="M945" s="61"/>
      <c r="O945" s="22"/>
      <c r="T945" s="81"/>
      <c r="V945" s="44"/>
      <c r="W945" s="44"/>
    </row>
    <row r="946" spans="7:23" ht="15.75" customHeight="1">
      <c r="G946" s="22"/>
      <c r="M946" s="61"/>
      <c r="O946" s="22"/>
      <c r="T946" s="81"/>
      <c r="V946" s="44"/>
      <c r="W946" s="44"/>
    </row>
    <row r="947" spans="7:23" ht="15.75" customHeight="1">
      <c r="G947" s="22"/>
      <c r="M947" s="61"/>
      <c r="O947" s="22"/>
      <c r="T947" s="81"/>
      <c r="V947" s="44"/>
      <c r="W947" s="44"/>
    </row>
    <row r="948" spans="7:23" ht="15.75" customHeight="1">
      <c r="G948" s="22"/>
      <c r="M948" s="61"/>
      <c r="O948" s="22"/>
      <c r="T948" s="81"/>
      <c r="V948" s="44"/>
      <c r="W948" s="44"/>
    </row>
    <row r="949" spans="7:23" ht="15.75" customHeight="1">
      <c r="G949" s="22"/>
      <c r="M949" s="61"/>
      <c r="O949" s="22"/>
      <c r="T949" s="81"/>
      <c r="V949" s="44"/>
      <c r="W949" s="44"/>
    </row>
    <row r="950" spans="7:23" ht="15.75" customHeight="1">
      <c r="G950" s="22"/>
      <c r="M950" s="61"/>
      <c r="O950" s="22"/>
      <c r="T950" s="81"/>
      <c r="V950" s="44"/>
      <c r="W950" s="44"/>
    </row>
    <row r="951" spans="7:23" ht="15.75" customHeight="1">
      <c r="G951" s="22"/>
      <c r="M951" s="61"/>
      <c r="O951" s="22"/>
      <c r="T951" s="81"/>
      <c r="V951" s="44"/>
      <c r="W951" s="44"/>
    </row>
    <row r="952" spans="7:23" ht="15.75" customHeight="1">
      <c r="G952" s="22"/>
      <c r="M952" s="61"/>
      <c r="O952" s="22"/>
      <c r="T952" s="81"/>
      <c r="V952" s="44"/>
      <c r="W952" s="44"/>
    </row>
    <row r="953" spans="7:23" ht="15.75" customHeight="1">
      <c r="G953" s="22"/>
      <c r="M953" s="61"/>
      <c r="O953" s="22"/>
      <c r="T953" s="81"/>
      <c r="V953" s="44"/>
      <c r="W953" s="44"/>
    </row>
    <row r="954" spans="7:23" ht="15.75" customHeight="1">
      <c r="G954" s="22"/>
      <c r="M954" s="61"/>
      <c r="O954" s="22"/>
      <c r="T954" s="81"/>
      <c r="V954" s="44"/>
      <c r="W954" s="44"/>
    </row>
    <row r="955" spans="7:23" ht="15.75" customHeight="1">
      <c r="G955" s="22"/>
      <c r="M955" s="61"/>
      <c r="O955" s="22"/>
      <c r="T955" s="81"/>
      <c r="V955" s="44"/>
      <c r="W955" s="44"/>
    </row>
    <row r="956" spans="7:23" ht="15.75" customHeight="1">
      <c r="G956" s="22"/>
      <c r="M956" s="61"/>
      <c r="O956" s="22"/>
      <c r="T956" s="81"/>
      <c r="V956" s="44"/>
      <c r="W956" s="44"/>
    </row>
    <row r="957" spans="7:23" ht="15.75" customHeight="1">
      <c r="G957" s="22"/>
      <c r="M957" s="61"/>
      <c r="O957" s="22"/>
      <c r="T957" s="81"/>
      <c r="V957" s="44"/>
      <c r="W957" s="44"/>
    </row>
    <row r="958" spans="7:23" ht="15.75" customHeight="1">
      <c r="G958" s="22"/>
      <c r="M958" s="61"/>
      <c r="O958" s="22"/>
      <c r="T958" s="81"/>
      <c r="V958" s="44"/>
      <c r="W958" s="44"/>
    </row>
    <row r="959" spans="7:23" ht="15.75" customHeight="1">
      <c r="G959" s="22"/>
      <c r="M959" s="61"/>
      <c r="O959" s="22"/>
      <c r="T959" s="81"/>
      <c r="V959" s="44"/>
      <c r="W959" s="44"/>
    </row>
    <row r="960" spans="7:23" ht="15.75" customHeight="1">
      <c r="G960" s="22"/>
      <c r="M960" s="61"/>
      <c r="O960" s="22"/>
      <c r="T960" s="81"/>
      <c r="V960" s="44"/>
      <c r="W960" s="44"/>
    </row>
    <row r="961" spans="7:23" ht="15.75" customHeight="1">
      <c r="G961" s="22"/>
      <c r="M961" s="61"/>
      <c r="O961" s="22"/>
      <c r="T961" s="81"/>
      <c r="V961" s="44"/>
      <c r="W961" s="44"/>
    </row>
    <row r="962" spans="7:23" ht="15.75" customHeight="1">
      <c r="G962" s="22"/>
      <c r="M962" s="61"/>
      <c r="O962" s="22"/>
      <c r="T962" s="81"/>
      <c r="V962" s="44"/>
      <c r="W962" s="44"/>
    </row>
    <row r="963" spans="7:23" ht="15.75" customHeight="1">
      <c r="G963" s="22"/>
      <c r="M963" s="61"/>
      <c r="O963" s="22"/>
      <c r="T963" s="81"/>
      <c r="V963" s="44"/>
      <c r="W963" s="44"/>
    </row>
    <row r="964" spans="7:23" ht="15.75" customHeight="1">
      <c r="G964" s="22"/>
      <c r="M964" s="61"/>
      <c r="O964" s="22"/>
      <c r="T964" s="81"/>
      <c r="V964" s="44"/>
      <c r="W964" s="44"/>
    </row>
    <row r="965" spans="7:23" ht="15.75" customHeight="1">
      <c r="G965" s="22"/>
      <c r="M965" s="61"/>
      <c r="O965" s="22"/>
      <c r="T965" s="81"/>
      <c r="V965" s="44"/>
      <c r="W965" s="44"/>
    </row>
    <row r="966" spans="7:23" ht="15.75" customHeight="1">
      <c r="G966" s="22"/>
      <c r="M966" s="61"/>
      <c r="O966" s="22"/>
      <c r="T966" s="81"/>
      <c r="V966" s="44"/>
      <c r="W966" s="44"/>
    </row>
    <row r="967" spans="7:23" ht="15.75" customHeight="1">
      <c r="G967" s="22"/>
      <c r="M967" s="61"/>
      <c r="O967" s="22"/>
      <c r="T967" s="81"/>
      <c r="V967" s="44"/>
      <c r="W967" s="44"/>
    </row>
    <row r="968" spans="7:23" ht="15.75" customHeight="1">
      <c r="G968" s="22"/>
      <c r="M968" s="61"/>
      <c r="O968" s="22"/>
      <c r="T968" s="81"/>
      <c r="V968" s="44"/>
      <c r="W968" s="44"/>
    </row>
    <row r="969" spans="7:23" ht="15.75" customHeight="1">
      <c r="G969" s="22"/>
      <c r="M969" s="61"/>
      <c r="O969" s="22"/>
      <c r="T969" s="81"/>
      <c r="V969" s="44"/>
      <c r="W969" s="44"/>
    </row>
    <row r="970" spans="7:23" ht="15.75" customHeight="1">
      <c r="G970" s="22"/>
      <c r="M970" s="61"/>
      <c r="O970" s="22"/>
      <c r="T970" s="81"/>
      <c r="V970" s="44"/>
      <c r="W970" s="44"/>
    </row>
    <row r="971" spans="7:23" ht="15.75" customHeight="1">
      <c r="G971" s="22"/>
      <c r="M971" s="61"/>
      <c r="O971" s="22"/>
      <c r="T971" s="81"/>
      <c r="V971" s="44"/>
      <c r="W971" s="44"/>
    </row>
    <row r="972" spans="7:23" ht="15.75" customHeight="1">
      <c r="G972" s="22"/>
      <c r="M972" s="61"/>
      <c r="O972" s="22"/>
      <c r="T972" s="81"/>
      <c r="V972" s="44"/>
      <c r="W972" s="44"/>
    </row>
    <row r="973" spans="7:23" ht="15.75" customHeight="1">
      <c r="G973" s="22"/>
      <c r="M973" s="61"/>
      <c r="O973" s="22"/>
      <c r="T973" s="81"/>
      <c r="V973" s="44"/>
      <c r="W973" s="44"/>
    </row>
    <row r="974" spans="7:23" ht="15.75" customHeight="1">
      <c r="G974" s="22"/>
      <c r="M974" s="61"/>
      <c r="O974" s="22"/>
      <c r="T974" s="81"/>
      <c r="V974" s="44"/>
      <c r="W974" s="44"/>
    </row>
    <row r="975" spans="7:23" ht="15.75" customHeight="1">
      <c r="G975" s="22"/>
      <c r="M975" s="61"/>
      <c r="O975" s="22"/>
      <c r="T975" s="81"/>
      <c r="V975" s="44"/>
      <c r="W975" s="44"/>
    </row>
    <row r="976" spans="7:23" ht="15.75" customHeight="1">
      <c r="G976" s="22"/>
      <c r="M976" s="61"/>
      <c r="O976" s="22"/>
      <c r="T976" s="81"/>
      <c r="V976" s="44"/>
      <c r="W976" s="44"/>
    </row>
    <row r="977" spans="7:23" ht="15.75" customHeight="1">
      <c r="G977" s="22"/>
      <c r="M977" s="61"/>
      <c r="O977" s="22"/>
      <c r="T977" s="81"/>
      <c r="V977" s="44"/>
      <c r="W977" s="44"/>
    </row>
    <row r="978" spans="7:23" ht="15.75" customHeight="1">
      <c r="G978" s="22"/>
      <c r="M978" s="61"/>
      <c r="O978" s="22"/>
      <c r="T978" s="81"/>
      <c r="V978" s="44"/>
      <c r="W978" s="44"/>
    </row>
    <row r="979" spans="7:23" ht="15.75" customHeight="1">
      <c r="G979" s="22"/>
      <c r="M979" s="61"/>
      <c r="O979" s="22"/>
      <c r="T979" s="81"/>
      <c r="V979" s="44"/>
      <c r="W979" s="44"/>
    </row>
    <row r="980" spans="7:23" ht="15.75" customHeight="1">
      <c r="G980" s="22"/>
      <c r="M980" s="61"/>
      <c r="O980" s="22"/>
      <c r="T980" s="81"/>
      <c r="V980" s="44"/>
      <c r="W980" s="44"/>
    </row>
    <row r="981" spans="7:23" ht="15.75" customHeight="1">
      <c r="G981" s="22"/>
      <c r="M981" s="61"/>
      <c r="O981" s="22"/>
      <c r="T981" s="81"/>
      <c r="V981" s="44"/>
      <c r="W981" s="44"/>
    </row>
    <row r="982" spans="7:23" ht="15.75" customHeight="1">
      <c r="G982" s="22"/>
      <c r="M982" s="61"/>
      <c r="O982" s="22"/>
      <c r="T982" s="81"/>
      <c r="V982" s="44"/>
      <c r="W982" s="44"/>
    </row>
    <row r="983" spans="7:23" ht="15.75" customHeight="1">
      <c r="G983" s="22"/>
      <c r="M983" s="61"/>
      <c r="O983" s="22"/>
      <c r="T983" s="81"/>
      <c r="V983" s="44"/>
      <c r="W983" s="44"/>
    </row>
    <row r="984" spans="7:23" ht="15.75" customHeight="1">
      <c r="G984" s="22"/>
      <c r="M984" s="61"/>
      <c r="O984" s="22"/>
      <c r="T984" s="81"/>
      <c r="V984" s="44"/>
      <c r="W984" s="44"/>
    </row>
    <row r="985" spans="7:23" ht="15.75" customHeight="1">
      <c r="G985" s="22"/>
      <c r="M985" s="61"/>
      <c r="O985" s="22"/>
      <c r="T985" s="81"/>
      <c r="V985" s="44"/>
      <c r="W985" s="44"/>
    </row>
    <row r="986" spans="7:23" ht="14.4">
      <c r="G986" s="22"/>
      <c r="M986" s="61"/>
      <c r="O986" s="22"/>
      <c r="T986" s="81"/>
      <c r="V986" s="44"/>
      <c r="W986" s="44"/>
    </row>
    <row r="987" spans="7:23" ht="14.4">
      <c r="G987" s="22"/>
      <c r="M987" s="61"/>
      <c r="O987" s="22"/>
      <c r="T987" s="81"/>
      <c r="V987" s="44"/>
      <c r="W987" s="44"/>
    </row>
    <row r="988" spans="7:23" ht="14.4">
      <c r="G988" s="22"/>
      <c r="M988" s="61"/>
      <c r="O988" s="22"/>
      <c r="T988" s="81"/>
      <c r="V988" s="44"/>
      <c r="W988" s="44"/>
    </row>
    <row r="989" spans="7:23" ht="14.4">
      <c r="G989" s="22"/>
      <c r="M989" s="61"/>
      <c r="O989" s="22"/>
      <c r="T989" s="81"/>
      <c r="V989" s="44"/>
      <c r="W989" s="44"/>
    </row>
    <row r="990" spans="7:23" ht="14.4">
      <c r="G990" s="22"/>
      <c r="M990" s="61"/>
      <c r="O990" s="22"/>
      <c r="T990" s="81"/>
      <c r="V990" s="44"/>
      <c r="W990" s="44"/>
    </row>
    <row r="991" spans="7:23" ht="14.4">
      <c r="G991" s="22"/>
      <c r="M991" s="61"/>
      <c r="O991" s="22"/>
      <c r="T991" s="81"/>
      <c r="V991" s="44"/>
      <c r="W991" s="44"/>
    </row>
    <row r="992" spans="7:23" ht="14.4">
      <c r="G992" s="22"/>
      <c r="M992" s="61"/>
      <c r="O992" s="22"/>
      <c r="T992" s="81"/>
      <c r="V992" s="44"/>
      <c r="W992" s="44"/>
    </row>
    <row r="993" spans="7:23" ht="14.4">
      <c r="G993" s="22"/>
      <c r="M993" s="61"/>
      <c r="O993" s="22"/>
      <c r="T993" s="81"/>
      <c r="V993" s="44"/>
      <c r="W993" s="44"/>
    </row>
    <row r="994" spans="7:23" ht="14.4">
      <c r="G994" s="22"/>
      <c r="M994" s="61"/>
      <c r="O994" s="22"/>
      <c r="T994" s="81"/>
      <c r="V994" s="44"/>
      <c r="W994" s="44"/>
    </row>
    <row r="995" spans="7:23" ht="14.4">
      <c r="G995" s="22"/>
      <c r="M995" s="61"/>
      <c r="O995" s="22"/>
      <c r="T995" s="81"/>
      <c r="V995" s="44"/>
      <c r="W995" s="44"/>
    </row>
    <row r="996" spans="7:23" ht="14.4">
      <c r="G996" s="22"/>
      <c r="M996" s="61"/>
      <c r="O996" s="22"/>
      <c r="T996" s="81"/>
      <c r="V996" s="44"/>
      <c r="W996" s="44"/>
    </row>
    <row r="997" spans="7:23" ht="14.4">
      <c r="G997" s="22"/>
      <c r="M997" s="61"/>
      <c r="O997" s="22"/>
      <c r="T997" s="81"/>
      <c r="V997" s="44"/>
      <c r="W997" s="44"/>
    </row>
  </sheetData>
  <autoFilter ref="A1:Y349" xr:uid="{00000000-0009-0000-0000-000003000000}"/>
  <conditionalFormatting sqref="T1:T997">
    <cfRule type="notContainsBlanks" dxfId="0" priority="1">
      <formula>LEN(TRIM(T1))&gt;0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11"/>
  <sheetViews>
    <sheetView workbookViewId="0">
      <pane ySplit="1" topLeftCell="A29" activePane="bottomLeft" state="frozen"/>
      <selection pane="bottomLeft" activeCell="L357" sqref="L357"/>
    </sheetView>
  </sheetViews>
  <sheetFormatPr defaultColWidth="12.5546875" defaultRowHeight="15" customHeight="1"/>
  <cols>
    <col min="1" max="1" width="13.33203125" customWidth="1"/>
    <col min="2" max="2" width="12.88671875" customWidth="1"/>
    <col min="3" max="8" width="9.44140625" customWidth="1"/>
    <col min="9" max="9" width="11.33203125" customWidth="1"/>
    <col min="10" max="11" width="9.44140625" customWidth="1"/>
    <col min="12" max="12" width="21.88671875" customWidth="1"/>
    <col min="13" max="14" width="10.6640625" customWidth="1"/>
    <col min="15" max="15" width="9.44140625" customWidth="1"/>
    <col min="16" max="17" width="18.5546875" customWidth="1"/>
    <col min="18" max="18" width="21.6640625" customWidth="1"/>
    <col min="19" max="29" width="9.44140625" customWidth="1"/>
  </cols>
  <sheetData>
    <row r="1" spans="1:29" ht="14.4">
      <c r="A1" s="82" t="s">
        <v>219</v>
      </c>
      <c r="B1" s="83" t="s">
        <v>220</v>
      </c>
      <c r="C1" s="84" t="s">
        <v>307</v>
      </c>
      <c r="D1" s="83" t="s">
        <v>308</v>
      </c>
      <c r="E1" s="84" t="s">
        <v>309</v>
      </c>
      <c r="F1" s="84" t="s">
        <v>310</v>
      </c>
      <c r="G1" s="84" t="s">
        <v>311</v>
      </c>
      <c r="H1" s="83" t="s">
        <v>312</v>
      </c>
      <c r="I1" s="83" t="s">
        <v>313</v>
      </c>
      <c r="J1" s="84" t="s">
        <v>314</v>
      </c>
      <c r="K1" s="84" t="s">
        <v>315</v>
      </c>
      <c r="L1" s="83" t="s">
        <v>316</v>
      </c>
      <c r="M1" s="84" t="s">
        <v>317</v>
      </c>
      <c r="N1" s="83" t="s">
        <v>318</v>
      </c>
      <c r="O1" s="84" t="s">
        <v>319</v>
      </c>
      <c r="P1" s="84" t="s">
        <v>320</v>
      </c>
      <c r="Q1" s="83" t="s">
        <v>321</v>
      </c>
      <c r="R1" s="85" t="s">
        <v>570</v>
      </c>
      <c r="S1" s="282"/>
      <c r="T1" s="282"/>
      <c r="U1" s="282"/>
      <c r="V1" s="282"/>
      <c r="W1" s="282"/>
      <c r="X1" s="282"/>
      <c r="Y1" s="282"/>
      <c r="Z1" s="282"/>
      <c r="AA1" s="282"/>
      <c r="AB1" s="282"/>
      <c r="AC1" s="282"/>
    </row>
    <row r="2" spans="1:29" ht="14.4">
      <c r="A2" s="229">
        <v>1</v>
      </c>
      <c r="B2" s="74">
        <v>1</v>
      </c>
      <c r="C2" s="86"/>
      <c r="D2" s="86"/>
      <c r="E2" s="86">
        <v>125</v>
      </c>
      <c r="F2" s="86"/>
      <c r="G2" s="86"/>
      <c r="H2" s="86">
        <v>168</v>
      </c>
      <c r="I2" s="86"/>
      <c r="J2" s="86"/>
      <c r="K2" s="86"/>
      <c r="L2" s="87" t="s">
        <v>322</v>
      </c>
      <c r="M2" s="86"/>
      <c r="N2" s="86"/>
      <c r="O2" s="86"/>
      <c r="P2" s="86"/>
      <c r="Q2" s="86"/>
      <c r="R2" s="283"/>
      <c r="S2" s="86"/>
      <c r="T2" s="86"/>
      <c r="U2" s="86"/>
    </row>
    <row r="3" spans="1:29" ht="15.75" customHeight="1">
      <c r="A3" s="228">
        <v>1</v>
      </c>
      <c r="B3" s="75">
        <v>2</v>
      </c>
      <c r="C3" s="86"/>
      <c r="D3" s="86"/>
      <c r="E3" s="86">
        <v>125</v>
      </c>
      <c r="F3" s="86"/>
      <c r="G3" s="86"/>
      <c r="H3" s="86">
        <v>168</v>
      </c>
      <c r="I3" s="86"/>
      <c r="J3" s="86"/>
      <c r="K3" s="86"/>
      <c r="L3" s="87" t="s">
        <v>322</v>
      </c>
      <c r="M3" s="86"/>
      <c r="N3" s="86"/>
      <c r="O3" s="86"/>
      <c r="P3" s="86"/>
      <c r="Q3" s="86"/>
      <c r="R3" s="283"/>
    </row>
    <row r="4" spans="1:29" ht="15.75" customHeight="1">
      <c r="A4" s="228">
        <v>1</v>
      </c>
      <c r="B4" s="75">
        <v>3</v>
      </c>
      <c r="C4" s="86"/>
      <c r="D4" s="86"/>
      <c r="E4" s="86">
        <v>125</v>
      </c>
      <c r="F4" s="86"/>
      <c r="G4" s="86"/>
      <c r="H4" s="86">
        <v>168</v>
      </c>
      <c r="I4" s="86"/>
      <c r="J4" s="86"/>
      <c r="K4" s="86"/>
      <c r="L4" s="87" t="s">
        <v>322</v>
      </c>
      <c r="M4" s="86"/>
      <c r="N4" s="86"/>
      <c r="O4" s="86"/>
      <c r="P4" s="86"/>
      <c r="Q4" s="86"/>
      <c r="R4" s="283"/>
    </row>
    <row r="5" spans="1:29" ht="15.75" customHeight="1">
      <c r="A5" s="196">
        <v>1</v>
      </c>
      <c r="B5" s="201">
        <v>4</v>
      </c>
      <c r="C5" s="86"/>
      <c r="D5" s="86"/>
      <c r="E5" s="86">
        <v>125</v>
      </c>
      <c r="F5" s="86"/>
      <c r="G5" s="86"/>
      <c r="H5" s="86">
        <v>168</v>
      </c>
      <c r="I5" s="86"/>
      <c r="J5" s="86"/>
      <c r="K5" s="86"/>
      <c r="L5" s="87" t="s">
        <v>322</v>
      </c>
      <c r="M5" s="86"/>
      <c r="N5" s="86"/>
      <c r="O5" s="86"/>
      <c r="P5" s="86"/>
      <c r="Q5" s="86"/>
      <c r="R5" s="283"/>
    </row>
    <row r="6" spans="1:29" ht="15.75" customHeight="1">
      <c r="A6" s="197">
        <v>1</v>
      </c>
      <c r="B6" s="202">
        <v>5</v>
      </c>
      <c r="C6" s="88"/>
      <c r="D6" s="88"/>
      <c r="E6" s="88">
        <v>125</v>
      </c>
      <c r="F6" s="88"/>
      <c r="G6" s="88"/>
      <c r="H6" s="88">
        <v>168</v>
      </c>
      <c r="I6" s="88"/>
      <c r="J6" s="88"/>
      <c r="K6" s="88"/>
      <c r="L6" s="89" t="s">
        <v>322</v>
      </c>
      <c r="M6" s="88"/>
      <c r="N6" s="88"/>
      <c r="O6" s="88"/>
      <c r="P6" s="88"/>
      <c r="Q6" s="88"/>
      <c r="R6" s="284"/>
    </row>
    <row r="7" spans="1:29" ht="15.75" customHeight="1">
      <c r="A7" s="199">
        <v>2</v>
      </c>
      <c r="B7" s="200">
        <v>1</v>
      </c>
      <c r="C7" s="285">
        <v>3</v>
      </c>
      <c r="D7" s="286"/>
      <c r="E7" s="286"/>
      <c r="F7" s="286"/>
      <c r="G7" s="285">
        <v>89</v>
      </c>
      <c r="H7" s="285">
        <v>172</v>
      </c>
      <c r="I7" s="286"/>
      <c r="J7" s="286"/>
      <c r="K7" s="286"/>
      <c r="L7" s="285" t="s">
        <v>322</v>
      </c>
      <c r="M7" s="285">
        <v>92</v>
      </c>
      <c r="N7" s="286"/>
      <c r="O7" s="286"/>
      <c r="P7" s="286"/>
      <c r="Q7" s="285" t="s">
        <v>323</v>
      </c>
      <c r="R7" s="287">
        <v>63</v>
      </c>
    </row>
    <row r="8" spans="1:29" ht="15.75" customHeight="1">
      <c r="A8" s="196">
        <v>2</v>
      </c>
      <c r="B8" s="201">
        <v>2</v>
      </c>
      <c r="C8" s="87">
        <v>7</v>
      </c>
      <c r="D8" s="86"/>
      <c r="E8" s="86"/>
      <c r="F8" s="86"/>
      <c r="G8" s="87">
        <v>132</v>
      </c>
      <c r="H8" s="87">
        <v>174</v>
      </c>
      <c r="I8" s="86"/>
      <c r="J8" s="86"/>
      <c r="K8" s="86"/>
      <c r="L8" s="87" t="s">
        <v>322</v>
      </c>
      <c r="M8" s="87">
        <v>90</v>
      </c>
      <c r="N8" s="86"/>
      <c r="O8" s="86"/>
      <c r="P8" s="86"/>
      <c r="Q8" s="87" t="s">
        <v>323</v>
      </c>
      <c r="R8" s="288">
        <v>61</v>
      </c>
    </row>
    <row r="9" spans="1:29" ht="15.75" customHeight="1">
      <c r="A9" s="196">
        <v>2</v>
      </c>
      <c r="B9" s="201">
        <v>3</v>
      </c>
      <c r="C9" s="87">
        <v>17</v>
      </c>
      <c r="D9" s="86"/>
      <c r="E9" s="86"/>
      <c r="F9" s="86"/>
      <c r="G9" s="87">
        <v>86</v>
      </c>
      <c r="H9" s="87">
        <v>165</v>
      </c>
      <c r="I9" s="86"/>
      <c r="J9" s="86"/>
      <c r="K9" s="86"/>
      <c r="L9" s="87" t="s">
        <v>322</v>
      </c>
      <c r="M9" s="87">
        <v>31</v>
      </c>
      <c r="N9" s="86"/>
      <c r="O9" s="86"/>
      <c r="P9" s="86"/>
      <c r="Q9" s="87" t="s">
        <v>323</v>
      </c>
      <c r="R9" s="288">
        <v>21</v>
      </c>
    </row>
    <row r="10" spans="1:29" ht="15.75" customHeight="1">
      <c r="A10" s="197">
        <v>2</v>
      </c>
      <c r="B10" s="202">
        <v>4</v>
      </c>
      <c r="C10" s="89">
        <v>43</v>
      </c>
      <c r="D10" s="88"/>
      <c r="E10" s="88"/>
      <c r="F10" s="88"/>
      <c r="G10" s="88"/>
      <c r="H10" s="89">
        <v>158</v>
      </c>
      <c r="I10" s="88"/>
      <c r="J10" s="88"/>
      <c r="K10" s="88"/>
      <c r="L10" s="89" t="s">
        <v>322</v>
      </c>
      <c r="M10" s="89">
        <v>3</v>
      </c>
      <c r="N10" s="88"/>
      <c r="O10" s="88"/>
      <c r="P10" s="88"/>
      <c r="Q10" s="89" t="s">
        <v>323</v>
      </c>
      <c r="R10" s="284"/>
    </row>
    <row r="11" spans="1:29" ht="15.75" customHeight="1">
      <c r="A11" s="204">
        <v>3</v>
      </c>
      <c r="B11" s="201">
        <v>1</v>
      </c>
      <c r="C11" s="12">
        <v>3.8</v>
      </c>
      <c r="D11" s="2"/>
      <c r="E11" s="12">
        <v>46.6</v>
      </c>
      <c r="F11" s="2"/>
      <c r="G11" s="12">
        <v>63.2</v>
      </c>
      <c r="H11" s="2"/>
      <c r="I11" s="2"/>
      <c r="J11" s="2"/>
      <c r="K11" s="2"/>
      <c r="L11" s="12" t="s">
        <v>322</v>
      </c>
      <c r="M11" s="12">
        <v>83.3</v>
      </c>
      <c r="N11" s="2"/>
      <c r="O11" s="12">
        <v>72.8</v>
      </c>
      <c r="P11" s="12">
        <v>15.3</v>
      </c>
      <c r="Q11" s="12" t="s">
        <v>323</v>
      </c>
      <c r="R11" s="90"/>
    </row>
    <row r="12" spans="1:29" ht="15.75" customHeight="1">
      <c r="A12" s="204">
        <v>3</v>
      </c>
      <c r="B12" s="201">
        <v>2</v>
      </c>
      <c r="C12" s="12">
        <v>4.5999999999999996</v>
      </c>
      <c r="D12" s="2"/>
      <c r="E12" s="12">
        <v>46.7</v>
      </c>
      <c r="F12" s="2"/>
      <c r="G12" s="12">
        <v>62.9</v>
      </c>
      <c r="H12" s="2"/>
      <c r="I12" s="2"/>
      <c r="J12" s="2"/>
      <c r="K12" s="2"/>
      <c r="L12" s="12" t="s">
        <v>322</v>
      </c>
      <c r="M12" s="12">
        <v>83.1</v>
      </c>
      <c r="N12" s="2"/>
      <c r="O12" s="12">
        <v>30</v>
      </c>
      <c r="P12" s="12">
        <v>45</v>
      </c>
      <c r="Q12" s="12" t="s">
        <v>323</v>
      </c>
      <c r="R12" s="90"/>
    </row>
    <row r="13" spans="1:29" ht="15.75" customHeight="1">
      <c r="A13" s="204">
        <v>3</v>
      </c>
      <c r="B13" s="201">
        <v>3</v>
      </c>
      <c r="C13" s="12">
        <v>3.8</v>
      </c>
      <c r="D13" s="2"/>
      <c r="E13" s="12">
        <v>41.6</v>
      </c>
      <c r="F13" s="2"/>
      <c r="G13" s="12">
        <v>47.3</v>
      </c>
      <c r="H13" s="2"/>
      <c r="I13" s="2"/>
      <c r="J13" s="2"/>
      <c r="K13" s="2"/>
      <c r="L13" s="12" t="s">
        <v>322</v>
      </c>
      <c r="M13" s="12">
        <v>83.7</v>
      </c>
      <c r="N13" s="2"/>
      <c r="O13" s="12">
        <v>50</v>
      </c>
      <c r="P13" s="12">
        <v>27.9</v>
      </c>
      <c r="Q13" s="12" t="s">
        <v>323</v>
      </c>
      <c r="R13" s="90"/>
    </row>
    <row r="14" spans="1:29" ht="15.75" customHeight="1">
      <c r="A14" s="204">
        <v>3</v>
      </c>
      <c r="B14" s="201">
        <v>4</v>
      </c>
      <c r="C14" s="12">
        <v>4.7</v>
      </c>
      <c r="D14" s="2"/>
      <c r="E14" s="12">
        <v>41.2</v>
      </c>
      <c r="F14" s="2"/>
      <c r="G14" s="12">
        <v>62.2</v>
      </c>
      <c r="H14" s="2"/>
      <c r="I14" s="2"/>
      <c r="J14" s="2"/>
      <c r="K14" s="2"/>
      <c r="L14" s="12" t="s">
        <v>322</v>
      </c>
      <c r="M14" s="12">
        <v>82.3</v>
      </c>
      <c r="N14" s="2"/>
      <c r="O14" s="12">
        <v>15.7</v>
      </c>
      <c r="P14" s="12">
        <v>49.7</v>
      </c>
      <c r="Q14" s="12" t="s">
        <v>323</v>
      </c>
      <c r="R14" s="90"/>
    </row>
    <row r="15" spans="1:29" ht="15.75" customHeight="1">
      <c r="A15" s="203">
        <v>4</v>
      </c>
      <c r="B15" s="200">
        <v>1</v>
      </c>
      <c r="C15" s="227"/>
      <c r="D15" s="234"/>
      <c r="E15" s="227"/>
      <c r="F15" s="234"/>
      <c r="G15" s="227"/>
      <c r="H15" s="234"/>
      <c r="I15" s="234"/>
      <c r="J15" s="234"/>
      <c r="K15" s="234"/>
      <c r="L15" s="227"/>
      <c r="M15" s="227"/>
      <c r="N15" s="234"/>
      <c r="O15" s="227"/>
      <c r="P15" s="227"/>
      <c r="Q15" s="227"/>
      <c r="R15" s="235"/>
    </row>
    <row r="16" spans="1:29" ht="15.75" customHeight="1">
      <c r="A16" s="204">
        <v>4</v>
      </c>
      <c r="B16" s="201">
        <v>2</v>
      </c>
      <c r="C16" s="12"/>
      <c r="D16" s="2"/>
      <c r="E16" s="12"/>
      <c r="F16" s="2"/>
      <c r="G16" s="12"/>
      <c r="H16" s="2"/>
      <c r="I16" s="2"/>
      <c r="J16" s="2"/>
      <c r="K16" s="2"/>
      <c r="L16" s="12"/>
      <c r="M16" s="12"/>
      <c r="N16" s="2"/>
      <c r="O16" s="12"/>
      <c r="P16" s="12"/>
      <c r="Q16" s="12"/>
      <c r="R16" s="236"/>
    </row>
    <row r="17" spans="1:18" ht="15.75" customHeight="1">
      <c r="A17" s="205">
        <v>4</v>
      </c>
      <c r="B17" s="202">
        <v>3</v>
      </c>
      <c r="C17" s="27"/>
      <c r="D17" s="34"/>
      <c r="E17" s="27"/>
      <c r="F17" s="34"/>
      <c r="G17" s="27"/>
      <c r="H17" s="34"/>
      <c r="I17" s="34"/>
      <c r="J17" s="34"/>
      <c r="K17" s="34"/>
      <c r="L17" s="27"/>
      <c r="M17" s="27"/>
      <c r="N17" s="34"/>
      <c r="O17" s="27"/>
      <c r="P17" s="27"/>
      <c r="Q17" s="27"/>
      <c r="R17" s="237"/>
    </row>
    <row r="18" spans="1:18" ht="15.75" customHeight="1">
      <c r="A18" s="203">
        <v>5</v>
      </c>
      <c r="B18" s="200">
        <v>1</v>
      </c>
      <c r="C18" s="234"/>
      <c r="D18" s="234"/>
      <c r="E18" s="227">
        <v>91</v>
      </c>
      <c r="F18" s="234"/>
      <c r="G18" s="234"/>
      <c r="H18" s="234"/>
      <c r="I18" s="227">
        <v>170</v>
      </c>
      <c r="J18" s="234"/>
      <c r="K18" s="234"/>
      <c r="L18" s="227" t="s">
        <v>322</v>
      </c>
      <c r="M18" s="234"/>
      <c r="N18" s="234"/>
      <c r="O18" s="227">
        <v>74</v>
      </c>
      <c r="P18" s="234"/>
      <c r="Q18" s="227" t="s">
        <v>323</v>
      </c>
      <c r="R18" s="215">
        <v>64.3</v>
      </c>
    </row>
    <row r="19" spans="1:18" ht="15.75" customHeight="1">
      <c r="A19" s="204">
        <v>5</v>
      </c>
      <c r="B19" s="201">
        <v>2</v>
      </c>
      <c r="C19" s="2"/>
      <c r="D19" s="2"/>
      <c r="E19" s="12">
        <v>71</v>
      </c>
      <c r="F19" s="2"/>
      <c r="G19" s="2"/>
      <c r="H19" s="12">
        <v>163</v>
      </c>
      <c r="I19" s="12">
        <v>172</v>
      </c>
      <c r="J19" s="2"/>
      <c r="K19" s="2"/>
      <c r="L19" s="12" t="s">
        <v>322</v>
      </c>
      <c r="M19" s="2"/>
      <c r="N19" s="2"/>
      <c r="O19" s="12">
        <v>47</v>
      </c>
      <c r="P19" s="2"/>
      <c r="Q19" s="12" t="s">
        <v>323</v>
      </c>
      <c r="R19" s="218">
        <v>62.3</v>
      </c>
    </row>
    <row r="20" spans="1:18" ht="15.75" customHeight="1">
      <c r="A20" s="204">
        <v>5</v>
      </c>
      <c r="B20" s="201">
        <v>3</v>
      </c>
      <c r="C20" s="2"/>
      <c r="D20" s="2"/>
      <c r="E20" s="12">
        <v>60</v>
      </c>
      <c r="F20" s="2"/>
      <c r="G20" s="2"/>
      <c r="H20" s="12">
        <v>160</v>
      </c>
      <c r="I20" s="12">
        <v>170</v>
      </c>
      <c r="J20" s="2"/>
      <c r="K20" s="2"/>
      <c r="L20" s="12" t="s">
        <v>322</v>
      </c>
      <c r="M20" s="2"/>
      <c r="N20" s="2"/>
      <c r="O20" s="12">
        <v>34</v>
      </c>
      <c r="P20" s="2"/>
      <c r="Q20" s="12" t="s">
        <v>323</v>
      </c>
      <c r="R20" s="218">
        <v>64.2</v>
      </c>
    </row>
    <row r="21" spans="1:18" ht="15.75" customHeight="1">
      <c r="A21" s="204">
        <v>5</v>
      </c>
      <c r="B21" s="201">
        <v>4</v>
      </c>
      <c r="C21" s="2"/>
      <c r="D21" s="2"/>
      <c r="E21" s="12">
        <v>66</v>
      </c>
      <c r="F21" s="2"/>
      <c r="G21" s="2"/>
      <c r="H21" s="12">
        <v>158</v>
      </c>
      <c r="I21" s="12">
        <v>170</v>
      </c>
      <c r="J21" s="2"/>
      <c r="K21" s="2"/>
      <c r="L21" s="12" t="s">
        <v>322</v>
      </c>
      <c r="M21" s="2"/>
      <c r="N21" s="2"/>
      <c r="O21" s="12">
        <v>33</v>
      </c>
      <c r="P21" s="2"/>
      <c r="Q21" s="12" t="s">
        <v>323</v>
      </c>
      <c r="R21" s="218">
        <v>64.8</v>
      </c>
    </row>
    <row r="22" spans="1:18" ht="15.75" customHeight="1">
      <c r="A22" s="204">
        <v>5</v>
      </c>
      <c r="B22" s="201">
        <v>5</v>
      </c>
      <c r="C22" s="2"/>
      <c r="D22" s="2"/>
      <c r="E22" s="12">
        <v>71</v>
      </c>
      <c r="F22" s="2"/>
      <c r="G22" s="2"/>
      <c r="H22" s="12">
        <v>158</v>
      </c>
      <c r="I22" s="12">
        <v>170</v>
      </c>
      <c r="J22" s="2"/>
      <c r="K22" s="2"/>
      <c r="L22" s="12" t="s">
        <v>322</v>
      </c>
      <c r="M22" s="2"/>
      <c r="N22" s="2"/>
      <c r="O22" s="12">
        <v>34</v>
      </c>
      <c r="P22" s="2"/>
      <c r="Q22" s="12" t="s">
        <v>323</v>
      </c>
      <c r="R22" s="218">
        <v>64.8</v>
      </c>
    </row>
    <row r="23" spans="1:18" ht="15.75" customHeight="1">
      <c r="A23" s="205">
        <v>5</v>
      </c>
      <c r="B23" s="202">
        <v>6</v>
      </c>
      <c r="C23" s="34"/>
      <c r="D23" s="34"/>
      <c r="E23" s="27">
        <v>77</v>
      </c>
      <c r="F23" s="34"/>
      <c r="G23" s="34"/>
      <c r="H23" s="27">
        <v>167</v>
      </c>
      <c r="I23" s="27">
        <v>174</v>
      </c>
      <c r="J23" s="34"/>
      <c r="K23" s="34"/>
      <c r="L23" s="27" t="s">
        <v>322</v>
      </c>
      <c r="M23" s="34"/>
      <c r="N23" s="34"/>
      <c r="O23" s="27">
        <v>49</v>
      </c>
      <c r="P23" s="34"/>
      <c r="Q23" s="27" t="s">
        <v>323</v>
      </c>
      <c r="R23" s="221">
        <v>64.5</v>
      </c>
    </row>
    <row r="24" spans="1:18" ht="15.75" customHeight="1">
      <c r="A24" s="204">
        <v>6</v>
      </c>
      <c r="B24" s="201">
        <v>1</v>
      </c>
      <c r="C24" s="12">
        <v>-1.3</v>
      </c>
      <c r="D24" s="2"/>
      <c r="E24" s="2"/>
      <c r="F24" s="2"/>
      <c r="G24" s="12">
        <v>53</v>
      </c>
      <c r="H24" s="12">
        <v>167.8</v>
      </c>
      <c r="I24" s="2"/>
      <c r="J24" s="12">
        <v>265.5</v>
      </c>
      <c r="K24" s="2"/>
      <c r="L24" s="12" t="s">
        <v>322</v>
      </c>
      <c r="M24" s="12">
        <v>74.099999999999994</v>
      </c>
      <c r="N24" s="2"/>
      <c r="O24" s="2"/>
      <c r="P24" s="2"/>
      <c r="Q24" s="12" t="s">
        <v>323</v>
      </c>
      <c r="R24" s="91">
        <v>50.8</v>
      </c>
    </row>
    <row r="25" spans="1:18" ht="15.75" customHeight="1">
      <c r="A25" s="204">
        <v>6</v>
      </c>
      <c r="B25" s="201">
        <v>2</v>
      </c>
      <c r="C25" s="12">
        <v>0.2</v>
      </c>
      <c r="D25" s="2"/>
      <c r="E25" s="2"/>
      <c r="F25" s="2"/>
      <c r="G25" s="12">
        <v>72.900000000000006</v>
      </c>
      <c r="H25" s="12">
        <v>167.7</v>
      </c>
      <c r="I25" s="2"/>
      <c r="J25" s="12">
        <v>265.10000000000002</v>
      </c>
      <c r="K25" s="2"/>
      <c r="L25" s="12" t="s">
        <v>322</v>
      </c>
      <c r="M25" s="12">
        <v>71.3</v>
      </c>
      <c r="N25" s="2"/>
      <c r="O25" s="2"/>
      <c r="P25" s="2"/>
      <c r="Q25" s="12" t="s">
        <v>323</v>
      </c>
      <c r="R25" s="91">
        <v>48.8</v>
      </c>
    </row>
    <row r="26" spans="1:18" ht="15.75" customHeight="1">
      <c r="A26" s="204">
        <v>6</v>
      </c>
      <c r="B26" s="201">
        <v>3</v>
      </c>
      <c r="C26" s="12">
        <v>1.3</v>
      </c>
      <c r="D26" s="2"/>
      <c r="E26" s="2"/>
      <c r="F26" s="2"/>
      <c r="G26" s="12">
        <v>69.400000000000006</v>
      </c>
      <c r="H26" s="12">
        <v>168.6</v>
      </c>
      <c r="I26" s="2"/>
      <c r="J26" s="12">
        <v>267.5</v>
      </c>
      <c r="K26" s="2"/>
      <c r="L26" s="12" t="s">
        <v>322</v>
      </c>
      <c r="M26" s="12">
        <v>65.099999999999994</v>
      </c>
      <c r="N26" s="2"/>
      <c r="O26" s="2"/>
      <c r="P26" s="2"/>
      <c r="Q26" s="12" t="s">
        <v>323</v>
      </c>
      <c r="R26" s="91">
        <v>44.6</v>
      </c>
    </row>
    <row r="27" spans="1:18" ht="15.75" customHeight="1">
      <c r="A27" s="204">
        <v>6</v>
      </c>
      <c r="B27" s="201">
        <v>4</v>
      </c>
      <c r="C27" s="12">
        <v>2</v>
      </c>
      <c r="D27" s="2"/>
      <c r="E27" s="2"/>
      <c r="F27" s="2"/>
      <c r="G27" s="12">
        <v>68.400000000000006</v>
      </c>
      <c r="H27" s="12">
        <v>169.2</v>
      </c>
      <c r="I27" s="2"/>
      <c r="J27" s="12">
        <v>266.5</v>
      </c>
      <c r="K27" s="2"/>
      <c r="L27" s="12" t="s">
        <v>322</v>
      </c>
      <c r="M27" s="12">
        <v>62.3</v>
      </c>
      <c r="N27" s="2"/>
      <c r="O27" s="2"/>
      <c r="P27" s="2"/>
      <c r="Q27" s="12" t="s">
        <v>323</v>
      </c>
      <c r="R27" s="91">
        <v>42.7</v>
      </c>
    </row>
    <row r="28" spans="1:18" ht="15.75" customHeight="1">
      <c r="A28" s="203">
        <v>7</v>
      </c>
      <c r="B28" s="200">
        <v>1</v>
      </c>
      <c r="C28" s="222">
        <v>3.9</v>
      </c>
      <c r="D28" s="234"/>
      <c r="E28" s="222">
        <v>47.4</v>
      </c>
      <c r="F28" s="234"/>
      <c r="G28" s="234"/>
      <c r="H28" s="222">
        <v>175</v>
      </c>
      <c r="I28" s="234"/>
      <c r="J28" s="234"/>
      <c r="K28" s="234"/>
      <c r="L28" s="227" t="s">
        <v>322</v>
      </c>
      <c r="M28" s="222">
        <v>87.4</v>
      </c>
      <c r="N28" s="234"/>
      <c r="O28" s="222">
        <v>68.7</v>
      </c>
      <c r="P28" s="234"/>
      <c r="Q28" s="227" t="s">
        <v>323</v>
      </c>
      <c r="R28" s="235"/>
    </row>
    <row r="29" spans="1:18" ht="15.75" customHeight="1">
      <c r="A29" s="92">
        <v>7</v>
      </c>
      <c r="B29" s="93">
        <v>2</v>
      </c>
      <c r="C29" s="289">
        <v>3.8</v>
      </c>
      <c r="D29" s="190"/>
      <c r="E29" s="289">
        <v>42.9</v>
      </c>
      <c r="F29" s="190"/>
      <c r="G29" s="190"/>
      <c r="H29" s="289">
        <v>171.4</v>
      </c>
      <c r="I29" s="190"/>
      <c r="J29" s="190"/>
      <c r="K29" s="190"/>
      <c r="L29" s="290" t="s">
        <v>322</v>
      </c>
      <c r="M29" s="289">
        <v>87.8</v>
      </c>
      <c r="N29" s="190"/>
      <c r="O29" s="289">
        <v>25.1</v>
      </c>
      <c r="P29" s="190"/>
      <c r="Q29" s="290" t="s">
        <v>323</v>
      </c>
      <c r="R29" s="7"/>
    </row>
    <row r="30" spans="1:18" ht="15.75" customHeight="1">
      <c r="A30" s="204">
        <v>8</v>
      </c>
      <c r="B30" s="201">
        <v>1</v>
      </c>
      <c r="C30" s="12">
        <v>-13.4</v>
      </c>
      <c r="D30" s="2"/>
      <c r="E30" s="12">
        <v>85.7</v>
      </c>
      <c r="F30" s="2"/>
      <c r="G30" s="2"/>
      <c r="H30" s="12">
        <v>161.30000000000001</v>
      </c>
      <c r="I30" s="12">
        <v>170.3</v>
      </c>
      <c r="J30" s="12">
        <v>215.7</v>
      </c>
      <c r="K30" s="12">
        <v>279.10000000000002</v>
      </c>
      <c r="L30" s="12" t="s">
        <v>322</v>
      </c>
      <c r="M30" s="12">
        <v>86</v>
      </c>
      <c r="N30" s="12">
        <v>88.7</v>
      </c>
      <c r="O30" s="12">
        <v>73.900000000000006</v>
      </c>
      <c r="P30" s="2"/>
      <c r="Q30" s="12" t="s">
        <v>323</v>
      </c>
      <c r="R30" s="91">
        <v>58.9</v>
      </c>
    </row>
    <row r="31" spans="1:18" ht="15.75" customHeight="1">
      <c r="A31" s="204">
        <v>8</v>
      </c>
      <c r="B31" s="201">
        <v>2</v>
      </c>
      <c r="C31" s="12">
        <v>-10.1</v>
      </c>
      <c r="D31" s="2"/>
      <c r="E31" s="12">
        <v>87.5</v>
      </c>
      <c r="F31" s="2"/>
      <c r="G31" s="2"/>
      <c r="H31" s="12">
        <v>161.80000000000001</v>
      </c>
      <c r="I31" s="12">
        <v>170.4</v>
      </c>
      <c r="J31" s="12">
        <v>226.5</v>
      </c>
      <c r="K31" s="12">
        <v>287.2</v>
      </c>
      <c r="L31" s="12" t="s">
        <v>322</v>
      </c>
      <c r="M31" s="12">
        <v>83.7</v>
      </c>
      <c r="N31" s="12">
        <v>85.4</v>
      </c>
      <c r="O31" s="12">
        <v>68.5</v>
      </c>
      <c r="P31" s="2"/>
      <c r="Q31" s="12" t="s">
        <v>323</v>
      </c>
      <c r="R31" s="91">
        <v>60.4</v>
      </c>
    </row>
    <row r="32" spans="1:18" ht="15.75" customHeight="1">
      <c r="A32" s="204">
        <v>8</v>
      </c>
      <c r="B32" s="201">
        <v>3</v>
      </c>
      <c r="C32" s="12">
        <v>-6.3</v>
      </c>
      <c r="D32" s="2"/>
      <c r="E32" s="12">
        <v>83.8</v>
      </c>
      <c r="F32" s="2"/>
      <c r="G32" s="2"/>
      <c r="H32" s="12">
        <v>161.19999999999999</v>
      </c>
      <c r="I32" s="12">
        <v>170</v>
      </c>
      <c r="J32" s="12">
        <v>229.3</v>
      </c>
      <c r="K32" s="12">
        <v>288.89999999999998</v>
      </c>
      <c r="L32" s="12" t="s">
        <v>322</v>
      </c>
      <c r="M32" s="12">
        <v>84.5</v>
      </c>
      <c r="N32" s="12">
        <v>79.900000000000006</v>
      </c>
      <c r="O32" s="12">
        <v>61.9</v>
      </c>
      <c r="P32" s="2"/>
      <c r="Q32" s="12" t="s">
        <v>323</v>
      </c>
      <c r="R32" s="91">
        <v>64.3</v>
      </c>
    </row>
    <row r="33" spans="1:18" ht="15.75" customHeight="1">
      <c r="A33" s="92">
        <v>8</v>
      </c>
      <c r="B33" s="93">
        <v>4</v>
      </c>
      <c r="C33" s="290">
        <v>-21</v>
      </c>
      <c r="D33" s="190"/>
      <c r="E33" s="290">
        <v>77</v>
      </c>
      <c r="F33" s="190"/>
      <c r="G33" s="190"/>
      <c r="H33" s="290">
        <v>155.5</v>
      </c>
      <c r="I33" s="290">
        <v>166.7</v>
      </c>
      <c r="J33" s="290">
        <v>203</v>
      </c>
      <c r="K33" s="290">
        <v>287.39999999999998</v>
      </c>
      <c r="L33" s="290" t="s">
        <v>322</v>
      </c>
      <c r="M33" s="290">
        <v>79</v>
      </c>
      <c r="N33" s="290">
        <v>73.7</v>
      </c>
      <c r="O33" s="290">
        <v>57.5</v>
      </c>
      <c r="P33" s="190"/>
      <c r="Q33" s="290" t="s">
        <v>323</v>
      </c>
      <c r="R33" s="94">
        <v>63.6</v>
      </c>
    </row>
    <row r="34" spans="1:18" ht="15.75" customHeight="1">
      <c r="A34" s="204">
        <v>9</v>
      </c>
      <c r="B34" s="201">
        <v>1</v>
      </c>
      <c r="C34" s="22" t="s">
        <v>324</v>
      </c>
      <c r="D34" s="2"/>
      <c r="E34" s="22">
        <v>104.2</v>
      </c>
      <c r="F34" s="2"/>
      <c r="G34" s="2"/>
      <c r="H34" s="22">
        <v>150.80000000000001</v>
      </c>
      <c r="I34" s="22">
        <v>162.30000000000001</v>
      </c>
      <c r="J34" s="2"/>
      <c r="K34" s="2"/>
      <c r="L34" s="12" t="s">
        <v>322</v>
      </c>
      <c r="M34" s="22">
        <v>20.100000000000001</v>
      </c>
      <c r="N34" s="22">
        <v>17.3</v>
      </c>
      <c r="O34" s="22">
        <v>28.6</v>
      </c>
      <c r="P34" s="2"/>
      <c r="Q34" s="12" t="s">
        <v>323</v>
      </c>
      <c r="R34" s="90"/>
    </row>
    <row r="35" spans="1:18" ht="15.75" customHeight="1">
      <c r="A35" s="204">
        <v>9</v>
      </c>
      <c r="B35" s="201">
        <v>2</v>
      </c>
      <c r="C35" s="22" t="s">
        <v>325</v>
      </c>
      <c r="D35" s="2"/>
      <c r="E35" s="22">
        <v>100.8</v>
      </c>
      <c r="F35" s="2"/>
      <c r="G35" s="2"/>
      <c r="H35" s="22">
        <v>149.4</v>
      </c>
      <c r="I35" s="22">
        <v>161.69999999999999</v>
      </c>
      <c r="J35" s="2"/>
      <c r="K35" s="2"/>
      <c r="L35" s="12" t="s">
        <v>322</v>
      </c>
      <c r="M35" s="22">
        <v>18.3</v>
      </c>
      <c r="N35" s="22">
        <v>19</v>
      </c>
      <c r="O35" s="22">
        <v>32.5</v>
      </c>
      <c r="P35" s="2"/>
      <c r="Q35" s="12" t="s">
        <v>323</v>
      </c>
      <c r="R35" s="90"/>
    </row>
    <row r="36" spans="1:18" ht="15.75" customHeight="1">
      <c r="A36" s="204">
        <v>9</v>
      </c>
      <c r="B36" s="201">
        <v>3</v>
      </c>
      <c r="C36" s="22" t="s">
        <v>326</v>
      </c>
      <c r="D36" s="2"/>
      <c r="E36" s="22">
        <v>96</v>
      </c>
      <c r="F36" s="2"/>
      <c r="G36" s="2"/>
      <c r="H36" s="22">
        <v>148.19999999999999</v>
      </c>
      <c r="I36" s="22">
        <v>161.4</v>
      </c>
      <c r="J36" s="2"/>
      <c r="K36" s="2"/>
      <c r="L36" s="12" t="s">
        <v>322</v>
      </c>
      <c r="M36" s="22">
        <v>15.6</v>
      </c>
      <c r="N36" s="22">
        <v>20.3</v>
      </c>
      <c r="O36" s="22">
        <v>30.7</v>
      </c>
      <c r="P36" s="2"/>
      <c r="Q36" s="12" t="s">
        <v>323</v>
      </c>
      <c r="R36" s="90"/>
    </row>
    <row r="37" spans="1:18" ht="15.75" customHeight="1">
      <c r="A37" s="92">
        <v>9</v>
      </c>
      <c r="B37" s="93">
        <v>4</v>
      </c>
      <c r="C37" s="289" t="s">
        <v>327</v>
      </c>
      <c r="D37" s="190"/>
      <c r="E37" s="289">
        <v>107.2</v>
      </c>
      <c r="F37" s="190"/>
      <c r="G37" s="190"/>
      <c r="H37" s="289">
        <v>151.1</v>
      </c>
      <c r="I37" s="289">
        <v>161.9</v>
      </c>
      <c r="J37" s="190"/>
      <c r="K37" s="190"/>
      <c r="L37" s="290" t="s">
        <v>322</v>
      </c>
      <c r="M37" s="289">
        <v>20.5</v>
      </c>
      <c r="N37" s="289">
        <v>13.5</v>
      </c>
      <c r="O37" s="289">
        <v>26.9</v>
      </c>
      <c r="P37" s="190"/>
      <c r="Q37" s="290" t="s">
        <v>323</v>
      </c>
      <c r="R37" s="7"/>
    </row>
    <row r="38" spans="1:18" ht="15.75" customHeight="1">
      <c r="A38" s="203">
        <v>11</v>
      </c>
      <c r="B38" s="200" t="s">
        <v>221</v>
      </c>
      <c r="C38" s="234"/>
      <c r="D38" s="234"/>
      <c r="E38" s="234"/>
      <c r="F38" s="234"/>
      <c r="G38" s="234"/>
      <c r="H38" s="234"/>
      <c r="I38" s="234"/>
      <c r="J38" s="234"/>
      <c r="K38" s="234"/>
      <c r="L38" s="227" t="s">
        <v>322</v>
      </c>
      <c r="M38" s="234"/>
      <c r="N38" s="234"/>
      <c r="O38" s="234"/>
      <c r="P38" s="234"/>
      <c r="Q38" s="234"/>
      <c r="R38" s="235"/>
    </row>
    <row r="39" spans="1:18" ht="15.75" customHeight="1">
      <c r="A39" s="204">
        <v>11</v>
      </c>
      <c r="B39" s="201" t="s">
        <v>222</v>
      </c>
      <c r="L39" s="12" t="s">
        <v>322</v>
      </c>
      <c r="R39" s="236"/>
    </row>
    <row r="40" spans="1:18" ht="15.75" customHeight="1">
      <c r="A40" s="204">
        <v>11</v>
      </c>
      <c r="B40" s="201" t="s">
        <v>223</v>
      </c>
      <c r="L40" s="12" t="s">
        <v>322</v>
      </c>
      <c r="R40" s="236"/>
    </row>
    <row r="41" spans="1:18" ht="15.75" customHeight="1">
      <c r="A41" s="204">
        <v>11</v>
      </c>
      <c r="B41" s="201" t="s">
        <v>224</v>
      </c>
      <c r="L41" s="12" t="s">
        <v>322</v>
      </c>
      <c r="R41" s="236"/>
    </row>
    <row r="42" spans="1:18" ht="15.75" customHeight="1">
      <c r="A42" s="204">
        <v>11</v>
      </c>
      <c r="B42" s="201" t="s">
        <v>225</v>
      </c>
      <c r="L42" s="12" t="s">
        <v>322</v>
      </c>
      <c r="R42" s="236"/>
    </row>
    <row r="43" spans="1:18" ht="15.75" customHeight="1">
      <c r="A43" s="204">
        <v>11</v>
      </c>
      <c r="B43" s="201" t="s">
        <v>226</v>
      </c>
      <c r="L43" s="12" t="s">
        <v>322</v>
      </c>
      <c r="R43" s="236"/>
    </row>
    <row r="44" spans="1:18" ht="15.75" customHeight="1">
      <c r="A44" s="204">
        <v>11</v>
      </c>
      <c r="B44" s="201" t="s">
        <v>227</v>
      </c>
      <c r="L44" s="12" t="s">
        <v>322</v>
      </c>
      <c r="R44" s="236"/>
    </row>
    <row r="45" spans="1:18" ht="15.75" customHeight="1">
      <c r="A45" s="205">
        <v>11</v>
      </c>
      <c r="B45" s="202" t="s">
        <v>228</v>
      </c>
      <c r="C45" s="34"/>
      <c r="D45" s="34"/>
      <c r="E45" s="34"/>
      <c r="F45" s="34"/>
      <c r="G45" s="34"/>
      <c r="H45" s="34"/>
      <c r="I45" s="34"/>
      <c r="J45" s="34"/>
      <c r="K45" s="34"/>
      <c r="L45" s="27" t="s">
        <v>322</v>
      </c>
      <c r="M45" s="34"/>
      <c r="N45" s="34"/>
      <c r="O45" s="34"/>
      <c r="P45" s="34"/>
      <c r="Q45" s="34"/>
      <c r="R45" s="237"/>
    </row>
    <row r="46" spans="1:18" ht="15.75" customHeight="1">
      <c r="A46" s="204">
        <v>12</v>
      </c>
      <c r="B46" s="201" t="s">
        <v>221</v>
      </c>
      <c r="C46" s="8"/>
    </row>
    <row r="47" spans="1:18" ht="15.75" customHeight="1">
      <c r="A47" s="204">
        <v>12</v>
      </c>
      <c r="B47" s="201" t="s">
        <v>222</v>
      </c>
      <c r="C47" s="8"/>
    </row>
    <row r="48" spans="1:18" ht="15.75" customHeight="1">
      <c r="A48" s="204">
        <v>12</v>
      </c>
      <c r="B48" s="201" t="s">
        <v>223</v>
      </c>
      <c r="C48" s="8"/>
    </row>
    <row r="49" spans="1:18" ht="15.75" customHeight="1">
      <c r="A49" s="204">
        <v>12</v>
      </c>
      <c r="B49" s="201" t="s">
        <v>224</v>
      </c>
      <c r="C49" s="8"/>
    </row>
    <row r="50" spans="1:18" ht="15.75" customHeight="1">
      <c r="A50" s="204">
        <v>12</v>
      </c>
      <c r="B50" s="201" t="s">
        <v>229</v>
      </c>
      <c r="C50" s="8"/>
    </row>
    <row r="51" spans="1:18" ht="15.75" customHeight="1">
      <c r="A51" s="204">
        <v>12</v>
      </c>
      <c r="B51" s="201" t="s">
        <v>225</v>
      </c>
      <c r="C51" s="8"/>
    </row>
    <row r="52" spans="1:18" ht="15.75" customHeight="1">
      <c r="A52" s="204">
        <v>12</v>
      </c>
      <c r="B52" s="201" t="s">
        <v>226</v>
      </c>
      <c r="C52" s="8"/>
    </row>
    <row r="53" spans="1:18" ht="15.75" customHeight="1">
      <c r="A53" s="204">
        <v>12</v>
      </c>
      <c r="B53" s="201" t="s">
        <v>227</v>
      </c>
      <c r="C53" s="8"/>
    </row>
    <row r="54" spans="1:18" ht="15.75" customHeight="1">
      <c r="A54" s="204">
        <v>12</v>
      </c>
      <c r="B54" s="201" t="s">
        <v>228</v>
      </c>
      <c r="C54" s="8"/>
    </row>
    <row r="55" spans="1:18" ht="15.75" customHeight="1">
      <c r="A55" s="204">
        <v>12</v>
      </c>
      <c r="B55" s="201" t="s">
        <v>230</v>
      </c>
      <c r="C55" s="8"/>
    </row>
    <row r="56" spans="1:18" ht="15.75" customHeight="1">
      <c r="A56" s="203">
        <v>13</v>
      </c>
      <c r="B56" s="200">
        <v>1</v>
      </c>
      <c r="C56" s="222" t="s">
        <v>328</v>
      </c>
      <c r="D56" s="222"/>
      <c r="E56" s="222">
        <v>61.8</v>
      </c>
      <c r="F56" s="222"/>
      <c r="G56" s="222"/>
      <c r="H56" s="222">
        <v>126.1</v>
      </c>
      <c r="I56" s="222">
        <v>152.5</v>
      </c>
      <c r="J56" s="222"/>
      <c r="K56" s="222"/>
      <c r="L56" s="227" t="s">
        <v>322</v>
      </c>
      <c r="M56" s="222"/>
      <c r="N56" s="222"/>
      <c r="O56" s="222"/>
      <c r="P56" s="222"/>
      <c r="Q56" s="222"/>
      <c r="R56" s="225">
        <v>29</v>
      </c>
    </row>
    <row r="57" spans="1:18" ht="15.75" customHeight="1">
      <c r="A57" s="204">
        <v>13</v>
      </c>
      <c r="B57" s="201">
        <v>2</v>
      </c>
      <c r="C57" s="22" t="s">
        <v>329</v>
      </c>
      <c r="D57" s="22"/>
      <c r="E57" s="22">
        <v>107.1</v>
      </c>
      <c r="F57" s="22"/>
      <c r="G57" s="22"/>
      <c r="H57" s="22">
        <v>150.9</v>
      </c>
      <c r="I57" s="22">
        <v>166.5</v>
      </c>
      <c r="J57" s="22"/>
      <c r="K57" s="22"/>
      <c r="L57" s="12" t="s">
        <v>322</v>
      </c>
      <c r="M57" s="22"/>
      <c r="N57" s="22"/>
      <c r="O57" s="22"/>
      <c r="P57" s="22"/>
      <c r="Q57" s="22"/>
      <c r="R57" s="226">
        <v>19.3</v>
      </c>
    </row>
    <row r="58" spans="1:18" ht="15.75" customHeight="1">
      <c r="A58" s="204">
        <v>13</v>
      </c>
      <c r="B58" s="201">
        <v>3</v>
      </c>
      <c r="C58" s="22" t="s">
        <v>330</v>
      </c>
      <c r="D58" s="22"/>
      <c r="E58" s="22">
        <v>104.8</v>
      </c>
      <c r="F58" s="22"/>
      <c r="G58" s="22"/>
      <c r="H58" s="22">
        <v>159.69999999999999</v>
      </c>
      <c r="I58" s="22">
        <v>170.1</v>
      </c>
      <c r="J58" s="22"/>
      <c r="K58" s="22"/>
      <c r="L58" s="12" t="s">
        <v>322</v>
      </c>
      <c r="M58" s="22"/>
      <c r="N58" s="22"/>
      <c r="O58" s="22"/>
      <c r="P58" s="22"/>
      <c r="Q58" s="22"/>
      <c r="R58" s="226">
        <v>25.8</v>
      </c>
    </row>
    <row r="59" spans="1:18" ht="15.75" customHeight="1">
      <c r="A59" s="204">
        <v>13</v>
      </c>
      <c r="B59" s="201">
        <v>4</v>
      </c>
      <c r="C59" s="22" t="s">
        <v>331</v>
      </c>
      <c r="D59" s="22"/>
      <c r="E59" s="22">
        <v>80</v>
      </c>
      <c r="F59" s="22"/>
      <c r="G59" s="22"/>
      <c r="H59" s="22">
        <v>153.80000000000001</v>
      </c>
      <c r="I59" s="22">
        <v>165.3</v>
      </c>
      <c r="J59" s="22"/>
      <c r="K59" s="22"/>
      <c r="L59" s="12" t="s">
        <v>322</v>
      </c>
      <c r="M59" s="22"/>
      <c r="N59" s="22"/>
      <c r="O59" s="22"/>
      <c r="P59" s="22"/>
      <c r="Q59" s="22"/>
      <c r="R59" s="226">
        <v>21.6</v>
      </c>
    </row>
    <row r="60" spans="1:18" ht="15.75" customHeight="1">
      <c r="A60" s="204">
        <v>13</v>
      </c>
      <c r="B60" s="201">
        <v>5</v>
      </c>
      <c r="C60" s="22" t="s">
        <v>332</v>
      </c>
      <c r="D60" s="22"/>
      <c r="E60" s="22">
        <v>71.5</v>
      </c>
      <c r="F60" s="22"/>
      <c r="G60" s="22"/>
      <c r="H60" s="22"/>
      <c r="I60" s="22">
        <v>162.6</v>
      </c>
      <c r="J60" s="22"/>
      <c r="K60" s="22"/>
      <c r="L60" s="12" t="s">
        <v>322</v>
      </c>
      <c r="M60" s="22"/>
      <c r="N60" s="22"/>
      <c r="O60" s="22"/>
      <c r="P60" s="22"/>
      <c r="Q60" s="22"/>
      <c r="R60" s="226">
        <v>23.8</v>
      </c>
    </row>
    <row r="61" spans="1:18" ht="15.75" customHeight="1">
      <c r="A61" s="204">
        <v>13</v>
      </c>
      <c r="B61" s="201">
        <v>6</v>
      </c>
      <c r="C61" s="22" t="s">
        <v>333</v>
      </c>
      <c r="D61" s="22"/>
      <c r="E61" s="22">
        <v>56.5</v>
      </c>
      <c r="F61" s="22"/>
      <c r="G61" s="22"/>
      <c r="H61" s="22"/>
      <c r="I61" s="22">
        <v>155.6</v>
      </c>
      <c r="J61" s="22"/>
      <c r="K61" s="22"/>
      <c r="L61" s="12" t="s">
        <v>322</v>
      </c>
      <c r="M61" s="22"/>
      <c r="N61" s="22"/>
      <c r="O61" s="22"/>
      <c r="P61" s="22"/>
      <c r="Q61" s="22"/>
      <c r="R61" s="226">
        <v>16.600000000000001</v>
      </c>
    </row>
    <row r="62" spans="1:18" ht="15.75" customHeight="1">
      <c r="A62" s="204">
        <v>13</v>
      </c>
      <c r="B62" s="201">
        <v>7</v>
      </c>
      <c r="C62" s="22" t="s">
        <v>334</v>
      </c>
      <c r="D62" s="22"/>
      <c r="E62" s="22">
        <v>64.2</v>
      </c>
      <c r="F62" s="22"/>
      <c r="G62" s="22"/>
      <c r="H62" s="22">
        <v>128.6</v>
      </c>
      <c r="I62" s="22">
        <v>152.1</v>
      </c>
      <c r="J62" s="22"/>
      <c r="K62" s="22"/>
      <c r="L62" s="12" t="s">
        <v>322</v>
      </c>
      <c r="M62" s="22"/>
      <c r="N62" s="22"/>
      <c r="O62" s="22"/>
      <c r="P62" s="22"/>
      <c r="Q62" s="22"/>
      <c r="R62" s="226">
        <v>23.3</v>
      </c>
    </row>
    <row r="63" spans="1:18" ht="15.75" customHeight="1">
      <c r="A63" s="205">
        <v>13</v>
      </c>
      <c r="B63" s="202">
        <v>8</v>
      </c>
      <c r="C63" s="30" t="s">
        <v>335</v>
      </c>
      <c r="D63" s="30"/>
      <c r="E63" s="30">
        <v>66.400000000000006</v>
      </c>
      <c r="F63" s="30"/>
      <c r="G63" s="30"/>
      <c r="H63" s="30">
        <v>130.9</v>
      </c>
      <c r="I63" s="30">
        <v>153.1</v>
      </c>
      <c r="J63" s="30"/>
      <c r="K63" s="30"/>
      <c r="L63" s="27" t="s">
        <v>322</v>
      </c>
      <c r="M63" s="30"/>
      <c r="N63" s="30"/>
      <c r="O63" s="30"/>
      <c r="P63" s="30"/>
      <c r="Q63" s="30"/>
      <c r="R63" s="232">
        <v>24.3</v>
      </c>
    </row>
    <row r="64" spans="1:18" ht="15.75" customHeight="1">
      <c r="A64" s="203">
        <v>14</v>
      </c>
      <c r="B64" s="200">
        <v>1</v>
      </c>
      <c r="C64" s="22"/>
    </row>
    <row r="65" spans="1:3" ht="15.75" customHeight="1">
      <c r="A65" s="204">
        <v>14</v>
      </c>
      <c r="B65" s="201">
        <v>2</v>
      </c>
      <c r="C65" s="22"/>
    </row>
    <row r="66" spans="1:3" ht="15.75" customHeight="1">
      <c r="A66" s="204">
        <v>14</v>
      </c>
      <c r="B66" s="201">
        <v>3</v>
      </c>
      <c r="C66" s="22"/>
    </row>
    <row r="67" spans="1:3" ht="15.75" customHeight="1">
      <c r="A67" s="204">
        <v>14</v>
      </c>
      <c r="B67" s="201">
        <v>4</v>
      </c>
      <c r="C67" s="22"/>
    </row>
    <row r="68" spans="1:3" ht="15.75" customHeight="1">
      <c r="A68" s="204">
        <v>14</v>
      </c>
      <c r="B68" s="201">
        <v>5</v>
      </c>
      <c r="C68" s="22"/>
    </row>
    <row r="69" spans="1:3" ht="15.75" customHeight="1">
      <c r="A69" s="204">
        <v>14</v>
      </c>
      <c r="B69" s="201">
        <v>6</v>
      </c>
      <c r="C69" s="22"/>
    </row>
    <row r="70" spans="1:3" ht="15.75" customHeight="1">
      <c r="A70" s="204">
        <v>14</v>
      </c>
      <c r="B70" s="201">
        <v>7</v>
      </c>
      <c r="C70" s="22"/>
    </row>
    <row r="71" spans="1:3" ht="15.75" customHeight="1">
      <c r="A71" s="204">
        <v>14</v>
      </c>
      <c r="B71" s="201">
        <v>8</v>
      </c>
      <c r="C71" s="22"/>
    </row>
    <row r="72" spans="1:3" ht="15.75" customHeight="1">
      <c r="A72" s="204">
        <v>14</v>
      </c>
      <c r="B72" s="201">
        <v>9</v>
      </c>
      <c r="C72" s="22"/>
    </row>
    <row r="73" spans="1:3" ht="15.75" customHeight="1">
      <c r="A73" s="204">
        <v>14</v>
      </c>
      <c r="B73" s="201">
        <v>10</v>
      </c>
      <c r="C73" s="22"/>
    </row>
    <row r="74" spans="1:3" ht="15.75" customHeight="1">
      <c r="A74" s="203">
        <v>15</v>
      </c>
      <c r="B74" s="200">
        <v>1</v>
      </c>
      <c r="C74" s="8"/>
    </row>
    <row r="75" spans="1:3" ht="15.75" customHeight="1">
      <c r="A75" s="204">
        <v>15</v>
      </c>
      <c r="B75" s="201">
        <v>2</v>
      </c>
      <c r="C75" s="8"/>
    </row>
    <row r="76" spans="1:3" ht="15.75" customHeight="1">
      <c r="A76" s="204">
        <v>15</v>
      </c>
      <c r="B76" s="201">
        <v>3</v>
      </c>
      <c r="C76" s="8"/>
    </row>
    <row r="77" spans="1:3" ht="15.75" customHeight="1">
      <c r="A77" s="204">
        <v>15</v>
      </c>
      <c r="B77" s="201">
        <v>4</v>
      </c>
      <c r="C77" s="8"/>
    </row>
    <row r="78" spans="1:3" ht="15.75" customHeight="1">
      <c r="A78" s="204">
        <v>15</v>
      </c>
      <c r="B78" s="201">
        <v>5</v>
      </c>
      <c r="C78" s="8"/>
    </row>
    <row r="79" spans="1:3" ht="15.75" customHeight="1">
      <c r="A79" s="204">
        <v>15</v>
      </c>
      <c r="B79" s="201">
        <v>6</v>
      </c>
      <c r="C79" s="8"/>
    </row>
    <row r="80" spans="1:3" ht="15.75" customHeight="1">
      <c r="A80" s="199">
        <v>16</v>
      </c>
      <c r="B80" s="74">
        <v>1</v>
      </c>
      <c r="C80" s="8"/>
    </row>
    <row r="81" spans="1:19" ht="15.75" customHeight="1">
      <c r="A81" s="196">
        <v>16</v>
      </c>
      <c r="B81" s="75">
        <v>2</v>
      </c>
      <c r="C81" s="8"/>
    </row>
    <row r="82" spans="1:19" ht="15.75" customHeight="1">
      <c r="A82" s="228">
        <v>16</v>
      </c>
      <c r="B82" s="75">
        <v>3</v>
      </c>
      <c r="C82" s="8"/>
    </row>
    <row r="83" spans="1:19" ht="15.75" customHeight="1">
      <c r="A83" s="229">
        <v>17</v>
      </c>
      <c r="B83" s="74">
        <v>1</v>
      </c>
      <c r="C83" s="8"/>
    </row>
    <row r="84" spans="1:19" ht="15.75" customHeight="1">
      <c r="A84" s="228">
        <v>17</v>
      </c>
      <c r="B84" s="75">
        <v>2</v>
      </c>
      <c r="C84" s="8"/>
    </row>
    <row r="85" spans="1:19" ht="15.75" customHeight="1">
      <c r="A85" s="228">
        <v>17</v>
      </c>
      <c r="B85" s="75">
        <v>3</v>
      </c>
      <c r="C85" s="8"/>
    </row>
    <row r="86" spans="1:19" ht="15.75" customHeight="1">
      <c r="A86" s="228">
        <v>17</v>
      </c>
      <c r="B86" s="75">
        <v>4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</row>
    <row r="87" spans="1:19" ht="15.75" customHeight="1">
      <c r="A87" s="229">
        <v>18</v>
      </c>
      <c r="B87" s="74">
        <v>1</v>
      </c>
      <c r="C87" s="234"/>
      <c r="D87" s="234"/>
      <c r="E87" s="222">
        <v>103</v>
      </c>
      <c r="F87" s="222"/>
      <c r="G87" s="222"/>
      <c r="H87" s="222">
        <v>152</v>
      </c>
      <c r="I87" s="222">
        <v>162</v>
      </c>
      <c r="J87" s="234"/>
      <c r="K87" s="234"/>
      <c r="L87" s="227" t="s">
        <v>322</v>
      </c>
      <c r="M87" s="234"/>
      <c r="N87" s="234"/>
      <c r="O87" s="234"/>
      <c r="P87" s="234"/>
      <c r="Q87" s="234"/>
      <c r="R87" s="235"/>
      <c r="S87" s="2"/>
    </row>
    <row r="88" spans="1:19" ht="15.75" customHeight="1">
      <c r="A88" s="230">
        <v>18</v>
      </c>
      <c r="B88" s="231">
        <v>2</v>
      </c>
      <c r="C88" s="34"/>
      <c r="D88" s="34"/>
      <c r="E88" s="30">
        <v>94</v>
      </c>
      <c r="F88" s="30"/>
      <c r="G88" s="30"/>
      <c r="H88" s="30">
        <v>144</v>
      </c>
      <c r="I88" s="30">
        <v>153</v>
      </c>
      <c r="J88" s="34"/>
      <c r="K88" s="34"/>
      <c r="L88" s="27" t="s">
        <v>322</v>
      </c>
      <c r="M88" s="34"/>
      <c r="N88" s="34"/>
      <c r="O88" s="34"/>
      <c r="P88" s="34"/>
      <c r="Q88" s="34"/>
      <c r="R88" s="237"/>
      <c r="S88" s="2"/>
    </row>
    <row r="89" spans="1:19" ht="15.75" customHeight="1">
      <c r="A89" s="228">
        <v>19</v>
      </c>
      <c r="B89" s="75">
        <v>1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</row>
    <row r="90" spans="1:19" ht="15.75" customHeight="1">
      <c r="A90" s="228">
        <v>19</v>
      </c>
      <c r="B90" s="75">
        <v>2</v>
      </c>
      <c r="C90" s="8"/>
    </row>
    <row r="91" spans="1:19" ht="15.75" customHeight="1">
      <c r="A91" s="228">
        <v>19</v>
      </c>
      <c r="B91" s="75">
        <v>3</v>
      </c>
      <c r="C91" s="8"/>
    </row>
    <row r="92" spans="1:19" ht="15.75" customHeight="1">
      <c r="A92" s="228">
        <v>19</v>
      </c>
      <c r="B92" s="75">
        <v>4</v>
      </c>
      <c r="C92" s="8"/>
    </row>
    <row r="93" spans="1:19" ht="15.75" customHeight="1">
      <c r="A93" s="228">
        <v>19</v>
      </c>
      <c r="B93" s="75">
        <v>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</row>
    <row r="94" spans="1:19" ht="15.75" customHeight="1">
      <c r="A94" s="203">
        <v>20</v>
      </c>
      <c r="B94" s="200" t="s">
        <v>221</v>
      </c>
      <c r="C94" s="227">
        <v>-0.05</v>
      </c>
      <c r="D94" s="227"/>
      <c r="E94" s="227">
        <v>66.099999999999994</v>
      </c>
      <c r="F94" s="227"/>
      <c r="G94" s="227"/>
      <c r="H94" s="227">
        <v>130</v>
      </c>
      <c r="I94" s="227">
        <v>163</v>
      </c>
      <c r="J94" s="227">
        <v>244</v>
      </c>
      <c r="K94" s="227">
        <v>298</v>
      </c>
      <c r="L94" s="227" t="s">
        <v>322</v>
      </c>
      <c r="M94" s="227"/>
      <c r="N94" s="227"/>
      <c r="O94" s="227"/>
      <c r="P94" s="227"/>
      <c r="Q94" s="227"/>
      <c r="R94" s="215">
        <v>5.71</v>
      </c>
      <c r="S94" s="2"/>
    </row>
    <row r="95" spans="1:19" ht="15.75" customHeight="1">
      <c r="A95" s="204">
        <v>20</v>
      </c>
      <c r="B95" s="201" t="s">
        <v>222</v>
      </c>
      <c r="C95" s="12">
        <v>-0.48</v>
      </c>
      <c r="D95" s="12"/>
      <c r="E95" s="12"/>
      <c r="F95" s="12"/>
      <c r="G95" s="12"/>
      <c r="H95" s="12"/>
      <c r="I95" s="12">
        <v>165</v>
      </c>
      <c r="J95" s="12">
        <v>255</v>
      </c>
      <c r="K95" s="12">
        <v>300</v>
      </c>
      <c r="L95" s="12" t="s">
        <v>322</v>
      </c>
      <c r="M95" s="12"/>
      <c r="N95" s="12"/>
      <c r="O95" s="12"/>
      <c r="P95" s="12"/>
      <c r="Q95" s="12"/>
      <c r="R95" s="218">
        <v>50.2</v>
      </c>
      <c r="S95" s="2"/>
    </row>
    <row r="96" spans="1:19" ht="15.75" customHeight="1">
      <c r="A96" s="204">
        <v>20</v>
      </c>
      <c r="B96" s="201" t="s">
        <v>223</v>
      </c>
      <c r="C96" s="12">
        <v>-2.76</v>
      </c>
      <c r="D96" s="12"/>
      <c r="E96" s="12"/>
      <c r="F96" s="12"/>
      <c r="G96" s="12"/>
      <c r="H96" s="12">
        <v>149</v>
      </c>
      <c r="I96" s="12">
        <v>158</v>
      </c>
      <c r="J96" s="12">
        <v>264</v>
      </c>
      <c r="K96" s="12">
        <v>309</v>
      </c>
      <c r="L96" s="12" t="s">
        <v>322</v>
      </c>
      <c r="M96" s="12"/>
      <c r="N96" s="12"/>
      <c r="O96" s="12"/>
      <c r="P96" s="12"/>
      <c r="Q96" s="12"/>
      <c r="R96" s="218">
        <v>5.33</v>
      </c>
      <c r="S96" s="2"/>
    </row>
    <row r="97" spans="1:19" ht="15.75" customHeight="1">
      <c r="A97" s="204">
        <v>20</v>
      </c>
      <c r="B97" s="201" t="s">
        <v>224</v>
      </c>
      <c r="C97" s="12">
        <v>2.08</v>
      </c>
      <c r="D97" s="12"/>
      <c r="E97" s="12"/>
      <c r="F97" s="12"/>
      <c r="G97" s="12"/>
      <c r="H97" s="12">
        <v>144</v>
      </c>
      <c r="I97" s="12">
        <v>159</v>
      </c>
      <c r="J97" s="12">
        <v>241</v>
      </c>
      <c r="K97" s="12">
        <v>291</v>
      </c>
      <c r="L97" s="12" t="s">
        <v>322</v>
      </c>
      <c r="M97" s="12"/>
      <c r="N97" s="12"/>
      <c r="O97" s="12"/>
      <c r="P97" s="12"/>
      <c r="Q97" s="12"/>
      <c r="R97" s="218">
        <v>32.299999999999997</v>
      </c>
      <c r="S97" s="2"/>
    </row>
    <row r="98" spans="1:19" ht="15.75" customHeight="1">
      <c r="A98" s="204">
        <v>20</v>
      </c>
      <c r="B98" s="201" t="s">
        <v>225</v>
      </c>
      <c r="C98" s="12">
        <v>-0.05</v>
      </c>
      <c r="D98" s="12"/>
      <c r="E98" s="12">
        <v>66.099999999999994</v>
      </c>
      <c r="F98" s="12"/>
      <c r="G98" s="12"/>
      <c r="H98" s="12">
        <v>130</v>
      </c>
      <c r="I98" s="12">
        <v>163</v>
      </c>
      <c r="J98" s="12">
        <v>244</v>
      </c>
      <c r="K98" s="12">
        <v>298</v>
      </c>
      <c r="L98" s="12" t="s">
        <v>322</v>
      </c>
      <c r="M98" s="12"/>
      <c r="N98" s="12"/>
      <c r="O98" s="12"/>
      <c r="P98" s="12"/>
      <c r="Q98" s="12"/>
      <c r="R98" s="218">
        <v>5.71</v>
      </c>
      <c r="S98" s="2"/>
    </row>
    <row r="99" spans="1:19" ht="15.75" customHeight="1">
      <c r="A99" s="204">
        <v>20</v>
      </c>
      <c r="B99" s="201" t="s">
        <v>226</v>
      </c>
      <c r="C99" s="12">
        <v>-0.48</v>
      </c>
      <c r="D99" s="12"/>
      <c r="E99" s="12"/>
      <c r="F99" s="12"/>
      <c r="G99" s="12"/>
      <c r="H99" s="12"/>
      <c r="I99" s="12">
        <v>165</v>
      </c>
      <c r="J99" s="12">
        <v>255</v>
      </c>
      <c r="K99" s="12">
        <v>300</v>
      </c>
      <c r="L99" s="12" t="s">
        <v>322</v>
      </c>
      <c r="M99" s="12"/>
      <c r="N99" s="12"/>
      <c r="O99" s="12"/>
      <c r="P99" s="12"/>
      <c r="Q99" s="12"/>
      <c r="R99" s="218">
        <v>50.2</v>
      </c>
      <c r="S99" s="2"/>
    </row>
    <row r="100" spans="1:19" ht="15.75" customHeight="1">
      <c r="A100" s="204">
        <v>20</v>
      </c>
      <c r="B100" s="201" t="s">
        <v>227</v>
      </c>
      <c r="C100" s="12">
        <v>-2.76</v>
      </c>
      <c r="D100" s="12"/>
      <c r="E100" s="12"/>
      <c r="F100" s="12"/>
      <c r="G100" s="12"/>
      <c r="H100" s="12">
        <v>149</v>
      </c>
      <c r="I100" s="12">
        <v>158</v>
      </c>
      <c r="J100" s="12">
        <v>264</v>
      </c>
      <c r="K100" s="12">
        <v>309</v>
      </c>
      <c r="L100" s="12" t="s">
        <v>322</v>
      </c>
      <c r="M100" s="12"/>
      <c r="N100" s="12"/>
      <c r="O100" s="12"/>
      <c r="P100" s="12"/>
      <c r="Q100" s="12"/>
      <c r="R100" s="218">
        <v>5.33</v>
      </c>
      <c r="S100" s="2"/>
    </row>
    <row r="101" spans="1:19" ht="15.75" customHeight="1">
      <c r="A101" s="204">
        <v>20</v>
      </c>
      <c r="B101" s="201" t="s">
        <v>228</v>
      </c>
      <c r="C101" s="12">
        <v>2.08</v>
      </c>
      <c r="D101" s="12"/>
      <c r="E101" s="12"/>
      <c r="F101" s="12"/>
      <c r="G101" s="12"/>
      <c r="H101" s="12">
        <v>144</v>
      </c>
      <c r="I101" s="12">
        <v>159</v>
      </c>
      <c r="J101" s="12">
        <v>241</v>
      </c>
      <c r="K101" s="12">
        <v>291</v>
      </c>
      <c r="L101" s="12" t="s">
        <v>322</v>
      </c>
      <c r="M101" s="12"/>
      <c r="N101" s="12"/>
      <c r="O101" s="12"/>
      <c r="P101" s="12"/>
      <c r="Q101" s="12"/>
      <c r="R101" s="218">
        <v>32.299999999999997</v>
      </c>
      <c r="S101" s="2"/>
    </row>
    <row r="102" spans="1:19" ht="15.75" customHeight="1">
      <c r="A102" s="204">
        <v>20</v>
      </c>
      <c r="B102" s="201" t="s">
        <v>231</v>
      </c>
      <c r="C102" s="12">
        <v>-0.05</v>
      </c>
      <c r="D102" s="12"/>
      <c r="E102" s="12">
        <v>66.099999999999994</v>
      </c>
      <c r="F102" s="12"/>
      <c r="G102" s="12"/>
      <c r="H102" s="12">
        <v>130</v>
      </c>
      <c r="I102" s="12">
        <v>163</v>
      </c>
      <c r="J102" s="12">
        <v>244</v>
      </c>
      <c r="K102" s="12">
        <v>298</v>
      </c>
      <c r="L102" s="12" t="s">
        <v>322</v>
      </c>
      <c r="M102" s="12"/>
      <c r="N102" s="12"/>
      <c r="O102" s="12"/>
      <c r="P102" s="12"/>
      <c r="Q102" s="12"/>
      <c r="R102" s="218">
        <v>5.71</v>
      </c>
      <c r="S102" s="2"/>
    </row>
    <row r="103" spans="1:19" ht="15.75" customHeight="1">
      <c r="A103" s="204">
        <v>20</v>
      </c>
      <c r="B103" s="201" t="s">
        <v>232</v>
      </c>
      <c r="C103" s="12">
        <v>-0.48</v>
      </c>
      <c r="D103" s="12"/>
      <c r="E103" s="12"/>
      <c r="F103" s="12"/>
      <c r="G103" s="12"/>
      <c r="H103" s="12"/>
      <c r="I103" s="12">
        <v>165</v>
      </c>
      <c r="J103" s="12">
        <v>255</v>
      </c>
      <c r="K103" s="12">
        <v>300</v>
      </c>
      <c r="L103" s="12" t="s">
        <v>322</v>
      </c>
      <c r="M103" s="12"/>
      <c r="N103" s="12"/>
      <c r="O103" s="12"/>
      <c r="P103" s="12"/>
      <c r="Q103" s="12"/>
      <c r="R103" s="218">
        <v>50.2</v>
      </c>
      <c r="S103" s="2"/>
    </row>
    <row r="104" spans="1:19" ht="15.75" customHeight="1">
      <c r="A104" s="204">
        <v>20</v>
      </c>
      <c r="B104" s="201" t="s">
        <v>233</v>
      </c>
      <c r="C104" s="12">
        <v>-2.76</v>
      </c>
      <c r="D104" s="12"/>
      <c r="E104" s="12"/>
      <c r="F104" s="12"/>
      <c r="G104" s="12"/>
      <c r="H104" s="12">
        <v>149</v>
      </c>
      <c r="I104" s="12">
        <v>158</v>
      </c>
      <c r="J104" s="12">
        <v>264</v>
      </c>
      <c r="K104" s="12">
        <v>309</v>
      </c>
      <c r="L104" s="12" t="s">
        <v>322</v>
      </c>
      <c r="M104" s="12"/>
      <c r="N104" s="12"/>
      <c r="O104" s="12"/>
      <c r="P104" s="12"/>
      <c r="Q104" s="12"/>
      <c r="R104" s="218">
        <v>5.33</v>
      </c>
      <c r="S104" s="2"/>
    </row>
    <row r="105" spans="1:19" ht="15.75" customHeight="1">
      <c r="A105" s="204">
        <v>20</v>
      </c>
      <c r="B105" s="201" t="s">
        <v>234</v>
      </c>
      <c r="C105" s="12">
        <v>2.08</v>
      </c>
      <c r="D105" s="12"/>
      <c r="E105" s="12"/>
      <c r="F105" s="12"/>
      <c r="G105" s="12"/>
      <c r="H105" s="12">
        <v>144</v>
      </c>
      <c r="I105" s="12">
        <v>159</v>
      </c>
      <c r="J105" s="12">
        <v>241</v>
      </c>
      <c r="K105" s="12">
        <v>291</v>
      </c>
      <c r="L105" s="12" t="s">
        <v>322</v>
      </c>
      <c r="M105" s="12"/>
      <c r="N105" s="12"/>
      <c r="O105" s="12"/>
      <c r="P105" s="12"/>
      <c r="Q105" s="12"/>
      <c r="R105" s="218">
        <v>32.299999999999997</v>
      </c>
      <c r="S105" s="2"/>
    </row>
    <row r="106" spans="1:19" ht="15.75" customHeight="1">
      <c r="A106" s="204">
        <v>20</v>
      </c>
      <c r="B106" s="201" t="s">
        <v>235</v>
      </c>
      <c r="C106" s="12">
        <v>-0.05</v>
      </c>
      <c r="D106" s="12"/>
      <c r="E106" s="12">
        <v>66.099999999999994</v>
      </c>
      <c r="F106" s="12"/>
      <c r="G106" s="12"/>
      <c r="H106" s="12">
        <v>130</v>
      </c>
      <c r="I106" s="12">
        <v>163</v>
      </c>
      <c r="J106" s="12">
        <v>244</v>
      </c>
      <c r="K106" s="12">
        <v>298</v>
      </c>
      <c r="L106" s="12" t="s">
        <v>322</v>
      </c>
      <c r="M106" s="12"/>
      <c r="N106" s="12"/>
      <c r="O106" s="12"/>
      <c r="P106" s="12"/>
      <c r="Q106" s="12"/>
      <c r="R106" s="218">
        <v>5.71</v>
      </c>
      <c r="S106" s="2"/>
    </row>
    <row r="107" spans="1:19" ht="15.75" customHeight="1">
      <c r="A107" s="204">
        <v>20</v>
      </c>
      <c r="B107" s="201" t="s">
        <v>236</v>
      </c>
      <c r="C107" s="12">
        <v>-0.48</v>
      </c>
      <c r="D107" s="12"/>
      <c r="E107" s="12"/>
      <c r="F107" s="12"/>
      <c r="G107" s="12"/>
      <c r="H107" s="12"/>
      <c r="I107" s="12">
        <v>165</v>
      </c>
      <c r="J107" s="12">
        <v>255</v>
      </c>
      <c r="K107" s="12">
        <v>300</v>
      </c>
      <c r="L107" s="12" t="s">
        <v>322</v>
      </c>
      <c r="M107" s="12"/>
      <c r="N107" s="12"/>
      <c r="O107" s="12"/>
      <c r="P107" s="12"/>
      <c r="Q107" s="12"/>
      <c r="R107" s="218">
        <v>50.2</v>
      </c>
      <c r="S107" s="2"/>
    </row>
    <row r="108" spans="1:19" ht="15.75" customHeight="1">
      <c r="A108" s="204">
        <v>20</v>
      </c>
      <c r="B108" s="201" t="s">
        <v>237</v>
      </c>
      <c r="C108" s="12">
        <v>-2.76</v>
      </c>
      <c r="D108" s="12"/>
      <c r="E108" s="12"/>
      <c r="F108" s="12"/>
      <c r="G108" s="12"/>
      <c r="H108" s="12">
        <v>149</v>
      </c>
      <c r="I108" s="12">
        <v>158</v>
      </c>
      <c r="J108" s="12">
        <v>264</v>
      </c>
      <c r="K108" s="12">
        <v>309</v>
      </c>
      <c r="L108" s="12" t="s">
        <v>322</v>
      </c>
      <c r="M108" s="12"/>
      <c r="N108" s="12"/>
      <c r="O108" s="12"/>
      <c r="P108" s="12"/>
      <c r="Q108" s="12"/>
      <c r="R108" s="218">
        <v>5.33</v>
      </c>
      <c r="S108" s="2"/>
    </row>
    <row r="109" spans="1:19" ht="15.75" customHeight="1">
      <c r="A109" s="204">
        <v>20</v>
      </c>
      <c r="B109" s="201" t="s">
        <v>238</v>
      </c>
      <c r="C109" s="12">
        <v>2.08</v>
      </c>
      <c r="D109" s="12"/>
      <c r="E109" s="12"/>
      <c r="F109" s="12"/>
      <c r="G109" s="12"/>
      <c r="H109" s="12">
        <v>144</v>
      </c>
      <c r="I109" s="12">
        <v>159</v>
      </c>
      <c r="J109" s="12">
        <v>241</v>
      </c>
      <c r="K109" s="12">
        <v>291</v>
      </c>
      <c r="L109" s="12" t="s">
        <v>322</v>
      </c>
      <c r="M109" s="12"/>
      <c r="N109" s="12"/>
      <c r="O109" s="12"/>
      <c r="P109" s="12"/>
      <c r="Q109" s="12"/>
      <c r="R109" s="218">
        <v>32.299999999999997</v>
      </c>
      <c r="S109" s="2"/>
    </row>
    <row r="110" spans="1:19" ht="15.75" customHeight="1">
      <c r="A110" s="233">
        <v>20</v>
      </c>
      <c r="B110" s="75" t="s">
        <v>239</v>
      </c>
      <c r="C110" s="12">
        <v>-0.05</v>
      </c>
      <c r="D110" s="12"/>
      <c r="E110" s="12">
        <v>66.099999999999994</v>
      </c>
      <c r="F110" s="12"/>
      <c r="G110" s="12"/>
      <c r="H110" s="12">
        <v>130</v>
      </c>
      <c r="I110" s="12">
        <v>163</v>
      </c>
      <c r="J110" s="12">
        <v>244</v>
      </c>
      <c r="K110" s="12">
        <v>298</v>
      </c>
      <c r="L110" s="12" t="s">
        <v>322</v>
      </c>
      <c r="M110" s="12"/>
      <c r="N110" s="12"/>
      <c r="O110" s="12"/>
      <c r="P110" s="12"/>
      <c r="Q110" s="12"/>
      <c r="R110" s="218">
        <v>5.71</v>
      </c>
      <c r="S110" s="2"/>
    </row>
    <row r="111" spans="1:19" ht="15.75" customHeight="1">
      <c r="A111" s="228">
        <v>20</v>
      </c>
      <c r="B111" s="75" t="s">
        <v>240</v>
      </c>
      <c r="C111" s="12">
        <v>-0.48</v>
      </c>
      <c r="D111" s="12"/>
      <c r="E111" s="12"/>
      <c r="F111" s="12"/>
      <c r="G111" s="12"/>
      <c r="H111" s="12"/>
      <c r="I111" s="12">
        <v>165</v>
      </c>
      <c r="J111" s="12">
        <v>255</v>
      </c>
      <c r="K111" s="12">
        <v>300</v>
      </c>
      <c r="L111" s="12" t="s">
        <v>322</v>
      </c>
      <c r="M111" s="12"/>
      <c r="N111" s="12"/>
      <c r="O111" s="12"/>
      <c r="P111" s="12"/>
      <c r="Q111" s="12"/>
      <c r="R111" s="218">
        <v>50.2</v>
      </c>
      <c r="S111" s="2"/>
    </row>
    <row r="112" spans="1:19" ht="15.75" customHeight="1">
      <c r="A112" s="228">
        <v>20</v>
      </c>
      <c r="B112" s="75" t="s">
        <v>241</v>
      </c>
      <c r="C112" s="12">
        <v>-2.76</v>
      </c>
      <c r="D112" s="12"/>
      <c r="E112" s="12"/>
      <c r="F112" s="12"/>
      <c r="G112" s="12"/>
      <c r="H112" s="12">
        <v>149</v>
      </c>
      <c r="I112" s="12">
        <v>158</v>
      </c>
      <c r="J112" s="12">
        <v>264</v>
      </c>
      <c r="K112" s="12">
        <v>309</v>
      </c>
      <c r="L112" s="12" t="s">
        <v>322</v>
      </c>
      <c r="M112" s="12"/>
      <c r="N112" s="12"/>
      <c r="O112" s="12"/>
      <c r="P112" s="12"/>
      <c r="Q112" s="12"/>
      <c r="R112" s="218">
        <v>5.33</v>
      </c>
      <c r="S112" s="2"/>
    </row>
    <row r="113" spans="1:19" ht="15.75" customHeight="1">
      <c r="A113" s="228">
        <v>20</v>
      </c>
      <c r="B113" s="75" t="s">
        <v>242</v>
      </c>
      <c r="C113" s="12">
        <v>2.08</v>
      </c>
      <c r="D113" s="12"/>
      <c r="E113" s="12"/>
      <c r="F113" s="12"/>
      <c r="G113" s="12"/>
      <c r="H113" s="12">
        <v>144</v>
      </c>
      <c r="I113" s="12">
        <v>159</v>
      </c>
      <c r="J113" s="12">
        <v>241</v>
      </c>
      <c r="K113" s="12">
        <v>291</v>
      </c>
      <c r="L113" s="12" t="s">
        <v>322</v>
      </c>
      <c r="M113" s="12"/>
      <c r="N113" s="12"/>
      <c r="O113" s="12"/>
      <c r="P113" s="12"/>
      <c r="Q113" s="12"/>
      <c r="R113" s="218">
        <v>32.299999999999997</v>
      </c>
      <c r="S113" s="2"/>
    </row>
    <row r="114" spans="1:19" ht="15.75" customHeight="1">
      <c r="A114" s="229">
        <v>21</v>
      </c>
      <c r="B114" s="74" t="s">
        <v>221</v>
      </c>
      <c r="C114" s="234"/>
      <c r="D114" s="234"/>
      <c r="E114" s="234"/>
      <c r="F114" s="234"/>
      <c r="G114" s="234"/>
      <c r="H114" s="234"/>
      <c r="I114" s="234"/>
      <c r="J114" s="234"/>
      <c r="K114" s="234"/>
      <c r="L114" s="234"/>
      <c r="M114" s="234"/>
      <c r="N114" s="234"/>
      <c r="O114" s="234"/>
      <c r="P114" s="234"/>
      <c r="Q114" s="234"/>
      <c r="R114" s="235"/>
      <c r="S114" s="2"/>
    </row>
    <row r="115" spans="1:19" ht="15.75" customHeight="1">
      <c r="A115" s="228">
        <v>21</v>
      </c>
      <c r="B115" s="75" t="s">
        <v>222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36"/>
      <c r="S115" s="2"/>
    </row>
    <row r="116" spans="1:19" ht="15.75" customHeight="1">
      <c r="A116" s="228">
        <v>21</v>
      </c>
      <c r="B116" s="75" t="s">
        <v>223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36"/>
      <c r="S116" s="2"/>
    </row>
    <row r="117" spans="1:19" ht="15.75" customHeight="1">
      <c r="A117" s="228">
        <v>21</v>
      </c>
      <c r="B117" s="75" t="s">
        <v>224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36"/>
      <c r="S117" s="2"/>
    </row>
    <row r="118" spans="1:19" ht="15.75" customHeight="1">
      <c r="A118" s="228">
        <v>21</v>
      </c>
      <c r="B118" s="75" t="s">
        <v>229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36"/>
      <c r="S118" s="2"/>
    </row>
    <row r="119" spans="1:19" ht="15.75" customHeight="1">
      <c r="A119" s="228">
        <v>21</v>
      </c>
      <c r="B119" s="75" t="s">
        <v>243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36"/>
      <c r="S119" s="2"/>
    </row>
    <row r="120" spans="1:19" ht="15.75" customHeight="1">
      <c r="A120" s="228">
        <v>21</v>
      </c>
      <c r="B120" s="75" t="s">
        <v>244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36"/>
      <c r="S120" s="2"/>
    </row>
    <row r="121" spans="1:19" ht="15.75" customHeight="1">
      <c r="A121" s="228">
        <v>21</v>
      </c>
      <c r="B121" s="75" t="s">
        <v>245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36"/>
      <c r="S121" s="2"/>
    </row>
    <row r="122" spans="1:19" ht="15.75" customHeight="1">
      <c r="A122" s="229">
        <v>21</v>
      </c>
      <c r="B122" s="74" t="s">
        <v>225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36"/>
      <c r="S122" s="2"/>
    </row>
    <row r="123" spans="1:19" ht="15.75" customHeight="1">
      <c r="A123" s="228">
        <v>21</v>
      </c>
      <c r="B123" s="75" t="s">
        <v>226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36"/>
      <c r="S123" s="2"/>
    </row>
    <row r="124" spans="1:19" ht="15.75" customHeight="1">
      <c r="A124" s="228">
        <v>21</v>
      </c>
      <c r="B124" s="75" t="s">
        <v>227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36"/>
      <c r="S124" s="2"/>
    </row>
    <row r="125" spans="1:19" ht="15.75" customHeight="1">
      <c r="A125" s="228">
        <v>21</v>
      </c>
      <c r="B125" s="75" t="s">
        <v>228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36"/>
      <c r="S125" s="2"/>
    </row>
    <row r="126" spans="1:19" ht="15.75" customHeight="1">
      <c r="A126" s="228">
        <v>21</v>
      </c>
      <c r="B126" s="75" t="s">
        <v>230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36"/>
      <c r="S126" s="2"/>
    </row>
    <row r="127" spans="1:19" ht="15.75" customHeight="1">
      <c r="A127" s="228">
        <v>21</v>
      </c>
      <c r="B127" s="75" t="s">
        <v>246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36"/>
      <c r="S127" s="2"/>
    </row>
    <row r="128" spans="1:19" ht="15.75" customHeight="1">
      <c r="A128" s="228">
        <v>21</v>
      </c>
      <c r="B128" s="75" t="s">
        <v>247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36"/>
      <c r="S128" s="2"/>
    </row>
    <row r="129" spans="1:19" ht="15.75" customHeight="1">
      <c r="A129" s="230">
        <v>21</v>
      </c>
      <c r="B129" s="231" t="s">
        <v>248</v>
      </c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237"/>
      <c r="S129" s="2"/>
    </row>
    <row r="130" spans="1:19" ht="15.75" customHeight="1">
      <c r="A130" s="228">
        <v>22</v>
      </c>
      <c r="B130" s="75">
        <v>1</v>
      </c>
      <c r="C130" s="2"/>
      <c r="D130" s="2"/>
      <c r="E130" s="2" t="s">
        <v>336</v>
      </c>
      <c r="F130" s="2"/>
      <c r="G130" s="2"/>
      <c r="H130" s="2" t="s">
        <v>337</v>
      </c>
      <c r="I130" s="2"/>
      <c r="J130" s="2"/>
      <c r="K130" s="2"/>
      <c r="L130" s="285" t="s">
        <v>322</v>
      </c>
      <c r="M130" s="2"/>
      <c r="N130" s="2"/>
      <c r="O130" s="2"/>
      <c r="P130" s="2"/>
      <c r="Q130" s="2"/>
      <c r="R130" s="236" t="s">
        <v>338</v>
      </c>
      <c r="S130" s="2"/>
    </row>
    <row r="131" spans="1:19" ht="15.75" customHeight="1">
      <c r="A131" s="228">
        <v>22</v>
      </c>
      <c r="B131" s="75">
        <v>2</v>
      </c>
      <c r="C131" s="2"/>
      <c r="D131" s="2"/>
      <c r="E131" s="2" t="s">
        <v>339</v>
      </c>
      <c r="F131" s="2"/>
      <c r="G131" s="2"/>
      <c r="H131" s="2" t="s">
        <v>340</v>
      </c>
      <c r="I131" s="2"/>
      <c r="J131" s="2"/>
      <c r="K131" s="2"/>
      <c r="L131" s="87" t="s">
        <v>322</v>
      </c>
      <c r="M131" s="2"/>
      <c r="N131" s="2"/>
      <c r="O131" s="2"/>
      <c r="P131" s="2"/>
      <c r="Q131" s="2"/>
      <c r="R131" s="236" t="s">
        <v>341</v>
      </c>
      <c r="S131" s="2"/>
    </row>
    <row r="132" spans="1:19" ht="15.75" customHeight="1">
      <c r="A132" s="228">
        <v>22</v>
      </c>
      <c r="B132" s="75">
        <v>3</v>
      </c>
      <c r="C132" s="2"/>
      <c r="D132" s="2"/>
      <c r="E132" s="2" t="s">
        <v>342</v>
      </c>
      <c r="F132" s="2"/>
      <c r="G132" s="2"/>
      <c r="H132" s="2" t="s">
        <v>343</v>
      </c>
      <c r="I132" s="2"/>
      <c r="J132" s="2"/>
      <c r="K132" s="2"/>
      <c r="L132" s="87" t="s">
        <v>322</v>
      </c>
      <c r="M132" s="2"/>
      <c r="N132" s="2"/>
      <c r="O132" s="2"/>
      <c r="P132" s="2"/>
      <c r="Q132" s="2"/>
      <c r="R132" s="236" t="s">
        <v>344</v>
      </c>
      <c r="S132" s="2"/>
    </row>
    <row r="133" spans="1:19" ht="15.75" customHeight="1">
      <c r="A133" s="228">
        <v>22</v>
      </c>
      <c r="B133" s="75">
        <v>4</v>
      </c>
      <c r="C133" s="2"/>
      <c r="D133" s="2"/>
      <c r="E133" s="2" t="s">
        <v>345</v>
      </c>
      <c r="F133" s="2"/>
      <c r="G133" s="2"/>
      <c r="H133" s="2" t="s">
        <v>346</v>
      </c>
      <c r="I133" s="2"/>
      <c r="J133" s="2"/>
      <c r="K133" s="2"/>
      <c r="L133" s="87" t="s">
        <v>322</v>
      </c>
      <c r="M133" s="2"/>
      <c r="N133" s="2"/>
      <c r="O133" s="2"/>
      <c r="P133" s="2"/>
      <c r="Q133" s="2"/>
      <c r="R133" s="236" t="s">
        <v>347</v>
      </c>
      <c r="S133" s="2"/>
    </row>
    <row r="134" spans="1:19" ht="15.75" customHeight="1">
      <c r="A134" s="228">
        <v>22</v>
      </c>
      <c r="B134" s="75">
        <v>5</v>
      </c>
      <c r="C134" s="2"/>
      <c r="D134" s="2"/>
      <c r="E134" s="2" t="s">
        <v>348</v>
      </c>
      <c r="F134" s="2"/>
      <c r="G134" s="2"/>
      <c r="H134" s="2" t="s">
        <v>349</v>
      </c>
      <c r="I134" s="2"/>
      <c r="J134" s="2"/>
      <c r="K134" s="2"/>
      <c r="L134" s="87" t="s">
        <v>322</v>
      </c>
      <c r="M134" s="2"/>
      <c r="N134" s="2"/>
      <c r="O134" s="2"/>
      <c r="P134" s="2"/>
      <c r="Q134" s="2"/>
      <c r="R134" s="236" t="s">
        <v>350</v>
      </c>
      <c r="S134" s="2"/>
    </row>
    <row r="135" spans="1:19" ht="15.75" customHeight="1">
      <c r="A135" s="228">
        <v>22</v>
      </c>
      <c r="B135" s="75">
        <v>6</v>
      </c>
      <c r="C135" s="2"/>
      <c r="D135" s="2"/>
      <c r="E135" s="2" t="s">
        <v>351</v>
      </c>
      <c r="F135" s="2"/>
      <c r="G135" s="2"/>
      <c r="H135" s="2" t="s">
        <v>352</v>
      </c>
      <c r="I135" s="2"/>
      <c r="J135" s="2"/>
      <c r="K135" s="2"/>
      <c r="L135" s="87" t="s">
        <v>322</v>
      </c>
      <c r="M135" s="2"/>
      <c r="N135" s="2"/>
      <c r="O135" s="2"/>
      <c r="P135" s="2"/>
      <c r="Q135" s="2"/>
      <c r="R135" s="236" t="s">
        <v>353</v>
      </c>
      <c r="S135" s="2"/>
    </row>
    <row r="136" spans="1:19" ht="15.75" customHeight="1">
      <c r="A136" s="228">
        <v>22</v>
      </c>
      <c r="B136" s="75">
        <v>7</v>
      </c>
      <c r="C136" s="2"/>
      <c r="D136" s="2"/>
      <c r="E136" s="2" t="s">
        <v>342</v>
      </c>
      <c r="F136" s="2"/>
      <c r="G136" s="2"/>
      <c r="H136" s="2" t="s">
        <v>354</v>
      </c>
      <c r="I136" s="2"/>
      <c r="J136" s="2"/>
      <c r="K136" s="2"/>
      <c r="L136" s="87" t="s">
        <v>322</v>
      </c>
      <c r="M136" s="2"/>
      <c r="N136" s="2"/>
      <c r="O136" s="2"/>
      <c r="P136" s="2"/>
      <c r="Q136" s="2"/>
      <c r="R136" s="236" t="s">
        <v>355</v>
      </c>
      <c r="S136" s="2"/>
    </row>
    <row r="137" spans="1:19" ht="15.75" customHeight="1">
      <c r="A137" s="230">
        <v>22</v>
      </c>
      <c r="B137" s="231">
        <v>8</v>
      </c>
      <c r="C137" s="34"/>
      <c r="D137" s="34"/>
      <c r="E137" s="34" t="s">
        <v>356</v>
      </c>
      <c r="F137" s="34"/>
      <c r="G137" s="34"/>
      <c r="H137" s="34" t="s">
        <v>357</v>
      </c>
      <c r="I137" s="34"/>
      <c r="J137" s="34"/>
      <c r="K137" s="34"/>
      <c r="L137" s="89" t="s">
        <v>322</v>
      </c>
      <c r="M137" s="34"/>
      <c r="N137" s="34"/>
      <c r="O137" s="34"/>
      <c r="P137" s="34"/>
      <c r="Q137" s="34"/>
      <c r="R137" s="237" t="s">
        <v>358</v>
      </c>
      <c r="S137" s="2"/>
    </row>
    <row r="138" spans="1:19" ht="15.75" customHeight="1">
      <c r="A138" s="229">
        <v>23</v>
      </c>
      <c r="B138" s="74">
        <v>1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</row>
    <row r="139" spans="1:19" ht="15.75" customHeight="1">
      <c r="A139" s="228">
        <v>23</v>
      </c>
      <c r="B139" s="75">
        <v>2</v>
      </c>
    </row>
    <row r="140" spans="1:19" ht="15.75" customHeight="1">
      <c r="A140" s="228">
        <v>23</v>
      </c>
      <c r="B140" s="75">
        <v>3</v>
      </c>
    </row>
    <row r="141" spans="1:19" ht="15.75" customHeight="1">
      <c r="A141" s="228">
        <v>23</v>
      </c>
      <c r="B141" s="75">
        <v>4</v>
      </c>
    </row>
    <row r="142" spans="1:19" ht="15.75" customHeight="1">
      <c r="A142" s="230">
        <v>23</v>
      </c>
      <c r="B142" s="231">
        <v>5</v>
      </c>
    </row>
    <row r="143" spans="1:19" ht="15.75" customHeight="1">
      <c r="A143" s="238">
        <v>24</v>
      </c>
      <c r="B143" s="239">
        <v>1</v>
      </c>
    </row>
    <row r="144" spans="1:19" ht="15.75" customHeight="1">
      <c r="A144" s="238">
        <v>24</v>
      </c>
      <c r="B144" s="239">
        <v>2</v>
      </c>
    </row>
    <row r="145" spans="1:19" ht="15.75" customHeight="1">
      <c r="A145" s="238">
        <v>24</v>
      </c>
      <c r="B145" s="239">
        <v>3</v>
      </c>
    </row>
    <row r="146" spans="1:19" ht="15.75" customHeight="1">
      <c r="A146" s="238">
        <v>24</v>
      </c>
      <c r="B146" s="239">
        <v>4</v>
      </c>
    </row>
    <row r="147" spans="1:19" ht="15.75" customHeight="1">
      <c r="A147" s="238">
        <v>24</v>
      </c>
      <c r="B147" s="239">
        <v>5</v>
      </c>
    </row>
    <row r="148" spans="1:19" ht="15.75" customHeight="1">
      <c r="A148" s="238">
        <v>24</v>
      </c>
      <c r="B148" s="239">
        <v>6</v>
      </c>
    </row>
    <row r="149" spans="1:19" ht="15.75" customHeight="1">
      <c r="A149" s="238">
        <v>24</v>
      </c>
      <c r="B149" s="239">
        <v>7</v>
      </c>
    </row>
    <row r="150" spans="1:19" ht="15.75" customHeight="1">
      <c r="A150" s="229">
        <v>25</v>
      </c>
      <c r="B150" s="74">
        <v>1</v>
      </c>
    </row>
    <row r="151" spans="1:19" ht="15.75" customHeight="1">
      <c r="A151" s="228">
        <v>25</v>
      </c>
      <c r="B151" s="75">
        <v>2</v>
      </c>
    </row>
    <row r="152" spans="1:19" ht="15.75" customHeight="1">
      <c r="A152" s="228">
        <v>25</v>
      </c>
      <c r="B152" s="75">
        <v>3</v>
      </c>
    </row>
    <row r="153" spans="1:19" ht="15.75" customHeight="1">
      <c r="A153" s="230">
        <v>25</v>
      </c>
      <c r="B153" s="231">
        <v>4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</row>
    <row r="154" spans="1:19" ht="15.75" customHeight="1">
      <c r="A154" s="228">
        <v>26</v>
      </c>
      <c r="B154" s="200" t="s">
        <v>221</v>
      </c>
      <c r="C154" s="234"/>
      <c r="D154" s="234"/>
      <c r="E154" s="227">
        <v>74.400000000000006</v>
      </c>
      <c r="F154" s="234"/>
      <c r="G154" s="234"/>
      <c r="H154" s="227">
        <v>166.6</v>
      </c>
      <c r="I154" s="227">
        <v>173.8</v>
      </c>
      <c r="J154" s="227">
        <v>242.6</v>
      </c>
      <c r="K154" s="234"/>
      <c r="L154" s="285" t="s">
        <v>322</v>
      </c>
      <c r="M154" s="234"/>
      <c r="N154" s="234"/>
      <c r="O154" s="234"/>
      <c r="P154" s="234"/>
      <c r="Q154" s="234"/>
      <c r="R154" s="235"/>
    </row>
    <row r="155" spans="1:19" ht="15.75" customHeight="1">
      <c r="A155" s="228">
        <v>26</v>
      </c>
      <c r="B155" s="201" t="s">
        <v>222</v>
      </c>
      <c r="E155" s="12">
        <v>84.7</v>
      </c>
      <c r="H155" s="12">
        <v>166.6</v>
      </c>
      <c r="I155" s="12">
        <v>172.8</v>
      </c>
      <c r="J155" s="12">
        <v>269</v>
      </c>
      <c r="L155" s="87" t="s">
        <v>322</v>
      </c>
      <c r="R155" s="236"/>
    </row>
    <row r="156" spans="1:19" ht="15.75" customHeight="1">
      <c r="A156" s="228">
        <v>26</v>
      </c>
      <c r="B156" s="201" t="s">
        <v>223</v>
      </c>
      <c r="E156" s="12">
        <v>85.05</v>
      </c>
      <c r="H156" s="12">
        <v>167.5</v>
      </c>
      <c r="I156" s="12">
        <v>173.2</v>
      </c>
      <c r="J156" s="12">
        <v>269</v>
      </c>
      <c r="L156" s="87" t="s">
        <v>322</v>
      </c>
      <c r="R156" s="236"/>
    </row>
    <row r="157" spans="1:19" ht="15.75" customHeight="1">
      <c r="A157" s="228">
        <v>26</v>
      </c>
      <c r="B157" s="201" t="s">
        <v>224</v>
      </c>
      <c r="C157" s="2"/>
      <c r="D157" s="2"/>
      <c r="E157" s="12">
        <v>88</v>
      </c>
      <c r="F157" s="2"/>
      <c r="G157" s="2"/>
      <c r="H157" s="12">
        <v>167.9</v>
      </c>
      <c r="I157" s="12">
        <v>174.8</v>
      </c>
      <c r="J157" s="12">
        <v>269</v>
      </c>
      <c r="K157" s="2"/>
      <c r="L157" s="87" t="s">
        <v>322</v>
      </c>
      <c r="M157" s="2"/>
      <c r="N157" s="2"/>
      <c r="O157" s="2"/>
      <c r="P157" s="2"/>
      <c r="Q157" s="2"/>
      <c r="R157" s="236"/>
    </row>
    <row r="158" spans="1:19" ht="15.75" customHeight="1">
      <c r="A158" s="228">
        <v>26</v>
      </c>
      <c r="B158" s="201" t="s">
        <v>229</v>
      </c>
      <c r="C158" s="2"/>
      <c r="D158" s="2"/>
      <c r="E158" s="12">
        <v>89.4</v>
      </c>
      <c r="F158" s="2"/>
      <c r="G158" s="2"/>
      <c r="H158" s="12">
        <v>167.5</v>
      </c>
      <c r="I158" s="12">
        <v>173.5</v>
      </c>
      <c r="J158" s="12">
        <v>269</v>
      </c>
      <c r="K158" s="2"/>
      <c r="L158" s="87" t="s">
        <v>322</v>
      </c>
      <c r="M158" s="2"/>
      <c r="N158" s="2"/>
      <c r="O158" s="2"/>
      <c r="P158" s="2"/>
      <c r="Q158" s="2"/>
      <c r="R158" s="236"/>
      <c r="S158" s="2"/>
    </row>
    <row r="159" spans="1:19" ht="15.75" customHeight="1">
      <c r="A159" s="228">
        <v>26</v>
      </c>
      <c r="B159" s="201" t="s">
        <v>225</v>
      </c>
      <c r="C159" s="2"/>
      <c r="D159" s="2"/>
      <c r="E159" s="12">
        <v>74.400000000000006</v>
      </c>
      <c r="F159" s="2"/>
      <c r="G159" s="2"/>
      <c r="H159" s="12">
        <v>166.6</v>
      </c>
      <c r="I159" s="12">
        <v>173.8</v>
      </c>
      <c r="J159" s="12">
        <v>242.6</v>
      </c>
      <c r="K159" s="2"/>
      <c r="L159" s="87" t="s">
        <v>322</v>
      </c>
      <c r="M159" s="2"/>
      <c r="N159" s="2"/>
      <c r="O159" s="2"/>
      <c r="P159" s="2"/>
      <c r="Q159" s="2"/>
      <c r="R159" s="236"/>
    </row>
    <row r="160" spans="1:19" ht="15.75" customHeight="1">
      <c r="A160" s="228">
        <v>26</v>
      </c>
      <c r="B160" s="201" t="s">
        <v>226</v>
      </c>
      <c r="E160" s="12">
        <v>84.7</v>
      </c>
      <c r="H160" s="12">
        <v>166.6</v>
      </c>
      <c r="I160" s="12">
        <v>172.8</v>
      </c>
      <c r="J160" s="12">
        <v>269</v>
      </c>
      <c r="L160" s="87" t="s">
        <v>322</v>
      </c>
      <c r="R160" s="236"/>
    </row>
    <row r="161" spans="1:18" ht="15.75" customHeight="1">
      <c r="A161" s="228">
        <v>26</v>
      </c>
      <c r="B161" s="201" t="s">
        <v>227</v>
      </c>
      <c r="E161" s="12">
        <v>85.05</v>
      </c>
      <c r="H161" s="12">
        <v>167.5</v>
      </c>
      <c r="I161" s="12">
        <v>173.2</v>
      </c>
      <c r="J161" s="12">
        <v>269</v>
      </c>
      <c r="L161" s="87" t="s">
        <v>322</v>
      </c>
      <c r="R161" s="236"/>
    </row>
    <row r="162" spans="1:18" ht="15.75" customHeight="1">
      <c r="A162" s="228">
        <v>26</v>
      </c>
      <c r="B162" s="201" t="s">
        <v>228</v>
      </c>
      <c r="E162" s="12">
        <v>88</v>
      </c>
      <c r="H162" s="12">
        <v>167.9</v>
      </c>
      <c r="I162" s="12">
        <v>174.8</v>
      </c>
      <c r="J162" s="12">
        <v>269</v>
      </c>
      <c r="L162" s="87" t="s">
        <v>322</v>
      </c>
      <c r="R162" s="236"/>
    </row>
    <row r="163" spans="1:18" ht="15.75" customHeight="1">
      <c r="A163" s="230">
        <v>26</v>
      </c>
      <c r="B163" s="231" t="s">
        <v>230</v>
      </c>
      <c r="C163" s="34"/>
      <c r="D163" s="34"/>
      <c r="E163" s="27">
        <v>89.4</v>
      </c>
      <c r="F163" s="34"/>
      <c r="G163" s="34"/>
      <c r="H163" s="27">
        <v>167.5</v>
      </c>
      <c r="I163" s="27">
        <v>173.5</v>
      </c>
      <c r="J163" s="27">
        <v>269</v>
      </c>
      <c r="K163" s="34"/>
      <c r="L163" s="89" t="s">
        <v>322</v>
      </c>
      <c r="M163" s="34"/>
      <c r="N163" s="34"/>
      <c r="O163" s="34"/>
      <c r="P163" s="34"/>
      <c r="Q163" s="34"/>
      <c r="R163" s="237"/>
    </row>
    <row r="164" spans="1:18" ht="15.75" customHeight="1">
      <c r="A164" s="228">
        <v>27</v>
      </c>
      <c r="B164" s="200">
        <v>1</v>
      </c>
      <c r="C164" s="234"/>
      <c r="D164" s="234"/>
      <c r="E164" s="227">
        <v>116.9</v>
      </c>
      <c r="F164" s="227"/>
      <c r="G164" s="227"/>
      <c r="H164" s="227">
        <v>164.2</v>
      </c>
      <c r="I164" s="227"/>
      <c r="J164" s="227">
        <v>195.6</v>
      </c>
      <c r="K164" s="227">
        <v>272.3</v>
      </c>
      <c r="L164" s="285" t="s">
        <v>322</v>
      </c>
      <c r="M164" s="227">
        <v>81.099999999999994</v>
      </c>
      <c r="N164" s="227"/>
      <c r="O164" s="227">
        <v>76.599999999999994</v>
      </c>
      <c r="P164" s="227"/>
      <c r="Q164" s="285" t="s">
        <v>323</v>
      </c>
      <c r="R164" s="215">
        <v>55.5</v>
      </c>
    </row>
    <row r="165" spans="1:18" ht="15.75" customHeight="1">
      <c r="A165" s="228">
        <v>27</v>
      </c>
      <c r="B165" s="201">
        <v>2</v>
      </c>
      <c r="E165" s="12">
        <v>115.5</v>
      </c>
      <c r="F165" s="12"/>
      <c r="G165" s="12"/>
      <c r="H165" s="12">
        <v>163</v>
      </c>
      <c r="I165" s="12"/>
      <c r="J165" s="12">
        <v>195.7</v>
      </c>
      <c r="K165" s="12">
        <v>270.60000000000002</v>
      </c>
      <c r="L165" s="87" t="s">
        <v>322</v>
      </c>
      <c r="M165" s="12">
        <v>78.400000000000006</v>
      </c>
      <c r="N165" s="12"/>
      <c r="O165" s="12">
        <v>74</v>
      </c>
      <c r="P165" s="12"/>
      <c r="Q165" s="87" t="s">
        <v>323</v>
      </c>
      <c r="R165" s="218">
        <v>54.8</v>
      </c>
    </row>
    <row r="166" spans="1:18" ht="15.75" customHeight="1">
      <c r="A166" s="228">
        <v>27</v>
      </c>
      <c r="B166" s="201">
        <v>3</v>
      </c>
      <c r="E166" s="12">
        <v>118.2</v>
      </c>
      <c r="F166" s="12"/>
      <c r="G166" s="12"/>
      <c r="H166" s="12">
        <v>163.30000000000001</v>
      </c>
      <c r="I166" s="12"/>
      <c r="J166" s="12">
        <v>200.9</v>
      </c>
      <c r="K166" s="12">
        <v>262.10000000000002</v>
      </c>
      <c r="L166" s="87" t="s">
        <v>322</v>
      </c>
      <c r="M166" s="12">
        <v>81.5</v>
      </c>
      <c r="N166" s="12"/>
      <c r="O166" s="12">
        <v>77.099999999999994</v>
      </c>
      <c r="P166" s="12"/>
      <c r="Q166" s="87" t="s">
        <v>323</v>
      </c>
      <c r="R166" s="218">
        <v>57</v>
      </c>
    </row>
    <row r="167" spans="1:18" ht="15.75" customHeight="1">
      <c r="A167" s="196">
        <v>27</v>
      </c>
      <c r="B167" s="201">
        <v>4</v>
      </c>
      <c r="C167" s="34"/>
      <c r="D167" s="34"/>
      <c r="E167" s="27">
        <v>118.2</v>
      </c>
      <c r="F167" s="27"/>
      <c r="G167" s="27"/>
      <c r="H167" s="27">
        <v>163.6</v>
      </c>
      <c r="I167" s="27"/>
      <c r="J167" s="27">
        <v>206.8</v>
      </c>
      <c r="K167" s="27">
        <v>274.3</v>
      </c>
      <c r="L167" s="89" t="s">
        <v>322</v>
      </c>
      <c r="M167" s="27">
        <v>81.5</v>
      </c>
      <c r="N167" s="27"/>
      <c r="O167" s="27">
        <v>76.900000000000006</v>
      </c>
      <c r="P167" s="27"/>
      <c r="Q167" s="89" t="s">
        <v>323</v>
      </c>
      <c r="R167" s="221">
        <v>57</v>
      </c>
    </row>
    <row r="168" spans="1:18" ht="15.75" customHeight="1">
      <c r="A168" s="229">
        <v>28</v>
      </c>
      <c r="B168" s="74">
        <v>1</v>
      </c>
    </row>
    <row r="169" spans="1:18" ht="15.75" customHeight="1">
      <c r="A169" s="228">
        <v>28</v>
      </c>
      <c r="B169" s="75">
        <v>2</v>
      </c>
    </row>
    <row r="170" spans="1:18" ht="15.75" customHeight="1">
      <c r="A170" s="228">
        <v>28</v>
      </c>
      <c r="B170" s="75">
        <v>3</v>
      </c>
    </row>
    <row r="171" spans="1:18" ht="15.75" customHeight="1">
      <c r="A171" s="228">
        <v>28</v>
      </c>
      <c r="B171" s="75">
        <v>4</v>
      </c>
    </row>
    <row r="172" spans="1:18" ht="15.75" customHeight="1">
      <c r="A172" s="228">
        <v>28</v>
      </c>
      <c r="B172" s="75">
        <v>5</v>
      </c>
    </row>
    <row r="173" spans="1:18" ht="15.75" customHeight="1">
      <c r="A173" s="228">
        <v>28</v>
      </c>
      <c r="B173" s="75">
        <v>6</v>
      </c>
    </row>
    <row r="174" spans="1:18" ht="15.75" customHeight="1">
      <c r="A174" s="229">
        <v>29</v>
      </c>
      <c r="B174" s="74">
        <v>1</v>
      </c>
    </row>
    <row r="175" spans="1:18" ht="15.75" customHeight="1">
      <c r="A175" s="228">
        <v>29</v>
      </c>
      <c r="B175" s="75">
        <v>2</v>
      </c>
    </row>
    <row r="176" spans="1:18" ht="15.75" customHeight="1">
      <c r="A176" s="228">
        <v>29</v>
      </c>
      <c r="B176" s="75">
        <v>3</v>
      </c>
    </row>
    <row r="177" spans="1:18" ht="15.75" customHeight="1">
      <c r="A177" s="228">
        <v>29</v>
      </c>
      <c r="B177" s="75">
        <v>4</v>
      </c>
    </row>
    <row r="178" spans="1:18" ht="15.75" customHeight="1">
      <c r="A178" s="228">
        <v>29</v>
      </c>
      <c r="B178" s="75">
        <v>5</v>
      </c>
    </row>
    <row r="179" spans="1:18" ht="15.75" customHeight="1">
      <c r="A179" s="229">
        <v>30</v>
      </c>
      <c r="B179" s="74">
        <v>1</v>
      </c>
    </row>
    <row r="180" spans="1:18" ht="15.75" customHeight="1">
      <c r="A180" s="228">
        <v>30</v>
      </c>
      <c r="B180" s="75">
        <v>2</v>
      </c>
    </row>
    <row r="181" spans="1:18" ht="15.75" customHeight="1">
      <c r="A181" s="228">
        <v>30</v>
      </c>
      <c r="B181" s="75">
        <v>3</v>
      </c>
    </row>
    <row r="182" spans="1:18" ht="15.75" customHeight="1">
      <c r="A182" s="229">
        <v>31</v>
      </c>
      <c r="B182" s="74">
        <v>1</v>
      </c>
    </row>
    <row r="183" spans="1:18" ht="15.75" customHeight="1">
      <c r="A183" s="228">
        <v>31</v>
      </c>
      <c r="B183" s="75">
        <v>2</v>
      </c>
    </row>
    <row r="184" spans="1:18" ht="15.75" customHeight="1">
      <c r="A184" s="228">
        <v>31</v>
      </c>
      <c r="B184" s="75">
        <v>3</v>
      </c>
    </row>
    <row r="185" spans="1:18" ht="15.75" customHeight="1">
      <c r="A185" s="228">
        <v>31</v>
      </c>
      <c r="B185" s="75">
        <v>4</v>
      </c>
    </row>
    <row r="186" spans="1:18" ht="15.75" customHeight="1">
      <c r="A186" s="230">
        <v>31</v>
      </c>
      <c r="B186" s="231">
        <v>5</v>
      </c>
    </row>
    <row r="187" spans="1:18" ht="15.75" customHeight="1">
      <c r="A187" s="199">
        <v>32</v>
      </c>
      <c r="B187" s="200">
        <v>1</v>
      </c>
      <c r="C187" s="227"/>
      <c r="D187" s="227"/>
      <c r="E187" s="227">
        <v>54.5</v>
      </c>
      <c r="F187" s="227"/>
      <c r="G187" s="227"/>
      <c r="H187" s="227">
        <v>168.7</v>
      </c>
      <c r="I187" s="227"/>
      <c r="J187" s="227"/>
      <c r="K187" s="227">
        <v>268</v>
      </c>
      <c r="L187" s="285" t="s">
        <v>322</v>
      </c>
      <c r="M187" s="227">
        <v>80</v>
      </c>
      <c r="N187" s="227"/>
      <c r="O187" s="227"/>
      <c r="P187" s="227"/>
      <c r="Q187" s="285" t="s">
        <v>323</v>
      </c>
      <c r="R187" s="215">
        <v>54.8</v>
      </c>
    </row>
    <row r="188" spans="1:18" ht="15.75" customHeight="1">
      <c r="A188" s="197">
        <v>32</v>
      </c>
      <c r="B188" s="202">
        <v>2</v>
      </c>
      <c r="C188" s="27"/>
      <c r="D188" s="27"/>
      <c r="E188" s="27">
        <v>76</v>
      </c>
      <c r="F188" s="27"/>
      <c r="G188" s="27"/>
      <c r="H188" s="27">
        <v>168.7</v>
      </c>
      <c r="I188" s="27"/>
      <c r="J188" s="27"/>
      <c r="K188" s="27">
        <v>293</v>
      </c>
      <c r="L188" s="89" t="s">
        <v>322</v>
      </c>
      <c r="M188" s="27">
        <v>74.3</v>
      </c>
      <c r="N188" s="27"/>
      <c r="O188" s="27"/>
      <c r="P188" s="27"/>
      <c r="Q188" s="89" t="s">
        <v>323</v>
      </c>
      <c r="R188" s="221">
        <v>53.6</v>
      </c>
    </row>
    <row r="189" spans="1:18" ht="15.75" customHeight="1">
      <c r="A189" s="229">
        <v>33</v>
      </c>
      <c r="B189" s="200">
        <v>1</v>
      </c>
      <c r="C189" s="227"/>
      <c r="D189" s="227"/>
      <c r="E189" s="227">
        <v>92.6</v>
      </c>
      <c r="F189" s="227"/>
      <c r="G189" s="227"/>
      <c r="H189" s="227">
        <v>167.1</v>
      </c>
      <c r="I189" s="227">
        <v>175.7</v>
      </c>
      <c r="J189" s="227"/>
      <c r="K189" s="227"/>
      <c r="L189" s="285" t="s">
        <v>322</v>
      </c>
      <c r="M189" s="227">
        <v>97.5</v>
      </c>
      <c r="N189" s="227"/>
      <c r="O189" s="227">
        <v>87.3</v>
      </c>
      <c r="P189" s="227"/>
      <c r="Q189" s="285" t="s">
        <v>323</v>
      </c>
      <c r="R189" s="215">
        <v>66.8</v>
      </c>
    </row>
    <row r="190" spans="1:18" ht="15.75" customHeight="1">
      <c r="A190" s="228">
        <v>33</v>
      </c>
      <c r="B190" s="201">
        <v>2</v>
      </c>
      <c r="C190" s="12"/>
      <c r="D190" s="12"/>
      <c r="E190" s="12">
        <v>80.7</v>
      </c>
      <c r="F190" s="12"/>
      <c r="G190" s="12"/>
      <c r="H190" s="12">
        <v>167.8</v>
      </c>
      <c r="I190" s="12">
        <v>175.9</v>
      </c>
      <c r="J190" s="12"/>
      <c r="K190" s="12"/>
      <c r="L190" s="87" t="s">
        <v>322</v>
      </c>
      <c r="M190" s="12">
        <v>84.5</v>
      </c>
      <c r="N190" s="12"/>
      <c r="O190" s="12">
        <v>69.2</v>
      </c>
      <c r="P190" s="12"/>
      <c r="Q190" s="87" t="s">
        <v>323</v>
      </c>
      <c r="R190" s="218">
        <v>58.5</v>
      </c>
    </row>
    <row r="191" spans="1:18" ht="15.75" customHeight="1">
      <c r="A191" s="228">
        <v>33</v>
      </c>
      <c r="B191" s="201">
        <v>3</v>
      </c>
      <c r="C191" s="12"/>
      <c r="D191" s="12"/>
      <c r="E191" s="12">
        <v>71.099999999999994</v>
      </c>
      <c r="F191" s="12"/>
      <c r="G191" s="12"/>
      <c r="H191" s="12">
        <v>163.6</v>
      </c>
      <c r="I191" s="12">
        <v>173.1</v>
      </c>
      <c r="J191" s="12"/>
      <c r="K191" s="12"/>
      <c r="L191" s="87" t="s">
        <v>322</v>
      </c>
      <c r="M191" s="12">
        <v>87.5</v>
      </c>
      <c r="N191" s="12"/>
      <c r="O191" s="12">
        <v>51.1</v>
      </c>
      <c r="P191" s="12"/>
      <c r="Q191" s="87" t="s">
        <v>323</v>
      </c>
      <c r="R191" s="218">
        <v>63.1</v>
      </c>
    </row>
    <row r="192" spans="1:18" ht="15.75" customHeight="1">
      <c r="A192" s="230">
        <v>33</v>
      </c>
      <c r="B192" s="202">
        <v>4</v>
      </c>
      <c r="C192" s="27"/>
      <c r="D192" s="27"/>
      <c r="E192" s="27">
        <v>69.5</v>
      </c>
      <c r="F192" s="27"/>
      <c r="G192" s="27"/>
      <c r="H192" s="27">
        <v>167.5</v>
      </c>
      <c r="I192" s="27">
        <v>175.4</v>
      </c>
      <c r="J192" s="27"/>
      <c r="K192" s="27"/>
      <c r="L192" s="89" t="s">
        <v>322</v>
      </c>
      <c r="M192" s="27">
        <v>72.099999999999994</v>
      </c>
      <c r="N192" s="27"/>
      <c r="O192" s="27">
        <v>53.2</v>
      </c>
      <c r="P192" s="27"/>
      <c r="Q192" s="89" t="s">
        <v>323</v>
      </c>
      <c r="R192" s="221">
        <v>61.7</v>
      </c>
    </row>
    <row r="193" spans="1:18" ht="15.75" customHeight="1">
      <c r="A193" s="203">
        <v>34</v>
      </c>
      <c r="B193" s="200">
        <v>1</v>
      </c>
      <c r="C193" s="227"/>
      <c r="D193" s="227"/>
      <c r="E193" s="227">
        <v>90.3</v>
      </c>
      <c r="F193" s="227"/>
      <c r="G193" s="227"/>
      <c r="H193" s="227">
        <v>169.6</v>
      </c>
      <c r="I193" s="227">
        <v>175.6</v>
      </c>
      <c r="J193" s="227">
        <v>287</v>
      </c>
      <c r="K193" s="227"/>
      <c r="L193" s="285" t="s">
        <v>322</v>
      </c>
      <c r="M193" s="227">
        <v>96.09</v>
      </c>
      <c r="N193" s="227"/>
      <c r="O193" s="227">
        <v>82.86</v>
      </c>
      <c r="P193" s="227"/>
      <c r="Q193" s="285" t="s">
        <v>323</v>
      </c>
      <c r="R193" s="215"/>
    </row>
    <row r="194" spans="1:18" ht="15.75" customHeight="1">
      <c r="A194" s="204">
        <v>34</v>
      </c>
      <c r="B194" s="201">
        <v>2</v>
      </c>
      <c r="C194" s="12"/>
      <c r="D194" s="12"/>
      <c r="E194" s="12">
        <v>92.5</v>
      </c>
      <c r="F194" s="12"/>
      <c r="G194" s="12"/>
      <c r="H194" s="12">
        <v>170</v>
      </c>
      <c r="I194" s="12">
        <v>175.7</v>
      </c>
      <c r="J194" s="12">
        <v>290</v>
      </c>
      <c r="K194" s="12"/>
      <c r="L194" s="87" t="s">
        <v>322</v>
      </c>
      <c r="M194" s="12">
        <v>82.42</v>
      </c>
      <c r="N194" s="12"/>
      <c r="O194" s="12">
        <v>76.52</v>
      </c>
      <c r="P194" s="12"/>
      <c r="Q194" s="87" t="s">
        <v>323</v>
      </c>
      <c r="R194" s="218"/>
    </row>
    <row r="195" spans="1:18" ht="15.75" customHeight="1">
      <c r="A195" s="204">
        <v>34</v>
      </c>
      <c r="B195" s="201">
        <v>3</v>
      </c>
      <c r="C195" s="12"/>
      <c r="D195" s="12"/>
      <c r="E195" s="12">
        <v>72.900000000000006</v>
      </c>
      <c r="F195" s="12"/>
      <c r="G195" s="12"/>
      <c r="H195" s="12">
        <v>168.2</v>
      </c>
      <c r="I195" s="12">
        <v>176</v>
      </c>
      <c r="J195" s="12">
        <v>282</v>
      </c>
      <c r="K195" s="12"/>
      <c r="L195" s="87" t="s">
        <v>322</v>
      </c>
      <c r="M195" s="12">
        <v>88.28</v>
      </c>
      <c r="N195" s="12"/>
      <c r="O195" s="12">
        <v>61.19</v>
      </c>
      <c r="P195" s="12"/>
      <c r="Q195" s="87" t="s">
        <v>323</v>
      </c>
      <c r="R195" s="218"/>
    </row>
    <row r="196" spans="1:18" ht="15.75" customHeight="1">
      <c r="A196" s="205">
        <v>34</v>
      </c>
      <c r="B196" s="202">
        <v>4</v>
      </c>
      <c r="C196" s="27"/>
      <c r="D196" s="27"/>
      <c r="E196" s="27">
        <v>80.5</v>
      </c>
      <c r="F196" s="27"/>
      <c r="G196" s="27"/>
      <c r="H196" s="27">
        <v>168</v>
      </c>
      <c r="I196" s="27">
        <v>168</v>
      </c>
      <c r="J196" s="27">
        <v>282</v>
      </c>
      <c r="K196" s="27"/>
      <c r="L196" s="89" t="s">
        <v>322</v>
      </c>
      <c r="M196" s="27">
        <v>92.73</v>
      </c>
      <c r="N196" s="27"/>
      <c r="O196" s="27">
        <v>75.73</v>
      </c>
      <c r="P196" s="27"/>
      <c r="Q196" s="89" t="s">
        <v>323</v>
      </c>
      <c r="R196" s="221"/>
    </row>
    <row r="197" spans="1:18" ht="15.75" customHeight="1">
      <c r="A197" s="229">
        <v>35</v>
      </c>
      <c r="B197" s="74">
        <v>1</v>
      </c>
    </row>
    <row r="198" spans="1:18" ht="15.75" customHeight="1">
      <c r="A198" s="228">
        <v>35</v>
      </c>
      <c r="B198" s="75">
        <v>2</v>
      </c>
    </row>
    <row r="199" spans="1:18" ht="15.75" customHeight="1">
      <c r="A199" s="228">
        <v>35</v>
      </c>
      <c r="B199" s="75">
        <v>3</v>
      </c>
    </row>
    <row r="200" spans="1:18" ht="15.75" customHeight="1">
      <c r="A200" s="230">
        <v>35</v>
      </c>
      <c r="B200" s="231">
        <v>4</v>
      </c>
    </row>
    <row r="201" spans="1:18" ht="15.75" customHeight="1">
      <c r="A201" s="233">
        <v>36</v>
      </c>
      <c r="B201" s="75">
        <v>1</v>
      </c>
    </row>
    <row r="202" spans="1:18" ht="15.75" customHeight="1">
      <c r="A202" s="233">
        <v>36</v>
      </c>
      <c r="B202" s="75">
        <v>2</v>
      </c>
    </row>
    <row r="203" spans="1:18" ht="15.75" customHeight="1">
      <c r="A203" s="233">
        <v>36</v>
      </c>
      <c r="B203" s="75">
        <v>3</v>
      </c>
    </row>
    <row r="204" spans="1:18" ht="15.75" customHeight="1">
      <c r="A204" s="241">
        <v>36</v>
      </c>
      <c r="B204" s="75">
        <v>4</v>
      </c>
    </row>
    <row r="205" spans="1:18" ht="15.75" customHeight="1">
      <c r="A205" s="233">
        <v>37</v>
      </c>
      <c r="B205" s="200">
        <v>1</v>
      </c>
      <c r="C205" s="227"/>
      <c r="D205" s="227"/>
      <c r="E205" s="227">
        <v>112.2</v>
      </c>
      <c r="F205" s="227"/>
      <c r="G205" s="227"/>
      <c r="H205" s="227">
        <v>163.80000000000001</v>
      </c>
      <c r="I205" s="227">
        <v>170.5</v>
      </c>
      <c r="J205" s="227">
        <v>191.9</v>
      </c>
      <c r="K205" s="227">
        <v>266.3</v>
      </c>
      <c r="L205" s="285" t="s">
        <v>322</v>
      </c>
      <c r="M205" s="227">
        <v>57.7</v>
      </c>
      <c r="N205" s="227">
        <v>18.399999999999999</v>
      </c>
      <c r="O205" s="227">
        <v>73.599999999999994</v>
      </c>
      <c r="P205" s="227"/>
      <c r="Q205" s="285" t="s">
        <v>323</v>
      </c>
      <c r="R205" s="215">
        <v>57.9</v>
      </c>
    </row>
    <row r="206" spans="1:18" ht="15.75" customHeight="1">
      <c r="A206" s="233">
        <v>37</v>
      </c>
      <c r="B206" s="201">
        <v>2</v>
      </c>
      <c r="C206" s="12"/>
      <c r="D206" s="12"/>
      <c r="E206" s="12">
        <v>111.8</v>
      </c>
      <c r="F206" s="12"/>
      <c r="G206" s="12"/>
      <c r="H206" s="12">
        <v>163</v>
      </c>
      <c r="I206" s="12">
        <v>170.7</v>
      </c>
      <c r="J206" s="12">
        <v>202.4</v>
      </c>
      <c r="K206" s="12">
        <v>270.7</v>
      </c>
      <c r="L206" s="87" t="s">
        <v>322</v>
      </c>
      <c r="M206" s="12">
        <v>53.2</v>
      </c>
      <c r="N206" s="12">
        <v>22.3</v>
      </c>
      <c r="O206" s="12">
        <v>73.8</v>
      </c>
      <c r="P206" s="12"/>
      <c r="Q206" s="87" t="s">
        <v>323</v>
      </c>
      <c r="R206" s="218">
        <v>57.5</v>
      </c>
    </row>
    <row r="207" spans="1:18" ht="15.75" customHeight="1">
      <c r="A207" s="233">
        <v>37</v>
      </c>
      <c r="B207" s="201">
        <v>3</v>
      </c>
      <c r="C207" s="12"/>
      <c r="D207" s="12"/>
      <c r="E207" s="12">
        <v>114.6</v>
      </c>
      <c r="F207" s="12"/>
      <c r="G207" s="12"/>
      <c r="H207" s="12">
        <v>163.6</v>
      </c>
      <c r="I207" s="12">
        <v>170.5</v>
      </c>
      <c r="J207" s="12">
        <v>192.4</v>
      </c>
      <c r="K207" s="12">
        <v>267.89999999999998</v>
      </c>
      <c r="L207" s="87" t="s">
        <v>322</v>
      </c>
      <c r="M207" s="12">
        <v>56.5</v>
      </c>
      <c r="N207" s="12">
        <v>18.2</v>
      </c>
      <c r="O207" s="12">
        <v>73.5</v>
      </c>
      <c r="P207" s="12"/>
      <c r="Q207" s="87" t="s">
        <v>323</v>
      </c>
      <c r="R207" s="218">
        <v>58</v>
      </c>
    </row>
    <row r="208" spans="1:18" ht="15.75" customHeight="1">
      <c r="A208" s="233">
        <v>37</v>
      </c>
      <c r="B208" s="201">
        <v>4</v>
      </c>
      <c r="C208" s="12"/>
      <c r="D208" s="12"/>
      <c r="E208" s="12">
        <v>115.1</v>
      </c>
      <c r="F208" s="12"/>
      <c r="G208" s="12"/>
      <c r="H208" s="12">
        <v>162.80000000000001</v>
      </c>
      <c r="I208" s="12">
        <v>170.6</v>
      </c>
      <c r="J208" s="12">
        <v>203</v>
      </c>
      <c r="K208" s="12">
        <v>270.5</v>
      </c>
      <c r="L208" s="87" t="s">
        <v>322</v>
      </c>
      <c r="M208" s="12">
        <v>50.7</v>
      </c>
      <c r="N208" s="12">
        <v>21.7</v>
      </c>
      <c r="O208" s="12">
        <v>72.099999999999994</v>
      </c>
      <c r="P208" s="12"/>
      <c r="Q208" s="87" t="s">
        <v>323</v>
      </c>
      <c r="R208" s="218">
        <v>56.2</v>
      </c>
    </row>
    <row r="209" spans="1:18" ht="15.75" customHeight="1">
      <c r="A209" s="233">
        <v>37</v>
      </c>
      <c r="B209" s="201">
        <v>5</v>
      </c>
      <c r="C209" s="12"/>
      <c r="D209" s="12"/>
      <c r="E209" s="12">
        <v>114.1</v>
      </c>
      <c r="F209" s="12"/>
      <c r="G209" s="12"/>
      <c r="H209" s="12">
        <v>164.4</v>
      </c>
      <c r="I209" s="12">
        <v>169</v>
      </c>
      <c r="J209" s="12">
        <v>192.8</v>
      </c>
      <c r="K209" s="12">
        <v>266.7</v>
      </c>
      <c r="L209" s="87" t="s">
        <v>322</v>
      </c>
      <c r="M209" s="12">
        <v>60.3</v>
      </c>
      <c r="N209" s="12">
        <v>10.9</v>
      </c>
      <c r="O209" s="12">
        <v>69.8</v>
      </c>
      <c r="P209" s="12"/>
      <c r="Q209" s="87" t="s">
        <v>323</v>
      </c>
      <c r="R209" s="218">
        <v>57</v>
      </c>
    </row>
    <row r="210" spans="1:18" ht="15.75" customHeight="1">
      <c r="A210" s="233">
        <v>37</v>
      </c>
      <c r="B210" s="201">
        <v>6</v>
      </c>
      <c r="C210" s="12"/>
      <c r="D210" s="12"/>
      <c r="E210" s="12">
        <v>114</v>
      </c>
      <c r="F210" s="12"/>
      <c r="G210" s="12"/>
      <c r="H210" s="12">
        <v>163</v>
      </c>
      <c r="I210" s="12">
        <v>170.8</v>
      </c>
      <c r="J210" s="12">
        <v>194.4</v>
      </c>
      <c r="K210" s="12">
        <v>261.5</v>
      </c>
      <c r="L210" s="87" t="s">
        <v>322</v>
      </c>
      <c r="M210" s="12">
        <v>49.7</v>
      </c>
      <c r="N210" s="12">
        <v>21.8</v>
      </c>
      <c r="O210" s="12">
        <v>71</v>
      </c>
      <c r="P210" s="12"/>
      <c r="Q210" s="87" t="s">
        <v>323</v>
      </c>
      <c r="R210" s="218">
        <v>57.3</v>
      </c>
    </row>
    <row r="211" spans="1:18" ht="15.75" customHeight="1">
      <c r="A211" s="241">
        <v>37</v>
      </c>
      <c r="B211" s="202">
        <v>7</v>
      </c>
      <c r="C211" s="27"/>
      <c r="D211" s="27"/>
      <c r="E211" s="27">
        <v>113.7</v>
      </c>
      <c r="F211" s="27"/>
      <c r="G211" s="27"/>
      <c r="H211" s="27">
        <v>162.69999999999999</v>
      </c>
      <c r="I211" s="27">
        <v>170.6</v>
      </c>
      <c r="J211" s="27">
        <v>183.5</v>
      </c>
      <c r="K211" s="27">
        <v>265</v>
      </c>
      <c r="L211" s="89" t="s">
        <v>322</v>
      </c>
      <c r="M211" s="27">
        <v>51.7</v>
      </c>
      <c r="N211" s="27">
        <v>24.8</v>
      </c>
      <c r="O211" s="27">
        <v>77.5</v>
      </c>
      <c r="P211" s="27"/>
      <c r="Q211" s="89" t="s">
        <v>323</v>
      </c>
      <c r="R211" s="221">
        <v>59.4</v>
      </c>
    </row>
    <row r="212" spans="1:18" ht="15.75" customHeight="1">
      <c r="A212" s="229">
        <v>38</v>
      </c>
      <c r="B212" s="74">
        <v>1</v>
      </c>
    </row>
    <row r="213" spans="1:18" ht="15.75" customHeight="1">
      <c r="A213" s="228">
        <v>38</v>
      </c>
      <c r="B213" s="75">
        <v>2</v>
      </c>
    </row>
    <row r="214" spans="1:18" ht="15.75" customHeight="1">
      <c r="A214" s="228">
        <v>38</v>
      </c>
      <c r="B214" s="75">
        <v>3</v>
      </c>
    </row>
    <row r="215" spans="1:18" ht="15.75" customHeight="1">
      <c r="A215" s="228">
        <v>38</v>
      </c>
      <c r="B215" s="75">
        <v>4</v>
      </c>
    </row>
    <row r="216" spans="1:18" ht="15.75" customHeight="1">
      <c r="A216" s="228">
        <v>38</v>
      </c>
      <c r="B216" s="75">
        <v>5</v>
      </c>
    </row>
    <row r="217" spans="1:18" ht="15.75" customHeight="1">
      <c r="A217" s="228">
        <v>38</v>
      </c>
      <c r="B217" s="75">
        <v>6</v>
      </c>
    </row>
    <row r="218" spans="1:18" ht="15.75" customHeight="1">
      <c r="A218" s="229">
        <v>39</v>
      </c>
      <c r="B218" s="74">
        <v>1</v>
      </c>
    </row>
    <row r="219" spans="1:18" ht="15.75" customHeight="1">
      <c r="A219" s="228">
        <v>39</v>
      </c>
      <c r="B219" s="75">
        <v>2</v>
      </c>
    </row>
    <row r="220" spans="1:18" ht="15.75" customHeight="1">
      <c r="A220" s="228">
        <v>39</v>
      </c>
      <c r="B220" s="75">
        <v>3</v>
      </c>
    </row>
    <row r="221" spans="1:18" ht="15.75" customHeight="1">
      <c r="A221" s="228">
        <v>39</v>
      </c>
      <c r="B221" s="75">
        <v>4</v>
      </c>
    </row>
    <row r="222" spans="1:18" ht="15.75" customHeight="1">
      <c r="A222" s="228">
        <v>39</v>
      </c>
      <c r="B222" s="75">
        <v>5</v>
      </c>
    </row>
    <row r="223" spans="1:18" ht="15.75" customHeight="1">
      <c r="A223" s="228">
        <v>39</v>
      </c>
      <c r="B223" s="75">
        <v>6</v>
      </c>
    </row>
    <row r="224" spans="1:18" ht="15.75" customHeight="1">
      <c r="A224" s="228">
        <v>39</v>
      </c>
      <c r="B224" s="75">
        <v>7</v>
      </c>
    </row>
    <row r="225" spans="1:19" ht="15.75" customHeight="1">
      <c r="A225" s="228">
        <v>39</v>
      </c>
      <c r="B225" s="75">
        <v>8</v>
      </c>
    </row>
    <row r="226" spans="1:19" ht="15.75" customHeight="1">
      <c r="A226" s="229">
        <v>40</v>
      </c>
      <c r="B226" s="74">
        <v>1</v>
      </c>
    </row>
    <row r="227" spans="1:19" ht="15.75" customHeight="1">
      <c r="A227" s="228">
        <v>40</v>
      </c>
      <c r="B227" s="75">
        <v>2</v>
      </c>
    </row>
    <row r="228" spans="1:19" ht="15.75" customHeight="1">
      <c r="A228" s="228">
        <v>40</v>
      </c>
      <c r="B228" s="75">
        <v>3</v>
      </c>
    </row>
    <row r="229" spans="1:19" ht="15.75" customHeight="1">
      <c r="A229" s="228">
        <v>40</v>
      </c>
      <c r="B229" s="75">
        <v>4</v>
      </c>
    </row>
    <row r="230" spans="1:19" ht="15.75" customHeight="1">
      <c r="A230" s="230">
        <v>40</v>
      </c>
      <c r="B230" s="231">
        <v>5</v>
      </c>
    </row>
    <row r="231" spans="1:19" ht="15.75" customHeight="1">
      <c r="A231" s="199">
        <v>41</v>
      </c>
      <c r="B231" s="200">
        <v>1</v>
      </c>
    </row>
    <row r="232" spans="1:19" ht="15.75" customHeight="1">
      <c r="A232" s="196">
        <v>41</v>
      </c>
      <c r="B232" s="201">
        <v>2</v>
      </c>
    </row>
    <row r="233" spans="1:19" ht="15.75" customHeight="1">
      <c r="A233" s="196">
        <v>41</v>
      </c>
      <c r="B233" s="201">
        <v>3</v>
      </c>
    </row>
    <row r="234" spans="1:19" ht="15.75" customHeight="1">
      <c r="A234" s="196">
        <v>41</v>
      </c>
      <c r="B234" s="201">
        <v>4</v>
      </c>
    </row>
    <row r="235" spans="1:19" ht="15.75" customHeight="1">
      <c r="A235" s="196">
        <v>41</v>
      </c>
      <c r="B235" s="201">
        <v>5</v>
      </c>
    </row>
    <row r="236" spans="1:19" ht="15.75" customHeight="1">
      <c r="A236" s="197">
        <v>41</v>
      </c>
      <c r="B236" s="202">
        <v>6</v>
      </c>
    </row>
    <row r="237" spans="1:19" ht="15.75" customHeight="1">
      <c r="A237" s="199">
        <v>42</v>
      </c>
      <c r="B237" s="200" t="s">
        <v>221</v>
      </c>
      <c r="C237" s="227">
        <v>28</v>
      </c>
      <c r="D237" s="227"/>
      <c r="E237" s="227"/>
      <c r="F237" s="227"/>
      <c r="G237" s="227"/>
      <c r="H237" s="227">
        <v>173.1</v>
      </c>
      <c r="I237" s="227"/>
      <c r="J237" s="227">
        <v>278.7</v>
      </c>
      <c r="K237" s="227">
        <v>298.2</v>
      </c>
      <c r="L237" s="285" t="s">
        <v>322</v>
      </c>
      <c r="M237" s="227">
        <v>97.4</v>
      </c>
      <c r="N237" s="227"/>
      <c r="O237" s="227">
        <v>91</v>
      </c>
      <c r="P237" s="227"/>
      <c r="Q237" s="285" t="s">
        <v>323</v>
      </c>
      <c r="R237" s="215">
        <v>66.7</v>
      </c>
    </row>
    <row r="238" spans="1:19" ht="15.75" customHeight="1">
      <c r="A238" s="196">
        <v>42</v>
      </c>
      <c r="B238" s="201" t="s">
        <v>222</v>
      </c>
      <c r="C238" s="12">
        <v>-14</v>
      </c>
      <c r="D238" s="12">
        <v>28</v>
      </c>
      <c r="E238" s="12"/>
      <c r="F238" s="12"/>
      <c r="G238" s="12"/>
      <c r="H238" s="12">
        <v>171.4</v>
      </c>
      <c r="I238" s="12"/>
      <c r="J238" s="12">
        <v>279.5</v>
      </c>
      <c r="K238" s="12">
        <v>297</v>
      </c>
      <c r="L238" s="87" t="s">
        <v>322</v>
      </c>
      <c r="M238" s="12">
        <v>72.2</v>
      </c>
      <c r="N238" s="12"/>
      <c r="O238" s="12">
        <v>65.599999999999994</v>
      </c>
      <c r="P238" s="12"/>
      <c r="Q238" s="87" t="s">
        <v>323</v>
      </c>
      <c r="R238" s="218">
        <v>64.3</v>
      </c>
    </row>
    <row r="239" spans="1:19" ht="15.75" customHeight="1">
      <c r="A239" s="196">
        <v>42</v>
      </c>
      <c r="B239" s="201" t="s">
        <v>223</v>
      </c>
      <c r="C239" s="12">
        <v>-14</v>
      </c>
      <c r="D239" s="12">
        <v>28</v>
      </c>
      <c r="E239" s="12"/>
      <c r="F239" s="12"/>
      <c r="G239" s="12"/>
      <c r="H239" s="12">
        <v>171.5</v>
      </c>
      <c r="I239" s="12"/>
      <c r="J239" s="12">
        <v>279.2</v>
      </c>
      <c r="K239" s="12">
        <v>296.3</v>
      </c>
      <c r="L239" s="87" t="s">
        <v>322</v>
      </c>
      <c r="M239" s="12">
        <v>70.7</v>
      </c>
      <c r="N239" s="12"/>
      <c r="O239" s="12">
        <v>68.7</v>
      </c>
      <c r="P239" s="12"/>
      <c r="Q239" s="87" t="s">
        <v>323</v>
      </c>
      <c r="R239" s="218">
        <v>63.4</v>
      </c>
      <c r="S239" s="2"/>
    </row>
    <row r="240" spans="1:19" ht="15.75" customHeight="1">
      <c r="A240" s="196">
        <v>42</v>
      </c>
      <c r="B240" s="201" t="s">
        <v>225</v>
      </c>
      <c r="C240" s="12">
        <v>28</v>
      </c>
      <c r="D240" s="12"/>
      <c r="E240" s="12"/>
      <c r="F240" s="12"/>
      <c r="G240" s="12"/>
      <c r="H240" s="12">
        <v>173.1</v>
      </c>
      <c r="I240" s="12"/>
      <c r="J240" s="12">
        <v>278.7</v>
      </c>
      <c r="K240" s="12">
        <v>298.2</v>
      </c>
      <c r="L240" s="87" t="s">
        <v>322</v>
      </c>
      <c r="M240" s="12">
        <v>97.4</v>
      </c>
      <c r="N240" s="12"/>
      <c r="O240" s="12">
        <v>91</v>
      </c>
      <c r="P240" s="12"/>
      <c r="Q240" s="87" t="s">
        <v>323</v>
      </c>
      <c r="R240" s="218">
        <v>66.7</v>
      </c>
    </row>
    <row r="241" spans="1:18" ht="15.75" customHeight="1">
      <c r="A241" s="196">
        <v>42</v>
      </c>
      <c r="B241" s="201" t="s">
        <v>226</v>
      </c>
      <c r="C241" s="12">
        <v>-14</v>
      </c>
      <c r="D241" s="12">
        <v>28</v>
      </c>
      <c r="E241" s="12"/>
      <c r="F241" s="12"/>
      <c r="G241" s="12"/>
      <c r="H241" s="12">
        <v>171.4</v>
      </c>
      <c r="I241" s="12"/>
      <c r="J241" s="12">
        <v>279.5</v>
      </c>
      <c r="K241" s="12">
        <v>297</v>
      </c>
      <c r="L241" s="87" t="s">
        <v>322</v>
      </c>
      <c r="M241" s="12">
        <v>72.2</v>
      </c>
      <c r="N241" s="12"/>
      <c r="O241" s="12">
        <v>65.599999999999994</v>
      </c>
      <c r="P241" s="12"/>
      <c r="Q241" s="87" t="s">
        <v>323</v>
      </c>
      <c r="R241" s="218">
        <v>64.3</v>
      </c>
    </row>
    <row r="242" spans="1:18" ht="15.75" customHeight="1">
      <c r="A242" s="197">
        <v>42</v>
      </c>
      <c r="B242" s="202" t="s">
        <v>227</v>
      </c>
      <c r="C242" s="27">
        <v>-14</v>
      </c>
      <c r="D242" s="27">
        <v>28</v>
      </c>
      <c r="E242" s="27"/>
      <c r="F242" s="27"/>
      <c r="G242" s="27"/>
      <c r="H242" s="27">
        <v>171.5</v>
      </c>
      <c r="I242" s="27"/>
      <c r="J242" s="27">
        <v>279.2</v>
      </c>
      <c r="K242" s="27">
        <v>296.3</v>
      </c>
      <c r="L242" s="89" t="s">
        <v>322</v>
      </c>
      <c r="M242" s="27">
        <v>70.7</v>
      </c>
      <c r="N242" s="27"/>
      <c r="O242" s="27">
        <v>68.7</v>
      </c>
      <c r="P242" s="27"/>
      <c r="Q242" s="89" t="s">
        <v>323</v>
      </c>
      <c r="R242" s="221">
        <v>63.4</v>
      </c>
    </row>
    <row r="243" spans="1:18" ht="15.75" customHeight="1">
      <c r="A243" s="229">
        <v>43</v>
      </c>
      <c r="B243" s="74">
        <v>1</v>
      </c>
    </row>
    <row r="244" spans="1:18" ht="15.75" customHeight="1">
      <c r="A244" s="228">
        <v>43</v>
      </c>
      <c r="B244" s="75">
        <v>2</v>
      </c>
    </row>
    <row r="245" spans="1:18" ht="15.75" customHeight="1">
      <c r="A245" s="228">
        <v>43</v>
      </c>
      <c r="B245" s="75">
        <v>3</v>
      </c>
    </row>
    <row r="246" spans="1:18" ht="15.75" customHeight="1">
      <c r="A246" s="229">
        <v>44</v>
      </c>
      <c r="B246" s="74" t="s">
        <v>221</v>
      </c>
    </row>
    <row r="247" spans="1:18" ht="15.75" customHeight="1">
      <c r="A247" s="228">
        <v>44</v>
      </c>
      <c r="B247" s="75" t="s">
        <v>222</v>
      </c>
    </row>
    <row r="248" spans="1:18" ht="15.75" customHeight="1">
      <c r="A248" s="228">
        <v>44</v>
      </c>
      <c r="B248" s="75" t="s">
        <v>223</v>
      </c>
    </row>
    <row r="249" spans="1:18" ht="15.75" customHeight="1">
      <c r="A249" s="228">
        <v>44</v>
      </c>
      <c r="B249" s="75" t="s">
        <v>224</v>
      </c>
    </row>
    <row r="250" spans="1:18" ht="15.75" customHeight="1">
      <c r="A250" s="228">
        <v>44</v>
      </c>
      <c r="B250" s="75" t="s">
        <v>229</v>
      </c>
    </row>
    <row r="251" spans="1:18" ht="15.75" customHeight="1">
      <c r="A251" s="228">
        <v>44</v>
      </c>
      <c r="B251" s="75" t="s">
        <v>225</v>
      </c>
    </row>
    <row r="252" spans="1:18" ht="15.75" customHeight="1">
      <c r="A252" s="228">
        <v>44</v>
      </c>
      <c r="B252" s="75" t="s">
        <v>226</v>
      </c>
    </row>
    <row r="253" spans="1:18" ht="15.75" customHeight="1">
      <c r="A253" s="228">
        <v>44</v>
      </c>
      <c r="B253" s="75" t="s">
        <v>227</v>
      </c>
    </row>
    <row r="254" spans="1:18" ht="15.75" customHeight="1">
      <c r="A254" s="228">
        <v>44</v>
      </c>
      <c r="B254" s="75" t="s">
        <v>228</v>
      </c>
    </row>
    <row r="255" spans="1:18" ht="15.75" customHeight="1">
      <c r="A255" s="230">
        <v>44</v>
      </c>
      <c r="B255" s="231" t="s">
        <v>230</v>
      </c>
    </row>
    <row r="256" spans="1:18" ht="15.75" customHeight="1">
      <c r="A256" s="199">
        <v>45</v>
      </c>
      <c r="B256" s="200" t="s">
        <v>221</v>
      </c>
      <c r="C256" s="227">
        <v>-20.399999999999999</v>
      </c>
      <c r="D256" s="227">
        <v>5.5</v>
      </c>
      <c r="E256" s="227">
        <v>93.9</v>
      </c>
      <c r="F256" s="227"/>
      <c r="G256" s="227"/>
      <c r="H256" s="227">
        <v>174</v>
      </c>
      <c r="I256" s="227"/>
      <c r="J256" s="227"/>
      <c r="K256" s="227">
        <v>295</v>
      </c>
      <c r="L256" s="285" t="s">
        <v>322</v>
      </c>
      <c r="M256" s="227">
        <v>59.48</v>
      </c>
      <c r="N256" s="227"/>
      <c r="O256" s="227"/>
      <c r="P256" s="227"/>
      <c r="Q256" s="285" t="s">
        <v>323</v>
      </c>
      <c r="R256" s="215">
        <v>40.49</v>
      </c>
    </row>
    <row r="257" spans="1:19" ht="15.75" customHeight="1">
      <c r="A257" s="196">
        <v>45</v>
      </c>
      <c r="B257" s="201" t="s">
        <v>222</v>
      </c>
      <c r="C257" s="12">
        <v>-22</v>
      </c>
      <c r="D257" s="12">
        <v>4.4000000000000004</v>
      </c>
      <c r="E257" s="12">
        <v>89</v>
      </c>
      <c r="F257" s="12"/>
      <c r="G257" s="12"/>
      <c r="H257" s="12">
        <v>170</v>
      </c>
      <c r="I257" s="12"/>
      <c r="J257" s="12"/>
      <c r="K257" s="12">
        <v>300</v>
      </c>
      <c r="L257" s="87" t="s">
        <v>322</v>
      </c>
      <c r="M257" s="12">
        <v>21.75</v>
      </c>
      <c r="N257" s="12"/>
      <c r="O257" s="12"/>
      <c r="P257" s="12"/>
      <c r="Q257" s="87" t="s">
        <v>323</v>
      </c>
      <c r="R257" s="218">
        <v>14.55</v>
      </c>
    </row>
    <row r="258" spans="1:19" ht="15.75" customHeight="1">
      <c r="A258" s="196">
        <v>45</v>
      </c>
      <c r="B258" s="201" t="s">
        <v>223</v>
      </c>
      <c r="C258" s="12">
        <v>-24.1</v>
      </c>
      <c r="D258" s="12">
        <v>2.2000000000000002</v>
      </c>
      <c r="E258" s="12">
        <v>88.9</v>
      </c>
      <c r="F258" s="12"/>
      <c r="G258" s="12"/>
      <c r="H258" s="12">
        <v>158.1</v>
      </c>
      <c r="I258" s="12"/>
      <c r="J258" s="12"/>
      <c r="K258" s="12">
        <v>311</v>
      </c>
      <c r="L258" s="87" t="s">
        <v>322</v>
      </c>
      <c r="M258" s="12">
        <v>8.91</v>
      </c>
      <c r="N258" s="12"/>
      <c r="O258" s="12"/>
      <c r="P258" s="12"/>
      <c r="Q258" s="87" t="s">
        <v>323</v>
      </c>
      <c r="R258" s="218">
        <v>3.23</v>
      </c>
    </row>
    <row r="259" spans="1:19" ht="15.75" customHeight="1">
      <c r="A259" s="204">
        <v>45</v>
      </c>
      <c r="B259" s="201" t="s">
        <v>224</v>
      </c>
      <c r="C259" s="12">
        <v>-29.3</v>
      </c>
      <c r="D259" s="12">
        <v>0.5</v>
      </c>
      <c r="E259" s="12">
        <v>86.9</v>
      </c>
      <c r="F259" s="12"/>
      <c r="G259" s="12"/>
      <c r="H259" s="12">
        <v>151</v>
      </c>
      <c r="I259" s="12"/>
      <c r="J259" s="12"/>
      <c r="K259" s="12">
        <v>313</v>
      </c>
      <c r="L259" s="87" t="s">
        <v>322</v>
      </c>
      <c r="M259" s="12">
        <v>7.94</v>
      </c>
      <c r="N259" s="12"/>
      <c r="O259" s="12"/>
      <c r="P259" s="12"/>
      <c r="Q259" s="87" t="s">
        <v>323</v>
      </c>
      <c r="R259" s="218">
        <v>2.5</v>
      </c>
      <c r="S259" s="2"/>
    </row>
    <row r="260" spans="1:19" ht="15.75" customHeight="1">
      <c r="A260" s="196">
        <v>45</v>
      </c>
      <c r="B260" s="201" t="s">
        <v>225</v>
      </c>
      <c r="C260" s="12">
        <v>-20.399999999999999</v>
      </c>
      <c r="D260" s="12">
        <v>5.5</v>
      </c>
      <c r="E260" s="12">
        <v>93.9</v>
      </c>
      <c r="F260" s="12"/>
      <c r="G260" s="12"/>
      <c r="H260" s="12">
        <v>174</v>
      </c>
      <c r="I260" s="12"/>
      <c r="J260" s="12"/>
      <c r="K260" s="12">
        <v>295</v>
      </c>
      <c r="L260" s="87" t="s">
        <v>322</v>
      </c>
      <c r="M260" s="12">
        <v>59.48</v>
      </c>
      <c r="N260" s="12"/>
      <c r="O260" s="12"/>
      <c r="P260" s="12"/>
      <c r="Q260" s="87" t="s">
        <v>323</v>
      </c>
      <c r="R260" s="218">
        <v>40.49</v>
      </c>
      <c r="S260" s="2"/>
    </row>
    <row r="261" spans="1:19" ht="15.75" customHeight="1">
      <c r="A261" s="196">
        <v>45</v>
      </c>
      <c r="B261" s="201" t="s">
        <v>226</v>
      </c>
      <c r="C261" s="12">
        <v>-22</v>
      </c>
      <c r="D261" s="12">
        <v>4.4000000000000004</v>
      </c>
      <c r="E261" s="12">
        <v>89</v>
      </c>
      <c r="F261" s="12"/>
      <c r="G261" s="12"/>
      <c r="H261" s="12">
        <v>170</v>
      </c>
      <c r="I261" s="12"/>
      <c r="J261" s="12"/>
      <c r="K261" s="12">
        <v>300</v>
      </c>
      <c r="L261" s="87" t="s">
        <v>322</v>
      </c>
      <c r="M261" s="12">
        <v>21.75</v>
      </c>
      <c r="N261" s="12"/>
      <c r="O261" s="12"/>
      <c r="P261" s="12"/>
      <c r="Q261" s="87" t="s">
        <v>323</v>
      </c>
      <c r="R261" s="218">
        <v>14.55</v>
      </c>
    </row>
    <row r="262" spans="1:19" ht="15.75" customHeight="1">
      <c r="A262" s="196">
        <v>45</v>
      </c>
      <c r="B262" s="201" t="s">
        <v>227</v>
      </c>
      <c r="C262" s="12">
        <v>-24.1</v>
      </c>
      <c r="D262" s="12">
        <v>2.2000000000000002</v>
      </c>
      <c r="E262" s="12">
        <v>88.9</v>
      </c>
      <c r="F262" s="12"/>
      <c r="G262" s="12"/>
      <c r="H262" s="12">
        <v>158.1</v>
      </c>
      <c r="I262" s="12"/>
      <c r="J262" s="12"/>
      <c r="K262" s="12">
        <v>311</v>
      </c>
      <c r="L262" s="87" t="s">
        <v>322</v>
      </c>
      <c r="M262" s="12">
        <v>8.91</v>
      </c>
      <c r="N262" s="12"/>
      <c r="O262" s="12"/>
      <c r="P262" s="12"/>
      <c r="Q262" s="87" t="s">
        <v>323</v>
      </c>
      <c r="R262" s="218">
        <v>3.23</v>
      </c>
    </row>
    <row r="263" spans="1:19" ht="15.75" customHeight="1">
      <c r="A263" s="205">
        <v>45</v>
      </c>
      <c r="B263" s="202" t="s">
        <v>228</v>
      </c>
      <c r="C263" s="27">
        <v>-29.3</v>
      </c>
      <c r="D263" s="27">
        <v>0.5</v>
      </c>
      <c r="E263" s="27">
        <v>86.9</v>
      </c>
      <c r="F263" s="27"/>
      <c r="G263" s="27"/>
      <c r="H263" s="27">
        <v>151</v>
      </c>
      <c r="I263" s="27"/>
      <c r="J263" s="27"/>
      <c r="K263" s="27">
        <v>313</v>
      </c>
      <c r="L263" s="89" t="s">
        <v>322</v>
      </c>
      <c r="M263" s="27">
        <v>7.94</v>
      </c>
      <c r="N263" s="27"/>
      <c r="O263" s="27"/>
      <c r="P263" s="27"/>
      <c r="Q263" s="89" t="s">
        <v>323</v>
      </c>
      <c r="R263" s="221">
        <v>2.5</v>
      </c>
    </row>
    <row r="264" spans="1:19" ht="15.75" customHeight="1">
      <c r="A264" s="199">
        <v>46</v>
      </c>
      <c r="B264" s="200">
        <v>1</v>
      </c>
      <c r="C264" s="227"/>
      <c r="D264" s="227"/>
      <c r="E264" s="227">
        <v>115.4</v>
      </c>
      <c r="F264" s="227"/>
      <c r="G264" s="227"/>
      <c r="H264" s="227">
        <v>172.4</v>
      </c>
      <c r="I264" s="227"/>
      <c r="J264" s="227"/>
      <c r="K264" s="227"/>
      <c r="L264" s="285" t="s">
        <v>322</v>
      </c>
      <c r="M264" s="227">
        <v>80.900000000000006</v>
      </c>
      <c r="N264" s="227"/>
      <c r="O264" s="227">
        <v>81.8</v>
      </c>
      <c r="P264" s="227"/>
      <c r="Q264" s="285" t="s">
        <v>323</v>
      </c>
      <c r="R264" s="215">
        <v>55.9</v>
      </c>
    </row>
    <row r="265" spans="1:19" ht="15.75" customHeight="1">
      <c r="A265" s="196">
        <v>46</v>
      </c>
      <c r="B265" s="201">
        <v>2</v>
      </c>
      <c r="C265" s="12"/>
      <c r="D265" s="12"/>
      <c r="E265" s="12">
        <v>120.4</v>
      </c>
      <c r="F265" s="12"/>
      <c r="G265" s="12"/>
      <c r="H265" s="12">
        <v>172.1</v>
      </c>
      <c r="I265" s="12"/>
      <c r="J265" s="12"/>
      <c r="K265" s="12"/>
      <c r="L265" s="87" t="s">
        <v>322</v>
      </c>
      <c r="M265" s="12">
        <v>86.4</v>
      </c>
      <c r="N265" s="12"/>
      <c r="O265" s="12">
        <v>81.7</v>
      </c>
      <c r="P265" s="12"/>
      <c r="Q265" s="87" t="s">
        <v>323</v>
      </c>
      <c r="R265" s="218">
        <v>60.7</v>
      </c>
    </row>
    <row r="266" spans="1:19" ht="15.75" customHeight="1">
      <c r="A266" s="196">
        <v>46</v>
      </c>
      <c r="B266" s="201">
        <v>3</v>
      </c>
      <c r="C266" s="12"/>
      <c r="D266" s="12"/>
      <c r="E266" s="12">
        <v>121.3</v>
      </c>
      <c r="F266" s="12"/>
      <c r="G266" s="12"/>
      <c r="H266" s="12">
        <v>173</v>
      </c>
      <c r="I266" s="12"/>
      <c r="J266" s="12"/>
      <c r="K266" s="12"/>
      <c r="L266" s="87" t="s">
        <v>322</v>
      </c>
      <c r="M266" s="12">
        <v>87.8</v>
      </c>
      <c r="N266" s="12"/>
      <c r="O266" s="12">
        <v>82.2</v>
      </c>
      <c r="P266" s="12"/>
      <c r="Q266" s="87" t="s">
        <v>323</v>
      </c>
      <c r="R266" s="218">
        <v>61.7</v>
      </c>
    </row>
    <row r="267" spans="1:19" ht="15.75" customHeight="1">
      <c r="A267" s="196">
        <v>46</v>
      </c>
      <c r="B267" s="201">
        <v>4</v>
      </c>
      <c r="C267" s="12"/>
      <c r="D267" s="12"/>
      <c r="E267" s="12">
        <v>122</v>
      </c>
      <c r="F267" s="12"/>
      <c r="G267" s="12"/>
      <c r="H267" s="12">
        <v>173.1</v>
      </c>
      <c r="I267" s="12"/>
      <c r="J267" s="12"/>
      <c r="K267" s="12"/>
      <c r="L267" s="87" t="s">
        <v>322</v>
      </c>
      <c r="M267" s="12">
        <v>88.2</v>
      </c>
      <c r="N267" s="12"/>
      <c r="O267" s="12">
        <v>83.9</v>
      </c>
      <c r="P267" s="12"/>
      <c r="Q267" s="87" t="s">
        <v>323</v>
      </c>
      <c r="R267" s="218">
        <v>62</v>
      </c>
    </row>
    <row r="268" spans="1:19" ht="15.75" customHeight="1">
      <c r="A268" s="196">
        <v>46</v>
      </c>
      <c r="B268" s="201">
        <v>5</v>
      </c>
      <c r="C268" s="12"/>
      <c r="D268" s="12"/>
      <c r="E268" s="12">
        <v>121.7</v>
      </c>
      <c r="F268" s="12"/>
      <c r="G268" s="12"/>
      <c r="H268" s="12">
        <v>172.6</v>
      </c>
      <c r="I268" s="12"/>
      <c r="J268" s="12"/>
      <c r="K268" s="12"/>
      <c r="L268" s="87" t="s">
        <v>322</v>
      </c>
      <c r="M268" s="12">
        <v>84.9</v>
      </c>
      <c r="N268" s="12"/>
      <c r="O268" s="12">
        <v>77.8</v>
      </c>
      <c r="P268" s="12"/>
      <c r="Q268" s="87" t="s">
        <v>323</v>
      </c>
      <c r="R268" s="218">
        <v>59.7</v>
      </c>
    </row>
    <row r="269" spans="1:19" ht="15.75" customHeight="1">
      <c r="A269" s="196">
        <v>46</v>
      </c>
      <c r="B269" s="201">
        <v>6</v>
      </c>
      <c r="C269" s="12"/>
      <c r="D269" s="12"/>
      <c r="E269" s="12">
        <v>119</v>
      </c>
      <c r="F269" s="12"/>
      <c r="G269" s="12"/>
      <c r="H269" s="12">
        <v>172.6</v>
      </c>
      <c r="I269" s="12"/>
      <c r="J269" s="12"/>
      <c r="K269" s="12"/>
      <c r="L269" s="87" t="s">
        <v>322</v>
      </c>
      <c r="M269" s="12">
        <v>83.5</v>
      </c>
      <c r="N269" s="12"/>
      <c r="O269" s="12">
        <v>76.2</v>
      </c>
      <c r="P269" s="12"/>
      <c r="Q269" s="87" t="s">
        <v>323</v>
      </c>
      <c r="R269" s="218">
        <v>58.6</v>
      </c>
    </row>
    <row r="270" spans="1:19" ht="15.75" customHeight="1">
      <c r="A270" s="199">
        <v>47</v>
      </c>
      <c r="B270" s="200" t="s">
        <v>221</v>
      </c>
      <c r="C270" s="227"/>
      <c r="D270" s="227"/>
      <c r="E270" s="227"/>
      <c r="F270" s="227"/>
      <c r="G270" s="227"/>
      <c r="H270" s="227">
        <v>162</v>
      </c>
      <c r="I270" s="227">
        <v>170</v>
      </c>
      <c r="J270" s="227"/>
      <c r="K270" s="227"/>
      <c r="L270" s="285" t="s">
        <v>322</v>
      </c>
      <c r="M270" s="227"/>
      <c r="N270" s="227"/>
      <c r="O270" s="227"/>
      <c r="P270" s="227"/>
      <c r="Q270" s="227"/>
      <c r="R270" s="215"/>
      <c r="S270" s="2"/>
    </row>
    <row r="271" spans="1:19" ht="15.75" customHeight="1">
      <c r="A271" s="196">
        <v>47</v>
      </c>
      <c r="B271" s="201">
        <v>2</v>
      </c>
      <c r="C271" s="12"/>
      <c r="D271" s="12"/>
      <c r="E271" s="12"/>
      <c r="F271" s="12"/>
      <c r="G271" s="12"/>
      <c r="H271" s="12">
        <v>165</v>
      </c>
      <c r="I271" s="12">
        <v>171</v>
      </c>
      <c r="J271" s="12"/>
      <c r="K271" s="12"/>
      <c r="L271" s="87" t="s">
        <v>322</v>
      </c>
      <c r="M271" s="12"/>
      <c r="N271" s="12"/>
      <c r="O271" s="12"/>
      <c r="P271" s="12"/>
      <c r="Q271" s="12"/>
      <c r="R271" s="218"/>
      <c r="S271" s="2"/>
    </row>
    <row r="272" spans="1:19" ht="15.75" customHeight="1">
      <c r="A272" s="196">
        <v>47</v>
      </c>
      <c r="B272" s="201">
        <v>3</v>
      </c>
      <c r="C272" s="12"/>
      <c r="D272" s="12"/>
      <c r="E272" s="12"/>
      <c r="F272" s="12"/>
      <c r="G272" s="12"/>
      <c r="H272" s="12">
        <v>169</v>
      </c>
      <c r="I272" s="12">
        <v>172</v>
      </c>
      <c r="J272" s="12"/>
      <c r="K272" s="12"/>
      <c r="L272" s="87" t="s">
        <v>322</v>
      </c>
      <c r="M272" s="12"/>
      <c r="N272" s="12"/>
      <c r="O272" s="12"/>
      <c r="P272" s="12"/>
      <c r="Q272" s="12"/>
      <c r="R272" s="218"/>
      <c r="S272" s="2"/>
    </row>
    <row r="273" spans="1:19" ht="15.75" customHeight="1">
      <c r="A273" s="196">
        <v>47</v>
      </c>
      <c r="B273" s="201" t="s">
        <v>224</v>
      </c>
      <c r="C273" s="12"/>
      <c r="D273" s="12"/>
      <c r="E273" s="12"/>
      <c r="F273" s="12"/>
      <c r="G273" s="12"/>
      <c r="H273" s="12">
        <v>172</v>
      </c>
      <c r="I273" s="12"/>
      <c r="J273" s="12"/>
      <c r="K273" s="12"/>
      <c r="L273" s="87" t="s">
        <v>322</v>
      </c>
      <c r="M273" s="12"/>
      <c r="N273" s="12"/>
      <c r="O273" s="12"/>
      <c r="P273" s="12"/>
      <c r="Q273" s="12"/>
      <c r="R273" s="218"/>
      <c r="S273" s="2"/>
    </row>
    <row r="274" spans="1:19" ht="15.75" customHeight="1">
      <c r="A274" s="196">
        <v>47</v>
      </c>
      <c r="B274" s="201">
        <v>5</v>
      </c>
      <c r="C274" s="12"/>
      <c r="D274" s="12"/>
      <c r="E274" s="12"/>
      <c r="F274" s="12"/>
      <c r="G274" s="12"/>
      <c r="H274" s="12">
        <v>172</v>
      </c>
      <c r="I274" s="12"/>
      <c r="J274" s="12"/>
      <c r="K274" s="12"/>
      <c r="L274" s="87" t="s">
        <v>322</v>
      </c>
      <c r="M274" s="12"/>
      <c r="N274" s="12"/>
      <c r="O274" s="12"/>
      <c r="P274" s="12"/>
      <c r="Q274" s="12"/>
      <c r="R274" s="218"/>
      <c r="S274" s="2"/>
    </row>
    <row r="275" spans="1:19" ht="15.75" customHeight="1">
      <c r="A275" s="196">
        <v>47</v>
      </c>
      <c r="B275" s="201" t="s">
        <v>225</v>
      </c>
      <c r="C275" s="12"/>
      <c r="D275" s="12"/>
      <c r="E275" s="12"/>
      <c r="F275" s="12"/>
      <c r="G275" s="12"/>
      <c r="H275" s="12">
        <v>162</v>
      </c>
      <c r="I275" s="12">
        <v>170</v>
      </c>
      <c r="J275" s="12"/>
      <c r="K275" s="12"/>
      <c r="L275" s="87" t="s">
        <v>322</v>
      </c>
      <c r="M275" s="12"/>
      <c r="N275" s="12"/>
      <c r="O275" s="12"/>
      <c r="P275" s="12"/>
      <c r="Q275" s="12"/>
      <c r="R275" s="218"/>
      <c r="S275" s="2"/>
    </row>
    <row r="276" spans="1:19" ht="15.75" customHeight="1">
      <c r="A276" s="196">
        <v>47</v>
      </c>
      <c r="B276" s="201" t="s">
        <v>228</v>
      </c>
      <c r="C276" s="2"/>
      <c r="D276" s="2"/>
      <c r="E276" s="2"/>
      <c r="F276" s="2"/>
      <c r="G276" s="2"/>
      <c r="H276" s="12">
        <v>172</v>
      </c>
      <c r="I276" s="12"/>
      <c r="J276" s="12"/>
      <c r="K276" s="12"/>
      <c r="L276" s="87" t="s">
        <v>322</v>
      </c>
      <c r="M276" s="12"/>
      <c r="N276" s="2"/>
      <c r="O276" s="2"/>
      <c r="P276" s="2"/>
      <c r="Q276" s="2"/>
      <c r="R276" s="236"/>
      <c r="S276" s="2"/>
    </row>
    <row r="277" spans="1:19" ht="15.75" customHeight="1">
      <c r="A277" s="199">
        <v>48</v>
      </c>
      <c r="B277" s="200">
        <v>1</v>
      </c>
      <c r="C277" s="234"/>
      <c r="D277" s="234"/>
      <c r="E277" s="234"/>
      <c r="F277" s="234"/>
      <c r="G277" s="234"/>
      <c r="H277" s="234"/>
      <c r="I277" s="234"/>
      <c r="J277" s="234"/>
      <c r="K277" s="234"/>
      <c r="L277" s="234"/>
      <c r="M277" s="234"/>
      <c r="N277" s="234"/>
      <c r="O277" s="234"/>
      <c r="P277" s="234"/>
      <c r="Q277" s="234"/>
      <c r="R277" s="235"/>
      <c r="S277" s="2"/>
    </row>
    <row r="278" spans="1:19" ht="15.75" customHeight="1">
      <c r="A278" s="196">
        <v>48</v>
      </c>
      <c r="B278" s="201">
        <v>2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36"/>
      <c r="S278" s="2"/>
    </row>
    <row r="279" spans="1:19" ht="15.75" customHeight="1">
      <c r="A279" s="196">
        <v>48</v>
      </c>
      <c r="B279" s="201">
        <v>3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36"/>
      <c r="S279" s="2"/>
    </row>
    <row r="280" spans="1:19" ht="15.75" customHeight="1">
      <c r="A280" s="196">
        <v>48</v>
      </c>
      <c r="B280" s="201">
        <v>4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36"/>
      <c r="S280" s="2"/>
    </row>
    <row r="281" spans="1:19" ht="15.75" customHeight="1">
      <c r="A281" s="196">
        <v>48</v>
      </c>
      <c r="B281" s="201">
        <v>5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36"/>
      <c r="S281" s="2"/>
    </row>
    <row r="282" spans="1:19" ht="15.75" customHeight="1">
      <c r="A282" s="196">
        <v>48</v>
      </c>
      <c r="B282" s="201">
        <v>6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36"/>
      <c r="S282" s="2"/>
    </row>
    <row r="283" spans="1:19" ht="15.75" customHeight="1">
      <c r="A283" s="196">
        <v>48</v>
      </c>
      <c r="B283" s="201">
        <v>7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36"/>
      <c r="S283" s="2"/>
    </row>
    <row r="284" spans="1:19" ht="15.75" customHeight="1">
      <c r="A284" s="196">
        <v>48</v>
      </c>
      <c r="B284" s="201">
        <v>8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36"/>
      <c r="S284" s="2"/>
    </row>
    <row r="285" spans="1:19" ht="15.75" customHeight="1">
      <c r="A285" s="196">
        <v>48</v>
      </c>
      <c r="B285" s="201">
        <v>9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36"/>
      <c r="S285" s="2"/>
    </row>
    <row r="286" spans="1:19" ht="15.75" customHeight="1">
      <c r="A286" s="196">
        <v>48</v>
      </c>
      <c r="B286" s="201">
        <v>10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36"/>
      <c r="S286" s="2"/>
    </row>
    <row r="287" spans="1:19" ht="15.75" customHeight="1">
      <c r="A287" s="196">
        <v>48</v>
      </c>
      <c r="B287" s="201">
        <v>11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36"/>
      <c r="S287" s="2"/>
    </row>
    <row r="288" spans="1:19" ht="15.75" customHeight="1">
      <c r="A288" s="196">
        <v>48</v>
      </c>
      <c r="B288" s="201">
        <v>12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36"/>
      <c r="S288" s="2"/>
    </row>
    <row r="289" spans="1:19" ht="15.75" customHeight="1">
      <c r="A289" s="229">
        <v>49</v>
      </c>
      <c r="B289" s="74">
        <v>1</v>
      </c>
      <c r="C289" s="234"/>
      <c r="D289" s="234"/>
      <c r="E289" s="234"/>
      <c r="F289" s="234"/>
      <c r="G289" s="234"/>
      <c r="H289" s="234"/>
      <c r="I289" s="234"/>
      <c r="J289" s="234"/>
      <c r="K289" s="234"/>
      <c r="L289" s="234"/>
      <c r="M289" s="234"/>
      <c r="N289" s="234"/>
      <c r="O289" s="234"/>
      <c r="P289" s="234"/>
      <c r="Q289" s="234"/>
      <c r="R289" s="235"/>
      <c r="S289" s="2"/>
    </row>
    <row r="290" spans="1:19" ht="15.75" customHeight="1">
      <c r="A290" s="228">
        <v>49</v>
      </c>
      <c r="B290" s="75">
        <v>2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36"/>
      <c r="S290" s="2"/>
    </row>
    <row r="291" spans="1:19" ht="15.75" customHeight="1">
      <c r="A291" s="228">
        <v>49</v>
      </c>
      <c r="B291" s="75">
        <v>3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36"/>
      <c r="S291" s="2"/>
    </row>
    <row r="292" spans="1:19" ht="15.75" customHeight="1">
      <c r="A292" s="228">
        <v>49</v>
      </c>
      <c r="B292" s="75">
        <v>4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36"/>
      <c r="S292" s="2"/>
    </row>
    <row r="293" spans="1:19" ht="15.75" customHeight="1">
      <c r="A293" s="229">
        <v>50</v>
      </c>
      <c r="B293" s="74">
        <v>1</v>
      </c>
      <c r="C293" s="234"/>
      <c r="D293" s="234"/>
      <c r="E293" s="234"/>
      <c r="F293" s="234"/>
      <c r="G293" s="234"/>
      <c r="H293" s="234"/>
      <c r="I293" s="234"/>
      <c r="J293" s="234"/>
      <c r="K293" s="234"/>
      <c r="L293" s="234"/>
      <c r="M293" s="234"/>
      <c r="N293" s="234"/>
      <c r="O293" s="234"/>
      <c r="P293" s="234"/>
      <c r="Q293" s="234"/>
      <c r="R293" s="235"/>
      <c r="S293" s="2"/>
    </row>
    <row r="294" spans="1:19" ht="15.75" customHeight="1">
      <c r="A294" s="228">
        <v>50</v>
      </c>
      <c r="B294" s="75">
        <v>2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36"/>
      <c r="S294" s="2"/>
    </row>
    <row r="295" spans="1:19" ht="15.75" customHeight="1">
      <c r="A295" s="228">
        <v>50</v>
      </c>
      <c r="B295" s="75">
        <v>3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36"/>
      <c r="S295" s="2"/>
    </row>
    <row r="296" spans="1:19" ht="15.75" customHeight="1">
      <c r="A296" s="228">
        <v>50</v>
      </c>
      <c r="B296" s="75">
        <v>4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36"/>
      <c r="S296" s="2"/>
    </row>
    <row r="297" spans="1:19" ht="15.75" customHeight="1">
      <c r="A297" s="229">
        <v>51</v>
      </c>
      <c r="B297" s="74">
        <v>1</v>
      </c>
      <c r="C297" s="234"/>
      <c r="D297" s="234"/>
      <c r="E297" s="234"/>
      <c r="F297" s="234"/>
      <c r="G297" s="234"/>
      <c r="H297" s="234"/>
      <c r="I297" s="234"/>
      <c r="J297" s="234"/>
      <c r="K297" s="234"/>
      <c r="L297" s="234"/>
      <c r="M297" s="234"/>
      <c r="N297" s="234"/>
      <c r="O297" s="234"/>
      <c r="P297" s="234"/>
      <c r="Q297" s="234"/>
      <c r="R297" s="235"/>
      <c r="S297" s="2"/>
    </row>
    <row r="298" spans="1:19" ht="15.75" customHeight="1">
      <c r="A298" s="228">
        <v>51</v>
      </c>
      <c r="B298" s="75">
        <v>2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36"/>
      <c r="S298" s="2"/>
    </row>
    <row r="299" spans="1:19" ht="15.75" customHeight="1">
      <c r="A299" s="228">
        <v>51</v>
      </c>
      <c r="B299" s="75">
        <v>3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36"/>
      <c r="S299" s="2"/>
    </row>
    <row r="300" spans="1:19" ht="15.75" customHeight="1">
      <c r="A300" s="228">
        <v>51</v>
      </c>
      <c r="B300" s="75">
        <v>4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36"/>
      <c r="S300" s="2"/>
    </row>
    <row r="301" spans="1:19" ht="15.75" customHeight="1">
      <c r="A301" s="228">
        <v>51</v>
      </c>
      <c r="B301" s="75">
        <v>5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36"/>
      <c r="S301" s="2"/>
    </row>
    <row r="302" spans="1:19" ht="15.75" customHeight="1">
      <c r="A302" s="228">
        <v>51</v>
      </c>
      <c r="B302" s="75">
        <v>6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36"/>
      <c r="S302" s="2"/>
    </row>
    <row r="303" spans="1:19" ht="15.75" customHeight="1">
      <c r="A303" s="228">
        <v>51</v>
      </c>
      <c r="B303" s="75">
        <v>7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36"/>
      <c r="S303" s="2"/>
    </row>
    <row r="304" spans="1:19" ht="15.75" customHeight="1">
      <c r="A304" s="229">
        <v>52</v>
      </c>
      <c r="B304" s="200">
        <v>1</v>
      </c>
      <c r="C304" s="234"/>
      <c r="D304" s="234"/>
      <c r="E304" s="234"/>
      <c r="F304" s="234"/>
      <c r="G304" s="234"/>
      <c r="H304" s="234"/>
      <c r="I304" s="234"/>
      <c r="J304" s="234"/>
      <c r="K304" s="234"/>
      <c r="L304" s="234"/>
      <c r="M304" s="234"/>
      <c r="N304" s="234"/>
      <c r="O304" s="234"/>
      <c r="P304" s="234"/>
      <c r="Q304" s="234"/>
      <c r="R304" s="235"/>
      <c r="S304" s="2"/>
    </row>
    <row r="305" spans="1:19" ht="15.75" customHeight="1">
      <c r="A305" s="228">
        <v>52</v>
      </c>
      <c r="B305" s="201">
        <v>2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36"/>
      <c r="S305" s="2"/>
    </row>
    <row r="306" spans="1:19" ht="15.75" customHeight="1">
      <c r="A306" s="228">
        <v>52</v>
      </c>
      <c r="B306" s="201">
        <v>3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36"/>
      <c r="S306" s="2"/>
    </row>
    <row r="307" spans="1:19" ht="15.75" customHeight="1">
      <c r="A307" s="230">
        <v>52</v>
      </c>
      <c r="B307" s="202">
        <v>4</v>
      </c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237"/>
      <c r="S307" s="2"/>
    </row>
    <row r="308" spans="1:19" ht="15.75" customHeight="1">
      <c r="A308" s="233">
        <v>53</v>
      </c>
      <c r="B308" s="201">
        <v>1</v>
      </c>
      <c r="C308" s="12">
        <v>0.39</v>
      </c>
      <c r="D308" s="12"/>
      <c r="E308" s="227">
        <v>69</v>
      </c>
      <c r="F308" s="12"/>
      <c r="G308" s="12"/>
      <c r="H308" s="12">
        <v>162.4</v>
      </c>
      <c r="I308" s="12"/>
      <c r="J308" s="12"/>
      <c r="K308" s="12"/>
      <c r="L308" s="87" t="s">
        <v>322</v>
      </c>
      <c r="M308" s="12">
        <v>46.9</v>
      </c>
      <c r="N308" s="12"/>
      <c r="O308" s="12"/>
      <c r="P308" s="12"/>
      <c r="Q308" s="87" t="s">
        <v>323</v>
      </c>
      <c r="R308" s="218">
        <v>32.1</v>
      </c>
    </row>
    <row r="309" spans="1:19" ht="15.75" customHeight="1">
      <c r="A309" s="233">
        <v>53</v>
      </c>
      <c r="B309" s="201">
        <v>2</v>
      </c>
      <c r="C309" s="12">
        <v>-7.5</v>
      </c>
      <c r="D309" s="12"/>
      <c r="E309" s="12">
        <v>62.1</v>
      </c>
      <c r="F309" s="12"/>
      <c r="G309" s="12"/>
      <c r="H309" s="12">
        <v>161.30000000000001</v>
      </c>
      <c r="I309" s="12"/>
      <c r="J309" s="12"/>
      <c r="K309" s="12"/>
      <c r="L309" s="87" t="s">
        <v>322</v>
      </c>
      <c r="M309" s="12">
        <v>62.2</v>
      </c>
      <c r="N309" s="12"/>
      <c r="O309" s="12"/>
      <c r="P309" s="12"/>
      <c r="Q309" s="87" t="s">
        <v>323</v>
      </c>
      <c r="R309" s="218">
        <v>42.6</v>
      </c>
    </row>
    <row r="310" spans="1:19" ht="15.75" customHeight="1">
      <c r="A310" s="233">
        <v>53</v>
      </c>
      <c r="B310" s="201">
        <v>3</v>
      </c>
      <c r="C310" s="12">
        <v>-9.3000000000000007</v>
      </c>
      <c r="D310" s="12"/>
      <c r="E310" s="12">
        <v>58</v>
      </c>
      <c r="F310" s="12"/>
      <c r="G310" s="12"/>
      <c r="H310" s="12">
        <v>160.30000000000001</v>
      </c>
      <c r="I310" s="12"/>
      <c r="J310" s="12"/>
      <c r="K310" s="12"/>
      <c r="L310" s="87" t="s">
        <v>322</v>
      </c>
      <c r="M310" s="12">
        <v>60.9</v>
      </c>
      <c r="N310" s="12"/>
      <c r="O310" s="12"/>
      <c r="P310" s="12"/>
      <c r="Q310" s="87" t="s">
        <v>323</v>
      </c>
      <c r="R310" s="218">
        <v>41.7</v>
      </c>
    </row>
    <row r="311" spans="1:19" ht="15.75" customHeight="1">
      <c r="A311" s="233">
        <v>53</v>
      </c>
      <c r="B311" s="201">
        <v>4</v>
      </c>
      <c r="C311" s="12">
        <v>-5.2</v>
      </c>
      <c r="D311" s="12"/>
      <c r="E311" s="12">
        <v>59.2</v>
      </c>
      <c r="F311" s="12"/>
      <c r="G311" s="12"/>
      <c r="H311" s="12">
        <v>160.6</v>
      </c>
      <c r="I311" s="12"/>
      <c r="J311" s="12"/>
      <c r="K311" s="12"/>
      <c r="L311" s="87" t="s">
        <v>322</v>
      </c>
      <c r="M311" s="12">
        <v>54.2</v>
      </c>
      <c r="N311" s="12"/>
      <c r="O311" s="12"/>
      <c r="P311" s="12"/>
      <c r="Q311" s="87" t="s">
        <v>323</v>
      </c>
      <c r="R311" s="218">
        <v>37.1</v>
      </c>
    </row>
    <row r="312" spans="1:19" ht="15.75" customHeight="1">
      <c r="A312" s="233">
        <v>53</v>
      </c>
      <c r="B312" s="201">
        <v>5</v>
      </c>
      <c r="C312" s="12">
        <v>-10</v>
      </c>
      <c r="D312" s="12"/>
      <c r="E312" s="12">
        <v>55.2</v>
      </c>
      <c r="F312" s="12"/>
      <c r="G312" s="12"/>
      <c r="H312" s="12">
        <v>159.19999999999999</v>
      </c>
      <c r="I312" s="12"/>
      <c r="J312" s="12"/>
      <c r="K312" s="12"/>
      <c r="L312" s="87" t="s">
        <v>322</v>
      </c>
      <c r="M312" s="12">
        <v>49.6</v>
      </c>
      <c r="N312" s="12"/>
      <c r="O312" s="12"/>
      <c r="P312" s="12"/>
      <c r="Q312" s="87" t="s">
        <v>323</v>
      </c>
      <c r="R312" s="218">
        <v>34</v>
      </c>
    </row>
    <row r="313" spans="1:19" ht="15.75" customHeight="1">
      <c r="A313" s="229">
        <v>54</v>
      </c>
      <c r="B313" s="200">
        <v>1</v>
      </c>
      <c r="C313" s="227"/>
      <c r="D313" s="227"/>
      <c r="E313" s="227"/>
      <c r="F313" s="227"/>
      <c r="G313" s="227"/>
      <c r="H313" s="227"/>
      <c r="I313" s="227"/>
      <c r="J313" s="227"/>
      <c r="K313" s="227"/>
      <c r="L313" s="285"/>
      <c r="M313" s="227"/>
      <c r="N313" s="227"/>
      <c r="O313" s="227"/>
      <c r="P313" s="227"/>
      <c r="Q313" s="285"/>
      <c r="R313" s="215"/>
      <c r="S313" s="2"/>
    </row>
    <row r="314" spans="1:19" ht="15.75" customHeight="1">
      <c r="A314" s="228">
        <v>54</v>
      </c>
      <c r="B314" s="201">
        <v>2</v>
      </c>
      <c r="C314" s="12"/>
      <c r="D314" s="12"/>
      <c r="E314" s="12"/>
      <c r="F314" s="12"/>
      <c r="G314" s="12"/>
      <c r="H314" s="12"/>
      <c r="I314" s="12"/>
      <c r="J314" s="12"/>
      <c r="K314" s="12"/>
      <c r="L314" s="87"/>
      <c r="M314" s="12"/>
      <c r="N314" s="12"/>
      <c r="O314" s="12"/>
      <c r="P314" s="12"/>
      <c r="Q314" s="87"/>
      <c r="R314" s="218"/>
      <c r="S314" s="2"/>
    </row>
    <row r="315" spans="1:19" ht="15.75" customHeight="1">
      <c r="A315" s="228">
        <v>54</v>
      </c>
      <c r="B315" s="201">
        <v>3</v>
      </c>
      <c r="C315" s="12"/>
      <c r="D315" s="12"/>
      <c r="E315" s="12"/>
      <c r="F315" s="12"/>
      <c r="G315" s="12"/>
      <c r="H315" s="12"/>
      <c r="I315" s="12"/>
      <c r="J315" s="12"/>
      <c r="K315" s="12"/>
      <c r="L315" s="87"/>
      <c r="M315" s="12"/>
      <c r="N315" s="12"/>
      <c r="O315" s="12"/>
      <c r="P315" s="12"/>
      <c r="Q315" s="87"/>
      <c r="R315" s="218"/>
      <c r="S315" s="2"/>
    </row>
    <row r="316" spans="1:19" ht="15.75" customHeight="1">
      <c r="A316" s="230">
        <v>54</v>
      </c>
      <c r="B316" s="202">
        <v>4</v>
      </c>
      <c r="C316" s="27"/>
      <c r="D316" s="27"/>
      <c r="E316" s="27"/>
      <c r="F316" s="27"/>
      <c r="G316" s="27"/>
      <c r="H316" s="27"/>
      <c r="I316" s="27"/>
      <c r="J316" s="27"/>
      <c r="K316" s="27"/>
      <c r="L316" s="89"/>
      <c r="M316" s="27"/>
      <c r="N316" s="27"/>
      <c r="O316" s="27"/>
      <c r="P316" s="27"/>
      <c r="Q316" s="89"/>
      <c r="R316" s="221"/>
      <c r="S316" s="2"/>
    </row>
    <row r="317" spans="1:19" ht="15.75" customHeight="1">
      <c r="A317" s="228">
        <v>55</v>
      </c>
      <c r="B317" s="201" t="s">
        <v>221</v>
      </c>
      <c r="C317" s="12"/>
      <c r="D317" s="12"/>
      <c r="E317" s="12"/>
      <c r="F317" s="12"/>
      <c r="G317" s="12"/>
      <c r="H317" s="12">
        <v>169.7</v>
      </c>
      <c r="I317" s="12"/>
      <c r="J317" s="12"/>
      <c r="K317" s="12"/>
      <c r="L317" s="87" t="s">
        <v>322</v>
      </c>
      <c r="M317" s="12">
        <v>80.099999999999994</v>
      </c>
      <c r="N317" s="12"/>
      <c r="O317" s="12">
        <v>12.3</v>
      </c>
      <c r="P317" s="12"/>
      <c r="Q317" s="87" t="s">
        <v>323</v>
      </c>
      <c r="R317" s="218"/>
      <c r="S317" s="2"/>
    </row>
    <row r="318" spans="1:19" ht="15.75" customHeight="1">
      <c r="A318" s="228">
        <v>55</v>
      </c>
      <c r="B318" s="201" t="s">
        <v>222</v>
      </c>
      <c r="C318" s="12"/>
      <c r="D318" s="12"/>
      <c r="E318" s="12"/>
      <c r="F318" s="12"/>
      <c r="G318" s="12"/>
      <c r="H318" s="12">
        <v>169.2</v>
      </c>
      <c r="I318" s="12"/>
      <c r="J318" s="12"/>
      <c r="K318" s="12"/>
      <c r="L318" s="87" t="s">
        <v>322</v>
      </c>
      <c r="M318" s="12">
        <v>76.8</v>
      </c>
      <c r="N318" s="12"/>
      <c r="O318" s="12">
        <v>23.9</v>
      </c>
      <c r="P318" s="12"/>
      <c r="Q318" s="87" t="s">
        <v>323</v>
      </c>
      <c r="R318" s="218"/>
      <c r="S318" s="2"/>
    </row>
    <row r="319" spans="1:19" ht="15.75" customHeight="1">
      <c r="A319" s="228">
        <v>55</v>
      </c>
      <c r="B319" s="201" t="s">
        <v>223</v>
      </c>
      <c r="C319" s="12"/>
      <c r="D319" s="12"/>
      <c r="E319" s="12"/>
      <c r="F319" s="12"/>
      <c r="G319" s="12"/>
      <c r="H319" s="12">
        <v>169.2</v>
      </c>
      <c r="I319" s="12"/>
      <c r="J319" s="12"/>
      <c r="K319" s="12"/>
      <c r="L319" s="87" t="s">
        <v>322</v>
      </c>
      <c r="M319" s="12">
        <v>80.5</v>
      </c>
      <c r="N319" s="12"/>
      <c r="O319" s="12">
        <v>60</v>
      </c>
      <c r="P319" s="12"/>
      <c r="Q319" s="87" t="s">
        <v>323</v>
      </c>
      <c r="R319" s="218"/>
      <c r="S319" s="2"/>
    </row>
    <row r="320" spans="1:19" ht="15.75" customHeight="1">
      <c r="A320" s="228">
        <v>55</v>
      </c>
      <c r="B320" s="201" t="s">
        <v>225</v>
      </c>
      <c r="C320" s="12"/>
      <c r="D320" s="12"/>
      <c r="E320" s="12"/>
      <c r="F320" s="12"/>
      <c r="G320" s="12"/>
      <c r="H320" s="12">
        <v>169.7</v>
      </c>
      <c r="I320" s="12"/>
      <c r="J320" s="12"/>
      <c r="K320" s="12"/>
      <c r="L320" s="87" t="s">
        <v>322</v>
      </c>
      <c r="M320" s="12">
        <v>80.099999999999994</v>
      </c>
      <c r="N320" s="12"/>
      <c r="O320" s="12">
        <v>12.3</v>
      </c>
      <c r="P320" s="12"/>
      <c r="Q320" s="87" t="s">
        <v>323</v>
      </c>
      <c r="R320" s="218"/>
      <c r="S320" s="2"/>
    </row>
    <row r="321" spans="1:19" ht="15.75" customHeight="1">
      <c r="A321" s="228">
        <v>55</v>
      </c>
      <c r="B321" s="201" t="s">
        <v>226</v>
      </c>
      <c r="C321" s="12"/>
      <c r="D321" s="12"/>
      <c r="E321" s="12"/>
      <c r="F321" s="12"/>
      <c r="G321" s="12"/>
      <c r="H321" s="12">
        <v>169.2</v>
      </c>
      <c r="I321" s="12"/>
      <c r="J321" s="12"/>
      <c r="K321" s="12"/>
      <c r="L321" s="87" t="s">
        <v>322</v>
      </c>
      <c r="M321" s="12">
        <v>76.8</v>
      </c>
      <c r="N321" s="12"/>
      <c r="O321" s="12">
        <v>23.9</v>
      </c>
      <c r="P321" s="12"/>
      <c r="Q321" s="87" t="s">
        <v>323</v>
      </c>
      <c r="R321" s="218"/>
      <c r="S321" s="2"/>
    </row>
    <row r="322" spans="1:19" ht="15.75" customHeight="1">
      <c r="A322" s="228">
        <v>55</v>
      </c>
      <c r="B322" s="201" t="s">
        <v>227</v>
      </c>
      <c r="C322" s="12"/>
      <c r="D322" s="12"/>
      <c r="E322" s="12"/>
      <c r="F322" s="12"/>
      <c r="G322" s="12"/>
      <c r="H322" s="12">
        <v>169.2</v>
      </c>
      <c r="I322" s="12"/>
      <c r="J322" s="12"/>
      <c r="K322" s="12"/>
      <c r="L322" s="87" t="s">
        <v>322</v>
      </c>
      <c r="M322" s="12">
        <v>80.5</v>
      </c>
      <c r="N322" s="12"/>
      <c r="O322" s="12">
        <v>60</v>
      </c>
      <c r="P322" s="12"/>
      <c r="Q322" s="87" t="s">
        <v>323</v>
      </c>
      <c r="R322" s="218"/>
      <c r="S322" s="2"/>
    </row>
    <row r="323" spans="1:19" ht="15.75" customHeight="1">
      <c r="A323" s="228">
        <v>55</v>
      </c>
      <c r="B323" s="201" t="s">
        <v>231</v>
      </c>
      <c r="C323" s="12"/>
      <c r="D323" s="12"/>
      <c r="E323" s="12"/>
      <c r="F323" s="12"/>
      <c r="G323" s="12"/>
      <c r="H323" s="12">
        <v>169.7</v>
      </c>
      <c r="I323" s="12"/>
      <c r="J323" s="12"/>
      <c r="K323" s="12"/>
      <c r="L323" s="87" t="s">
        <v>322</v>
      </c>
      <c r="M323" s="12">
        <v>80.099999999999994</v>
      </c>
      <c r="N323" s="12"/>
      <c r="O323" s="12">
        <v>12.3</v>
      </c>
      <c r="P323" s="12"/>
      <c r="Q323" s="87" t="s">
        <v>323</v>
      </c>
      <c r="R323" s="218"/>
      <c r="S323" s="2"/>
    </row>
    <row r="324" spans="1:19" ht="15.75" customHeight="1">
      <c r="A324" s="228">
        <v>55</v>
      </c>
      <c r="B324" s="201" t="s">
        <v>232</v>
      </c>
      <c r="C324" s="12"/>
      <c r="D324" s="12"/>
      <c r="E324" s="12"/>
      <c r="F324" s="12"/>
      <c r="G324" s="12"/>
      <c r="H324" s="12">
        <v>169.2</v>
      </c>
      <c r="I324" s="12"/>
      <c r="J324" s="12"/>
      <c r="K324" s="12"/>
      <c r="L324" s="87" t="s">
        <v>322</v>
      </c>
      <c r="M324" s="12">
        <v>76.8</v>
      </c>
      <c r="N324" s="12"/>
      <c r="O324" s="12">
        <v>23.9</v>
      </c>
      <c r="P324" s="12"/>
      <c r="Q324" s="87" t="s">
        <v>323</v>
      </c>
      <c r="R324" s="218"/>
      <c r="S324" s="2"/>
    </row>
    <row r="325" spans="1:19" ht="15.75" customHeight="1">
      <c r="A325" s="228">
        <v>55</v>
      </c>
      <c r="B325" s="201" t="s">
        <v>233</v>
      </c>
      <c r="C325" s="12"/>
      <c r="D325" s="12"/>
      <c r="E325" s="12"/>
      <c r="F325" s="12"/>
      <c r="G325" s="12"/>
      <c r="H325" s="12">
        <v>169.2</v>
      </c>
      <c r="I325" s="12"/>
      <c r="J325" s="12"/>
      <c r="K325" s="12"/>
      <c r="L325" s="87" t="s">
        <v>322</v>
      </c>
      <c r="M325" s="12">
        <v>80.5</v>
      </c>
      <c r="N325" s="12"/>
      <c r="O325" s="12">
        <v>60</v>
      </c>
      <c r="P325" s="12"/>
      <c r="Q325" s="87" t="s">
        <v>323</v>
      </c>
      <c r="R325" s="218"/>
      <c r="S325" s="2"/>
    </row>
    <row r="326" spans="1:19" ht="15.75" customHeight="1">
      <c r="A326" s="199">
        <v>56</v>
      </c>
      <c r="B326" s="200" t="s">
        <v>221</v>
      </c>
      <c r="C326" s="227"/>
      <c r="D326" s="227"/>
      <c r="E326" s="227">
        <v>101</v>
      </c>
      <c r="F326" s="227">
        <v>102</v>
      </c>
      <c r="G326" s="227"/>
      <c r="H326" s="227">
        <v>164</v>
      </c>
      <c r="I326" s="227">
        <v>166</v>
      </c>
      <c r="J326" s="227">
        <v>223</v>
      </c>
      <c r="K326" s="227">
        <v>301.10000000000002</v>
      </c>
      <c r="L326" s="285" t="s">
        <v>322</v>
      </c>
      <c r="M326" s="227">
        <v>70.8</v>
      </c>
      <c r="N326" s="227"/>
      <c r="O326" s="227">
        <v>59.8</v>
      </c>
      <c r="P326" s="227"/>
      <c r="Q326" s="285" t="s">
        <v>323</v>
      </c>
      <c r="R326" s="215">
        <v>48.5</v>
      </c>
      <c r="S326" s="2"/>
    </row>
    <row r="327" spans="1:19" ht="15.75" customHeight="1">
      <c r="A327" s="197">
        <v>56</v>
      </c>
      <c r="B327" s="202" t="s">
        <v>225</v>
      </c>
      <c r="C327" s="27"/>
      <c r="D327" s="27"/>
      <c r="E327" s="27">
        <v>101</v>
      </c>
      <c r="F327" s="27">
        <v>102</v>
      </c>
      <c r="G327" s="27"/>
      <c r="H327" s="27">
        <v>164</v>
      </c>
      <c r="I327" s="27">
        <v>166</v>
      </c>
      <c r="J327" s="27">
        <v>223</v>
      </c>
      <c r="K327" s="27">
        <v>301.10000000000002</v>
      </c>
      <c r="L327" s="89" t="s">
        <v>322</v>
      </c>
      <c r="M327" s="27">
        <v>70.8</v>
      </c>
      <c r="N327" s="27"/>
      <c r="O327" s="27">
        <v>59.8</v>
      </c>
      <c r="P327" s="27"/>
      <c r="Q327" s="89" t="s">
        <v>323</v>
      </c>
      <c r="R327" s="221">
        <v>48.5</v>
      </c>
      <c r="S327" s="2"/>
    </row>
    <row r="328" spans="1:19" ht="15.75" customHeight="1">
      <c r="A328" s="199">
        <v>57</v>
      </c>
      <c r="B328" s="200">
        <v>1</v>
      </c>
      <c r="C328" s="227"/>
      <c r="D328" s="227"/>
      <c r="E328" s="227"/>
      <c r="F328" s="227"/>
      <c r="G328" s="227"/>
      <c r="H328" s="227">
        <v>170.74</v>
      </c>
      <c r="I328" s="227"/>
      <c r="J328" s="227">
        <v>257</v>
      </c>
      <c r="K328" s="227"/>
      <c r="L328" s="285" t="s">
        <v>322</v>
      </c>
      <c r="M328" s="227">
        <v>95.52</v>
      </c>
      <c r="N328" s="227"/>
      <c r="O328" s="227"/>
      <c r="P328" s="227"/>
      <c r="Q328" s="285" t="s">
        <v>323</v>
      </c>
      <c r="R328" s="215"/>
    </row>
    <row r="329" spans="1:19" ht="15.75" customHeight="1">
      <c r="A329" s="197">
        <v>57</v>
      </c>
      <c r="B329" s="202">
        <v>2</v>
      </c>
      <c r="C329" s="27"/>
      <c r="D329" s="27"/>
      <c r="E329" s="27"/>
      <c r="F329" s="27"/>
      <c r="G329" s="27"/>
      <c r="H329" s="27">
        <v>165.03</v>
      </c>
      <c r="I329" s="27"/>
      <c r="J329" s="27">
        <v>263</v>
      </c>
      <c r="K329" s="27"/>
      <c r="L329" s="89" t="s">
        <v>322</v>
      </c>
      <c r="M329" s="27">
        <v>84.61</v>
      </c>
      <c r="N329" s="27"/>
      <c r="O329" s="27"/>
      <c r="P329" s="27"/>
      <c r="Q329" s="89" t="s">
        <v>323</v>
      </c>
      <c r="R329" s="221"/>
    </row>
    <row r="330" spans="1:19" ht="15.75" customHeight="1">
      <c r="A330" s="229">
        <v>58</v>
      </c>
      <c r="B330" s="74">
        <v>1</v>
      </c>
      <c r="R330" s="236"/>
      <c r="S330" s="2"/>
    </row>
    <row r="331" spans="1:19" ht="15.75" customHeight="1">
      <c r="A331" s="228">
        <v>58</v>
      </c>
      <c r="B331" s="75">
        <v>2</v>
      </c>
      <c r="R331" s="236"/>
      <c r="S331" s="2"/>
    </row>
    <row r="332" spans="1:19" ht="15.75" customHeight="1">
      <c r="A332" s="228">
        <v>58</v>
      </c>
      <c r="B332" s="75">
        <v>3</v>
      </c>
      <c r="R332" s="236"/>
      <c r="S332" s="2"/>
    </row>
    <row r="333" spans="1:19" ht="15.75" customHeight="1">
      <c r="A333" s="228">
        <v>58</v>
      </c>
      <c r="B333" s="75">
        <v>4</v>
      </c>
      <c r="R333" s="236"/>
      <c r="S333" s="2"/>
    </row>
    <row r="334" spans="1:19" ht="15.75" customHeight="1">
      <c r="A334" s="228">
        <v>58</v>
      </c>
      <c r="B334" s="75">
        <v>5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36"/>
      <c r="S334" s="2"/>
    </row>
    <row r="335" spans="1:19" ht="15.75" customHeight="1">
      <c r="A335" s="229">
        <v>59</v>
      </c>
      <c r="B335" s="74">
        <v>1</v>
      </c>
      <c r="C335" s="222"/>
      <c r="D335" s="222"/>
      <c r="E335" s="227">
        <v>108.6</v>
      </c>
      <c r="F335" s="222"/>
      <c r="G335" s="227">
        <v>108.6</v>
      </c>
      <c r="H335" s="227">
        <v>154.1</v>
      </c>
      <c r="I335" s="227">
        <v>162.4</v>
      </c>
      <c r="J335" s="227">
        <v>231.6</v>
      </c>
      <c r="K335" s="222"/>
      <c r="L335" s="227" t="s">
        <v>322</v>
      </c>
      <c r="M335" s="222"/>
      <c r="N335" s="222"/>
      <c r="O335" s="222"/>
      <c r="P335" s="222"/>
      <c r="Q335" s="222"/>
      <c r="R335" s="215">
        <v>46.1</v>
      </c>
      <c r="S335" s="2"/>
    </row>
    <row r="336" spans="1:19" ht="15.75" customHeight="1">
      <c r="A336" s="228">
        <v>59</v>
      </c>
      <c r="B336" s="75">
        <v>2</v>
      </c>
      <c r="C336" s="22"/>
      <c r="D336" s="22"/>
      <c r="E336" s="12">
        <v>108.3</v>
      </c>
      <c r="F336" s="22"/>
      <c r="G336" s="12">
        <v>108.3</v>
      </c>
      <c r="H336" s="12">
        <v>152</v>
      </c>
      <c r="I336" s="12">
        <v>162.9</v>
      </c>
      <c r="J336" s="12">
        <v>223</v>
      </c>
      <c r="K336" s="22"/>
      <c r="L336" s="12" t="s">
        <v>322</v>
      </c>
      <c r="M336" s="22"/>
      <c r="N336" s="22"/>
      <c r="O336" s="22"/>
      <c r="P336" s="22"/>
      <c r="Q336" s="22"/>
      <c r="R336" s="218">
        <v>47.7</v>
      </c>
      <c r="S336" s="2"/>
    </row>
    <row r="337" spans="1:19" ht="15.75" customHeight="1">
      <c r="A337" s="228">
        <v>59</v>
      </c>
      <c r="B337" s="75">
        <v>3</v>
      </c>
      <c r="C337" s="12"/>
      <c r="D337" s="12"/>
      <c r="E337" s="12">
        <v>108.3</v>
      </c>
      <c r="F337" s="12"/>
      <c r="G337" s="12">
        <v>108.3</v>
      </c>
      <c r="H337" s="12">
        <v>155.9</v>
      </c>
      <c r="I337" s="12">
        <v>163.4</v>
      </c>
      <c r="J337" s="12">
        <v>224.4</v>
      </c>
      <c r="K337" s="12"/>
      <c r="L337" s="87" t="s">
        <v>322</v>
      </c>
      <c r="M337" s="12"/>
      <c r="N337" s="12"/>
      <c r="O337" s="12"/>
      <c r="P337" s="12"/>
      <c r="Q337" s="12"/>
      <c r="R337" s="218">
        <v>48.7</v>
      </c>
      <c r="S337" s="2"/>
    </row>
    <row r="338" spans="1:19" ht="15.75" customHeight="1">
      <c r="A338" s="228">
        <v>59</v>
      </c>
      <c r="B338" s="75">
        <v>4</v>
      </c>
      <c r="C338" s="22"/>
      <c r="D338" s="22"/>
      <c r="E338" s="12">
        <v>108.4</v>
      </c>
      <c r="F338" s="22"/>
      <c r="G338" s="12">
        <v>108.4</v>
      </c>
      <c r="H338" s="12">
        <v>155.30000000000001</v>
      </c>
      <c r="I338" s="12">
        <v>163.30000000000001</v>
      </c>
      <c r="J338" s="12">
        <v>222.8</v>
      </c>
      <c r="K338" s="22"/>
      <c r="L338" s="12" t="s">
        <v>322</v>
      </c>
      <c r="M338" s="22"/>
      <c r="N338" s="22"/>
      <c r="O338" s="22"/>
      <c r="P338" s="22"/>
      <c r="Q338" s="22"/>
      <c r="R338" s="218">
        <v>47.5</v>
      </c>
      <c r="S338" s="2"/>
    </row>
    <row r="339" spans="1:19" ht="15.75" customHeight="1">
      <c r="A339" s="228">
        <v>59</v>
      </c>
      <c r="B339" s="75">
        <v>5</v>
      </c>
      <c r="C339" s="12"/>
      <c r="D339" s="12"/>
      <c r="E339" s="12">
        <v>107</v>
      </c>
      <c r="F339" s="12"/>
      <c r="G339" s="12">
        <v>107</v>
      </c>
      <c r="H339" s="12">
        <v>152.1</v>
      </c>
      <c r="I339" s="12">
        <v>163.80000000000001</v>
      </c>
      <c r="J339" s="12">
        <v>257.10000000000002</v>
      </c>
      <c r="K339" s="12"/>
      <c r="L339" s="87" t="s">
        <v>322</v>
      </c>
      <c r="M339" s="12"/>
      <c r="N339" s="12"/>
      <c r="O339" s="12"/>
      <c r="P339" s="12"/>
      <c r="Q339" s="12"/>
      <c r="R339" s="218">
        <v>46</v>
      </c>
      <c r="S339" s="2"/>
    </row>
    <row r="340" spans="1:19" ht="15.75" customHeight="1">
      <c r="A340" s="228">
        <v>59</v>
      </c>
      <c r="B340" s="231">
        <v>6</v>
      </c>
      <c r="C340" s="22"/>
      <c r="D340" s="22"/>
      <c r="E340" s="12">
        <v>105.7</v>
      </c>
      <c r="F340" s="22"/>
      <c r="G340" s="12">
        <v>105.7</v>
      </c>
      <c r="H340" s="12">
        <v>154.4</v>
      </c>
      <c r="I340" s="12">
        <v>162.69999999999999</v>
      </c>
      <c r="J340" s="12">
        <v>235</v>
      </c>
      <c r="K340" s="22"/>
      <c r="L340" s="12" t="s">
        <v>322</v>
      </c>
      <c r="M340" s="22"/>
      <c r="N340" s="22"/>
      <c r="O340" s="22"/>
      <c r="P340" s="22"/>
      <c r="Q340" s="22"/>
      <c r="R340" s="218">
        <v>46.3</v>
      </c>
      <c r="S340" s="2"/>
    </row>
    <row r="341" spans="1:19" ht="15.75" customHeight="1">
      <c r="A341" s="229">
        <v>60</v>
      </c>
      <c r="B341" s="74">
        <v>1</v>
      </c>
      <c r="C341" s="234"/>
      <c r="D341" s="234"/>
      <c r="E341" s="234"/>
      <c r="F341" s="234"/>
      <c r="G341" s="234"/>
      <c r="H341" s="234"/>
      <c r="I341" s="234"/>
      <c r="J341" s="234"/>
      <c r="K341" s="234"/>
      <c r="L341" s="234"/>
      <c r="M341" s="234"/>
      <c r="N341" s="234"/>
      <c r="O341" s="234"/>
      <c r="P341" s="234"/>
      <c r="Q341" s="234"/>
      <c r="R341" s="235"/>
      <c r="S341" s="2"/>
    </row>
    <row r="342" spans="1:19" ht="15.75" customHeight="1">
      <c r="A342" s="228">
        <v>60</v>
      </c>
      <c r="B342" s="75">
        <v>2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36"/>
      <c r="S342" s="2"/>
    </row>
    <row r="343" spans="1:19" ht="15.75" customHeight="1">
      <c r="A343" s="228">
        <v>60</v>
      </c>
      <c r="B343" s="75">
        <v>3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36"/>
      <c r="S343" s="2"/>
    </row>
    <row r="344" spans="1:19" ht="15.75" customHeight="1">
      <c r="A344" s="228">
        <v>60</v>
      </c>
      <c r="B344" s="75">
        <v>4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36"/>
      <c r="S344" s="2"/>
    </row>
    <row r="345" spans="1:19" ht="15.75" customHeight="1">
      <c r="A345" s="228">
        <v>60</v>
      </c>
      <c r="B345" s="75">
        <v>5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36"/>
      <c r="S345" s="2"/>
    </row>
    <row r="346" spans="1:19" ht="15.75" customHeight="1">
      <c r="A346" s="228">
        <v>60</v>
      </c>
      <c r="B346" s="75">
        <v>6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36"/>
      <c r="S346" s="2"/>
    </row>
    <row r="347" spans="1:19" ht="15.75" customHeight="1">
      <c r="A347" s="228">
        <v>60</v>
      </c>
      <c r="B347" s="75">
        <v>7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36"/>
      <c r="S347" s="2"/>
    </row>
    <row r="348" spans="1:19" ht="15.75" customHeight="1">
      <c r="A348" s="230">
        <v>60</v>
      </c>
      <c r="B348" s="231">
        <v>8</v>
      </c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237"/>
      <c r="S348" s="2"/>
    </row>
    <row r="349" spans="1:19" ht="15.75" customHeight="1">
      <c r="A349" s="241">
        <v>61</v>
      </c>
      <c r="B349" s="281">
        <v>1</v>
      </c>
      <c r="C349" s="27">
        <v>-20</v>
      </c>
      <c r="D349" s="27">
        <v>4.4000000000000004</v>
      </c>
      <c r="E349" s="27"/>
      <c r="F349" s="27"/>
      <c r="G349" s="27">
        <v>54.3</v>
      </c>
      <c r="H349" s="27">
        <v>166.5</v>
      </c>
      <c r="I349" s="27"/>
      <c r="J349" s="27"/>
      <c r="K349" s="27"/>
      <c r="L349" s="89" t="s">
        <v>322</v>
      </c>
      <c r="M349" s="34"/>
      <c r="N349" s="34"/>
      <c r="O349" s="34"/>
      <c r="P349" s="34"/>
      <c r="Q349" s="34"/>
      <c r="R349" s="237"/>
    </row>
    <row r="350" spans="1:19" ht="15.75" customHeight="1">
      <c r="A350" s="22"/>
    </row>
    <row r="351" spans="1:19" ht="15.75" customHeight="1">
      <c r="A351" s="22"/>
    </row>
    <row r="352" spans="1:19" ht="15.75" customHeight="1">
      <c r="A352" s="22"/>
    </row>
    <row r="353" spans="1:1" ht="15.75" customHeight="1">
      <c r="A353" s="22"/>
    </row>
    <row r="354" spans="1:1" ht="15.75" customHeight="1">
      <c r="A354" s="22"/>
    </row>
    <row r="355" spans="1:1" ht="15.75" customHeight="1">
      <c r="A355" s="22"/>
    </row>
    <row r="356" spans="1:1" ht="15.75" customHeight="1">
      <c r="A356" s="22"/>
    </row>
    <row r="357" spans="1:1" ht="15.75" customHeight="1">
      <c r="A357" s="22"/>
    </row>
    <row r="358" spans="1:1" ht="15.75" customHeight="1">
      <c r="A358" s="22"/>
    </row>
    <row r="359" spans="1:1" ht="15.75" customHeight="1">
      <c r="A359" s="22"/>
    </row>
    <row r="360" spans="1:1" ht="15.75" customHeight="1">
      <c r="A360" s="22"/>
    </row>
    <row r="361" spans="1:1" ht="15.75" customHeight="1">
      <c r="A361" s="22"/>
    </row>
    <row r="362" spans="1:1" ht="15.75" customHeight="1">
      <c r="A362" s="22"/>
    </row>
    <row r="363" spans="1:1" ht="15.75" customHeight="1">
      <c r="A363" s="22"/>
    </row>
    <row r="364" spans="1:1" ht="15.75" customHeight="1">
      <c r="A364" s="22"/>
    </row>
    <row r="365" spans="1:1" ht="15.75" customHeight="1">
      <c r="A365" s="22"/>
    </row>
    <row r="366" spans="1:1" ht="15.75" customHeight="1">
      <c r="A366" s="22"/>
    </row>
    <row r="367" spans="1:1" ht="15.75" customHeight="1">
      <c r="A367" s="22"/>
    </row>
    <row r="368" spans="1:1" ht="15.75" customHeight="1">
      <c r="A368" s="22"/>
    </row>
    <row r="369" spans="1:1" ht="15.75" customHeight="1">
      <c r="A369" s="22"/>
    </row>
    <row r="370" spans="1:1" ht="15.75" customHeight="1">
      <c r="A370" s="22"/>
    </row>
    <row r="371" spans="1:1" ht="15.75" customHeight="1">
      <c r="A371" s="22"/>
    </row>
    <row r="372" spans="1:1" ht="15.75" customHeight="1">
      <c r="A372" s="22"/>
    </row>
    <row r="373" spans="1:1" ht="15.75" customHeight="1">
      <c r="A373" s="22"/>
    </row>
    <row r="374" spans="1:1" ht="15.75" customHeight="1">
      <c r="A374" s="22"/>
    </row>
    <row r="375" spans="1:1" ht="15.75" customHeight="1">
      <c r="A375" s="22"/>
    </row>
    <row r="376" spans="1:1" ht="15.75" customHeight="1">
      <c r="A376" s="22"/>
    </row>
    <row r="377" spans="1:1" ht="15.75" customHeight="1">
      <c r="A377" s="22"/>
    </row>
    <row r="378" spans="1:1" ht="15.75" customHeight="1">
      <c r="A378" s="22"/>
    </row>
    <row r="379" spans="1:1" ht="15.75" customHeight="1">
      <c r="A379" s="22"/>
    </row>
    <row r="380" spans="1:1" ht="15.75" customHeight="1">
      <c r="A380" s="22"/>
    </row>
    <row r="381" spans="1:1" ht="15.75" customHeight="1">
      <c r="A381" s="22"/>
    </row>
    <row r="382" spans="1:1" ht="15.75" customHeight="1">
      <c r="A382" s="22"/>
    </row>
    <row r="383" spans="1:1" ht="15.75" customHeight="1">
      <c r="A383" s="22"/>
    </row>
    <row r="384" spans="1:1" ht="15.75" customHeight="1">
      <c r="A384" s="22"/>
    </row>
    <row r="385" spans="1:1" ht="15.75" customHeight="1">
      <c r="A385" s="22"/>
    </row>
    <row r="386" spans="1:1" ht="15.75" customHeight="1">
      <c r="A386" s="22"/>
    </row>
    <row r="387" spans="1:1" ht="15.75" customHeight="1">
      <c r="A387" s="22"/>
    </row>
    <row r="388" spans="1:1" ht="15.75" customHeight="1">
      <c r="A388" s="22"/>
    </row>
    <row r="389" spans="1:1" ht="15.75" customHeight="1">
      <c r="A389" s="22"/>
    </row>
    <row r="390" spans="1:1" ht="15.75" customHeight="1">
      <c r="A390" s="22"/>
    </row>
    <row r="391" spans="1:1" ht="15.75" customHeight="1">
      <c r="A391" s="22"/>
    </row>
    <row r="392" spans="1:1" ht="15.75" customHeight="1">
      <c r="A392" s="22"/>
    </row>
    <row r="393" spans="1:1" ht="15.75" customHeight="1">
      <c r="A393" s="22"/>
    </row>
    <row r="394" spans="1:1" ht="15.75" customHeight="1">
      <c r="A394" s="22"/>
    </row>
    <row r="395" spans="1:1" ht="15.75" customHeight="1">
      <c r="A395" s="22"/>
    </row>
    <row r="396" spans="1:1" ht="15.75" customHeight="1">
      <c r="A396" s="22"/>
    </row>
    <row r="397" spans="1:1" ht="15.75" customHeight="1">
      <c r="A397" s="22"/>
    </row>
    <row r="398" spans="1:1" ht="15.75" customHeight="1">
      <c r="A398" s="22"/>
    </row>
    <row r="399" spans="1:1" ht="15.75" customHeight="1">
      <c r="A399" s="22"/>
    </row>
    <row r="400" spans="1:1" ht="15.75" customHeight="1">
      <c r="A400" s="22"/>
    </row>
    <row r="401" spans="1:1" ht="15.75" customHeight="1">
      <c r="A401" s="22"/>
    </row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spans="12:12" ht="15.75" customHeight="1"/>
    <row r="1010" spans="12:12" ht="15.75" customHeight="1"/>
    <row r="1011" spans="12:12" ht="15.75" customHeight="1">
      <c r="L1011" s="12"/>
    </row>
  </sheetData>
  <pageMargins left="0.7" right="0.7" top="0.75" bottom="0.75" header="0" footer="0"/>
  <pageSetup orientation="landscape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K780"/>
  <sheetViews>
    <sheetView zoomScaleNormal="100" workbookViewId="0">
      <pane ySplit="1" topLeftCell="A2" activePane="bottomLeft" state="frozen"/>
      <selection pane="bottomLeft" activeCell="D3" sqref="D3"/>
    </sheetView>
  </sheetViews>
  <sheetFormatPr defaultColWidth="12.5546875" defaultRowHeight="15" customHeight="1"/>
  <cols>
    <col min="3" max="3" width="19.6640625" customWidth="1"/>
    <col min="4" max="4" width="22.44140625" customWidth="1"/>
    <col min="5" max="11" width="15.6640625" customWidth="1"/>
    <col min="12" max="12" width="23.109375" customWidth="1"/>
    <col min="13" max="13" width="9.88671875" customWidth="1"/>
    <col min="14" max="14" width="13.88671875" customWidth="1"/>
    <col min="15" max="15" width="19.109375" customWidth="1"/>
    <col min="16" max="17" width="19" customWidth="1"/>
    <col min="18" max="18" width="28.88671875" customWidth="1"/>
  </cols>
  <sheetData>
    <row r="1" spans="1:37" ht="14.4">
      <c r="A1" s="16" t="s">
        <v>219</v>
      </c>
      <c r="B1" s="15" t="s">
        <v>220</v>
      </c>
      <c r="C1" s="120" t="s">
        <v>359</v>
      </c>
      <c r="D1" s="120" t="s">
        <v>360</v>
      </c>
      <c r="E1" s="120" t="s">
        <v>361</v>
      </c>
      <c r="F1" s="120" t="s">
        <v>362</v>
      </c>
      <c r="G1" s="120" t="s">
        <v>363</v>
      </c>
      <c r="H1" s="120" t="s">
        <v>364</v>
      </c>
      <c r="I1" s="120" t="s">
        <v>365</v>
      </c>
      <c r="J1" s="120" t="s">
        <v>366</v>
      </c>
      <c r="K1" s="120" t="s">
        <v>367</v>
      </c>
      <c r="L1" s="120" t="s">
        <v>368</v>
      </c>
      <c r="M1" s="120" t="s">
        <v>369</v>
      </c>
      <c r="N1" s="120" t="s">
        <v>370</v>
      </c>
      <c r="O1" s="120" t="s">
        <v>371</v>
      </c>
      <c r="P1" s="120" t="s">
        <v>372</v>
      </c>
      <c r="Q1" s="120" t="s">
        <v>373</v>
      </c>
      <c r="R1" s="121" t="s">
        <v>374</v>
      </c>
      <c r="V1" s="243" t="s">
        <v>269</v>
      </c>
    </row>
    <row r="2" spans="1:37" ht="14.4">
      <c r="A2" s="192">
        <v>1</v>
      </c>
      <c r="B2" s="193">
        <v>1</v>
      </c>
      <c r="C2" s="222" t="s">
        <v>375</v>
      </c>
      <c r="D2" s="22" t="s">
        <v>376</v>
      </c>
      <c r="E2" s="1" t="s">
        <v>377</v>
      </c>
      <c r="F2" s="222"/>
      <c r="G2" s="22">
        <v>1.8</v>
      </c>
      <c r="H2" s="222"/>
      <c r="I2" s="222"/>
      <c r="J2" s="222"/>
      <c r="K2" s="12" t="s">
        <v>378</v>
      </c>
      <c r="L2" s="222" t="s">
        <v>379</v>
      </c>
      <c r="M2" s="222">
        <v>180</v>
      </c>
      <c r="N2" s="222" t="s">
        <v>322</v>
      </c>
      <c r="O2" s="222" t="s">
        <v>380</v>
      </c>
      <c r="P2" s="234"/>
      <c r="Q2" s="227">
        <v>1</v>
      </c>
      <c r="R2" s="235"/>
      <c r="V2" s="45">
        <v>1</v>
      </c>
    </row>
    <row r="3" spans="1:37" ht="14.4">
      <c r="A3" s="194">
        <v>1</v>
      </c>
      <c r="B3" s="195">
        <v>2</v>
      </c>
      <c r="C3" s="22" t="s">
        <v>375</v>
      </c>
      <c r="D3" s="22" t="s">
        <v>376</v>
      </c>
      <c r="E3" s="1" t="s">
        <v>377</v>
      </c>
      <c r="F3" s="22"/>
      <c r="G3" s="22">
        <v>1.8</v>
      </c>
      <c r="H3" s="22"/>
      <c r="I3" s="22"/>
      <c r="J3" s="22"/>
      <c r="K3" s="12" t="s">
        <v>378</v>
      </c>
      <c r="L3" s="22" t="s">
        <v>379</v>
      </c>
      <c r="M3" s="12">
        <v>170</v>
      </c>
      <c r="N3" s="22" t="s">
        <v>322</v>
      </c>
      <c r="O3" s="22" t="s">
        <v>380</v>
      </c>
      <c r="Q3" s="12">
        <v>1</v>
      </c>
      <c r="R3" s="236"/>
      <c r="V3" s="45">
        <v>2</v>
      </c>
    </row>
    <row r="4" spans="1:37" ht="14.4">
      <c r="A4" s="196">
        <v>1</v>
      </c>
      <c r="B4" s="195">
        <v>3</v>
      </c>
      <c r="C4" s="22" t="s">
        <v>375</v>
      </c>
      <c r="D4" s="22" t="s">
        <v>376</v>
      </c>
      <c r="E4" s="1" t="s">
        <v>377</v>
      </c>
      <c r="F4" s="22"/>
      <c r="G4" s="22">
        <v>1.8</v>
      </c>
      <c r="H4" s="22"/>
      <c r="I4" s="22"/>
      <c r="J4" s="22"/>
      <c r="K4" s="12" t="s">
        <v>378</v>
      </c>
      <c r="L4" s="22" t="s">
        <v>379</v>
      </c>
      <c r="M4" s="12">
        <v>160</v>
      </c>
      <c r="N4" s="22" t="s">
        <v>322</v>
      </c>
      <c r="O4" s="22" t="s">
        <v>380</v>
      </c>
      <c r="Q4" s="12">
        <v>1</v>
      </c>
      <c r="R4" s="236"/>
      <c r="V4" s="45">
        <v>3</v>
      </c>
    </row>
    <row r="5" spans="1:37" ht="14.4">
      <c r="A5" s="196">
        <v>1</v>
      </c>
      <c r="B5" s="195">
        <v>4</v>
      </c>
      <c r="C5" s="462" t="s">
        <v>375</v>
      </c>
      <c r="D5" s="22" t="s">
        <v>376</v>
      </c>
      <c r="E5" s="1" t="s">
        <v>377</v>
      </c>
      <c r="F5" s="22"/>
      <c r="G5" s="22">
        <v>1.8</v>
      </c>
      <c r="H5" s="22"/>
      <c r="I5" s="22"/>
      <c r="J5" s="22"/>
      <c r="K5" s="12" t="s">
        <v>378</v>
      </c>
      <c r="L5" s="22" t="s">
        <v>379</v>
      </c>
      <c r="M5" s="12">
        <v>150</v>
      </c>
      <c r="N5" s="22" t="s">
        <v>322</v>
      </c>
      <c r="O5" s="22" t="s">
        <v>380</v>
      </c>
      <c r="P5" s="22"/>
      <c r="Q5" s="12">
        <v>1</v>
      </c>
      <c r="R5" s="226"/>
      <c r="S5" s="22"/>
      <c r="T5" s="22"/>
      <c r="U5" s="22"/>
      <c r="V5" s="45">
        <v>4</v>
      </c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</row>
    <row r="6" spans="1:37" ht="14.4">
      <c r="A6" s="197">
        <v>1</v>
      </c>
      <c r="B6" s="198">
        <v>5</v>
      </c>
      <c r="C6" s="22" t="s">
        <v>375</v>
      </c>
      <c r="D6" s="22" t="s">
        <v>376</v>
      </c>
      <c r="E6" s="1" t="s">
        <v>377</v>
      </c>
      <c r="F6" s="22"/>
      <c r="G6" s="22">
        <v>1.8</v>
      </c>
      <c r="H6" s="22"/>
      <c r="I6" s="22"/>
      <c r="J6" s="22"/>
      <c r="K6" s="27" t="s">
        <v>378</v>
      </c>
      <c r="L6" s="30" t="s">
        <v>379</v>
      </c>
      <c r="M6" s="27">
        <v>145</v>
      </c>
      <c r="N6" s="30" t="s">
        <v>322</v>
      </c>
      <c r="O6" s="30" t="s">
        <v>380</v>
      </c>
      <c r="P6" s="34"/>
      <c r="Q6" s="27">
        <v>1</v>
      </c>
      <c r="R6" s="237"/>
      <c r="V6" s="45">
        <v>5</v>
      </c>
    </row>
    <row r="7" spans="1:37" ht="14.4">
      <c r="A7" s="199">
        <v>2</v>
      </c>
      <c r="B7" s="200">
        <v>1</v>
      </c>
      <c r="C7" s="250" t="s">
        <v>375</v>
      </c>
      <c r="D7" s="250" t="s">
        <v>376</v>
      </c>
      <c r="E7" s="432" t="s">
        <v>377</v>
      </c>
      <c r="F7" s="251">
        <v>25</v>
      </c>
      <c r="G7" s="251">
        <v>0.75</v>
      </c>
      <c r="H7" s="251" t="s">
        <v>381</v>
      </c>
      <c r="I7" s="251">
        <v>25</v>
      </c>
      <c r="J7" s="251">
        <v>0.5</v>
      </c>
      <c r="K7" s="48" t="s">
        <v>378</v>
      </c>
      <c r="L7" s="250" t="s">
        <v>379</v>
      </c>
      <c r="M7" s="251">
        <v>175</v>
      </c>
      <c r="N7" s="250" t="s">
        <v>322</v>
      </c>
      <c r="O7" s="46" t="s">
        <v>380</v>
      </c>
      <c r="P7" s="48" t="s">
        <v>382</v>
      </c>
      <c r="Q7" s="48"/>
      <c r="R7" s="433"/>
      <c r="V7" s="45">
        <v>6</v>
      </c>
    </row>
    <row r="8" spans="1:37" ht="14.4">
      <c r="A8" s="196">
        <v>2</v>
      </c>
      <c r="B8" s="201">
        <v>2</v>
      </c>
      <c r="C8" s="49" t="s">
        <v>375</v>
      </c>
      <c r="D8" s="49" t="s">
        <v>376</v>
      </c>
      <c r="E8" s="434" t="s">
        <v>377</v>
      </c>
      <c r="F8" s="43">
        <v>25</v>
      </c>
      <c r="G8" s="43">
        <v>0.75</v>
      </c>
      <c r="H8" s="43" t="s">
        <v>381</v>
      </c>
      <c r="I8" s="43">
        <v>25</v>
      </c>
      <c r="J8" s="43">
        <v>0.5</v>
      </c>
      <c r="K8" s="43" t="s">
        <v>378</v>
      </c>
      <c r="L8" s="49" t="s">
        <v>379</v>
      </c>
      <c r="M8" s="43">
        <v>175</v>
      </c>
      <c r="N8" s="49" t="s">
        <v>322</v>
      </c>
      <c r="O8" s="49" t="s">
        <v>380</v>
      </c>
      <c r="P8" s="43" t="s">
        <v>382</v>
      </c>
      <c r="Q8" s="43"/>
      <c r="R8" s="435"/>
      <c r="V8" s="45">
        <v>7</v>
      </c>
    </row>
    <row r="9" spans="1:37" ht="14.4">
      <c r="A9" s="196">
        <v>2</v>
      </c>
      <c r="B9" s="201">
        <v>3</v>
      </c>
      <c r="C9" s="46" t="s">
        <v>375</v>
      </c>
      <c r="D9" s="46" t="s">
        <v>376</v>
      </c>
      <c r="E9" s="436" t="s">
        <v>377</v>
      </c>
      <c r="F9" s="48">
        <v>25</v>
      </c>
      <c r="G9" s="48">
        <v>0.75</v>
      </c>
      <c r="H9" s="48" t="s">
        <v>381</v>
      </c>
      <c r="I9" s="48">
        <v>25</v>
      </c>
      <c r="J9" s="48">
        <v>0.5</v>
      </c>
      <c r="K9" s="48" t="s">
        <v>378</v>
      </c>
      <c r="L9" s="46" t="s">
        <v>379</v>
      </c>
      <c r="M9" s="48">
        <v>175</v>
      </c>
      <c r="N9" s="46" t="s">
        <v>322</v>
      </c>
      <c r="O9" s="46" t="s">
        <v>380</v>
      </c>
      <c r="P9" s="48" t="s">
        <v>382</v>
      </c>
      <c r="Q9" s="48"/>
      <c r="R9" s="433"/>
      <c r="V9" s="45">
        <v>8</v>
      </c>
    </row>
    <row r="10" spans="1:37" ht="14.4">
      <c r="A10" s="196">
        <v>2</v>
      </c>
      <c r="B10" s="201">
        <v>4</v>
      </c>
      <c r="C10" s="49" t="s">
        <v>375</v>
      </c>
      <c r="D10" s="49" t="s">
        <v>376</v>
      </c>
      <c r="E10" s="434" t="s">
        <v>377</v>
      </c>
      <c r="F10" s="43">
        <v>25</v>
      </c>
      <c r="G10" s="267">
        <v>0.75</v>
      </c>
      <c r="H10" s="267" t="s">
        <v>381</v>
      </c>
      <c r="I10" s="267">
        <v>25</v>
      </c>
      <c r="J10" s="267">
        <v>0.5</v>
      </c>
      <c r="K10" s="267" t="s">
        <v>378</v>
      </c>
      <c r="L10" s="274" t="s">
        <v>379</v>
      </c>
      <c r="M10" s="267">
        <v>175</v>
      </c>
      <c r="N10" s="274" t="s">
        <v>322</v>
      </c>
      <c r="O10" s="274" t="s">
        <v>380</v>
      </c>
      <c r="P10" s="43" t="s">
        <v>382</v>
      </c>
      <c r="Q10" s="43"/>
      <c r="R10" s="435"/>
      <c r="V10" s="45">
        <v>9</v>
      </c>
    </row>
    <row r="11" spans="1:37" ht="14.4">
      <c r="A11" s="203">
        <v>3</v>
      </c>
      <c r="B11" s="200">
        <v>1</v>
      </c>
      <c r="C11" s="250" t="s">
        <v>375</v>
      </c>
      <c r="D11" s="250" t="s">
        <v>376</v>
      </c>
      <c r="E11" s="432" t="s">
        <v>377</v>
      </c>
      <c r="F11" s="251">
        <v>25</v>
      </c>
      <c r="G11" s="250">
        <v>0.8</v>
      </c>
      <c r="H11" s="250"/>
      <c r="I11" s="250"/>
      <c r="J11" s="250"/>
      <c r="K11" s="251" t="s">
        <v>378</v>
      </c>
      <c r="L11" s="250" t="s">
        <v>379</v>
      </c>
      <c r="M11" s="251">
        <v>190</v>
      </c>
      <c r="N11" s="250" t="s">
        <v>322</v>
      </c>
      <c r="O11" s="250" t="s">
        <v>380</v>
      </c>
      <c r="P11" s="251" t="s">
        <v>382</v>
      </c>
      <c r="Q11" s="251"/>
      <c r="R11" s="437"/>
      <c r="V11" s="45">
        <v>10</v>
      </c>
    </row>
    <row r="12" spans="1:37" ht="14.4">
      <c r="A12" s="204">
        <v>3</v>
      </c>
      <c r="B12" s="201">
        <v>2</v>
      </c>
      <c r="C12" s="49" t="s">
        <v>375</v>
      </c>
      <c r="D12" s="49" t="s">
        <v>376</v>
      </c>
      <c r="E12" s="434" t="s">
        <v>377</v>
      </c>
      <c r="F12" s="43">
        <v>25</v>
      </c>
      <c r="G12" s="49">
        <v>0.8</v>
      </c>
      <c r="H12" s="49"/>
      <c r="I12" s="49"/>
      <c r="J12" s="49"/>
      <c r="K12" s="43" t="s">
        <v>378</v>
      </c>
      <c r="L12" s="49" t="s">
        <v>379</v>
      </c>
      <c r="M12" s="43">
        <v>190</v>
      </c>
      <c r="N12" s="49" t="s">
        <v>322</v>
      </c>
      <c r="O12" s="49" t="s">
        <v>380</v>
      </c>
      <c r="P12" s="43" t="s">
        <v>382</v>
      </c>
      <c r="Q12" s="43"/>
      <c r="R12" s="435"/>
      <c r="V12" s="45">
        <v>11</v>
      </c>
    </row>
    <row r="13" spans="1:37" ht="14.4">
      <c r="A13" s="204">
        <v>3</v>
      </c>
      <c r="B13" s="201">
        <v>3</v>
      </c>
      <c r="C13" s="46" t="s">
        <v>375</v>
      </c>
      <c r="D13" s="46" t="s">
        <v>376</v>
      </c>
      <c r="E13" s="436" t="s">
        <v>377</v>
      </c>
      <c r="F13" s="48">
        <v>25</v>
      </c>
      <c r="G13" s="46">
        <v>0.8</v>
      </c>
      <c r="H13" s="46"/>
      <c r="I13" s="46"/>
      <c r="J13" s="46"/>
      <c r="K13" s="48" t="s">
        <v>378</v>
      </c>
      <c r="L13" s="46" t="s">
        <v>379</v>
      </c>
      <c r="M13" s="48">
        <v>190</v>
      </c>
      <c r="N13" s="46" t="s">
        <v>322</v>
      </c>
      <c r="O13" s="46" t="s">
        <v>380</v>
      </c>
      <c r="P13" s="48" t="s">
        <v>382</v>
      </c>
      <c r="Q13" s="48"/>
      <c r="R13" s="433"/>
      <c r="V13" s="45">
        <v>12</v>
      </c>
    </row>
    <row r="14" spans="1:37" ht="14.4">
      <c r="A14" s="204">
        <v>3</v>
      </c>
      <c r="B14" s="201">
        <v>4</v>
      </c>
      <c r="C14" s="274" t="s">
        <v>375</v>
      </c>
      <c r="D14" s="274" t="s">
        <v>376</v>
      </c>
      <c r="E14" s="438" t="s">
        <v>377</v>
      </c>
      <c r="F14" s="267">
        <v>25</v>
      </c>
      <c r="G14" s="274">
        <v>0.8</v>
      </c>
      <c r="H14" s="49"/>
      <c r="I14" s="49"/>
      <c r="J14" s="49"/>
      <c r="K14" s="267" t="s">
        <v>378</v>
      </c>
      <c r="L14" s="49" t="s">
        <v>379</v>
      </c>
      <c r="M14" s="43">
        <v>190</v>
      </c>
      <c r="N14" s="49" t="s">
        <v>322</v>
      </c>
      <c r="O14" s="49" t="s">
        <v>380</v>
      </c>
      <c r="P14" s="267" t="s">
        <v>382</v>
      </c>
      <c r="Q14" s="267"/>
      <c r="R14" s="435"/>
      <c r="V14" s="45">
        <v>13</v>
      </c>
    </row>
    <row r="15" spans="1:37" ht="14.4">
      <c r="A15" s="203">
        <v>4</v>
      </c>
      <c r="B15" s="200">
        <v>1</v>
      </c>
      <c r="C15" s="250" t="s">
        <v>375</v>
      </c>
      <c r="D15" s="250" t="s">
        <v>376</v>
      </c>
      <c r="E15" s="432" t="s">
        <v>377</v>
      </c>
      <c r="F15" s="251">
        <v>25</v>
      </c>
      <c r="G15" s="250">
        <v>1.5</v>
      </c>
      <c r="H15" s="251"/>
      <c r="I15" s="251"/>
      <c r="J15" s="251"/>
      <c r="K15" s="251" t="s">
        <v>378</v>
      </c>
      <c r="L15" s="251" t="s">
        <v>383</v>
      </c>
      <c r="M15" s="251">
        <v>180</v>
      </c>
      <c r="N15" s="250" t="s">
        <v>322</v>
      </c>
      <c r="O15" s="250" t="s">
        <v>380</v>
      </c>
      <c r="P15" s="251" t="s">
        <v>382</v>
      </c>
      <c r="Q15" s="251">
        <v>0.1</v>
      </c>
      <c r="R15" s="437"/>
      <c r="V15" s="45">
        <v>14</v>
      </c>
    </row>
    <row r="16" spans="1:37" ht="14.4">
      <c r="A16" s="204">
        <v>4</v>
      </c>
      <c r="B16" s="201">
        <v>2</v>
      </c>
      <c r="C16" s="49" t="s">
        <v>375</v>
      </c>
      <c r="D16" s="49" t="s">
        <v>376</v>
      </c>
      <c r="E16" s="434" t="s">
        <v>377</v>
      </c>
      <c r="F16" s="43">
        <v>25</v>
      </c>
      <c r="G16" s="49">
        <v>1.5</v>
      </c>
      <c r="H16" s="43"/>
      <c r="I16" s="43"/>
      <c r="J16" s="43"/>
      <c r="K16" s="43" t="s">
        <v>378</v>
      </c>
      <c r="L16" s="43" t="s">
        <v>383</v>
      </c>
      <c r="M16" s="43">
        <v>180</v>
      </c>
      <c r="N16" s="49" t="s">
        <v>322</v>
      </c>
      <c r="O16" s="49" t="s">
        <v>380</v>
      </c>
      <c r="P16" s="43" t="s">
        <v>382</v>
      </c>
      <c r="Q16" s="43">
        <v>0.1</v>
      </c>
      <c r="R16" s="435"/>
      <c r="V16" s="45">
        <v>15</v>
      </c>
    </row>
    <row r="17" spans="1:22" ht="14.4">
      <c r="A17" s="204">
        <v>4</v>
      </c>
      <c r="B17" s="201">
        <v>3</v>
      </c>
      <c r="C17" s="326" t="s">
        <v>375</v>
      </c>
      <c r="D17" s="326" t="s">
        <v>376</v>
      </c>
      <c r="E17" s="439" t="s">
        <v>377</v>
      </c>
      <c r="F17" s="268">
        <v>25</v>
      </c>
      <c r="G17" s="326">
        <v>1.5</v>
      </c>
      <c r="H17" s="48"/>
      <c r="I17" s="48"/>
      <c r="J17" s="48"/>
      <c r="K17" s="48" t="s">
        <v>378</v>
      </c>
      <c r="L17" s="268" t="s">
        <v>383</v>
      </c>
      <c r="M17" s="268">
        <v>180</v>
      </c>
      <c r="N17" s="326" t="s">
        <v>322</v>
      </c>
      <c r="O17" s="326" t="s">
        <v>380</v>
      </c>
      <c r="P17" s="48" t="s">
        <v>382</v>
      </c>
      <c r="Q17" s="48">
        <v>0.1</v>
      </c>
      <c r="R17" s="433"/>
      <c r="V17" s="45">
        <v>16</v>
      </c>
    </row>
    <row r="18" spans="1:22" ht="14.4">
      <c r="A18" s="203">
        <v>5</v>
      </c>
      <c r="B18" s="200">
        <v>1</v>
      </c>
      <c r="C18" s="244" t="s">
        <v>375</v>
      </c>
      <c r="D18" s="244" t="s">
        <v>376</v>
      </c>
      <c r="E18" s="440" t="s">
        <v>377</v>
      </c>
      <c r="F18" s="244"/>
      <c r="G18" s="244"/>
      <c r="H18" s="245" t="s">
        <v>381</v>
      </c>
      <c r="I18" s="245">
        <v>25</v>
      </c>
      <c r="J18" s="245">
        <v>2</v>
      </c>
      <c r="K18" s="245" t="s">
        <v>378</v>
      </c>
      <c r="L18" s="244" t="s">
        <v>379</v>
      </c>
      <c r="M18" s="245">
        <v>175</v>
      </c>
      <c r="N18" s="244" t="s">
        <v>322</v>
      </c>
      <c r="O18" s="244"/>
      <c r="P18" s="245" t="s">
        <v>382</v>
      </c>
      <c r="Q18" s="245">
        <v>1</v>
      </c>
      <c r="R18" s="441"/>
      <c r="V18" s="45">
        <v>17</v>
      </c>
    </row>
    <row r="19" spans="1:22" ht="14.4">
      <c r="A19" s="204">
        <v>5</v>
      </c>
      <c r="B19" s="201">
        <v>2</v>
      </c>
      <c r="C19" s="46" t="s">
        <v>375</v>
      </c>
      <c r="D19" s="46" t="s">
        <v>376</v>
      </c>
      <c r="E19" s="436" t="s">
        <v>377</v>
      </c>
      <c r="F19" s="46"/>
      <c r="G19" s="46"/>
      <c r="H19" s="48" t="s">
        <v>381</v>
      </c>
      <c r="I19" s="48">
        <v>25</v>
      </c>
      <c r="J19" s="48">
        <v>2</v>
      </c>
      <c r="K19" s="48" t="s">
        <v>378</v>
      </c>
      <c r="L19" s="46" t="s">
        <v>379</v>
      </c>
      <c r="M19" s="48">
        <v>175</v>
      </c>
      <c r="N19" s="46" t="s">
        <v>322</v>
      </c>
      <c r="O19" s="46"/>
      <c r="P19" s="48" t="s">
        <v>382</v>
      </c>
      <c r="Q19" s="48">
        <v>1</v>
      </c>
      <c r="R19" s="433"/>
      <c r="V19" s="45">
        <v>18</v>
      </c>
    </row>
    <row r="20" spans="1:22" ht="14.4">
      <c r="A20" s="204">
        <v>5</v>
      </c>
      <c r="B20" s="201">
        <v>3</v>
      </c>
      <c r="C20" s="49" t="s">
        <v>375</v>
      </c>
      <c r="D20" s="49" t="s">
        <v>376</v>
      </c>
      <c r="E20" s="434" t="s">
        <v>377</v>
      </c>
      <c r="F20" s="49"/>
      <c r="G20" s="49"/>
      <c r="H20" s="43" t="s">
        <v>381</v>
      </c>
      <c r="I20" s="43">
        <v>25</v>
      </c>
      <c r="J20" s="43">
        <v>2</v>
      </c>
      <c r="K20" s="43" t="s">
        <v>378</v>
      </c>
      <c r="L20" s="49" t="s">
        <v>379</v>
      </c>
      <c r="M20" s="43">
        <v>175</v>
      </c>
      <c r="N20" s="49" t="s">
        <v>322</v>
      </c>
      <c r="O20" s="49"/>
      <c r="P20" s="43" t="s">
        <v>382</v>
      </c>
      <c r="Q20" s="43">
        <v>1</v>
      </c>
      <c r="R20" s="435"/>
      <c r="V20" s="45">
        <v>19</v>
      </c>
    </row>
    <row r="21" spans="1:22" ht="14.4">
      <c r="A21" s="204">
        <v>5</v>
      </c>
      <c r="B21" s="201">
        <v>4</v>
      </c>
      <c r="C21" s="46" t="s">
        <v>375</v>
      </c>
      <c r="D21" s="46" t="s">
        <v>376</v>
      </c>
      <c r="E21" s="436" t="s">
        <v>377</v>
      </c>
      <c r="F21" s="46"/>
      <c r="G21" s="46"/>
      <c r="H21" s="48" t="s">
        <v>381</v>
      </c>
      <c r="I21" s="48">
        <v>25</v>
      </c>
      <c r="J21" s="48">
        <v>2</v>
      </c>
      <c r="K21" s="48" t="s">
        <v>378</v>
      </c>
      <c r="L21" s="46" t="s">
        <v>379</v>
      </c>
      <c r="M21" s="48">
        <v>175</v>
      </c>
      <c r="N21" s="46" t="s">
        <v>322</v>
      </c>
      <c r="O21" s="46"/>
      <c r="P21" s="48" t="s">
        <v>382</v>
      </c>
      <c r="Q21" s="48">
        <v>1</v>
      </c>
      <c r="R21" s="433"/>
      <c r="V21" s="45">
        <v>20</v>
      </c>
    </row>
    <row r="22" spans="1:22" ht="14.4">
      <c r="A22" s="204">
        <v>5</v>
      </c>
      <c r="B22" s="201">
        <v>5</v>
      </c>
      <c r="C22" s="49" t="s">
        <v>375</v>
      </c>
      <c r="D22" s="49" t="s">
        <v>376</v>
      </c>
      <c r="E22" s="434" t="s">
        <v>377</v>
      </c>
      <c r="F22" s="49"/>
      <c r="G22" s="49"/>
      <c r="H22" s="43" t="s">
        <v>381</v>
      </c>
      <c r="I22" s="43">
        <v>25</v>
      </c>
      <c r="J22" s="43">
        <v>2</v>
      </c>
      <c r="K22" s="43" t="s">
        <v>378</v>
      </c>
      <c r="L22" s="49" t="s">
        <v>379</v>
      </c>
      <c r="M22" s="43">
        <v>175</v>
      </c>
      <c r="N22" s="49" t="s">
        <v>322</v>
      </c>
      <c r="O22" s="49"/>
      <c r="P22" s="43" t="s">
        <v>382</v>
      </c>
      <c r="Q22" s="43">
        <v>1</v>
      </c>
      <c r="R22" s="435"/>
      <c r="V22" s="45">
        <v>21</v>
      </c>
    </row>
    <row r="23" spans="1:22" ht="14.4">
      <c r="A23" s="204">
        <v>5</v>
      </c>
      <c r="B23" s="201">
        <v>6</v>
      </c>
      <c r="C23" s="46" t="s">
        <v>375</v>
      </c>
      <c r="D23" s="46" t="s">
        <v>376</v>
      </c>
      <c r="E23" s="436" t="s">
        <v>377</v>
      </c>
      <c r="F23" s="46"/>
      <c r="G23" s="46"/>
      <c r="H23" s="48" t="s">
        <v>381</v>
      </c>
      <c r="I23" s="48">
        <v>25</v>
      </c>
      <c r="J23" s="48">
        <v>2</v>
      </c>
      <c r="K23" s="48" t="s">
        <v>378</v>
      </c>
      <c r="L23" s="326" t="s">
        <v>379</v>
      </c>
      <c r="M23" s="268">
        <v>175</v>
      </c>
      <c r="N23" s="326" t="s">
        <v>322</v>
      </c>
      <c r="O23" s="326"/>
      <c r="P23" s="268" t="s">
        <v>382</v>
      </c>
      <c r="Q23" s="268">
        <v>1</v>
      </c>
      <c r="R23" s="433"/>
      <c r="V23" s="45">
        <v>22</v>
      </c>
    </row>
    <row r="24" spans="1:22" ht="14.4">
      <c r="A24" s="203">
        <v>6</v>
      </c>
      <c r="B24" s="200">
        <v>1</v>
      </c>
      <c r="C24" s="244" t="s">
        <v>375</v>
      </c>
      <c r="D24" s="244" t="s">
        <v>376</v>
      </c>
      <c r="E24" s="440" t="s">
        <v>377</v>
      </c>
      <c r="F24" s="245">
        <v>25</v>
      </c>
      <c r="G24" s="244"/>
      <c r="H24" s="245"/>
      <c r="I24" s="245"/>
      <c r="J24" s="245"/>
      <c r="K24" s="245" t="s">
        <v>378</v>
      </c>
      <c r="L24" s="244" t="s">
        <v>379</v>
      </c>
      <c r="M24" s="245">
        <v>175</v>
      </c>
      <c r="N24" s="244" t="s">
        <v>322</v>
      </c>
      <c r="O24" s="244" t="s">
        <v>380</v>
      </c>
      <c r="P24" s="245" t="s">
        <v>382</v>
      </c>
      <c r="Q24" s="245">
        <v>1</v>
      </c>
      <c r="R24" s="441"/>
      <c r="V24" s="45">
        <v>23</v>
      </c>
    </row>
    <row r="25" spans="1:22" ht="14.4">
      <c r="A25" s="204">
        <v>6</v>
      </c>
      <c r="B25" s="201">
        <v>2</v>
      </c>
      <c r="C25" s="46" t="s">
        <v>375</v>
      </c>
      <c r="D25" s="46" t="s">
        <v>376</v>
      </c>
      <c r="E25" s="436" t="s">
        <v>377</v>
      </c>
      <c r="F25" s="48">
        <v>25</v>
      </c>
      <c r="G25" s="46"/>
      <c r="H25" s="48"/>
      <c r="I25" s="48"/>
      <c r="J25" s="48"/>
      <c r="K25" s="48" t="s">
        <v>378</v>
      </c>
      <c r="L25" s="46" t="s">
        <v>379</v>
      </c>
      <c r="M25" s="48">
        <v>175</v>
      </c>
      <c r="N25" s="46" t="s">
        <v>322</v>
      </c>
      <c r="O25" s="46" t="s">
        <v>380</v>
      </c>
      <c r="P25" s="48" t="s">
        <v>382</v>
      </c>
      <c r="Q25" s="48">
        <v>1</v>
      </c>
      <c r="R25" s="433"/>
      <c r="V25" s="45">
        <v>24</v>
      </c>
    </row>
    <row r="26" spans="1:22" ht="14.4">
      <c r="A26" s="204">
        <v>6</v>
      </c>
      <c r="B26" s="201">
        <v>3</v>
      </c>
      <c r="C26" s="49" t="s">
        <v>375</v>
      </c>
      <c r="D26" s="49" t="s">
        <v>376</v>
      </c>
      <c r="E26" s="434" t="s">
        <v>377</v>
      </c>
      <c r="F26" s="43">
        <v>25</v>
      </c>
      <c r="G26" s="49"/>
      <c r="H26" s="43"/>
      <c r="I26" s="43"/>
      <c r="J26" s="43"/>
      <c r="K26" s="43" t="s">
        <v>378</v>
      </c>
      <c r="L26" s="49" t="s">
        <v>379</v>
      </c>
      <c r="M26" s="43">
        <v>175</v>
      </c>
      <c r="N26" s="49" t="s">
        <v>322</v>
      </c>
      <c r="O26" s="49" t="s">
        <v>380</v>
      </c>
      <c r="P26" s="43" t="s">
        <v>382</v>
      </c>
      <c r="Q26" s="43">
        <v>1</v>
      </c>
      <c r="R26" s="435"/>
      <c r="V26" s="45">
        <v>25</v>
      </c>
    </row>
    <row r="27" spans="1:22" ht="14.4">
      <c r="A27" s="204">
        <v>6</v>
      </c>
      <c r="B27" s="201">
        <v>4</v>
      </c>
      <c r="C27" s="326" t="s">
        <v>375</v>
      </c>
      <c r="D27" s="326" t="s">
        <v>376</v>
      </c>
      <c r="E27" s="439" t="s">
        <v>377</v>
      </c>
      <c r="F27" s="268">
        <v>25</v>
      </c>
      <c r="G27" s="326"/>
      <c r="H27" s="268"/>
      <c r="I27" s="268"/>
      <c r="J27" s="268"/>
      <c r="K27" s="268" t="s">
        <v>378</v>
      </c>
      <c r="L27" s="46" t="s">
        <v>379</v>
      </c>
      <c r="M27" s="48">
        <v>175</v>
      </c>
      <c r="N27" s="46" t="s">
        <v>322</v>
      </c>
      <c r="O27" s="46" t="s">
        <v>380</v>
      </c>
      <c r="P27" s="48" t="s">
        <v>382</v>
      </c>
      <c r="Q27" s="48">
        <v>1</v>
      </c>
      <c r="R27" s="433"/>
      <c r="V27" s="45">
        <v>26</v>
      </c>
    </row>
    <row r="28" spans="1:22" ht="14.4">
      <c r="A28" s="203">
        <v>7</v>
      </c>
      <c r="B28" s="200">
        <v>1</v>
      </c>
      <c r="C28" s="244" t="s">
        <v>375</v>
      </c>
      <c r="D28" s="244" t="s">
        <v>376</v>
      </c>
      <c r="E28" s="440" t="s">
        <v>377</v>
      </c>
      <c r="F28" s="245">
        <v>20</v>
      </c>
      <c r="G28" s="244"/>
      <c r="H28" s="244"/>
      <c r="I28" s="244"/>
      <c r="J28" s="244"/>
      <c r="K28" s="245" t="s">
        <v>378</v>
      </c>
      <c r="L28" s="244" t="s">
        <v>379</v>
      </c>
      <c r="M28" s="245">
        <v>190</v>
      </c>
      <c r="N28" s="245" t="s">
        <v>322</v>
      </c>
      <c r="O28" s="244"/>
      <c r="P28" s="245" t="s">
        <v>382</v>
      </c>
      <c r="Q28" s="245">
        <v>0.3</v>
      </c>
      <c r="R28" s="441"/>
      <c r="V28" s="45">
        <v>27</v>
      </c>
    </row>
    <row r="29" spans="1:22" ht="14.4">
      <c r="A29" s="204">
        <v>7</v>
      </c>
      <c r="B29" s="201">
        <v>2</v>
      </c>
      <c r="C29" s="326" t="s">
        <v>375</v>
      </c>
      <c r="D29" s="326" t="s">
        <v>376</v>
      </c>
      <c r="E29" s="439" t="s">
        <v>377</v>
      </c>
      <c r="F29" s="268">
        <v>20</v>
      </c>
      <c r="G29" s="326"/>
      <c r="H29" s="326"/>
      <c r="I29" s="326"/>
      <c r="J29" s="326"/>
      <c r="K29" s="326" t="s">
        <v>378</v>
      </c>
      <c r="L29" s="326" t="s">
        <v>379</v>
      </c>
      <c r="M29" s="268">
        <v>190</v>
      </c>
      <c r="N29" s="268" t="s">
        <v>322</v>
      </c>
      <c r="O29" s="326"/>
      <c r="P29" s="268" t="s">
        <v>382</v>
      </c>
      <c r="Q29" s="268">
        <v>0.3</v>
      </c>
      <c r="R29" s="433"/>
      <c r="V29" s="45">
        <v>28</v>
      </c>
    </row>
    <row r="30" spans="1:22" ht="14.4">
      <c r="A30" s="203">
        <v>8</v>
      </c>
      <c r="B30" s="200">
        <v>1</v>
      </c>
      <c r="C30" s="442" t="s">
        <v>384</v>
      </c>
      <c r="D30" s="442" t="s">
        <v>385</v>
      </c>
      <c r="E30" s="440"/>
      <c r="F30" s="245"/>
      <c r="G30" s="245"/>
      <c r="H30" s="245"/>
      <c r="I30" s="245"/>
      <c r="J30" s="245"/>
      <c r="K30" s="245"/>
      <c r="L30" s="245" t="s">
        <v>383</v>
      </c>
      <c r="M30" s="245"/>
      <c r="N30" s="245" t="s">
        <v>322</v>
      </c>
      <c r="O30" s="244" t="s">
        <v>380</v>
      </c>
      <c r="P30" s="245" t="s">
        <v>386</v>
      </c>
      <c r="Q30" s="245"/>
      <c r="R30" s="441">
        <v>1</v>
      </c>
      <c r="V30" s="45">
        <v>29</v>
      </c>
    </row>
    <row r="31" spans="1:22" ht="14.4">
      <c r="A31" s="204">
        <v>8</v>
      </c>
      <c r="B31" s="201">
        <v>2</v>
      </c>
      <c r="C31" s="443" t="s">
        <v>384</v>
      </c>
      <c r="D31" s="443" t="s">
        <v>385</v>
      </c>
      <c r="E31" s="436"/>
      <c r="F31" s="48"/>
      <c r="G31" s="48"/>
      <c r="H31" s="48"/>
      <c r="I31" s="48"/>
      <c r="J31" s="48"/>
      <c r="K31" s="48"/>
      <c r="L31" s="48" t="s">
        <v>383</v>
      </c>
      <c r="M31" s="48"/>
      <c r="N31" s="48" t="s">
        <v>322</v>
      </c>
      <c r="O31" s="46" t="s">
        <v>380</v>
      </c>
      <c r="P31" s="48" t="s">
        <v>386</v>
      </c>
      <c r="Q31" s="48"/>
      <c r="R31" s="433">
        <v>1</v>
      </c>
      <c r="V31" s="45">
        <v>30</v>
      </c>
    </row>
    <row r="32" spans="1:22" ht="14.4">
      <c r="A32" s="204">
        <v>8</v>
      </c>
      <c r="B32" s="201">
        <v>3</v>
      </c>
      <c r="C32" s="444" t="s">
        <v>384</v>
      </c>
      <c r="D32" s="444" t="s">
        <v>385</v>
      </c>
      <c r="E32" s="434"/>
      <c r="F32" s="43"/>
      <c r="G32" s="43"/>
      <c r="H32" s="43"/>
      <c r="I32" s="43"/>
      <c r="J32" s="43"/>
      <c r="K32" s="43"/>
      <c r="L32" s="43" t="s">
        <v>383</v>
      </c>
      <c r="M32" s="43"/>
      <c r="N32" s="43" t="s">
        <v>322</v>
      </c>
      <c r="O32" s="49" t="s">
        <v>380</v>
      </c>
      <c r="P32" s="43" t="s">
        <v>386</v>
      </c>
      <c r="Q32" s="43"/>
      <c r="R32" s="435">
        <v>1</v>
      </c>
      <c r="V32" s="45">
        <v>31</v>
      </c>
    </row>
    <row r="33" spans="1:22" ht="14.4">
      <c r="A33" s="204">
        <v>8</v>
      </c>
      <c r="B33" s="201">
        <v>4</v>
      </c>
      <c r="C33" s="445" t="s">
        <v>384</v>
      </c>
      <c r="D33" s="445" t="s">
        <v>385</v>
      </c>
      <c r="E33" s="436"/>
      <c r="F33" s="48"/>
      <c r="G33" s="48"/>
      <c r="H33" s="48"/>
      <c r="I33" s="48"/>
      <c r="J33" s="48"/>
      <c r="K33" s="48"/>
      <c r="L33" s="48" t="s">
        <v>383</v>
      </c>
      <c r="M33" s="48"/>
      <c r="N33" s="48" t="s">
        <v>322</v>
      </c>
      <c r="O33" s="46" t="s">
        <v>380</v>
      </c>
      <c r="P33" s="268" t="s">
        <v>386</v>
      </c>
      <c r="Q33" s="48"/>
      <c r="R33" s="433">
        <v>1</v>
      </c>
      <c r="V33" s="45">
        <v>32</v>
      </c>
    </row>
    <row r="34" spans="1:22" ht="14.4">
      <c r="A34" s="203">
        <v>9</v>
      </c>
      <c r="B34" s="200">
        <v>1</v>
      </c>
      <c r="C34" s="442" t="s">
        <v>384</v>
      </c>
      <c r="D34" s="442" t="s">
        <v>387</v>
      </c>
      <c r="E34" s="245"/>
      <c r="F34" s="245"/>
      <c r="G34" s="245"/>
      <c r="H34" s="245"/>
      <c r="I34" s="245"/>
      <c r="J34" s="245"/>
      <c r="K34" s="245"/>
      <c r="L34" s="245" t="s">
        <v>383</v>
      </c>
      <c r="M34" s="245"/>
      <c r="N34" s="245" t="s">
        <v>322</v>
      </c>
      <c r="O34" s="244"/>
      <c r="P34" s="245" t="s">
        <v>386</v>
      </c>
      <c r="Q34" s="245"/>
      <c r="R34" s="441">
        <v>1</v>
      </c>
      <c r="V34" s="45">
        <v>33</v>
      </c>
    </row>
    <row r="35" spans="1:22" ht="14.4">
      <c r="A35" s="204">
        <v>9</v>
      </c>
      <c r="B35" s="201">
        <v>2</v>
      </c>
      <c r="C35" s="443" t="s">
        <v>384</v>
      </c>
      <c r="D35" s="443" t="s">
        <v>387</v>
      </c>
      <c r="E35" s="48"/>
      <c r="F35" s="48"/>
      <c r="G35" s="48"/>
      <c r="H35" s="48"/>
      <c r="I35" s="48"/>
      <c r="J35" s="48"/>
      <c r="K35" s="48"/>
      <c r="L35" s="48" t="s">
        <v>383</v>
      </c>
      <c r="M35" s="48"/>
      <c r="N35" s="48" t="s">
        <v>322</v>
      </c>
      <c r="O35" s="46"/>
      <c r="P35" s="48" t="s">
        <v>386</v>
      </c>
      <c r="Q35" s="48"/>
      <c r="R35" s="433">
        <v>1</v>
      </c>
      <c r="V35" s="45">
        <v>34</v>
      </c>
    </row>
    <row r="36" spans="1:22" ht="14.4">
      <c r="A36" s="204">
        <v>9</v>
      </c>
      <c r="B36" s="201">
        <v>3</v>
      </c>
      <c r="C36" s="444" t="s">
        <v>384</v>
      </c>
      <c r="D36" s="444" t="s">
        <v>387</v>
      </c>
      <c r="E36" s="43"/>
      <c r="F36" s="43"/>
      <c r="G36" s="43"/>
      <c r="H36" s="43"/>
      <c r="I36" s="43"/>
      <c r="J36" s="43"/>
      <c r="K36" s="43"/>
      <c r="L36" s="43" t="s">
        <v>383</v>
      </c>
      <c r="M36" s="43"/>
      <c r="N36" s="43" t="s">
        <v>322</v>
      </c>
      <c r="O36" s="49"/>
      <c r="P36" s="43" t="s">
        <v>386</v>
      </c>
      <c r="Q36" s="43"/>
      <c r="R36" s="435">
        <v>1</v>
      </c>
      <c r="V36" s="45">
        <v>35</v>
      </c>
    </row>
    <row r="37" spans="1:22" ht="14.4">
      <c r="A37" s="204">
        <v>9</v>
      </c>
      <c r="B37" s="201">
        <v>4</v>
      </c>
      <c r="C37" s="443" t="s">
        <v>384</v>
      </c>
      <c r="D37" s="443" t="s">
        <v>387</v>
      </c>
      <c r="E37" s="460"/>
      <c r="F37" s="460"/>
      <c r="G37" s="460"/>
      <c r="H37" s="460"/>
      <c r="I37" s="460"/>
      <c r="J37" s="460"/>
      <c r="K37" s="460"/>
      <c r="L37" s="460" t="s">
        <v>383</v>
      </c>
      <c r="M37" s="268"/>
      <c r="N37" s="268" t="s">
        <v>322</v>
      </c>
      <c r="O37" s="326"/>
      <c r="P37" s="268" t="s">
        <v>386</v>
      </c>
      <c r="Q37" s="48"/>
      <c r="R37" s="433">
        <v>1</v>
      </c>
      <c r="V37" s="45">
        <v>36</v>
      </c>
    </row>
    <row r="38" spans="1:22" ht="14.4">
      <c r="A38" s="203">
        <v>11</v>
      </c>
      <c r="B38" s="200" t="s">
        <v>221</v>
      </c>
      <c r="C38" s="244" t="s">
        <v>375</v>
      </c>
      <c r="D38" s="244" t="s">
        <v>376</v>
      </c>
      <c r="E38" s="43"/>
      <c r="F38" s="43">
        <v>25</v>
      </c>
      <c r="G38" s="43">
        <v>0.5</v>
      </c>
      <c r="H38" s="43"/>
      <c r="I38" s="43"/>
      <c r="J38" s="43"/>
      <c r="K38" s="43" t="s">
        <v>378</v>
      </c>
      <c r="L38" s="43" t="s">
        <v>383</v>
      </c>
      <c r="M38" s="245">
        <v>190</v>
      </c>
      <c r="N38" s="245" t="s">
        <v>322</v>
      </c>
      <c r="O38" s="244" t="s">
        <v>380</v>
      </c>
      <c r="P38" s="245"/>
      <c r="Q38" s="43"/>
      <c r="R38" s="441"/>
      <c r="S38" s="2"/>
      <c r="V38" s="45">
        <v>37</v>
      </c>
    </row>
    <row r="39" spans="1:22" ht="14.4">
      <c r="A39" s="204">
        <v>11</v>
      </c>
      <c r="B39" s="201" t="s">
        <v>222</v>
      </c>
      <c r="C39" s="46" t="s">
        <v>375</v>
      </c>
      <c r="D39" s="46" t="s">
        <v>376</v>
      </c>
      <c r="E39" s="48"/>
      <c r="F39" s="48">
        <v>25</v>
      </c>
      <c r="G39" s="48">
        <v>0.5</v>
      </c>
      <c r="H39" s="48"/>
      <c r="I39" s="48"/>
      <c r="J39" s="48"/>
      <c r="K39" s="48" t="s">
        <v>378</v>
      </c>
      <c r="L39" s="48" t="s">
        <v>383</v>
      </c>
      <c r="M39" s="48">
        <v>190</v>
      </c>
      <c r="N39" s="48" t="s">
        <v>322</v>
      </c>
      <c r="O39" s="46" t="s">
        <v>380</v>
      </c>
      <c r="P39" s="48"/>
      <c r="Q39" s="48"/>
      <c r="R39" s="433"/>
      <c r="S39" s="2"/>
      <c r="V39" s="45">
        <v>38</v>
      </c>
    </row>
    <row r="40" spans="1:22" ht="14.4">
      <c r="A40" s="204">
        <v>11</v>
      </c>
      <c r="B40" s="201" t="s">
        <v>223</v>
      </c>
      <c r="C40" s="49" t="s">
        <v>375</v>
      </c>
      <c r="D40" s="49" t="s">
        <v>376</v>
      </c>
      <c r="E40" s="43"/>
      <c r="F40" s="43">
        <v>25</v>
      </c>
      <c r="G40" s="43">
        <v>0.5</v>
      </c>
      <c r="H40" s="43"/>
      <c r="I40" s="43"/>
      <c r="J40" s="43"/>
      <c r="K40" s="43" t="s">
        <v>378</v>
      </c>
      <c r="L40" s="43" t="s">
        <v>383</v>
      </c>
      <c r="M40" s="43">
        <v>190</v>
      </c>
      <c r="N40" s="43" t="s">
        <v>322</v>
      </c>
      <c r="O40" s="49" t="s">
        <v>380</v>
      </c>
      <c r="P40" s="43"/>
      <c r="Q40" s="43"/>
      <c r="R40" s="435"/>
      <c r="S40" s="2"/>
      <c r="V40" s="45">
        <v>39</v>
      </c>
    </row>
    <row r="41" spans="1:22" ht="14.4">
      <c r="A41" s="204">
        <v>11</v>
      </c>
      <c r="B41" s="201" t="s">
        <v>224</v>
      </c>
      <c r="C41" s="46" t="s">
        <v>375</v>
      </c>
      <c r="D41" s="46" t="s">
        <v>376</v>
      </c>
      <c r="E41" s="48"/>
      <c r="F41" s="48">
        <v>25</v>
      </c>
      <c r="G41" s="48">
        <v>0.5</v>
      </c>
      <c r="H41" s="48"/>
      <c r="I41" s="48"/>
      <c r="J41" s="48"/>
      <c r="K41" s="48" t="s">
        <v>378</v>
      </c>
      <c r="L41" s="48" t="s">
        <v>383</v>
      </c>
      <c r="M41" s="48">
        <v>190</v>
      </c>
      <c r="N41" s="48" t="s">
        <v>322</v>
      </c>
      <c r="O41" s="46" t="s">
        <v>380</v>
      </c>
      <c r="P41" s="48"/>
      <c r="Q41" s="48"/>
      <c r="R41" s="433"/>
      <c r="S41" s="2"/>
      <c r="V41" s="45">
        <v>40</v>
      </c>
    </row>
    <row r="42" spans="1:22" ht="14.4">
      <c r="A42" s="204">
        <v>11</v>
      </c>
      <c r="B42" s="201" t="s">
        <v>225</v>
      </c>
      <c r="C42" s="444" t="s">
        <v>384</v>
      </c>
      <c r="D42" s="444" t="s">
        <v>387</v>
      </c>
      <c r="E42" s="43"/>
      <c r="F42" s="43">
        <v>25</v>
      </c>
      <c r="G42" s="43">
        <v>0.5</v>
      </c>
      <c r="H42" s="43"/>
      <c r="I42" s="43"/>
      <c r="J42" s="43"/>
      <c r="K42" s="43" t="s">
        <v>378</v>
      </c>
      <c r="L42" s="43" t="s">
        <v>383</v>
      </c>
      <c r="M42" s="43"/>
      <c r="N42" s="43" t="s">
        <v>322</v>
      </c>
      <c r="O42" s="49" t="s">
        <v>380</v>
      </c>
      <c r="P42" s="43" t="s">
        <v>388</v>
      </c>
      <c r="Q42" s="43">
        <v>0.05</v>
      </c>
      <c r="R42" s="435">
        <v>1</v>
      </c>
      <c r="S42" s="2"/>
      <c r="V42" s="45">
        <v>41</v>
      </c>
    </row>
    <row r="43" spans="1:22" ht="14.4">
      <c r="A43" s="204">
        <v>11</v>
      </c>
      <c r="B43" s="201" t="s">
        <v>226</v>
      </c>
      <c r="C43" s="443" t="s">
        <v>384</v>
      </c>
      <c r="D43" s="443" t="s">
        <v>387</v>
      </c>
      <c r="E43" s="48"/>
      <c r="F43" s="48">
        <v>25</v>
      </c>
      <c r="G43" s="48">
        <v>0.5</v>
      </c>
      <c r="H43" s="48"/>
      <c r="I43" s="48"/>
      <c r="J43" s="48"/>
      <c r="K43" s="48" t="s">
        <v>378</v>
      </c>
      <c r="L43" s="48" t="s">
        <v>383</v>
      </c>
      <c r="M43" s="48"/>
      <c r="N43" s="48" t="s">
        <v>322</v>
      </c>
      <c r="O43" s="46" t="s">
        <v>380</v>
      </c>
      <c r="P43" s="48" t="s">
        <v>388</v>
      </c>
      <c r="Q43" s="48">
        <v>0.05</v>
      </c>
      <c r="R43" s="433">
        <v>1</v>
      </c>
      <c r="S43" s="2"/>
      <c r="V43" s="45">
        <v>42</v>
      </c>
    </row>
    <row r="44" spans="1:22" ht="14.4">
      <c r="A44" s="204">
        <v>11</v>
      </c>
      <c r="B44" s="201" t="s">
        <v>227</v>
      </c>
      <c r="C44" s="444" t="s">
        <v>384</v>
      </c>
      <c r="D44" s="444" t="s">
        <v>387</v>
      </c>
      <c r="E44" s="43"/>
      <c r="F44" s="43">
        <v>25</v>
      </c>
      <c r="G44" s="43">
        <v>0.5</v>
      </c>
      <c r="H44" s="43"/>
      <c r="I44" s="43"/>
      <c r="J44" s="43"/>
      <c r="K44" s="43" t="s">
        <v>378</v>
      </c>
      <c r="L44" s="43" t="s">
        <v>383</v>
      </c>
      <c r="M44" s="43"/>
      <c r="N44" s="43" t="s">
        <v>322</v>
      </c>
      <c r="O44" s="49" t="s">
        <v>380</v>
      </c>
      <c r="P44" s="43" t="s">
        <v>388</v>
      </c>
      <c r="Q44" s="43">
        <v>0.05</v>
      </c>
      <c r="R44" s="435">
        <v>1</v>
      </c>
      <c r="S44" s="2"/>
      <c r="V44" s="45">
        <v>43</v>
      </c>
    </row>
    <row r="45" spans="1:22" ht="14.4">
      <c r="A45" s="204">
        <v>11</v>
      </c>
      <c r="B45" s="201" t="s">
        <v>228</v>
      </c>
      <c r="C45" s="443" t="s">
        <v>384</v>
      </c>
      <c r="D45" s="443" t="s">
        <v>387</v>
      </c>
      <c r="E45" s="48"/>
      <c r="F45" s="48">
        <v>25</v>
      </c>
      <c r="G45" s="48">
        <v>0.5</v>
      </c>
      <c r="H45" s="48"/>
      <c r="I45" s="48"/>
      <c r="J45" s="48"/>
      <c r="K45" s="268" t="s">
        <v>378</v>
      </c>
      <c r="L45" s="48" t="s">
        <v>383</v>
      </c>
      <c r="M45" s="48"/>
      <c r="N45" s="48" t="s">
        <v>322</v>
      </c>
      <c r="O45" s="46" t="s">
        <v>380</v>
      </c>
      <c r="P45" s="48" t="s">
        <v>388</v>
      </c>
      <c r="Q45" s="48">
        <v>0.05</v>
      </c>
      <c r="R45" s="433">
        <v>1</v>
      </c>
      <c r="S45" s="2"/>
      <c r="V45" s="45">
        <v>44</v>
      </c>
    </row>
    <row r="46" spans="1:22" ht="14.4">
      <c r="A46" s="203">
        <v>12</v>
      </c>
      <c r="B46" s="200" t="s">
        <v>221</v>
      </c>
      <c r="C46" s="244" t="s">
        <v>375</v>
      </c>
      <c r="D46" s="245"/>
      <c r="E46" s="440" t="s">
        <v>377</v>
      </c>
      <c r="F46" s="245"/>
      <c r="G46" s="245">
        <v>1</v>
      </c>
      <c r="H46" s="245"/>
      <c r="I46" s="245">
        <v>20</v>
      </c>
      <c r="J46" s="245">
        <v>1.55</v>
      </c>
      <c r="K46" s="245" t="s">
        <v>378</v>
      </c>
      <c r="L46" s="245" t="s">
        <v>383</v>
      </c>
      <c r="M46" s="245">
        <v>200</v>
      </c>
      <c r="N46" s="245" t="s">
        <v>322</v>
      </c>
      <c r="O46" s="244" t="s">
        <v>380</v>
      </c>
      <c r="P46" s="245" t="s">
        <v>382</v>
      </c>
      <c r="Q46" s="245">
        <v>0.1</v>
      </c>
      <c r="R46" s="441"/>
      <c r="S46" s="2"/>
      <c r="V46" s="45">
        <v>45</v>
      </c>
    </row>
    <row r="47" spans="1:22" ht="14.4">
      <c r="A47" s="204">
        <v>12</v>
      </c>
      <c r="B47" s="201" t="s">
        <v>222</v>
      </c>
      <c r="C47" s="46" t="s">
        <v>375</v>
      </c>
      <c r="D47" s="48"/>
      <c r="E47" s="436" t="s">
        <v>377</v>
      </c>
      <c r="F47" s="48"/>
      <c r="G47" s="48">
        <v>1</v>
      </c>
      <c r="H47" s="48"/>
      <c r="I47" s="48">
        <v>20</v>
      </c>
      <c r="J47" s="48">
        <v>1.55</v>
      </c>
      <c r="K47" s="48" t="s">
        <v>378</v>
      </c>
      <c r="L47" s="48" t="s">
        <v>383</v>
      </c>
      <c r="M47" s="48">
        <v>200</v>
      </c>
      <c r="N47" s="48" t="s">
        <v>322</v>
      </c>
      <c r="O47" s="46" t="s">
        <v>380</v>
      </c>
      <c r="P47" s="48" t="s">
        <v>382</v>
      </c>
      <c r="Q47" s="48">
        <v>0.1</v>
      </c>
      <c r="R47" s="433"/>
      <c r="S47" s="2"/>
      <c r="V47" s="45">
        <v>46</v>
      </c>
    </row>
    <row r="48" spans="1:22" ht="14.4">
      <c r="A48" s="204">
        <v>12</v>
      </c>
      <c r="B48" s="201" t="s">
        <v>223</v>
      </c>
      <c r="C48" s="49" t="s">
        <v>375</v>
      </c>
      <c r="D48" s="43"/>
      <c r="E48" s="434" t="s">
        <v>377</v>
      </c>
      <c r="F48" s="43"/>
      <c r="G48" s="43">
        <v>1</v>
      </c>
      <c r="H48" s="43"/>
      <c r="I48" s="43">
        <v>20</v>
      </c>
      <c r="J48" s="43">
        <v>1.55</v>
      </c>
      <c r="K48" s="43" t="s">
        <v>378</v>
      </c>
      <c r="L48" s="43" t="s">
        <v>383</v>
      </c>
      <c r="M48" s="43">
        <v>200</v>
      </c>
      <c r="N48" s="43" t="s">
        <v>322</v>
      </c>
      <c r="O48" s="49" t="s">
        <v>380</v>
      </c>
      <c r="P48" s="43" t="s">
        <v>382</v>
      </c>
      <c r="Q48" s="43">
        <v>0.1</v>
      </c>
      <c r="R48" s="435"/>
      <c r="S48" s="2"/>
      <c r="V48" s="45">
        <v>47</v>
      </c>
    </row>
    <row r="49" spans="1:22" ht="14.4">
      <c r="A49" s="204">
        <v>12</v>
      </c>
      <c r="B49" s="201" t="s">
        <v>224</v>
      </c>
      <c r="C49" s="46" t="s">
        <v>375</v>
      </c>
      <c r="D49" s="48"/>
      <c r="E49" s="436" t="s">
        <v>377</v>
      </c>
      <c r="F49" s="48"/>
      <c r="G49" s="48">
        <v>1</v>
      </c>
      <c r="H49" s="48"/>
      <c r="I49" s="48">
        <v>20</v>
      </c>
      <c r="J49" s="48">
        <v>1.55</v>
      </c>
      <c r="K49" s="48" t="s">
        <v>378</v>
      </c>
      <c r="L49" s="48" t="s">
        <v>383</v>
      </c>
      <c r="M49" s="48">
        <v>200</v>
      </c>
      <c r="N49" s="48" t="s">
        <v>322</v>
      </c>
      <c r="O49" s="46" t="s">
        <v>380</v>
      </c>
      <c r="P49" s="48" t="s">
        <v>382</v>
      </c>
      <c r="Q49" s="48">
        <v>0.1</v>
      </c>
      <c r="R49" s="433"/>
      <c r="S49" s="2"/>
      <c r="V49" s="45">
        <v>48</v>
      </c>
    </row>
    <row r="50" spans="1:22" ht="14.4">
      <c r="A50" s="204">
        <v>12</v>
      </c>
      <c r="B50" s="201" t="s">
        <v>229</v>
      </c>
      <c r="C50" s="49" t="s">
        <v>375</v>
      </c>
      <c r="D50" s="43"/>
      <c r="E50" s="434" t="s">
        <v>377</v>
      </c>
      <c r="F50" s="43"/>
      <c r="G50" s="43">
        <v>1</v>
      </c>
      <c r="H50" s="43"/>
      <c r="I50" s="43">
        <v>20</v>
      </c>
      <c r="J50" s="43">
        <v>1.55</v>
      </c>
      <c r="K50" s="43" t="s">
        <v>378</v>
      </c>
      <c r="L50" s="43" t="s">
        <v>383</v>
      </c>
      <c r="M50" s="43">
        <v>200</v>
      </c>
      <c r="N50" s="43" t="s">
        <v>322</v>
      </c>
      <c r="O50" s="49" t="s">
        <v>380</v>
      </c>
      <c r="P50" s="43" t="s">
        <v>382</v>
      </c>
      <c r="Q50" s="43">
        <v>0.1</v>
      </c>
      <c r="R50" s="435"/>
      <c r="S50" s="2"/>
      <c r="V50" s="45">
        <v>49</v>
      </c>
    </row>
    <row r="51" spans="1:22" ht="14.4">
      <c r="A51" s="204">
        <v>12</v>
      </c>
      <c r="B51" s="201" t="s">
        <v>225</v>
      </c>
      <c r="C51" s="443" t="s">
        <v>384</v>
      </c>
      <c r="D51" s="48"/>
      <c r="E51" s="436" t="s">
        <v>377</v>
      </c>
      <c r="F51" s="48"/>
      <c r="G51" s="48"/>
      <c r="H51" s="48"/>
      <c r="I51" s="48"/>
      <c r="J51" s="48"/>
      <c r="K51" s="48"/>
      <c r="L51" s="48" t="s">
        <v>383</v>
      </c>
      <c r="M51" s="48"/>
      <c r="N51" s="48" t="s">
        <v>322</v>
      </c>
      <c r="O51" s="46"/>
      <c r="P51" s="48" t="s">
        <v>386</v>
      </c>
      <c r="Q51" s="48"/>
      <c r="R51" s="433">
        <v>1</v>
      </c>
      <c r="S51" s="2"/>
      <c r="V51" s="45">
        <v>50</v>
      </c>
    </row>
    <row r="52" spans="1:22" ht="14.4">
      <c r="A52" s="204">
        <v>12</v>
      </c>
      <c r="B52" s="201" t="s">
        <v>226</v>
      </c>
      <c r="C52" s="444" t="s">
        <v>384</v>
      </c>
      <c r="D52" s="43"/>
      <c r="E52" s="434" t="s">
        <v>377</v>
      </c>
      <c r="F52" s="43"/>
      <c r="G52" s="43"/>
      <c r="H52" s="43"/>
      <c r="I52" s="43"/>
      <c r="J52" s="43"/>
      <c r="K52" s="43"/>
      <c r="L52" s="43" t="s">
        <v>383</v>
      </c>
      <c r="M52" s="43"/>
      <c r="N52" s="43" t="s">
        <v>322</v>
      </c>
      <c r="O52" s="49"/>
      <c r="P52" s="43" t="s">
        <v>386</v>
      </c>
      <c r="Q52" s="43"/>
      <c r="R52" s="435">
        <v>1</v>
      </c>
      <c r="S52" s="2"/>
      <c r="V52" s="45">
        <v>51</v>
      </c>
    </row>
    <row r="53" spans="1:22" ht="14.4">
      <c r="A53" s="204">
        <v>12</v>
      </c>
      <c r="B53" s="201" t="s">
        <v>227</v>
      </c>
      <c r="C53" s="443" t="s">
        <v>384</v>
      </c>
      <c r="D53" s="48"/>
      <c r="E53" s="436" t="s">
        <v>377</v>
      </c>
      <c r="F53" s="48"/>
      <c r="G53" s="48"/>
      <c r="H53" s="48"/>
      <c r="I53" s="48"/>
      <c r="J53" s="48"/>
      <c r="K53" s="48"/>
      <c r="L53" s="48" t="s">
        <v>383</v>
      </c>
      <c r="M53" s="48"/>
      <c r="N53" s="48" t="s">
        <v>322</v>
      </c>
      <c r="O53" s="46"/>
      <c r="P53" s="48" t="s">
        <v>386</v>
      </c>
      <c r="Q53" s="48"/>
      <c r="R53" s="433">
        <v>1</v>
      </c>
      <c r="S53" s="2"/>
      <c r="V53" s="45">
        <v>52</v>
      </c>
    </row>
    <row r="54" spans="1:22" ht="14.4">
      <c r="A54" s="204">
        <v>12</v>
      </c>
      <c r="B54" s="201" t="s">
        <v>228</v>
      </c>
      <c r="C54" s="444" t="s">
        <v>384</v>
      </c>
      <c r="D54" s="43"/>
      <c r="E54" s="434" t="s">
        <v>377</v>
      </c>
      <c r="F54" s="43"/>
      <c r="G54" s="43"/>
      <c r="H54" s="43"/>
      <c r="I54" s="43"/>
      <c r="J54" s="43"/>
      <c r="K54" s="43"/>
      <c r="L54" s="43" t="s">
        <v>383</v>
      </c>
      <c r="M54" s="43"/>
      <c r="N54" s="43" t="s">
        <v>322</v>
      </c>
      <c r="O54" s="49"/>
      <c r="P54" s="43" t="s">
        <v>386</v>
      </c>
      <c r="Q54" s="43"/>
      <c r="R54" s="435">
        <v>1</v>
      </c>
      <c r="S54" s="2"/>
      <c r="V54" s="45">
        <v>53</v>
      </c>
    </row>
    <row r="55" spans="1:22" ht="14.4">
      <c r="A55" s="204">
        <v>12</v>
      </c>
      <c r="B55" s="201" t="s">
        <v>230</v>
      </c>
      <c r="C55" s="443" t="s">
        <v>384</v>
      </c>
      <c r="D55" s="48"/>
      <c r="E55" s="436" t="s">
        <v>377</v>
      </c>
      <c r="F55" s="48"/>
      <c r="G55" s="48"/>
      <c r="H55" s="268"/>
      <c r="I55" s="268"/>
      <c r="J55" s="268"/>
      <c r="K55" s="268"/>
      <c r="L55" s="48" t="s">
        <v>383</v>
      </c>
      <c r="M55" s="48"/>
      <c r="N55" s="268" t="s">
        <v>322</v>
      </c>
      <c r="O55" s="46"/>
      <c r="P55" s="48" t="s">
        <v>386</v>
      </c>
      <c r="Q55" s="48"/>
      <c r="R55" s="433">
        <v>1</v>
      </c>
      <c r="S55" s="2"/>
      <c r="V55" s="45">
        <v>54</v>
      </c>
    </row>
    <row r="56" spans="1:22" ht="14.4">
      <c r="A56" s="203">
        <v>13</v>
      </c>
      <c r="B56" s="200">
        <v>1</v>
      </c>
      <c r="C56" s="244" t="s">
        <v>375</v>
      </c>
      <c r="D56" s="244" t="s">
        <v>376</v>
      </c>
      <c r="E56" s="440" t="s">
        <v>377</v>
      </c>
      <c r="F56" s="245">
        <v>25</v>
      </c>
      <c r="G56" s="244"/>
      <c r="H56" s="245" t="s">
        <v>381</v>
      </c>
      <c r="I56" s="245">
        <v>25</v>
      </c>
      <c r="J56" s="245">
        <v>1.5</v>
      </c>
      <c r="K56" s="245" t="s">
        <v>378</v>
      </c>
      <c r="L56" s="244" t="s">
        <v>379</v>
      </c>
      <c r="M56" s="245">
        <v>180</v>
      </c>
      <c r="N56" s="245" t="s">
        <v>322</v>
      </c>
      <c r="O56" s="244" t="s">
        <v>380</v>
      </c>
      <c r="P56" s="245"/>
      <c r="Q56" s="245">
        <v>0.5</v>
      </c>
      <c r="R56" s="441"/>
      <c r="V56" s="45">
        <v>55</v>
      </c>
    </row>
    <row r="57" spans="1:22" ht="14.4">
      <c r="A57" s="204">
        <v>13</v>
      </c>
      <c r="B57" s="201">
        <v>2</v>
      </c>
      <c r="C57" s="46" t="s">
        <v>375</v>
      </c>
      <c r="D57" s="46" t="s">
        <v>376</v>
      </c>
      <c r="E57" s="436" t="s">
        <v>377</v>
      </c>
      <c r="F57" s="48">
        <v>25</v>
      </c>
      <c r="G57" s="46"/>
      <c r="H57" s="48" t="s">
        <v>381</v>
      </c>
      <c r="I57" s="48">
        <v>25</v>
      </c>
      <c r="J57" s="48">
        <v>1.5</v>
      </c>
      <c r="K57" s="48" t="s">
        <v>378</v>
      </c>
      <c r="L57" s="46" t="s">
        <v>379</v>
      </c>
      <c r="M57" s="48">
        <v>180</v>
      </c>
      <c r="N57" s="48" t="s">
        <v>322</v>
      </c>
      <c r="O57" s="46" t="s">
        <v>380</v>
      </c>
      <c r="P57" s="48"/>
      <c r="Q57" s="48">
        <v>0.5</v>
      </c>
      <c r="R57" s="433"/>
      <c r="V57" s="45">
        <v>56</v>
      </c>
    </row>
    <row r="58" spans="1:22" ht="14.4">
      <c r="A58" s="204">
        <v>13</v>
      </c>
      <c r="B58" s="201">
        <v>3</v>
      </c>
      <c r="C58" s="49" t="s">
        <v>375</v>
      </c>
      <c r="D58" s="49" t="s">
        <v>376</v>
      </c>
      <c r="E58" s="434" t="s">
        <v>377</v>
      </c>
      <c r="F58" s="43">
        <v>25</v>
      </c>
      <c r="G58" s="49"/>
      <c r="H58" s="43" t="s">
        <v>381</v>
      </c>
      <c r="I58" s="43">
        <v>25</v>
      </c>
      <c r="J58" s="43">
        <v>1.5</v>
      </c>
      <c r="K58" s="43" t="s">
        <v>378</v>
      </c>
      <c r="L58" s="49" t="s">
        <v>379</v>
      </c>
      <c r="M58" s="43">
        <v>180</v>
      </c>
      <c r="N58" s="43" t="s">
        <v>322</v>
      </c>
      <c r="O58" s="49" t="s">
        <v>380</v>
      </c>
      <c r="P58" s="43"/>
      <c r="Q58" s="43">
        <v>0.5</v>
      </c>
      <c r="R58" s="435"/>
      <c r="V58" s="45">
        <v>57</v>
      </c>
    </row>
    <row r="59" spans="1:22" ht="14.4">
      <c r="A59" s="204">
        <v>13</v>
      </c>
      <c r="B59" s="201">
        <v>4</v>
      </c>
      <c r="C59" s="46" t="s">
        <v>375</v>
      </c>
      <c r="D59" s="46" t="s">
        <v>376</v>
      </c>
      <c r="E59" s="436" t="s">
        <v>377</v>
      </c>
      <c r="F59" s="48">
        <v>25</v>
      </c>
      <c r="G59" s="46"/>
      <c r="H59" s="48" t="s">
        <v>381</v>
      </c>
      <c r="I59" s="48">
        <v>25</v>
      </c>
      <c r="J59" s="48">
        <v>1.5</v>
      </c>
      <c r="K59" s="48" t="s">
        <v>378</v>
      </c>
      <c r="L59" s="46" t="s">
        <v>379</v>
      </c>
      <c r="M59" s="48">
        <v>180</v>
      </c>
      <c r="N59" s="48" t="s">
        <v>322</v>
      </c>
      <c r="O59" s="46" t="s">
        <v>380</v>
      </c>
      <c r="P59" s="48"/>
      <c r="Q59" s="48">
        <v>0.5</v>
      </c>
      <c r="R59" s="433"/>
      <c r="V59" s="45">
        <v>58</v>
      </c>
    </row>
    <row r="60" spans="1:22" ht="14.4">
      <c r="A60" s="204">
        <v>13</v>
      </c>
      <c r="B60" s="201">
        <v>5</v>
      </c>
      <c r="C60" s="49" t="s">
        <v>375</v>
      </c>
      <c r="D60" s="49" t="s">
        <v>376</v>
      </c>
      <c r="E60" s="434" t="s">
        <v>377</v>
      </c>
      <c r="F60" s="43">
        <v>25</v>
      </c>
      <c r="G60" s="49"/>
      <c r="H60" s="43" t="s">
        <v>381</v>
      </c>
      <c r="I60" s="43">
        <v>25</v>
      </c>
      <c r="J60" s="43">
        <v>1.5</v>
      </c>
      <c r="K60" s="43" t="s">
        <v>378</v>
      </c>
      <c r="L60" s="49" t="s">
        <v>379</v>
      </c>
      <c r="M60" s="43">
        <v>180</v>
      </c>
      <c r="N60" s="43" t="s">
        <v>322</v>
      </c>
      <c r="O60" s="49" t="s">
        <v>380</v>
      </c>
      <c r="P60" s="43"/>
      <c r="Q60" s="43">
        <v>0.5</v>
      </c>
      <c r="R60" s="435"/>
      <c r="V60" s="45">
        <v>59</v>
      </c>
    </row>
    <row r="61" spans="1:22" ht="14.4">
      <c r="A61" s="204">
        <v>13</v>
      </c>
      <c r="B61" s="201">
        <v>6</v>
      </c>
      <c r="C61" s="46" t="s">
        <v>375</v>
      </c>
      <c r="D61" s="46" t="s">
        <v>376</v>
      </c>
      <c r="E61" s="436" t="s">
        <v>377</v>
      </c>
      <c r="F61" s="48">
        <v>25</v>
      </c>
      <c r="G61" s="46"/>
      <c r="H61" s="48" t="s">
        <v>381</v>
      </c>
      <c r="I61" s="48">
        <v>25</v>
      </c>
      <c r="J61" s="48">
        <v>1.5</v>
      </c>
      <c r="K61" s="48" t="s">
        <v>378</v>
      </c>
      <c r="L61" s="46" t="s">
        <v>379</v>
      </c>
      <c r="M61" s="48">
        <v>180</v>
      </c>
      <c r="N61" s="48" t="s">
        <v>322</v>
      </c>
      <c r="O61" s="46" t="s">
        <v>380</v>
      </c>
      <c r="P61" s="48"/>
      <c r="Q61" s="48">
        <v>0.5</v>
      </c>
      <c r="R61" s="433"/>
      <c r="V61" s="45">
        <v>60</v>
      </c>
    </row>
    <row r="62" spans="1:22" ht="14.4">
      <c r="A62" s="204">
        <v>13</v>
      </c>
      <c r="B62" s="201">
        <v>7</v>
      </c>
      <c r="C62" s="49" t="s">
        <v>375</v>
      </c>
      <c r="D62" s="49" t="s">
        <v>376</v>
      </c>
      <c r="E62" s="434" t="s">
        <v>377</v>
      </c>
      <c r="F62" s="43">
        <v>25</v>
      </c>
      <c r="G62" s="49"/>
      <c r="H62" s="43" t="s">
        <v>381</v>
      </c>
      <c r="I62" s="43">
        <v>25</v>
      </c>
      <c r="J62" s="43">
        <v>1.5</v>
      </c>
      <c r="K62" s="43" t="s">
        <v>378</v>
      </c>
      <c r="L62" s="49" t="s">
        <v>379</v>
      </c>
      <c r="M62" s="43">
        <v>180</v>
      </c>
      <c r="N62" s="43" t="s">
        <v>322</v>
      </c>
      <c r="O62" s="49" t="s">
        <v>380</v>
      </c>
      <c r="P62" s="43"/>
      <c r="Q62" s="43">
        <v>0.5</v>
      </c>
      <c r="R62" s="435"/>
      <c r="V62" s="45">
        <v>61</v>
      </c>
    </row>
    <row r="63" spans="1:22" ht="14.4">
      <c r="A63" s="204">
        <v>13</v>
      </c>
      <c r="B63" s="201">
        <v>8</v>
      </c>
      <c r="C63" s="46" t="s">
        <v>375</v>
      </c>
      <c r="D63" s="46" t="s">
        <v>376</v>
      </c>
      <c r="E63" s="436" t="s">
        <v>377</v>
      </c>
      <c r="F63" s="48">
        <v>25</v>
      </c>
      <c r="G63" s="46"/>
      <c r="H63" s="48" t="s">
        <v>381</v>
      </c>
      <c r="I63" s="48">
        <v>25</v>
      </c>
      <c r="J63" s="48">
        <v>1.5</v>
      </c>
      <c r="K63" s="48" t="s">
        <v>378</v>
      </c>
      <c r="L63" s="46" t="s">
        <v>379</v>
      </c>
      <c r="M63" s="48">
        <v>180</v>
      </c>
      <c r="N63" s="48" t="s">
        <v>322</v>
      </c>
      <c r="O63" s="46" t="s">
        <v>380</v>
      </c>
      <c r="P63" s="48"/>
      <c r="Q63" s="48">
        <v>0.5</v>
      </c>
      <c r="R63" s="433"/>
      <c r="V63" s="45">
        <v>62</v>
      </c>
    </row>
    <row r="64" spans="1:22" ht="14.4">
      <c r="A64" s="199">
        <v>14</v>
      </c>
      <c r="B64" s="200">
        <v>1</v>
      </c>
      <c r="C64" s="244" t="s">
        <v>375</v>
      </c>
      <c r="D64" s="244" t="s">
        <v>376</v>
      </c>
      <c r="E64" s="440" t="s">
        <v>377</v>
      </c>
      <c r="F64" s="245">
        <v>25</v>
      </c>
      <c r="G64" s="244">
        <v>0.5</v>
      </c>
      <c r="H64" s="244"/>
      <c r="I64" s="244"/>
      <c r="J64" s="244"/>
      <c r="K64" s="245" t="s">
        <v>378</v>
      </c>
      <c r="L64" s="244" t="s">
        <v>379</v>
      </c>
      <c r="M64" s="245">
        <v>175</v>
      </c>
      <c r="N64" s="245" t="s">
        <v>322</v>
      </c>
      <c r="O64" s="244"/>
      <c r="P64" s="245" t="s">
        <v>382</v>
      </c>
      <c r="Q64" s="245">
        <v>0.6</v>
      </c>
      <c r="R64" s="441"/>
      <c r="S64" s="2"/>
      <c r="V64" s="45">
        <v>63</v>
      </c>
    </row>
    <row r="65" spans="1:22" ht="14.4">
      <c r="A65" s="196">
        <v>14</v>
      </c>
      <c r="B65" s="201">
        <v>2</v>
      </c>
      <c r="C65" s="46" t="s">
        <v>375</v>
      </c>
      <c r="D65" s="46" t="s">
        <v>376</v>
      </c>
      <c r="E65" s="436" t="s">
        <v>377</v>
      </c>
      <c r="F65" s="48">
        <v>25</v>
      </c>
      <c r="G65" s="46">
        <v>0.5</v>
      </c>
      <c r="H65" s="46"/>
      <c r="I65" s="46"/>
      <c r="J65" s="46"/>
      <c r="K65" s="48" t="s">
        <v>378</v>
      </c>
      <c r="L65" s="46" t="s">
        <v>379</v>
      </c>
      <c r="M65" s="48">
        <v>175</v>
      </c>
      <c r="N65" s="48" t="s">
        <v>322</v>
      </c>
      <c r="O65" s="46"/>
      <c r="P65" s="48" t="s">
        <v>382</v>
      </c>
      <c r="Q65" s="48">
        <v>0.6</v>
      </c>
      <c r="R65" s="433"/>
      <c r="S65" s="2"/>
      <c r="V65" s="45">
        <v>64</v>
      </c>
    </row>
    <row r="66" spans="1:22" ht="14.4">
      <c r="A66" s="196">
        <v>14</v>
      </c>
      <c r="B66" s="201">
        <v>3</v>
      </c>
      <c r="C66" s="49" t="s">
        <v>375</v>
      </c>
      <c r="D66" s="49" t="s">
        <v>376</v>
      </c>
      <c r="E66" s="434" t="s">
        <v>377</v>
      </c>
      <c r="F66" s="43">
        <v>25</v>
      </c>
      <c r="G66" s="49">
        <v>0.5</v>
      </c>
      <c r="H66" s="49"/>
      <c r="I66" s="49"/>
      <c r="J66" s="49"/>
      <c r="K66" s="43" t="s">
        <v>378</v>
      </c>
      <c r="L66" s="49" t="s">
        <v>379</v>
      </c>
      <c r="M66" s="43">
        <v>175</v>
      </c>
      <c r="N66" s="43" t="s">
        <v>322</v>
      </c>
      <c r="O66" s="49"/>
      <c r="P66" s="43" t="s">
        <v>382</v>
      </c>
      <c r="Q66" s="43">
        <v>0.6</v>
      </c>
      <c r="R66" s="435"/>
      <c r="S66" s="2"/>
      <c r="V66" s="45">
        <v>65</v>
      </c>
    </row>
    <row r="67" spans="1:22" ht="14.4">
      <c r="A67" s="196">
        <v>14</v>
      </c>
      <c r="B67" s="201">
        <v>4</v>
      </c>
      <c r="C67" s="46" t="s">
        <v>375</v>
      </c>
      <c r="D67" s="46" t="s">
        <v>376</v>
      </c>
      <c r="E67" s="436" t="s">
        <v>377</v>
      </c>
      <c r="F67" s="48">
        <v>25</v>
      </c>
      <c r="G67" s="46">
        <v>0.5</v>
      </c>
      <c r="H67" s="46"/>
      <c r="I67" s="46"/>
      <c r="J67" s="46"/>
      <c r="K67" s="48" t="s">
        <v>378</v>
      </c>
      <c r="L67" s="46" t="s">
        <v>379</v>
      </c>
      <c r="M67" s="48">
        <v>175</v>
      </c>
      <c r="N67" s="48" t="s">
        <v>322</v>
      </c>
      <c r="O67" s="46"/>
      <c r="P67" s="48" t="s">
        <v>382</v>
      </c>
      <c r="Q67" s="48">
        <v>0.6</v>
      </c>
      <c r="R67" s="433"/>
      <c r="S67" s="2"/>
      <c r="V67" s="45">
        <v>66</v>
      </c>
    </row>
    <row r="68" spans="1:22" ht="14.4">
      <c r="A68" s="196">
        <v>14</v>
      </c>
      <c r="B68" s="201">
        <v>5</v>
      </c>
      <c r="C68" s="49" t="s">
        <v>375</v>
      </c>
      <c r="D68" s="49" t="s">
        <v>376</v>
      </c>
      <c r="E68" s="434" t="s">
        <v>377</v>
      </c>
      <c r="F68" s="43">
        <v>25</v>
      </c>
      <c r="G68" s="49">
        <v>0.5</v>
      </c>
      <c r="H68" s="49"/>
      <c r="I68" s="49"/>
      <c r="J68" s="49"/>
      <c r="K68" s="43" t="s">
        <v>378</v>
      </c>
      <c r="L68" s="49" t="s">
        <v>379</v>
      </c>
      <c r="M68" s="43">
        <v>175</v>
      </c>
      <c r="N68" s="43" t="s">
        <v>322</v>
      </c>
      <c r="O68" s="49"/>
      <c r="P68" s="43" t="s">
        <v>382</v>
      </c>
      <c r="Q68" s="43">
        <v>0.6</v>
      </c>
      <c r="R68" s="435"/>
      <c r="S68" s="2"/>
      <c r="V68" s="45">
        <v>67</v>
      </c>
    </row>
    <row r="69" spans="1:22" ht="14.4">
      <c r="A69" s="196">
        <v>14</v>
      </c>
      <c r="B69" s="201">
        <v>6</v>
      </c>
      <c r="C69" s="46" t="s">
        <v>375</v>
      </c>
      <c r="D69" s="46" t="s">
        <v>376</v>
      </c>
      <c r="E69" s="436" t="s">
        <v>377</v>
      </c>
      <c r="F69" s="48">
        <v>25</v>
      </c>
      <c r="G69" s="46">
        <v>0.5</v>
      </c>
      <c r="H69" s="46"/>
      <c r="I69" s="46"/>
      <c r="J69" s="46"/>
      <c r="K69" s="48" t="s">
        <v>378</v>
      </c>
      <c r="L69" s="46" t="s">
        <v>379</v>
      </c>
      <c r="M69" s="48">
        <v>175</v>
      </c>
      <c r="N69" s="48" t="s">
        <v>322</v>
      </c>
      <c r="O69" s="46"/>
      <c r="P69" s="48" t="s">
        <v>382</v>
      </c>
      <c r="Q69" s="48">
        <v>0.6</v>
      </c>
      <c r="R69" s="433"/>
      <c r="S69" s="2"/>
      <c r="V69" s="45">
        <v>68</v>
      </c>
    </row>
    <row r="70" spans="1:22" ht="14.4">
      <c r="A70" s="196">
        <v>14</v>
      </c>
      <c r="B70" s="201">
        <v>7</v>
      </c>
      <c r="C70" s="49" t="s">
        <v>375</v>
      </c>
      <c r="D70" s="49" t="s">
        <v>376</v>
      </c>
      <c r="E70" s="434" t="s">
        <v>377</v>
      </c>
      <c r="F70" s="43">
        <v>25</v>
      </c>
      <c r="G70" s="49">
        <v>0.5</v>
      </c>
      <c r="H70" s="49"/>
      <c r="I70" s="49"/>
      <c r="J70" s="49"/>
      <c r="K70" s="43" t="s">
        <v>378</v>
      </c>
      <c r="L70" s="49" t="s">
        <v>379</v>
      </c>
      <c r="M70" s="43">
        <v>175</v>
      </c>
      <c r="N70" s="43" t="s">
        <v>322</v>
      </c>
      <c r="O70" s="49"/>
      <c r="P70" s="43" t="s">
        <v>382</v>
      </c>
      <c r="Q70" s="43">
        <v>0.6</v>
      </c>
      <c r="R70" s="435"/>
      <c r="S70" s="2"/>
      <c r="V70" s="45">
        <v>69</v>
      </c>
    </row>
    <row r="71" spans="1:22" ht="14.4">
      <c r="A71" s="196">
        <v>14</v>
      </c>
      <c r="B71" s="201">
        <v>8</v>
      </c>
      <c r="C71" s="46" t="s">
        <v>375</v>
      </c>
      <c r="D71" s="46" t="s">
        <v>376</v>
      </c>
      <c r="E71" s="436" t="s">
        <v>377</v>
      </c>
      <c r="F71" s="48">
        <v>25</v>
      </c>
      <c r="G71" s="46">
        <v>0.5</v>
      </c>
      <c r="H71" s="46"/>
      <c r="I71" s="46"/>
      <c r="J71" s="46"/>
      <c r="K71" s="48" t="s">
        <v>378</v>
      </c>
      <c r="L71" s="46" t="s">
        <v>379</v>
      </c>
      <c r="M71" s="48">
        <v>175</v>
      </c>
      <c r="N71" s="48" t="s">
        <v>322</v>
      </c>
      <c r="O71" s="46"/>
      <c r="P71" s="48" t="s">
        <v>382</v>
      </c>
      <c r="Q71" s="48">
        <v>0.6</v>
      </c>
      <c r="R71" s="433"/>
      <c r="S71" s="2"/>
      <c r="V71" s="45">
        <v>70</v>
      </c>
    </row>
    <row r="72" spans="1:22" ht="14.4">
      <c r="A72" s="196">
        <v>14</v>
      </c>
      <c r="B72" s="201">
        <v>9</v>
      </c>
      <c r="C72" s="49" t="s">
        <v>375</v>
      </c>
      <c r="D72" s="49" t="s">
        <v>376</v>
      </c>
      <c r="E72" s="434" t="s">
        <v>377</v>
      </c>
      <c r="F72" s="43">
        <v>25</v>
      </c>
      <c r="G72" s="49">
        <v>0.5</v>
      </c>
      <c r="H72" s="49"/>
      <c r="I72" s="49"/>
      <c r="J72" s="49"/>
      <c r="K72" s="43" t="s">
        <v>378</v>
      </c>
      <c r="L72" s="49" t="s">
        <v>379</v>
      </c>
      <c r="M72" s="43">
        <v>175</v>
      </c>
      <c r="N72" s="43" t="s">
        <v>322</v>
      </c>
      <c r="O72" s="49"/>
      <c r="P72" s="43" t="s">
        <v>382</v>
      </c>
      <c r="Q72" s="43">
        <v>0.6</v>
      </c>
      <c r="R72" s="435"/>
      <c r="S72" s="2"/>
      <c r="V72" s="45">
        <v>71</v>
      </c>
    </row>
    <row r="73" spans="1:22" ht="14.4">
      <c r="A73" s="196">
        <v>14</v>
      </c>
      <c r="B73" s="201">
        <v>10</v>
      </c>
      <c r="C73" s="326" t="s">
        <v>375</v>
      </c>
      <c r="D73" s="326" t="s">
        <v>376</v>
      </c>
      <c r="E73" s="439" t="s">
        <v>377</v>
      </c>
      <c r="F73" s="268">
        <v>25</v>
      </c>
      <c r="G73" s="326">
        <v>0.5</v>
      </c>
      <c r="H73" s="326"/>
      <c r="I73" s="326"/>
      <c r="J73" s="326"/>
      <c r="K73" s="268" t="s">
        <v>378</v>
      </c>
      <c r="L73" s="326" t="s">
        <v>379</v>
      </c>
      <c r="M73" s="268">
        <v>175</v>
      </c>
      <c r="N73" s="268" t="s">
        <v>322</v>
      </c>
      <c r="O73" s="326"/>
      <c r="P73" s="268" t="s">
        <v>382</v>
      </c>
      <c r="Q73" s="268">
        <v>0.6</v>
      </c>
      <c r="R73" s="433"/>
      <c r="S73" s="2"/>
      <c r="V73" s="45">
        <v>72</v>
      </c>
    </row>
    <row r="74" spans="1:22" ht="14.4">
      <c r="A74" s="203">
        <v>15</v>
      </c>
      <c r="B74" s="200">
        <v>1</v>
      </c>
      <c r="C74" s="244" t="s">
        <v>375</v>
      </c>
      <c r="D74" s="244" t="s">
        <v>376</v>
      </c>
      <c r="E74" s="440" t="s">
        <v>377</v>
      </c>
      <c r="F74" s="245">
        <v>25</v>
      </c>
      <c r="G74" s="244">
        <v>0.5</v>
      </c>
      <c r="H74" s="244"/>
      <c r="I74" s="244"/>
      <c r="J74" s="244"/>
      <c r="K74" s="245" t="s">
        <v>378</v>
      </c>
      <c r="L74" s="244" t="s">
        <v>379</v>
      </c>
      <c r="M74" s="245">
        <v>175</v>
      </c>
      <c r="N74" s="245" t="s">
        <v>322</v>
      </c>
      <c r="O74" s="244" t="s">
        <v>380</v>
      </c>
      <c r="P74" s="245"/>
      <c r="Q74" s="245">
        <v>0.6</v>
      </c>
      <c r="R74" s="441"/>
      <c r="S74" s="2"/>
      <c r="V74" s="45">
        <v>73</v>
      </c>
    </row>
    <row r="75" spans="1:22" ht="14.4">
      <c r="A75" s="204">
        <v>15</v>
      </c>
      <c r="B75" s="201">
        <v>2</v>
      </c>
      <c r="C75" s="46" t="s">
        <v>375</v>
      </c>
      <c r="D75" s="46" t="s">
        <v>376</v>
      </c>
      <c r="E75" s="436" t="s">
        <v>377</v>
      </c>
      <c r="F75" s="48">
        <v>25</v>
      </c>
      <c r="G75" s="46">
        <v>0.5</v>
      </c>
      <c r="H75" s="46"/>
      <c r="I75" s="46"/>
      <c r="J75" s="46"/>
      <c r="K75" s="48" t="s">
        <v>378</v>
      </c>
      <c r="L75" s="46" t="s">
        <v>379</v>
      </c>
      <c r="M75" s="48">
        <v>175</v>
      </c>
      <c r="N75" s="48" t="s">
        <v>322</v>
      </c>
      <c r="O75" s="46" t="s">
        <v>380</v>
      </c>
      <c r="P75" s="48"/>
      <c r="Q75" s="48">
        <v>0.6</v>
      </c>
      <c r="R75" s="433"/>
      <c r="S75" s="2"/>
      <c r="V75" s="45">
        <v>74</v>
      </c>
    </row>
    <row r="76" spans="1:22" ht="14.4">
      <c r="A76" s="204">
        <v>15</v>
      </c>
      <c r="B76" s="201">
        <v>3</v>
      </c>
      <c r="C76" s="49" t="s">
        <v>375</v>
      </c>
      <c r="D76" s="49" t="s">
        <v>376</v>
      </c>
      <c r="E76" s="434" t="s">
        <v>377</v>
      </c>
      <c r="F76" s="43">
        <v>25</v>
      </c>
      <c r="G76" s="49">
        <v>0.5</v>
      </c>
      <c r="H76" s="49"/>
      <c r="I76" s="49"/>
      <c r="J76" s="49"/>
      <c r="K76" s="43" t="s">
        <v>378</v>
      </c>
      <c r="L76" s="49" t="s">
        <v>379</v>
      </c>
      <c r="M76" s="43">
        <v>175</v>
      </c>
      <c r="N76" s="43" t="s">
        <v>322</v>
      </c>
      <c r="O76" s="49" t="s">
        <v>380</v>
      </c>
      <c r="P76" s="43"/>
      <c r="Q76" s="43">
        <v>0.6</v>
      </c>
      <c r="R76" s="435"/>
      <c r="S76" s="2"/>
      <c r="V76" s="45">
        <v>75</v>
      </c>
    </row>
    <row r="77" spans="1:22" ht="14.4">
      <c r="A77" s="204">
        <v>15</v>
      </c>
      <c r="B77" s="201">
        <v>4</v>
      </c>
      <c r="C77" s="46" t="s">
        <v>375</v>
      </c>
      <c r="D77" s="46" t="s">
        <v>376</v>
      </c>
      <c r="E77" s="436" t="s">
        <v>377</v>
      </c>
      <c r="F77" s="48">
        <v>25</v>
      </c>
      <c r="G77" s="46">
        <v>0.5</v>
      </c>
      <c r="H77" s="46"/>
      <c r="I77" s="46"/>
      <c r="J77" s="46"/>
      <c r="K77" s="48" t="s">
        <v>378</v>
      </c>
      <c r="L77" s="46" t="s">
        <v>379</v>
      </c>
      <c r="M77" s="48">
        <v>175</v>
      </c>
      <c r="N77" s="48" t="s">
        <v>322</v>
      </c>
      <c r="O77" s="46" t="s">
        <v>380</v>
      </c>
      <c r="P77" s="48"/>
      <c r="Q77" s="48">
        <v>0.6</v>
      </c>
      <c r="R77" s="433"/>
      <c r="S77" s="2"/>
      <c r="V77" s="45">
        <v>76</v>
      </c>
    </row>
    <row r="78" spans="1:22" ht="14.4">
      <c r="A78" s="204">
        <v>15</v>
      </c>
      <c r="B78" s="201">
        <v>5</v>
      </c>
      <c r="C78" s="49" t="s">
        <v>375</v>
      </c>
      <c r="D78" s="49" t="s">
        <v>376</v>
      </c>
      <c r="E78" s="434" t="s">
        <v>377</v>
      </c>
      <c r="F78" s="43">
        <v>25</v>
      </c>
      <c r="G78" s="49">
        <v>0.5</v>
      </c>
      <c r="H78" s="49"/>
      <c r="I78" s="49"/>
      <c r="J78" s="49"/>
      <c r="K78" s="43" t="s">
        <v>378</v>
      </c>
      <c r="L78" s="49" t="s">
        <v>379</v>
      </c>
      <c r="M78" s="43">
        <v>175</v>
      </c>
      <c r="N78" s="43" t="s">
        <v>322</v>
      </c>
      <c r="O78" s="49" t="s">
        <v>380</v>
      </c>
      <c r="P78" s="43"/>
      <c r="Q78" s="43">
        <v>0.6</v>
      </c>
      <c r="R78" s="435"/>
      <c r="S78" s="2"/>
      <c r="V78" s="45">
        <v>77</v>
      </c>
    </row>
    <row r="79" spans="1:22" ht="14.4">
      <c r="A79" s="204">
        <v>15</v>
      </c>
      <c r="B79" s="201">
        <v>6</v>
      </c>
      <c r="C79" s="326" t="s">
        <v>375</v>
      </c>
      <c r="D79" s="326" t="s">
        <v>376</v>
      </c>
      <c r="E79" s="439" t="s">
        <v>377</v>
      </c>
      <c r="F79" s="268">
        <v>25</v>
      </c>
      <c r="G79" s="326">
        <v>0.5</v>
      </c>
      <c r="H79" s="326"/>
      <c r="I79" s="326"/>
      <c r="J79" s="326"/>
      <c r="K79" s="268" t="s">
        <v>378</v>
      </c>
      <c r="L79" s="326" t="s">
        <v>379</v>
      </c>
      <c r="M79" s="268">
        <v>175</v>
      </c>
      <c r="N79" s="268" t="s">
        <v>322</v>
      </c>
      <c r="O79" s="326" t="s">
        <v>380</v>
      </c>
      <c r="P79" s="268"/>
      <c r="Q79" s="268">
        <v>0.6</v>
      </c>
      <c r="R79" s="433"/>
      <c r="S79" s="2"/>
      <c r="V79" s="45">
        <v>78</v>
      </c>
    </row>
    <row r="80" spans="1:22" ht="14.4">
      <c r="A80" s="203">
        <v>16</v>
      </c>
      <c r="B80" s="200">
        <v>1</v>
      </c>
      <c r="C80" s="442" t="s">
        <v>384</v>
      </c>
      <c r="D80" s="245"/>
      <c r="E80" s="245"/>
      <c r="F80" s="245"/>
      <c r="G80" s="245"/>
      <c r="H80" s="245"/>
      <c r="I80" s="245"/>
      <c r="J80" s="245"/>
      <c r="K80" s="245"/>
      <c r="L80" s="245" t="s">
        <v>383</v>
      </c>
      <c r="M80" s="245"/>
      <c r="N80" s="245" t="s">
        <v>322</v>
      </c>
      <c r="O80" s="244"/>
      <c r="P80" s="245" t="s">
        <v>388</v>
      </c>
      <c r="Q80" s="245"/>
      <c r="R80" s="441">
        <v>1</v>
      </c>
      <c r="S80" s="2"/>
      <c r="V80" s="45">
        <v>79</v>
      </c>
    </row>
    <row r="81" spans="1:22" ht="14.4">
      <c r="A81" s="204">
        <v>16</v>
      </c>
      <c r="B81" s="201">
        <v>2</v>
      </c>
      <c r="C81" s="443" t="s">
        <v>384</v>
      </c>
      <c r="D81" s="48"/>
      <c r="E81" s="48"/>
      <c r="F81" s="48"/>
      <c r="G81" s="48"/>
      <c r="H81" s="48"/>
      <c r="I81" s="48"/>
      <c r="J81" s="48"/>
      <c r="K81" s="48"/>
      <c r="L81" s="48" t="s">
        <v>383</v>
      </c>
      <c r="M81" s="48"/>
      <c r="N81" s="48" t="s">
        <v>322</v>
      </c>
      <c r="O81" s="46"/>
      <c r="P81" s="48" t="s">
        <v>388</v>
      </c>
      <c r="Q81" s="48"/>
      <c r="R81" s="433">
        <v>1</v>
      </c>
      <c r="S81" s="2"/>
      <c r="V81" s="45">
        <v>80</v>
      </c>
    </row>
    <row r="82" spans="1:22" ht="14.4">
      <c r="A82" s="204">
        <v>16</v>
      </c>
      <c r="B82" s="201">
        <v>3</v>
      </c>
      <c r="C82" s="444" t="s">
        <v>384</v>
      </c>
      <c r="D82" s="43"/>
      <c r="E82" s="43"/>
      <c r="F82" s="43"/>
      <c r="G82" s="43"/>
      <c r="H82" s="43"/>
      <c r="I82" s="43"/>
      <c r="J82" s="43"/>
      <c r="K82" s="43"/>
      <c r="L82" s="43" t="s">
        <v>383</v>
      </c>
      <c r="M82" s="43"/>
      <c r="N82" s="43" t="s">
        <v>322</v>
      </c>
      <c r="O82" s="49"/>
      <c r="P82" s="43" t="s">
        <v>388</v>
      </c>
      <c r="Q82" s="43"/>
      <c r="R82" s="435">
        <v>1</v>
      </c>
      <c r="S82" s="2"/>
      <c r="V82" s="45">
        <v>81</v>
      </c>
    </row>
    <row r="83" spans="1:22" ht="15" customHeight="1">
      <c r="A83" s="229">
        <v>17</v>
      </c>
      <c r="B83" s="74">
        <v>1</v>
      </c>
      <c r="C83" s="250" t="s">
        <v>375</v>
      </c>
      <c r="D83" s="250" t="s">
        <v>376</v>
      </c>
      <c r="E83" s="432" t="s">
        <v>377</v>
      </c>
      <c r="F83" s="250"/>
      <c r="G83" s="250"/>
      <c r="H83" s="251" t="s">
        <v>381</v>
      </c>
      <c r="I83" s="251">
        <v>5</v>
      </c>
      <c r="J83" s="251">
        <v>2</v>
      </c>
      <c r="K83" s="251" t="s">
        <v>378</v>
      </c>
      <c r="L83" s="250" t="s">
        <v>379</v>
      </c>
      <c r="M83" s="250">
        <v>180</v>
      </c>
      <c r="N83" s="250" t="s">
        <v>322</v>
      </c>
      <c r="O83" s="250"/>
      <c r="P83" s="250" t="s">
        <v>389</v>
      </c>
      <c r="Q83" s="250"/>
      <c r="R83" s="137"/>
      <c r="S83" s="2"/>
      <c r="V83" s="45">
        <v>82</v>
      </c>
    </row>
    <row r="84" spans="1:22" ht="15" customHeight="1">
      <c r="A84" s="228">
        <v>17</v>
      </c>
      <c r="B84" s="75">
        <v>2</v>
      </c>
      <c r="C84" s="49" t="s">
        <v>375</v>
      </c>
      <c r="D84" s="49" t="s">
        <v>376</v>
      </c>
      <c r="E84" s="434" t="s">
        <v>377</v>
      </c>
      <c r="F84" s="49"/>
      <c r="G84" s="49"/>
      <c r="H84" s="43" t="s">
        <v>381</v>
      </c>
      <c r="I84" s="43">
        <v>5</v>
      </c>
      <c r="J84" s="43">
        <v>2</v>
      </c>
      <c r="K84" s="43" t="s">
        <v>378</v>
      </c>
      <c r="L84" s="49" t="s">
        <v>379</v>
      </c>
      <c r="M84" s="49">
        <v>180</v>
      </c>
      <c r="N84" s="49" t="s">
        <v>322</v>
      </c>
      <c r="O84" s="49"/>
      <c r="P84" s="49" t="s">
        <v>389</v>
      </c>
      <c r="Q84" s="49"/>
      <c r="R84" s="138"/>
      <c r="S84" s="2"/>
      <c r="V84" s="45">
        <v>83</v>
      </c>
    </row>
    <row r="85" spans="1:22" ht="15" customHeight="1">
      <c r="A85" s="228">
        <v>17</v>
      </c>
      <c r="B85" s="75">
        <v>3</v>
      </c>
      <c r="C85" s="46" t="s">
        <v>375</v>
      </c>
      <c r="D85" s="46" t="s">
        <v>376</v>
      </c>
      <c r="E85" s="436" t="s">
        <v>377</v>
      </c>
      <c r="F85" s="46"/>
      <c r="G85" s="46"/>
      <c r="H85" s="48" t="s">
        <v>381</v>
      </c>
      <c r="I85" s="48">
        <v>5</v>
      </c>
      <c r="J85" s="48">
        <v>2</v>
      </c>
      <c r="K85" s="48" t="s">
        <v>378</v>
      </c>
      <c r="L85" s="46" t="s">
        <v>379</v>
      </c>
      <c r="M85" s="46">
        <v>180</v>
      </c>
      <c r="N85" s="46" t="s">
        <v>322</v>
      </c>
      <c r="O85" s="46"/>
      <c r="P85" s="46" t="s">
        <v>389</v>
      </c>
      <c r="Q85" s="46"/>
      <c r="R85" s="139"/>
      <c r="S85" s="2"/>
      <c r="V85" s="45">
        <v>84</v>
      </c>
    </row>
    <row r="86" spans="1:22" ht="15" customHeight="1">
      <c r="A86" s="228">
        <v>17</v>
      </c>
      <c r="B86" s="75">
        <v>4</v>
      </c>
      <c r="C86" s="49" t="s">
        <v>375</v>
      </c>
      <c r="D86" s="49" t="s">
        <v>376</v>
      </c>
      <c r="E86" s="434" t="s">
        <v>377</v>
      </c>
      <c r="F86" s="49"/>
      <c r="G86" s="49"/>
      <c r="H86" s="43" t="s">
        <v>381</v>
      </c>
      <c r="I86" s="43">
        <v>5</v>
      </c>
      <c r="J86" s="43">
        <v>2</v>
      </c>
      <c r="K86" s="43" t="s">
        <v>378</v>
      </c>
      <c r="L86" s="49" t="s">
        <v>379</v>
      </c>
      <c r="M86" s="49">
        <v>180</v>
      </c>
      <c r="N86" s="49" t="s">
        <v>322</v>
      </c>
      <c r="O86" s="49"/>
      <c r="P86" s="49" t="s">
        <v>389</v>
      </c>
      <c r="Q86" s="49"/>
      <c r="R86" s="138"/>
      <c r="S86" s="2"/>
      <c r="V86" s="45">
        <v>85</v>
      </c>
    </row>
    <row r="87" spans="1:22" ht="15" customHeight="1">
      <c r="A87" s="229">
        <v>18</v>
      </c>
      <c r="B87" s="74">
        <v>1</v>
      </c>
      <c r="C87" s="395" t="s">
        <v>375</v>
      </c>
      <c r="D87" s="250"/>
      <c r="E87" s="250"/>
      <c r="F87" s="250"/>
      <c r="G87" s="250"/>
      <c r="H87" s="250"/>
      <c r="I87" s="250"/>
      <c r="J87" s="250"/>
      <c r="K87" s="250"/>
      <c r="L87" s="250" t="s">
        <v>379</v>
      </c>
      <c r="M87" s="250">
        <v>175</v>
      </c>
      <c r="N87" s="250" t="s">
        <v>322</v>
      </c>
      <c r="O87" s="250"/>
      <c r="P87" s="250" t="s">
        <v>382</v>
      </c>
      <c r="Q87" s="250"/>
      <c r="R87" s="137"/>
      <c r="S87" s="2"/>
      <c r="V87" s="45">
        <v>86</v>
      </c>
    </row>
    <row r="88" spans="1:22" ht="15" customHeight="1">
      <c r="A88" s="228">
        <v>18</v>
      </c>
      <c r="B88" s="75">
        <v>2</v>
      </c>
      <c r="C88" s="340" t="s">
        <v>375</v>
      </c>
      <c r="D88" s="49"/>
      <c r="E88" s="274"/>
      <c r="F88" s="49"/>
      <c r="G88" s="49"/>
      <c r="H88" s="274"/>
      <c r="I88" s="49"/>
      <c r="J88" s="49"/>
      <c r="K88" s="49"/>
      <c r="L88" s="49" t="s">
        <v>379</v>
      </c>
      <c r="M88" s="49">
        <v>165</v>
      </c>
      <c r="N88" s="274" t="s">
        <v>322</v>
      </c>
      <c r="O88" s="49"/>
      <c r="P88" s="49" t="s">
        <v>382</v>
      </c>
      <c r="Q88" s="49"/>
      <c r="R88" s="138"/>
      <c r="S88" s="2"/>
      <c r="V88" s="45">
        <v>87</v>
      </c>
    </row>
    <row r="89" spans="1:22" ht="15" customHeight="1">
      <c r="A89" s="229">
        <v>19</v>
      </c>
      <c r="B89" s="74">
        <v>1</v>
      </c>
      <c r="C89" s="446" t="s">
        <v>384</v>
      </c>
      <c r="D89" s="250"/>
      <c r="E89" s="250"/>
      <c r="F89" s="250"/>
      <c r="G89" s="250"/>
      <c r="H89" s="250" t="s">
        <v>390</v>
      </c>
      <c r="I89" s="250"/>
      <c r="J89" s="250"/>
      <c r="K89" s="250"/>
      <c r="L89" s="250" t="s">
        <v>383</v>
      </c>
      <c r="M89" s="250"/>
      <c r="N89" s="251" t="s">
        <v>322</v>
      </c>
      <c r="O89" s="250"/>
      <c r="P89" s="251" t="s">
        <v>386</v>
      </c>
      <c r="Q89" s="250"/>
      <c r="R89" s="137">
        <v>1</v>
      </c>
      <c r="S89" s="2"/>
      <c r="V89" s="45">
        <v>88</v>
      </c>
    </row>
    <row r="90" spans="1:22" ht="15" customHeight="1">
      <c r="A90" s="228">
        <v>19</v>
      </c>
      <c r="B90" s="75">
        <v>2</v>
      </c>
      <c r="C90" s="444" t="s">
        <v>384</v>
      </c>
      <c r="D90" s="49"/>
      <c r="E90" s="49"/>
      <c r="F90" s="49"/>
      <c r="G90" s="49"/>
      <c r="H90" s="49" t="s">
        <v>390</v>
      </c>
      <c r="I90" s="49"/>
      <c r="J90" s="49"/>
      <c r="K90" s="49"/>
      <c r="L90" s="49" t="s">
        <v>383</v>
      </c>
      <c r="M90" s="49"/>
      <c r="N90" s="43" t="s">
        <v>322</v>
      </c>
      <c r="O90" s="49"/>
      <c r="P90" s="43" t="s">
        <v>386</v>
      </c>
      <c r="Q90" s="49"/>
      <c r="R90" s="138">
        <v>1</v>
      </c>
      <c r="S90" s="2"/>
      <c r="V90" s="45">
        <v>89</v>
      </c>
    </row>
    <row r="91" spans="1:22" ht="15" customHeight="1">
      <c r="A91" s="228">
        <v>19</v>
      </c>
      <c r="B91" s="75">
        <v>3</v>
      </c>
      <c r="C91" s="443" t="s">
        <v>384</v>
      </c>
      <c r="D91" s="46"/>
      <c r="E91" s="46"/>
      <c r="F91" s="46"/>
      <c r="G91" s="46"/>
      <c r="H91" s="46" t="s">
        <v>390</v>
      </c>
      <c r="I91" s="46"/>
      <c r="J91" s="46"/>
      <c r="K91" s="46"/>
      <c r="L91" s="46" t="s">
        <v>383</v>
      </c>
      <c r="M91" s="46"/>
      <c r="N91" s="48" t="s">
        <v>322</v>
      </c>
      <c r="O91" s="46"/>
      <c r="P91" s="48" t="s">
        <v>386</v>
      </c>
      <c r="Q91" s="46"/>
      <c r="R91" s="139">
        <v>1</v>
      </c>
      <c r="S91" s="2"/>
      <c r="V91" s="45">
        <v>90</v>
      </c>
    </row>
    <row r="92" spans="1:22" ht="15" customHeight="1">
      <c r="A92" s="228">
        <v>19</v>
      </c>
      <c r="B92" s="75">
        <v>4</v>
      </c>
      <c r="C92" s="444" t="s">
        <v>384</v>
      </c>
      <c r="D92" s="49"/>
      <c r="E92" s="49"/>
      <c r="F92" s="49"/>
      <c r="G92" s="49"/>
      <c r="H92" s="49" t="s">
        <v>390</v>
      </c>
      <c r="I92" s="49"/>
      <c r="J92" s="49"/>
      <c r="K92" s="49"/>
      <c r="L92" s="49" t="s">
        <v>383</v>
      </c>
      <c r="M92" s="49"/>
      <c r="N92" s="43" t="s">
        <v>322</v>
      </c>
      <c r="O92" s="49"/>
      <c r="P92" s="43" t="s">
        <v>386</v>
      </c>
      <c r="Q92" s="49"/>
      <c r="R92" s="138">
        <v>1</v>
      </c>
      <c r="S92" s="2"/>
      <c r="V92" s="45">
        <v>91</v>
      </c>
    </row>
    <row r="93" spans="1:22" ht="15" customHeight="1">
      <c r="A93" s="230">
        <v>19</v>
      </c>
      <c r="B93" s="231">
        <v>5</v>
      </c>
      <c r="C93" s="443" t="s">
        <v>384</v>
      </c>
      <c r="D93" s="327"/>
      <c r="E93" s="327"/>
      <c r="F93" s="327"/>
      <c r="G93" s="327"/>
      <c r="H93" s="327" t="s">
        <v>390</v>
      </c>
      <c r="I93" s="327"/>
      <c r="J93" s="327"/>
      <c r="K93" s="327"/>
      <c r="L93" s="327" t="s">
        <v>383</v>
      </c>
      <c r="M93" s="327"/>
      <c r="N93" s="270" t="s">
        <v>322</v>
      </c>
      <c r="O93" s="327"/>
      <c r="P93" s="270" t="s">
        <v>386</v>
      </c>
      <c r="Q93" s="327"/>
      <c r="R93" s="155">
        <v>1</v>
      </c>
      <c r="S93" s="2"/>
      <c r="V93" s="45">
        <v>92</v>
      </c>
    </row>
    <row r="94" spans="1:22" ht="15" customHeight="1">
      <c r="A94" s="228">
        <v>20</v>
      </c>
      <c r="B94" s="75" t="s">
        <v>221</v>
      </c>
      <c r="C94" s="222" t="s">
        <v>375</v>
      </c>
      <c r="D94" s="22" t="s">
        <v>376</v>
      </c>
      <c r="E94" s="1" t="s">
        <v>377</v>
      </c>
      <c r="F94" s="12">
        <v>25</v>
      </c>
      <c r="G94" s="12">
        <v>0.9</v>
      </c>
      <c r="H94" s="2"/>
      <c r="I94" s="12">
        <v>25</v>
      </c>
      <c r="J94" s="12">
        <v>1</v>
      </c>
      <c r="K94" s="12" t="s">
        <v>378</v>
      </c>
      <c r="L94" s="227" t="s">
        <v>379</v>
      </c>
      <c r="M94" s="2">
        <v>150</v>
      </c>
      <c r="N94" s="12" t="s">
        <v>322</v>
      </c>
      <c r="O94" s="227" t="s">
        <v>380</v>
      </c>
      <c r="P94" s="2"/>
      <c r="Q94" s="2"/>
      <c r="R94" s="236"/>
      <c r="S94" s="2"/>
      <c r="V94" s="45">
        <v>93</v>
      </c>
    </row>
    <row r="95" spans="1:22" ht="15" customHeight="1">
      <c r="A95" s="228">
        <v>20</v>
      </c>
      <c r="B95" s="75" t="s">
        <v>222</v>
      </c>
      <c r="C95" s="22" t="s">
        <v>375</v>
      </c>
      <c r="D95" s="22" t="s">
        <v>376</v>
      </c>
      <c r="E95" s="1" t="s">
        <v>377</v>
      </c>
      <c r="F95" s="12">
        <v>25</v>
      </c>
      <c r="G95" s="12">
        <v>0.9</v>
      </c>
      <c r="H95" s="2"/>
      <c r="I95" s="12">
        <v>25</v>
      </c>
      <c r="J95" s="12">
        <v>1</v>
      </c>
      <c r="K95" s="12" t="s">
        <v>378</v>
      </c>
      <c r="L95" s="12" t="s">
        <v>379</v>
      </c>
      <c r="M95" s="2">
        <v>150</v>
      </c>
      <c r="N95" s="12" t="s">
        <v>322</v>
      </c>
      <c r="O95" s="12" t="s">
        <v>380</v>
      </c>
      <c r="P95" s="2"/>
      <c r="Q95" s="2"/>
      <c r="R95" s="236"/>
      <c r="S95" s="274"/>
      <c r="V95" s="45">
        <v>94</v>
      </c>
    </row>
    <row r="96" spans="1:22" ht="15" customHeight="1">
      <c r="A96" s="228">
        <v>20</v>
      </c>
      <c r="B96" s="75" t="s">
        <v>223</v>
      </c>
      <c r="C96" s="22" t="s">
        <v>375</v>
      </c>
      <c r="D96" s="22" t="s">
        <v>376</v>
      </c>
      <c r="E96" s="1" t="s">
        <v>377</v>
      </c>
      <c r="F96" s="12">
        <v>25</v>
      </c>
      <c r="G96" s="12">
        <v>0.9</v>
      </c>
      <c r="H96" s="2"/>
      <c r="I96" s="12">
        <v>25</v>
      </c>
      <c r="J96" s="12">
        <v>1</v>
      </c>
      <c r="K96" s="12" t="s">
        <v>378</v>
      </c>
      <c r="L96" s="12" t="s">
        <v>379</v>
      </c>
      <c r="M96" s="2">
        <v>150</v>
      </c>
      <c r="N96" s="12" t="s">
        <v>322</v>
      </c>
      <c r="O96" s="12" t="s">
        <v>380</v>
      </c>
      <c r="P96" s="2"/>
      <c r="Q96" s="2"/>
      <c r="R96" s="236"/>
      <c r="S96" s="2"/>
      <c r="V96" s="45">
        <v>95</v>
      </c>
    </row>
    <row r="97" spans="1:22" ht="15" customHeight="1">
      <c r="A97" s="228">
        <v>20</v>
      </c>
      <c r="B97" s="75" t="s">
        <v>224</v>
      </c>
      <c r="C97" s="22" t="s">
        <v>375</v>
      </c>
      <c r="D97" s="22" t="s">
        <v>376</v>
      </c>
      <c r="E97" s="1" t="s">
        <v>377</v>
      </c>
      <c r="F97" s="12">
        <v>25</v>
      </c>
      <c r="G97" s="12">
        <v>0.9</v>
      </c>
      <c r="H97" s="2"/>
      <c r="I97" s="12">
        <v>25</v>
      </c>
      <c r="J97" s="12">
        <v>1</v>
      </c>
      <c r="K97" s="12" t="s">
        <v>378</v>
      </c>
      <c r="L97" s="12" t="s">
        <v>379</v>
      </c>
      <c r="M97" s="2">
        <v>150</v>
      </c>
      <c r="N97" s="12" t="s">
        <v>322</v>
      </c>
      <c r="O97" s="12" t="s">
        <v>380</v>
      </c>
      <c r="P97" s="2"/>
      <c r="Q97" s="2"/>
      <c r="R97" s="236"/>
      <c r="S97" s="2"/>
      <c r="V97" s="45">
        <v>96</v>
      </c>
    </row>
    <row r="98" spans="1:22" ht="15" customHeight="1">
      <c r="A98" s="228">
        <v>20</v>
      </c>
      <c r="B98" s="75" t="s">
        <v>225</v>
      </c>
      <c r="C98" s="22" t="s">
        <v>375</v>
      </c>
      <c r="D98" s="22" t="s">
        <v>376</v>
      </c>
      <c r="E98" s="1" t="s">
        <v>377</v>
      </c>
      <c r="F98" s="12">
        <v>25</v>
      </c>
      <c r="G98" s="12">
        <v>0.9</v>
      </c>
      <c r="H98" s="2"/>
      <c r="I98" s="12">
        <v>25</v>
      </c>
      <c r="J98" s="12">
        <v>1</v>
      </c>
      <c r="K98" s="12" t="s">
        <v>378</v>
      </c>
      <c r="L98" s="12" t="s">
        <v>379</v>
      </c>
      <c r="M98" s="2">
        <v>160</v>
      </c>
      <c r="N98" s="12" t="s">
        <v>322</v>
      </c>
      <c r="O98" s="12" t="s">
        <v>380</v>
      </c>
      <c r="P98" s="2"/>
      <c r="Q98" s="2"/>
      <c r="R98" s="236"/>
      <c r="S98" s="2"/>
      <c r="V98" s="45">
        <v>97</v>
      </c>
    </row>
    <row r="99" spans="1:22" ht="15" customHeight="1">
      <c r="A99" s="228">
        <v>20</v>
      </c>
      <c r="B99" s="75" t="s">
        <v>226</v>
      </c>
      <c r="C99" s="22" t="s">
        <v>375</v>
      </c>
      <c r="D99" s="22" t="s">
        <v>376</v>
      </c>
      <c r="E99" s="1" t="s">
        <v>377</v>
      </c>
      <c r="F99" s="12">
        <v>25</v>
      </c>
      <c r="G99" s="12">
        <v>0.9</v>
      </c>
      <c r="H99" s="2"/>
      <c r="I99" s="12">
        <v>25</v>
      </c>
      <c r="J99" s="12">
        <v>1</v>
      </c>
      <c r="K99" s="12" t="s">
        <v>378</v>
      </c>
      <c r="L99" s="12" t="s">
        <v>379</v>
      </c>
      <c r="M99" s="2">
        <v>160</v>
      </c>
      <c r="N99" s="12" t="s">
        <v>322</v>
      </c>
      <c r="O99" s="12" t="s">
        <v>380</v>
      </c>
      <c r="P99" s="2"/>
      <c r="Q99" s="2"/>
      <c r="R99" s="236"/>
      <c r="S99" s="2"/>
      <c r="V99" s="45">
        <v>98</v>
      </c>
    </row>
    <row r="100" spans="1:22" ht="15" customHeight="1">
      <c r="A100" s="228">
        <v>20</v>
      </c>
      <c r="B100" s="75" t="s">
        <v>227</v>
      </c>
      <c r="C100" s="22" t="s">
        <v>375</v>
      </c>
      <c r="D100" s="22" t="s">
        <v>376</v>
      </c>
      <c r="E100" s="1" t="s">
        <v>377</v>
      </c>
      <c r="F100" s="12">
        <v>25</v>
      </c>
      <c r="G100" s="12">
        <v>0.9</v>
      </c>
      <c r="H100" s="2"/>
      <c r="I100" s="12">
        <v>25</v>
      </c>
      <c r="J100" s="12">
        <v>1</v>
      </c>
      <c r="K100" s="12" t="s">
        <v>378</v>
      </c>
      <c r="L100" s="12" t="s">
        <v>379</v>
      </c>
      <c r="M100" s="2">
        <v>160</v>
      </c>
      <c r="N100" s="12" t="s">
        <v>322</v>
      </c>
      <c r="O100" s="12" t="s">
        <v>380</v>
      </c>
      <c r="P100" s="2"/>
      <c r="Q100" s="2"/>
      <c r="R100" s="236"/>
      <c r="S100" s="2"/>
      <c r="V100" s="45">
        <v>99</v>
      </c>
    </row>
    <row r="101" spans="1:22" ht="15" customHeight="1">
      <c r="A101" s="228">
        <v>20</v>
      </c>
      <c r="B101" s="75" t="s">
        <v>228</v>
      </c>
      <c r="C101" s="22" t="s">
        <v>375</v>
      </c>
      <c r="D101" s="22" t="s">
        <v>376</v>
      </c>
      <c r="E101" s="1" t="s">
        <v>377</v>
      </c>
      <c r="F101" s="12">
        <v>25</v>
      </c>
      <c r="G101" s="12">
        <v>0.9</v>
      </c>
      <c r="H101" s="2"/>
      <c r="I101" s="12">
        <v>25</v>
      </c>
      <c r="J101" s="12">
        <v>1</v>
      </c>
      <c r="K101" s="12" t="s">
        <v>378</v>
      </c>
      <c r="L101" s="12" t="s">
        <v>379</v>
      </c>
      <c r="M101" s="2">
        <v>160</v>
      </c>
      <c r="N101" s="12" t="s">
        <v>322</v>
      </c>
      <c r="O101" s="12" t="s">
        <v>380</v>
      </c>
      <c r="P101" s="2"/>
      <c r="Q101" s="2"/>
      <c r="R101" s="236"/>
      <c r="S101" s="2"/>
      <c r="V101" s="45">
        <v>100</v>
      </c>
    </row>
    <row r="102" spans="1:22" ht="15" customHeight="1">
      <c r="A102" s="228">
        <v>20</v>
      </c>
      <c r="B102" s="75" t="s">
        <v>231</v>
      </c>
      <c r="C102" s="22" t="s">
        <v>375</v>
      </c>
      <c r="D102" s="22" t="s">
        <v>376</v>
      </c>
      <c r="E102" s="1" t="s">
        <v>377</v>
      </c>
      <c r="F102" s="12">
        <v>25</v>
      </c>
      <c r="G102" s="12">
        <v>0.9</v>
      </c>
      <c r="H102" s="2"/>
      <c r="I102" s="12">
        <v>25</v>
      </c>
      <c r="J102" s="12">
        <v>1</v>
      </c>
      <c r="K102" s="12" t="s">
        <v>378</v>
      </c>
      <c r="L102" s="12" t="s">
        <v>379</v>
      </c>
      <c r="M102" s="2">
        <v>170</v>
      </c>
      <c r="N102" s="12" t="s">
        <v>322</v>
      </c>
      <c r="O102" s="12" t="s">
        <v>380</v>
      </c>
      <c r="P102" s="2"/>
      <c r="Q102" s="2"/>
      <c r="R102" s="236"/>
      <c r="S102" s="2"/>
      <c r="V102" s="45">
        <v>101</v>
      </c>
    </row>
    <row r="103" spans="1:22" ht="15" customHeight="1">
      <c r="A103" s="228">
        <v>20</v>
      </c>
      <c r="B103" s="75" t="s">
        <v>232</v>
      </c>
      <c r="C103" s="22" t="s">
        <v>375</v>
      </c>
      <c r="D103" s="22" t="s">
        <v>376</v>
      </c>
      <c r="E103" s="1" t="s">
        <v>377</v>
      </c>
      <c r="F103" s="12">
        <v>25</v>
      </c>
      <c r="G103" s="12">
        <v>0.9</v>
      </c>
      <c r="H103" s="2"/>
      <c r="I103" s="12">
        <v>25</v>
      </c>
      <c r="J103" s="12">
        <v>1</v>
      </c>
      <c r="K103" s="12" t="s">
        <v>378</v>
      </c>
      <c r="L103" s="12" t="s">
        <v>379</v>
      </c>
      <c r="M103" s="2">
        <v>170</v>
      </c>
      <c r="N103" s="12" t="s">
        <v>322</v>
      </c>
      <c r="O103" s="12" t="s">
        <v>380</v>
      </c>
      <c r="P103" s="2"/>
      <c r="Q103" s="2"/>
      <c r="R103" s="236"/>
      <c r="S103" s="2"/>
      <c r="V103" s="45">
        <v>102</v>
      </c>
    </row>
    <row r="104" spans="1:22" ht="15" customHeight="1">
      <c r="A104" s="228">
        <v>20</v>
      </c>
      <c r="B104" s="75" t="s">
        <v>233</v>
      </c>
      <c r="C104" s="22" t="s">
        <v>375</v>
      </c>
      <c r="D104" s="22" t="s">
        <v>376</v>
      </c>
      <c r="E104" s="1" t="s">
        <v>377</v>
      </c>
      <c r="F104" s="12">
        <v>25</v>
      </c>
      <c r="G104" s="12">
        <v>0.9</v>
      </c>
      <c r="H104" s="2"/>
      <c r="I104" s="12">
        <v>25</v>
      </c>
      <c r="J104" s="12">
        <v>1</v>
      </c>
      <c r="K104" s="12" t="s">
        <v>378</v>
      </c>
      <c r="L104" s="12" t="s">
        <v>379</v>
      </c>
      <c r="M104" s="2">
        <v>170</v>
      </c>
      <c r="N104" s="12" t="s">
        <v>322</v>
      </c>
      <c r="O104" s="12" t="s">
        <v>380</v>
      </c>
      <c r="P104" s="2"/>
      <c r="Q104" s="2"/>
      <c r="R104" s="236"/>
      <c r="S104" s="2"/>
      <c r="V104" s="45">
        <v>103</v>
      </c>
    </row>
    <row r="105" spans="1:22" ht="15" customHeight="1">
      <c r="A105" s="228">
        <v>20</v>
      </c>
      <c r="B105" s="75" t="s">
        <v>234</v>
      </c>
      <c r="C105" s="22" t="s">
        <v>375</v>
      </c>
      <c r="D105" s="22" t="s">
        <v>376</v>
      </c>
      <c r="E105" s="1" t="s">
        <v>377</v>
      </c>
      <c r="F105" s="12">
        <v>25</v>
      </c>
      <c r="G105" s="12">
        <v>0.9</v>
      </c>
      <c r="H105" s="2"/>
      <c r="I105" s="12">
        <v>25</v>
      </c>
      <c r="J105" s="12">
        <v>1</v>
      </c>
      <c r="K105" s="12" t="s">
        <v>378</v>
      </c>
      <c r="L105" s="12" t="s">
        <v>379</v>
      </c>
      <c r="M105" s="2">
        <v>170</v>
      </c>
      <c r="N105" s="12" t="s">
        <v>322</v>
      </c>
      <c r="O105" s="12" t="s">
        <v>380</v>
      </c>
      <c r="P105" s="2"/>
      <c r="Q105" s="2"/>
      <c r="R105" s="236"/>
      <c r="S105" s="2"/>
      <c r="V105" s="45">
        <v>104</v>
      </c>
    </row>
    <row r="106" spans="1:22" ht="15" customHeight="1">
      <c r="A106" s="228">
        <v>20</v>
      </c>
      <c r="B106" s="75" t="s">
        <v>235</v>
      </c>
      <c r="C106" s="122" t="s">
        <v>384</v>
      </c>
      <c r="D106" s="122" t="s">
        <v>385</v>
      </c>
      <c r="E106" s="1" t="s">
        <v>377</v>
      </c>
      <c r="F106" s="12">
        <v>25</v>
      </c>
      <c r="G106" s="12">
        <v>0.9</v>
      </c>
      <c r="H106" s="2"/>
      <c r="I106" s="12">
        <v>25</v>
      </c>
      <c r="J106" s="12">
        <v>1</v>
      </c>
      <c r="K106" s="12" t="s">
        <v>378</v>
      </c>
      <c r="L106" s="12" t="s">
        <v>379</v>
      </c>
      <c r="M106" s="2"/>
      <c r="N106" s="12" t="s">
        <v>322</v>
      </c>
      <c r="O106" s="12"/>
      <c r="P106" s="22" t="s">
        <v>391</v>
      </c>
      <c r="Q106" s="22"/>
      <c r="R106" s="226">
        <v>1</v>
      </c>
      <c r="S106" s="2"/>
      <c r="V106" s="45">
        <v>105</v>
      </c>
    </row>
    <row r="107" spans="1:22" ht="15" customHeight="1">
      <c r="A107" s="228">
        <v>20</v>
      </c>
      <c r="B107" s="75" t="s">
        <v>236</v>
      </c>
      <c r="C107" s="122" t="s">
        <v>384</v>
      </c>
      <c r="D107" s="122" t="s">
        <v>385</v>
      </c>
      <c r="E107" s="1" t="s">
        <v>377</v>
      </c>
      <c r="F107" s="12">
        <v>25</v>
      </c>
      <c r="G107" s="12">
        <v>0.9</v>
      </c>
      <c r="H107" s="2"/>
      <c r="I107" s="12">
        <v>25</v>
      </c>
      <c r="J107" s="12">
        <v>1</v>
      </c>
      <c r="K107" s="12" t="s">
        <v>378</v>
      </c>
      <c r="L107" s="12" t="s">
        <v>379</v>
      </c>
      <c r="M107" s="2"/>
      <c r="N107" s="12" t="s">
        <v>322</v>
      </c>
      <c r="O107" s="12"/>
      <c r="P107" s="22" t="s">
        <v>391</v>
      </c>
      <c r="Q107" s="22"/>
      <c r="R107" s="226">
        <v>1</v>
      </c>
      <c r="S107" s="2"/>
      <c r="V107" s="45">
        <v>106</v>
      </c>
    </row>
    <row r="108" spans="1:22" ht="15" customHeight="1">
      <c r="A108" s="228">
        <v>20</v>
      </c>
      <c r="B108" s="75" t="s">
        <v>237</v>
      </c>
      <c r="C108" s="122" t="s">
        <v>384</v>
      </c>
      <c r="D108" s="122" t="s">
        <v>385</v>
      </c>
      <c r="E108" s="1" t="s">
        <v>377</v>
      </c>
      <c r="F108" s="12">
        <v>25</v>
      </c>
      <c r="G108" s="12">
        <v>0.9</v>
      </c>
      <c r="H108" s="2"/>
      <c r="I108" s="12">
        <v>25</v>
      </c>
      <c r="J108" s="12">
        <v>1</v>
      </c>
      <c r="K108" s="12" t="s">
        <v>378</v>
      </c>
      <c r="L108" s="12" t="s">
        <v>379</v>
      </c>
      <c r="M108" s="2"/>
      <c r="N108" s="12" t="s">
        <v>322</v>
      </c>
      <c r="O108" s="12"/>
      <c r="P108" s="22" t="s">
        <v>391</v>
      </c>
      <c r="Q108" s="22"/>
      <c r="R108" s="226">
        <v>1</v>
      </c>
      <c r="S108" s="2"/>
      <c r="V108" s="45">
        <v>107</v>
      </c>
    </row>
    <row r="109" spans="1:22" ht="15" customHeight="1">
      <c r="A109" s="228">
        <v>20</v>
      </c>
      <c r="B109" s="75" t="s">
        <v>238</v>
      </c>
      <c r="C109" s="122" t="s">
        <v>384</v>
      </c>
      <c r="D109" s="122" t="s">
        <v>385</v>
      </c>
      <c r="E109" s="1" t="s">
        <v>377</v>
      </c>
      <c r="F109" s="12">
        <v>25</v>
      </c>
      <c r="G109" s="12">
        <v>0.9</v>
      </c>
      <c r="H109" s="2"/>
      <c r="I109" s="12">
        <v>25</v>
      </c>
      <c r="J109" s="12">
        <v>1</v>
      </c>
      <c r="K109" s="12" t="s">
        <v>378</v>
      </c>
      <c r="L109" s="12" t="s">
        <v>379</v>
      </c>
      <c r="M109" s="2"/>
      <c r="N109" s="12" t="s">
        <v>322</v>
      </c>
      <c r="O109" s="12"/>
      <c r="P109" s="22" t="s">
        <v>391</v>
      </c>
      <c r="Q109" s="22"/>
      <c r="R109" s="226">
        <v>1</v>
      </c>
      <c r="S109" s="2"/>
      <c r="V109" s="45">
        <v>108</v>
      </c>
    </row>
    <row r="110" spans="1:22" ht="15" customHeight="1">
      <c r="A110" s="228">
        <v>20</v>
      </c>
      <c r="B110" s="75" t="s">
        <v>239</v>
      </c>
      <c r="C110" s="122" t="s">
        <v>384</v>
      </c>
      <c r="D110" s="122" t="s">
        <v>385</v>
      </c>
      <c r="E110" s="1" t="s">
        <v>377</v>
      </c>
      <c r="F110" s="12">
        <v>25</v>
      </c>
      <c r="G110" s="12">
        <v>0.9</v>
      </c>
      <c r="H110" s="2"/>
      <c r="I110" s="12">
        <v>25</v>
      </c>
      <c r="J110" s="12">
        <v>1</v>
      </c>
      <c r="K110" s="12" t="s">
        <v>378</v>
      </c>
      <c r="L110" s="12" t="s">
        <v>379</v>
      </c>
      <c r="M110" s="2"/>
      <c r="N110" s="12" t="s">
        <v>322</v>
      </c>
      <c r="O110" s="12"/>
      <c r="P110" s="22" t="s">
        <v>391</v>
      </c>
      <c r="Q110" s="22"/>
      <c r="R110" s="226">
        <v>1</v>
      </c>
      <c r="S110" s="2"/>
      <c r="V110" s="45">
        <v>109</v>
      </c>
    </row>
    <row r="111" spans="1:22" ht="15" customHeight="1">
      <c r="A111" s="228">
        <v>20</v>
      </c>
      <c r="B111" s="75" t="s">
        <v>240</v>
      </c>
      <c r="C111" s="122" t="s">
        <v>384</v>
      </c>
      <c r="D111" s="122" t="s">
        <v>385</v>
      </c>
      <c r="E111" s="1" t="s">
        <v>377</v>
      </c>
      <c r="F111" s="12">
        <v>25</v>
      </c>
      <c r="G111" s="12">
        <v>0.9</v>
      </c>
      <c r="H111" s="2"/>
      <c r="I111" s="12">
        <v>25</v>
      </c>
      <c r="J111" s="12">
        <v>1</v>
      </c>
      <c r="K111" s="12" t="s">
        <v>378</v>
      </c>
      <c r="L111" s="12" t="s">
        <v>379</v>
      </c>
      <c r="M111" s="2"/>
      <c r="N111" s="12" t="s">
        <v>322</v>
      </c>
      <c r="O111" s="12"/>
      <c r="P111" s="22" t="s">
        <v>391</v>
      </c>
      <c r="Q111" s="22"/>
      <c r="R111" s="226">
        <v>1</v>
      </c>
      <c r="S111" s="2"/>
      <c r="V111" s="45">
        <v>110</v>
      </c>
    </row>
    <row r="112" spans="1:22" ht="15" customHeight="1">
      <c r="A112" s="228">
        <v>20</v>
      </c>
      <c r="B112" s="75" t="s">
        <v>241</v>
      </c>
      <c r="C112" s="122" t="s">
        <v>384</v>
      </c>
      <c r="D112" s="122" t="s">
        <v>385</v>
      </c>
      <c r="E112" s="1" t="s">
        <v>377</v>
      </c>
      <c r="F112" s="12">
        <v>25</v>
      </c>
      <c r="G112" s="12">
        <v>0.9</v>
      </c>
      <c r="H112" s="2"/>
      <c r="I112" s="12">
        <v>25</v>
      </c>
      <c r="J112" s="12">
        <v>1</v>
      </c>
      <c r="K112" s="12" t="s">
        <v>378</v>
      </c>
      <c r="L112" s="12" t="s">
        <v>379</v>
      </c>
      <c r="M112" s="2"/>
      <c r="N112" s="12" t="s">
        <v>322</v>
      </c>
      <c r="O112" s="12"/>
      <c r="P112" s="22" t="s">
        <v>391</v>
      </c>
      <c r="Q112" s="22"/>
      <c r="R112" s="226">
        <v>1</v>
      </c>
      <c r="S112" s="2"/>
      <c r="V112" s="45">
        <v>111</v>
      </c>
    </row>
    <row r="113" spans="1:22" ht="15" customHeight="1">
      <c r="A113" s="228">
        <v>20</v>
      </c>
      <c r="B113" s="75" t="s">
        <v>242</v>
      </c>
      <c r="C113" s="122" t="s">
        <v>384</v>
      </c>
      <c r="D113" s="122" t="s">
        <v>385</v>
      </c>
      <c r="E113" s="1" t="s">
        <v>377</v>
      </c>
      <c r="F113" s="12">
        <v>25</v>
      </c>
      <c r="G113" s="12">
        <v>0.9</v>
      </c>
      <c r="H113" s="2"/>
      <c r="I113" s="12">
        <v>25</v>
      </c>
      <c r="J113" s="12">
        <v>1</v>
      </c>
      <c r="K113" s="12" t="s">
        <v>378</v>
      </c>
      <c r="L113" s="12" t="s">
        <v>379</v>
      </c>
      <c r="M113" s="2"/>
      <c r="N113" s="12" t="s">
        <v>322</v>
      </c>
      <c r="O113" s="12"/>
      <c r="P113" s="22" t="s">
        <v>391</v>
      </c>
      <c r="Q113" s="22"/>
      <c r="R113" s="226">
        <v>1</v>
      </c>
      <c r="S113" s="2"/>
      <c r="V113" s="45">
        <v>112</v>
      </c>
    </row>
    <row r="114" spans="1:22" ht="15" customHeight="1">
      <c r="A114" s="229">
        <v>21</v>
      </c>
      <c r="B114" s="74" t="s">
        <v>221</v>
      </c>
      <c r="C114" s="325" t="s">
        <v>384</v>
      </c>
      <c r="D114" s="222"/>
      <c r="E114" s="222"/>
      <c r="F114" s="227">
        <v>25</v>
      </c>
      <c r="G114" s="222">
        <v>1</v>
      </c>
      <c r="H114" s="222" t="s">
        <v>381</v>
      </c>
      <c r="I114" s="222"/>
      <c r="J114" s="227">
        <v>1</v>
      </c>
      <c r="K114" s="227" t="s">
        <v>378</v>
      </c>
      <c r="L114" s="222" t="s">
        <v>383</v>
      </c>
      <c r="M114" s="222"/>
      <c r="N114" s="227" t="s">
        <v>322</v>
      </c>
      <c r="O114" s="227"/>
      <c r="P114" s="222" t="s">
        <v>391</v>
      </c>
      <c r="Q114" s="234"/>
      <c r="R114" s="225">
        <v>1</v>
      </c>
      <c r="S114" s="2"/>
      <c r="V114" s="45">
        <v>113</v>
      </c>
    </row>
    <row r="115" spans="1:22" ht="15" customHeight="1">
      <c r="A115" s="228">
        <v>21</v>
      </c>
      <c r="B115" s="75" t="s">
        <v>222</v>
      </c>
      <c r="C115" s="122" t="s">
        <v>384</v>
      </c>
      <c r="D115" s="22"/>
      <c r="E115" s="22"/>
      <c r="F115" s="12">
        <v>25</v>
      </c>
      <c r="G115" s="22">
        <v>1</v>
      </c>
      <c r="H115" s="22" t="s">
        <v>381</v>
      </c>
      <c r="I115" s="22"/>
      <c r="J115" s="12">
        <v>1</v>
      </c>
      <c r="K115" s="12" t="s">
        <v>378</v>
      </c>
      <c r="L115" s="22" t="s">
        <v>383</v>
      </c>
      <c r="M115" s="22"/>
      <c r="N115" s="12" t="s">
        <v>322</v>
      </c>
      <c r="O115" s="12"/>
      <c r="P115" s="22" t="s">
        <v>391</v>
      </c>
      <c r="Q115" s="2"/>
      <c r="R115" s="226">
        <v>1</v>
      </c>
      <c r="S115" s="2"/>
      <c r="V115" s="45">
        <v>114</v>
      </c>
    </row>
    <row r="116" spans="1:22" ht="15" customHeight="1">
      <c r="A116" s="228">
        <v>21</v>
      </c>
      <c r="B116" s="75" t="s">
        <v>223</v>
      </c>
      <c r="C116" s="122" t="s">
        <v>384</v>
      </c>
      <c r="D116" s="22"/>
      <c r="E116" s="22"/>
      <c r="F116" s="12">
        <v>25</v>
      </c>
      <c r="G116" s="22">
        <v>1</v>
      </c>
      <c r="H116" s="22" t="s">
        <v>381</v>
      </c>
      <c r="I116" s="22"/>
      <c r="J116" s="12">
        <v>1</v>
      </c>
      <c r="K116" s="12" t="s">
        <v>378</v>
      </c>
      <c r="L116" s="22" t="s">
        <v>383</v>
      </c>
      <c r="M116" s="22"/>
      <c r="N116" s="12" t="s">
        <v>322</v>
      </c>
      <c r="O116" s="12"/>
      <c r="P116" s="22" t="s">
        <v>391</v>
      </c>
      <c r="Q116" s="2"/>
      <c r="R116" s="226">
        <v>1</v>
      </c>
      <c r="S116" s="2"/>
      <c r="V116" s="45">
        <v>115</v>
      </c>
    </row>
    <row r="117" spans="1:22" ht="15" customHeight="1">
      <c r="A117" s="228">
        <v>21</v>
      </c>
      <c r="B117" s="75" t="s">
        <v>224</v>
      </c>
      <c r="C117" s="122" t="s">
        <v>384</v>
      </c>
      <c r="D117" s="22"/>
      <c r="E117" s="22"/>
      <c r="F117" s="12">
        <v>25</v>
      </c>
      <c r="G117" s="22">
        <v>1</v>
      </c>
      <c r="H117" s="22" t="s">
        <v>381</v>
      </c>
      <c r="I117" s="22"/>
      <c r="J117" s="12">
        <v>1</v>
      </c>
      <c r="K117" s="12" t="s">
        <v>378</v>
      </c>
      <c r="L117" s="22" t="s">
        <v>383</v>
      </c>
      <c r="M117" s="22"/>
      <c r="N117" s="12" t="s">
        <v>322</v>
      </c>
      <c r="O117" s="12"/>
      <c r="P117" s="22" t="s">
        <v>391</v>
      </c>
      <c r="Q117" s="2"/>
      <c r="R117" s="226">
        <v>1</v>
      </c>
      <c r="S117" s="2"/>
      <c r="V117" s="45">
        <v>116</v>
      </c>
    </row>
    <row r="118" spans="1:22" ht="15" customHeight="1">
      <c r="A118" s="228">
        <v>21</v>
      </c>
      <c r="B118" s="75" t="s">
        <v>229</v>
      </c>
      <c r="C118" s="122" t="s">
        <v>384</v>
      </c>
      <c r="D118" s="22"/>
      <c r="E118" s="22"/>
      <c r="F118" s="12">
        <v>25</v>
      </c>
      <c r="G118" s="22">
        <v>1</v>
      </c>
      <c r="H118" s="22" t="s">
        <v>381</v>
      </c>
      <c r="I118" s="22"/>
      <c r="J118" s="12">
        <v>1</v>
      </c>
      <c r="K118" s="12" t="s">
        <v>378</v>
      </c>
      <c r="L118" s="22" t="s">
        <v>383</v>
      </c>
      <c r="M118" s="22"/>
      <c r="N118" s="12" t="s">
        <v>322</v>
      </c>
      <c r="O118" s="12"/>
      <c r="P118" s="22" t="s">
        <v>391</v>
      </c>
      <c r="Q118" s="2"/>
      <c r="R118" s="226">
        <v>1</v>
      </c>
      <c r="S118" s="2"/>
      <c r="V118" s="45">
        <v>117</v>
      </c>
    </row>
    <row r="119" spans="1:22" ht="15" customHeight="1">
      <c r="A119" s="228">
        <v>21</v>
      </c>
      <c r="B119" s="75" t="s">
        <v>243</v>
      </c>
      <c r="C119" s="122" t="s">
        <v>384</v>
      </c>
      <c r="D119" s="22"/>
      <c r="E119" s="22"/>
      <c r="F119" s="12">
        <v>25</v>
      </c>
      <c r="G119" s="22">
        <v>1</v>
      </c>
      <c r="H119" s="22" t="s">
        <v>381</v>
      </c>
      <c r="I119" s="22"/>
      <c r="J119" s="12">
        <v>1</v>
      </c>
      <c r="K119" s="12" t="s">
        <v>378</v>
      </c>
      <c r="L119" s="22" t="s">
        <v>383</v>
      </c>
      <c r="M119" s="22"/>
      <c r="N119" s="12" t="s">
        <v>322</v>
      </c>
      <c r="O119" s="12"/>
      <c r="P119" s="22" t="s">
        <v>391</v>
      </c>
      <c r="Q119" s="2"/>
      <c r="R119" s="226">
        <v>1</v>
      </c>
      <c r="S119" s="2"/>
      <c r="V119" s="45">
        <v>118</v>
      </c>
    </row>
    <row r="120" spans="1:22" ht="15" customHeight="1">
      <c r="A120" s="228">
        <v>21</v>
      </c>
      <c r="B120" s="75" t="s">
        <v>244</v>
      </c>
      <c r="C120" s="122" t="s">
        <v>384</v>
      </c>
      <c r="D120" s="22"/>
      <c r="E120" s="22"/>
      <c r="F120" s="12">
        <v>25</v>
      </c>
      <c r="G120" s="22">
        <v>1</v>
      </c>
      <c r="H120" s="22" t="s">
        <v>381</v>
      </c>
      <c r="I120" s="22"/>
      <c r="J120" s="12">
        <v>1</v>
      </c>
      <c r="K120" s="12" t="s">
        <v>378</v>
      </c>
      <c r="L120" s="22" t="s">
        <v>383</v>
      </c>
      <c r="M120" s="22"/>
      <c r="N120" s="12" t="s">
        <v>322</v>
      </c>
      <c r="O120" s="12"/>
      <c r="P120" s="22" t="s">
        <v>391</v>
      </c>
      <c r="Q120" s="2"/>
      <c r="R120" s="226">
        <v>1</v>
      </c>
      <c r="S120" s="2"/>
      <c r="V120" s="45">
        <v>119</v>
      </c>
    </row>
    <row r="121" spans="1:22" ht="15" customHeight="1">
      <c r="A121" s="228">
        <v>21</v>
      </c>
      <c r="B121" s="75" t="s">
        <v>245</v>
      </c>
      <c r="C121" s="122" t="s">
        <v>384</v>
      </c>
      <c r="D121" s="22"/>
      <c r="E121" s="22"/>
      <c r="F121" s="12">
        <v>25</v>
      </c>
      <c r="G121" s="22">
        <v>1</v>
      </c>
      <c r="H121" s="22" t="s">
        <v>381</v>
      </c>
      <c r="I121" s="22"/>
      <c r="J121" s="12">
        <v>1</v>
      </c>
      <c r="K121" s="12" t="s">
        <v>378</v>
      </c>
      <c r="L121" s="22" t="s">
        <v>383</v>
      </c>
      <c r="M121" s="22"/>
      <c r="N121" s="12" t="s">
        <v>322</v>
      </c>
      <c r="O121" s="12"/>
      <c r="P121" s="22" t="s">
        <v>391</v>
      </c>
      <c r="Q121" s="2"/>
      <c r="R121" s="226">
        <v>1</v>
      </c>
      <c r="S121" s="2"/>
      <c r="V121" s="45">
        <v>120</v>
      </c>
    </row>
    <row r="122" spans="1:22" ht="15" customHeight="1">
      <c r="A122" s="228">
        <v>21</v>
      </c>
      <c r="B122" s="75" t="s">
        <v>225</v>
      </c>
      <c r="C122" s="22" t="s">
        <v>375</v>
      </c>
      <c r="D122" s="2"/>
      <c r="E122" s="2"/>
      <c r="F122" s="2"/>
      <c r="G122" s="2"/>
      <c r="H122" s="2"/>
      <c r="I122" s="2"/>
      <c r="J122" s="2"/>
      <c r="K122" s="2"/>
      <c r="L122" s="12" t="s">
        <v>379</v>
      </c>
      <c r="M122" s="2">
        <v>180</v>
      </c>
      <c r="N122" s="12" t="s">
        <v>322</v>
      </c>
      <c r="O122" s="326" t="s">
        <v>380</v>
      </c>
      <c r="P122" s="2" t="s">
        <v>382</v>
      </c>
      <c r="Q122" s="274">
        <v>0.8</v>
      </c>
      <c r="R122" s="236"/>
      <c r="S122" s="2"/>
      <c r="V122" s="45">
        <v>121</v>
      </c>
    </row>
    <row r="123" spans="1:22" ht="15" customHeight="1">
      <c r="A123" s="228">
        <v>21</v>
      </c>
      <c r="B123" s="75" t="s">
        <v>226</v>
      </c>
      <c r="C123" s="22" t="s">
        <v>375</v>
      </c>
      <c r="D123" s="2"/>
      <c r="E123" s="2"/>
      <c r="F123" s="2"/>
      <c r="G123" s="2"/>
      <c r="H123" s="2"/>
      <c r="I123" s="2"/>
      <c r="J123" s="2"/>
      <c r="K123" s="2"/>
      <c r="L123" s="12" t="s">
        <v>379</v>
      </c>
      <c r="M123" s="2">
        <v>180</v>
      </c>
      <c r="N123" s="12" t="s">
        <v>322</v>
      </c>
      <c r="O123" s="326" t="s">
        <v>380</v>
      </c>
      <c r="P123" s="2" t="s">
        <v>382</v>
      </c>
      <c r="Q123" s="274">
        <v>0.8</v>
      </c>
      <c r="R123" s="236"/>
      <c r="S123" s="2"/>
      <c r="V123" s="45">
        <v>122</v>
      </c>
    </row>
    <row r="124" spans="1:22" ht="15" customHeight="1">
      <c r="A124" s="228">
        <v>21</v>
      </c>
      <c r="B124" s="75" t="s">
        <v>227</v>
      </c>
      <c r="C124" s="22" t="s">
        <v>375</v>
      </c>
      <c r="D124" s="2"/>
      <c r="E124" s="2"/>
      <c r="F124" s="2"/>
      <c r="G124" s="2"/>
      <c r="H124" s="2"/>
      <c r="I124" s="2"/>
      <c r="J124" s="2"/>
      <c r="K124" s="2"/>
      <c r="L124" s="12" t="s">
        <v>379</v>
      </c>
      <c r="M124" s="2">
        <v>180</v>
      </c>
      <c r="N124" s="12" t="s">
        <v>322</v>
      </c>
      <c r="O124" s="326" t="s">
        <v>380</v>
      </c>
      <c r="P124" s="2" t="s">
        <v>382</v>
      </c>
      <c r="Q124" s="274">
        <v>0.8</v>
      </c>
      <c r="R124" s="236"/>
      <c r="S124" s="2"/>
      <c r="V124" s="45">
        <v>123</v>
      </c>
    </row>
    <row r="125" spans="1:22" ht="15" customHeight="1">
      <c r="A125" s="228">
        <v>21</v>
      </c>
      <c r="B125" s="75" t="s">
        <v>228</v>
      </c>
      <c r="C125" s="22" t="s">
        <v>375</v>
      </c>
      <c r="D125" s="2"/>
      <c r="E125" s="2"/>
      <c r="F125" s="2"/>
      <c r="G125" s="2"/>
      <c r="H125" s="2"/>
      <c r="I125" s="2"/>
      <c r="J125" s="2"/>
      <c r="K125" s="2"/>
      <c r="L125" s="12" t="s">
        <v>379</v>
      </c>
      <c r="M125" s="2">
        <v>180</v>
      </c>
      <c r="N125" s="12" t="s">
        <v>322</v>
      </c>
      <c r="O125" s="326" t="s">
        <v>380</v>
      </c>
      <c r="P125" s="2" t="s">
        <v>382</v>
      </c>
      <c r="Q125" s="274">
        <v>0.8</v>
      </c>
      <c r="R125" s="236"/>
      <c r="S125" s="2"/>
      <c r="V125" s="45">
        <v>124</v>
      </c>
    </row>
    <row r="126" spans="1:22" ht="15" customHeight="1">
      <c r="A126" s="228">
        <v>21</v>
      </c>
      <c r="B126" s="75" t="s">
        <v>230</v>
      </c>
      <c r="C126" s="22" t="s">
        <v>375</v>
      </c>
      <c r="D126" s="2"/>
      <c r="E126" s="2"/>
      <c r="F126" s="2"/>
      <c r="G126" s="2"/>
      <c r="H126" s="2"/>
      <c r="I126" s="2"/>
      <c r="J126" s="2"/>
      <c r="K126" s="2"/>
      <c r="L126" s="12" t="s">
        <v>379</v>
      </c>
      <c r="M126" s="2">
        <v>180</v>
      </c>
      <c r="N126" s="12" t="s">
        <v>322</v>
      </c>
      <c r="O126" s="326" t="s">
        <v>380</v>
      </c>
      <c r="P126" s="2" t="s">
        <v>382</v>
      </c>
      <c r="Q126" s="274">
        <v>0.8</v>
      </c>
      <c r="R126" s="236"/>
      <c r="S126" s="2"/>
      <c r="V126" s="45">
        <v>125</v>
      </c>
    </row>
    <row r="127" spans="1:22" ht="15" customHeight="1">
      <c r="A127" s="228">
        <v>21</v>
      </c>
      <c r="B127" s="75" t="s">
        <v>246</v>
      </c>
      <c r="C127" s="22" t="s">
        <v>375</v>
      </c>
      <c r="D127" s="2"/>
      <c r="E127" s="2"/>
      <c r="F127" s="2"/>
      <c r="G127" s="2"/>
      <c r="H127" s="2"/>
      <c r="I127" s="2"/>
      <c r="J127" s="2"/>
      <c r="K127" s="2"/>
      <c r="L127" s="12" t="s">
        <v>379</v>
      </c>
      <c r="M127" s="2">
        <v>180</v>
      </c>
      <c r="N127" s="12" t="s">
        <v>322</v>
      </c>
      <c r="O127" s="326" t="s">
        <v>380</v>
      </c>
      <c r="P127" s="2" t="s">
        <v>382</v>
      </c>
      <c r="Q127" s="274">
        <v>0.8</v>
      </c>
      <c r="R127" s="236"/>
      <c r="S127" s="2"/>
      <c r="V127" s="45">
        <v>126</v>
      </c>
    </row>
    <row r="128" spans="1:22" ht="15" customHeight="1">
      <c r="A128" s="228">
        <v>21</v>
      </c>
      <c r="B128" s="75" t="s">
        <v>247</v>
      </c>
      <c r="C128" s="22" t="s">
        <v>375</v>
      </c>
      <c r="D128" s="2"/>
      <c r="E128" s="2"/>
      <c r="F128" s="2"/>
      <c r="G128" s="2"/>
      <c r="H128" s="2"/>
      <c r="I128" s="2"/>
      <c r="J128" s="2"/>
      <c r="K128" s="2"/>
      <c r="L128" s="12" t="s">
        <v>379</v>
      </c>
      <c r="M128" s="2">
        <v>180</v>
      </c>
      <c r="N128" s="12" t="s">
        <v>322</v>
      </c>
      <c r="O128" s="326" t="s">
        <v>380</v>
      </c>
      <c r="P128" s="2" t="s">
        <v>382</v>
      </c>
      <c r="Q128" s="274">
        <v>0.8</v>
      </c>
      <c r="R128" s="236"/>
      <c r="S128" s="2"/>
      <c r="V128" s="45">
        <v>127</v>
      </c>
    </row>
    <row r="129" spans="1:22" ht="15" customHeight="1">
      <c r="A129" s="230">
        <v>21</v>
      </c>
      <c r="B129" s="231" t="s">
        <v>248</v>
      </c>
      <c r="C129" s="30" t="s">
        <v>375</v>
      </c>
      <c r="D129" s="34"/>
      <c r="E129" s="34"/>
      <c r="F129" s="34"/>
      <c r="G129" s="34"/>
      <c r="H129" s="34"/>
      <c r="I129" s="34"/>
      <c r="J129" s="34"/>
      <c r="K129" s="34"/>
      <c r="L129" s="27" t="s">
        <v>379</v>
      </c>
      <c r="M129" s="34">
        <v>180</v>
      </c>
      <c r="N129" s="27" t="s">
        <v>322</v>
      </c>
      <c r="O129" s="327" t="s">
        <v>380</v>
      </c>
      <c r="P129" s="34" t="s">
        <v>382</v>
      </c>
      <c r="Q129" s="275">
        <v>0.8</v>
      </c>
      <c r="R129" s="237"/>
      <c r="S129" s="2"/>
      <c r="V129" s="45">
        <v>128</v>
      </c>
    </row>
    <row r="130" spans="1:22" ht="15" customHeight="1">
      <c r="A130" s="228">
        <v>22</v>
      </c>
      <c r="B130" s="75">
        <v>1</v>
      </c>
      <c r="C130" s="22" t="s">
        <v>375</v>
      </c>
      <c r="D130" s="22"/>
      <c r="E130" s="22"/>
      <c r="F130" s="22"/>
      <c r="G130" s="22"/>
      <c r="H130" s="22"/>
      <c r="I130" s="22"/>
      <c r="J130" s="22"/>
      <c r="K130" s="22"/>
      <c r="L130" s="12" t="s">
        <v>379</v>
      </c>
      <c r="M130" s="22">
        <v>180</v>
      </c>
      <c r="N130" s="12" t="s">
        <v>322</v>
      </c>
      <c r="O130" s="326" t="s">
        <v>380</v>
      </c>
      <c r="P130" s="22"/>
      <c r="Q130" s="22"/>
      <c r="R130" s="226"/>
      <c r="S130" s="2"/>
      <c r="V130" s="45">
        <v>129</v>
      </c>
    </row>
    <row r="131" spans="1:22" ht="15" customHeight="1">
      <c r="A131" s="228">
        <v>22</v>
      </c>
      <c r="B131" s="75">
        <v>2</v>
      </c>
      <c r="C131" s="22" t="s">
        <v>375</v>
      </c>
      <c r="D131" s="22"/>
      <c r="E131" s="22"/>
      <c r="F131" s="22"/>
      <c r="G131" s="22"/>
      <c r="H131" s="22"/>
      <c r="I131" s="22"/>
      <c r="J131" s="22"/>
      <c r="K131" s="22"/>
      <c r="L131" s="12" t="s">
        <v>379</v>
      </c>
      <c r="M131" s="22">
        <v>180</v>
      </c>
      <c r="N131" s="12" t="s">
        <v>322</v>
      </c>
      <c r="O131" s="326" t="s">
        <v>380</v>
      </c>
      <c r="P131" s="22"/>
      <c r="Q131" s="22"/>
      <c r="R131" s="226"/>
      <c r="S131" s="2"/>
      <c r="V131" s="45">
        <v>130</v>
      </c>
    </row>
    <row r="132" spans="1:22" ht="15" customHeight="1">
      <c r="A132" s="228">
        <v>22</v>
      </c>
      <c r="B132" s="75">
        <v>3</v>
      </c>
      <c r="C132" s="22" t="s">
        <v>375</v>
      </c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6"/>
      <c r="S132" s="2"/>
      <c r="V132" s="45">
        <v>131</v>
      </c>
    </row>
    <row r="133" spans="1:22" ht="15" customHeight="1">
      <c r="A133" s="228">
        <v>22</v>
      </c>
      <c r="B133" s="75">
        <v>4</v>
      </c>
      <c r="C133" s="22" t="s">
        <v>375</v>
      </c>
      <c r="D133" s="22"/>
      <c r="E133" s="22"/>
      <c r="F133" s="22"/>
      <c r="G133" s="22"/>
      <c r="H133" s="22"/>
      <c r="I133" s="22"/>
      <c r="J133" s="22"/>
      <c r="K133" s="22"/>
      <c r="L133" s="12" t="s">
        <v>379</v>
      </c>
      <c r="M133" s="22">
        <v>180</v>
      </c>
      <c r="N133" s="12" t="s">
        <v>322</v>
      </c>
      <c r="O133" s="326" t="s">
        <v>380</v>
      </c>
      <c r="P133" s="22"/>
      <c r="Q133" s="22"/>
      <c r="R133" s="226"/>
      <c r="S133" s="2"/>
      <c r="V133" s="45">
        <v>132</v>
      </c>
    </row>
    <row r="134" spans="1:22" ht="15" customHeight="1">
      <c r="A134" s="228">
        <v>22</v>
      </c>
      <c r="B134" s="75">
        <v>5</v>
      </c>
      <c r="C134" s="22" t="s">
        <v>375</v>
      </c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6"/>
      <c r="S134" s="2"/>
      <c r="V134" s="45">
        <v>133</v>
      </c>
    </row>
    <row r="135" spans="1:22" ht="15" customHeight="1">
      <c r="A135" s="228">
        <v>22</v>
      </c>
      <c r="B135" s="75">
        <v>6</v>
      </c>
      <c r="C135" s="22" t="s">
        <v>375</v>
      </c>
      <c r="D135" s="22"/>
      <c r="E135" s="22"/>
      <c r="F135" s="22"/>
      <c r="G135" s="22"/>
      <c r="H135" s="22"/>
      <c r="I135" s="22"/>
      <c r="J135" s="22"/>
      <c r="K135" s="22"/>
      <c r="L135" s="12" t="s">
        <v>379</v>
      </c>
      <c r="M135" s="22">
        <v>180</v>
      </c>
      <c r="N135" s="12" t="s">
        <v>322</v>
      </c>
      <c r="O135" s="326" t="s">
        <v>380</v>
      </c>
      <c r="P135" s="22"/>
      <c r="Q135" s="22"/>
      <c r="R135" s="226"/>
      <c r="S135" s="2"/>
      <c r="V135" s="45">
        <v>134</v>
      </c>
    </row>
    <row r="136" spans="1:22" ht="15" customHeight="1">
      <c r="A136" s="228">
        <v>22</v>
      </c>
      <c r="B136" s="75">
        <v>7</v>
      </c>
      <c r="C136" s="22" t="s">
        <v>375</v>
      </c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326"/>
      <c r="P136" s="22"/>
      <c r="Q136" s="22"/>
      <c r="R136" s="226"/>
      <c r="S136" s="2"/>
      <c r="V136" s="45">
        <v>135</v>
      </c>
    </row>
    <row r="137" spans="1:22" ht="15" customHeight="1">
      <c r="A137" s="228">
        <v>22</v>
      </c>
      <c r="B137" s="75">
        <v>8</v>
      </c>
      <c r="C137" s="22" t="s">
        <v>375</v>
      </c>
      <c r="D137" s="22"/>
      <c r="E137" s="22"/>
      <c r="F137" s="22"/>
      <c r="G137" s="22"/>
      <c r="H137" s="22"/>
      <c r="I137" s="22"/>
      <c r="J137" s="22"/>
      <c r="K137" s="22"/>
      <c r="L137" s="12" t="s">
        <v>379</v>
      </c>
      <c r="M137" s="22">
        <v>180</v>
      </c>
      <c r="N137" s="12" t="s">
        <v>322</v>
      </c>
      <c r="O137" s="326" t="s">
        <v>380</v>
      </c>
      <c r="P137" s="22"/>
      <c r="Q137" s="22"/>
      <c r="R137" s="226"/>
      <c r="S137" s="2"/>
      <c r="V137" s="45">
        <v>136</v>
      </c>
    </row>
    <row r="138" spans="1:22" ht="15" customHeight="1">
      <c r="A138" s="229">
        <v>23</v>
      </c>
      <c r="B138" s="74">
        <v>1</v>
      </c>
      <c r="C138" s="222" t="s">
        <v>384</v>
      </c>
      <c r="D138" s="222"/>
      <c r="E138" s="222"/>
      <c r="F138" s="222"/>
      <c r="G138" s="222"/>
      <c r="H138" s="222"/>
      <c r="I138" s="222"/>
      <c r="J138" s="222"/>
      <c r="K138" s="222"/>
      <c r="L138" s="222" t="s">
        <v>383</v>
      </c>
      <c r="M138" s="222"/>
      <c r="N138" s="222" t="s">
        <v>322</v>
      </c>
      <c r="O138" s="222"/>
      <c r="P138" s="227" t="s">
        <v>388</v>
      </c>
      <c r="Q138" s="244"/>
      <c r="R138" s="225">
        <v>1</v>
      </c>
      <c r="S138" s="2"/>
      <c r="V138" s="45">
        <v>137</v>
      </c>
    </row>
    <row r="139" spans="1:22" ht="15" customHeight="1">
      <c r="A139" s="228">
        <v>23</v>
      </c>
      <c r="B139" s="75">
        <v>2</v>
      </c>
      <c r="C139" s="22" t="s">
        <v>384</v>
      </c>
      <c r="D139" s="22"/>
      <c r="E139" s="22"/>
      <c r="F139" s="22"/>
      <c r="G139" s="22"/>
      <c r="H139" s="22"/>
      <c r="I139" s="22"/>
      <c r="J139" s="22"/>
      <c r="K139" s="22"/>
      <c r="L139" s="22" t="s">
        <v>383</v>
      </c>
      <c r="M139" s="22"/>
      <c r="N139" s="22" t="s">
        <v>322</v>
      </c>
      <c r="O139" s="22"/>
      <c r="P139" s="12" t="s">
        <v>388</v>
      </c>
      <c r="Q139" s="274"/>
      <c r="R139" s="226">
        <v>1</v>
      </c>
      <c r="S139" s="2"/>
      <c r="V139" s="45">
        <v>138</v>
      </c>
    </row>
    <row r="140" spans="1:22" ht="15" customHeight="1">
      <c r="A140" s="228">
        <v>23</v>
      </c>
      <c r="B140" s="75">
        <v>3</v>
      </c>
      <c r="C140" s="22" t="s">
        <v>384</v>
      </c>
      <c r="D140" s="22"/>
      <c r="E140" s="22"/>
      <c r="F140" s="22"/>
      <c r="G140" s="22"/>
      <c r="H140" s="22"/>
      <c r="I140" s="22"/>
      <c r="J140" s="22"/>
      <c r="K140" s="22"/>
      <c r="L140" s="22" t="s">
        <v>383</v>
      </c>
      <c r="M140" s="22"/>
      <c r="N140" s="22" t="s">
        <v>322</v>
      </c>
      <c r="O140" s="22"/>
      <c r="P140" s="12" t="s">
        <v>388</v>
      </c>
      <c r="Q140" s="274"/>
      <c r="R140" s="226">
        <v>1</v>
      </c>
      <c r="S140" s="2"/>
      <c r="V140" s="45">
        <v>139</v>
      </c>
    </row>
    <row r="141" spans="1:22" ht="15" customHeight="1">
      <c r="A141" s="228">
        <v>23</v>
      </c>
      <c r="B141" s="75">
        <v>4</v>
      </c>
      <c r="C141" s="22" t="s">
        <v>384</v>
      </c>
      <c r="D141" s="22"/>
      <c r="E141" s="22"/>
      <c r="F141" s="22"/>
      <c r="G141" s="22"/>
      <c r="H141" s="22"/>
      <c r="I141" s="22"/>
      <c r="J141" s="22"/>
      <c r="K141" s="22"/>
      <c r="L141" s="22" t="s">
        <v>383</v>
      </c>
      <c r="M141" s="22"/>
      <c r="N141" s="22" t="s">
        <v>322</v>
      </c>
      <c r="O141" s="22"/>
      <c r="P141" s="12" t="s">
        <v>388</v>
      </c>
      <c r="Q141" s="274"/>
      <c r="R141" s="226">
        <v>1</v>
      </c>
      <c r="S141" s="2"/>
      <c r="V141" s="45">
        <v>140</v>
      </c>
    </row>
    <row r="142" spans="1:22" ht="15" customHeight="1">
      <c r="A142" s="230">
        <v>23</v>
      </c>
      <c r="B142" s="231">
        <v>5</v>
      </c>
      <c r="C142" s="22" t="s">
        <v>384</v>
      </c>
      <c r="D142" s="22"/>
      <c r="E142" s="22"/>
      <c r="F142" s="22"/>
      <c r="G142" s="22"/>
      <c r="H142" s="22"/>
      <c r="I142" s="22"/>
      <c r="J142" s="22"/>
      <c r="K142" s="22"/>
      <c r="L142" s="22" t="s">
        <v>383</v>
      </c>
      <c r="M142" s="22"/>
      <c r="N142" s="22" t="s">
        <v>322</v>
      </c>
      <c r="O142" s="22"/>
      <c r="P142" s="12" t="s">
        <v>388</v>
      </c>
      <c r="Q142" s="274"/>
      <c r="R142" s="226">
        <v>1</v>
      </c>
      <c r="S142" s="2"/>
      <c r="V142" s="45">
        <v>141</v>
      </c>
    </row>
    <row r="143" spans="1:22" ht="15" customHeight="1">
      <c r="A143" s="238">
        <v>24</v>
      </c>
      <c r="B143" s="239">
        <v>1</v>
      </c>
      <c r="C143" s="222" t="s">
        <v>375</v>
      </c>
      <c r="D143" s="222"/>
      <c r="E143" s="222"/>
      <c r="F143" s="222"/>
      <c r="G143" s="222"/>
      <c r="H143" s="222"/>
      <c r="I143" s="222"/>
      <c r="J143" s="222"/>
      <c r="K143" s="222"/>
      <c r="L143" s="227" t="s">
        <v>379</v>
      </c>
      <c r="M143" s="222">
        <v>190</v>
      </c>
      <c r="N143" s="222" t="s">
        <v>322</v>
      </c>
      <c r="O143" s="250" t="s">
        <v>380</v>
      </c>
      <c r="P143" s="244" t="s">
        <v>382</v>
      </c>
      <c r="Q143" s="244"/>
      <c r="R143" s="225"/>
      <c r="S143" s="2"/>
      <c r="V143" s="45">
        <v>142</v>
      </c>
    </row>
    <row r="144" spans="1:22" ht="15" customHeight="1">
      <c r="A144" s="238">
        <v>24</v>
      </c>
      <c r="B144" s="239">
        <v>2</v>
      </c>
      <c r="C144" s="22" t="s">
        <v>375</v>
      </c>
      <c r="D144" s="22"/>
      <c r="E144" s="22"/>
      <c r="F144" s="22"/>
      <c r="G144" s="22"/>
      <c r="H144" s="22"/>
      <c r="I144" s="22"/>
      <c r="J144" s="22"/>
      <c r="K144" s="22"/>
      <c r="L144" s="12" t="s">
        <v>379</v>
      </c>
      <c r="M144" s="22">
        <v>190</v>
      </c>
      <c r="N144" s="22" t="s">
        <v>322</v>
      </c>
      <c r="O144" s="326" t="s">
        <v>380</v>
      </c>
      <c r="P144" s="274" t="s">
        <v>382</v>
      </c>
      <c r="Q144" s="274"/>
      <c r="R144" s="226"/>
      <c r="S144" s="2"/>
      <c r="V144" s="45">
        <v>143</v>
      </c>
    </row>
    <row r="145" spans="1:22" ht="15" customHeight="1">
      <c r="A145" s="238">
        <v>24</v>
      </c>
      <c r="B145" s="239">
        <v>3</v>
      </c>
      <c r="C145" s="22" t="s">
        <v>375</v>
      </c>
      <c r="D145" s="22"/>
      <c r="E145" s="22"/>
      <c r="F145" s="22"/>
      <c r="G145" s="22"/>
      <c r="H145" s="22"/>
      <c r="I145" s="22"/>
      <c r="J145" s="22"/>
      <c r="K145" s="22"/>
      <c r="L145" s="12" t="s">
        <v>379</v>
      </c>
      <c r="M145" s="22">
        <v>190</v>
      </c>
      <c r="N145" s="22" t="s">
        <v>322</v>
      </c>
      <c r="O145" s="326" t="s">
        <v>380</v>
      </c>
      <c r="P145" s="274" t="s">
        <v>382</v>
      </c>
      <c r="Q145" s="274"/>
      <c r="R145" s="226"/>
      <c r="S145" s="2"/>
      <c r="V145" s="45">
        <v>144</v>
      </c>
    </row>
    <row r="146" spans="1:22" ht="15" customHeight="1">
      <c r="A146" s="238">
        <v>24</v>
      </c>
      <c r="B146" s="239">
        <v>4</v>
      </c>
      <c r="C146" s="22" t="s">
        <v>375</v>
      </c>
      <c r="D146" s="22"/>
      <c r="E146" s="22"/>
      <c r="F146" s="22"/>
      <c r="G146" s="22"/>
      <c r="H146" s="22"/>
      <c r="I146" s="22"/>
      <c r="J146" s="22"/>
      <c r="K146" s="22"/>
      <c r="L146" s="12" t="s">
        <v>379</v>
      </c>
      <c r="M146" s="22">
        <v>190</v>
      </c>
      <c r="N146" s="22" t="s">
        <v>322</v>
      </c>
      <c r="O146" s="326" t="s">
        <v>380</v>
      </c>
      <c r="P146" s="274" t="s">
        <v>382</v>
      </c>
      <c r="Q146" s="274"/>
      <c r="R146" s="226"/>
      <c r="S146" s="2"/>
      <c r="V146" s="45">
        <v>145</v>
      </c>
    </row>
    <row r="147" spans="1:22" ht="15" customHeight="1">
      <c r="A147" s="238">
        <v>24</v>
      </c>
      <c r="B147" s="239">
        <v>5</v>
      </c>
      <c r="C147" s="22" t="s">
        <v>375</v>
      </c>
      <c r="D147" s="22"/>
      <c r="E147" s="22"/>
      <c r="F147" s="22"/>
      <c r="G147" s="22"/>
      <c r="H147" s="22"/>
      <c r="I147" s="22"/>
      <c r="J147" s="22"/>
      <c r="K147" s="22"/>
      <c r="L147" s="12" t="s">
        <v>379</v>
      </c>
      <c r="M147" s="22">
        <v>190</v>
      </c>
      <c r="N147" s="22" t="s">
        <v>322</v>
      </c>
      <c r="O147" s="326" t="s">
        <v>380</v>
      </c>
      <c r="P147" s="274" t="s">
        <v>382</v>
      </c>
      <c r="Q147" s="274"/>
      <c r="R147" s="226"/>
      <c r="S147" s="2"/>
      <c r="V147" s="45">
        <v>146</v>
      </c>
    </row>
    <row r="148" spans="1:22" ht="15" customHeight="1">
      <c r="A148" s="238">
        <v>24</v>
      </c>
      <c r="B148" s="239">
        <v>6</v>
      </c>
      <c r="C148" s="22" t="s">
        <v>375</v>
      </c>
      <c r="D148" s="22"/>
      <c r="E148" s="22"/>
      <c r="F148" s="22"/>
      <c r="G148" s="22"/>
      <c r="H148" s="22"/>
      <c r="I148" s="22"/>
      <c r="J148" s="22"/>
      <c r="K148" s="22"/>
      <c r="L148" s="12" t="s">
        <v>379</v>
      </c>
      <c r="M148" s="22">
        <v>190</v>
      </c>
      <c r="N148" s="22" t="s">
        <v>322</v>
      </c>
      <c r="O148" s="326" t="s">
        <v>380</v>
      </c>
      <c r="P148" s="274" t="s">
        <v>382</v>
      </c>
      <c r="Q148" s="274"/>
      <c r="R148" s="226"/>
      <c r="S148" s="2"/>
      <c r="V148" s="45">
        <v>147</v>
      </c>
    </row>
    <row r="149" spans="1:22" ht="15" customHeight="1">
      <c r="A149" s="238">
        <v>24</v>
      </c>
      <c r="B149" s="239">
        <v>7</v>
      </c>
      <c r="C149" s="22" t="s">
        <v>375</v>
      </c>
      <c r="D149" s="22"/>
      <c r="E149" s="22"/>
      <c r="F149" s="22"/>
      <c r="G149" s="22"/>
      <c r="H149" s="22"/>
      <c r="I149" s="22"/>
      <c r="J149" s="22"/>
      <c r="K149" s="22"/>
      <c r="L149" s="12" t="s">
        <v>379</v>
      </c>
      <c r="M149" s="22">
        <v>190</v>
      </c>
      <c r="N149" s="30" t="s">
        <v>322</v>
      </c>
      <c r="O149" s="326" t="s">
        <v>380</v>
      </c>
      <c r="P149" s="275" t="s">
        <v>382</v>
      </c>
      <c r="Q149" s="274"/>
      <c r="R149" s="226"/>
      <c r="S149" s="2"/>
      <c r="V149" s="45">
        <v>148</v>
      </c>
    </row>
    <row r="150" spans="1:22" ht="15" customHeight="1">
      <c r="A150" s="229">
        <v>25</v>
      </c>
      <c r="B150" s="74">
        <v>1</v>
      </c>
      <c r="C150" s="222" t="s">
        <v>384</v>
      </c>
      <c r="D150" s="222"/>
      <c r="E150" s="222"/>
      <c r="F150" s="222"/>
      <c r="G150" s="222"/>
      <c r="H150" s="222"/>
      <c r="I150" s="222"/>
      <c r="J150" s="222"/>
      <c r="K150" s="222"/>
      <c r="L150" s="222" t="s">
        <v>383</v>
      </c>
      <c r="M150" s="222"/>
      <c r="N150" s="22" t="s">
        <v>322</v>
      </c>
      <c r="O150" s="222"/>
      <c r="P150" s="12" t="s">
        <v>391</v>
      </c>
      <c r="Q150" s="244"/>
      <c r="R150" s="225">
        <v>1</v>
      </c>
      <c r="S150" s="2"/>
      <c r="V150" s="45">
        <v>149</v>
      </c>
    </row>
    <row r="151" spans="1:22" ht="15" customHeight="1">
      <c r="A151" s="228">
        <v>25</v>
      </c>
      <c r="B151" s="75">
        <v>2</v>
      </c>
      <c r="C151" s="22" t="s">
        <v>384</v>
      </c>
      <c r="D151" s="22"/>
      <c r="E151" s="22"/>
      <c r="F151" s="22"/>
      <c r="G151" s="22"/>
      <c r="H151" s="22"/>
      <c r="I151" s="22"/>
      <c r="J151" s="22"/>
      <c r="K151" s="22"/>
      <c r="L151" s="22" t="s">
        <v>383</v>
      </c>
      <c r="M151" s="22"/>
      <c r="N151" s="22" t="s">
        <v>322</v>
      </c>
      <c r="O151" s="22"/>
      <c r="P151" s="12" t="s">
        <v>391</v>
      </c>
      <c r="Q151" s="274"/>
      <c r="R151" s="226">
        <v>1</v>
      </c>
      <c r="S151" s="2"/>
      <c r="V151" s="45">
        <v>150</v>
      </c>
    </row>
    <row r="152" spans="1:22" ht="15" customHeight="1">
      <c r="A152" s="228">
        <v>25</v>
      </c>
      <c r="B152" s="75">
        <v>3</v>
      </c>
      <c r="C152" s="22" t="s">
        <v>384</v>
      </c>
      <c r="D152" s="22"/>
      <c r="E152" s="22"/>
      <c r="F152" s="22"/>
      <c r="G152" s="22"/>
      <c r="H152" s="22"/>
      <c r="I152" s="22"/>
      <c r="J152" s="22"/>
      <c r="K152" s="22"/>
      <c r="L152" s="22" t="s">
        <v>383</v>
      </c>
      <c r="M152" s="22"/>
      <c r="N152" s="22" t="s">
        <v>322</v>
      </c>
      <c r="O152" s="22"/>
      <c r="P152" s="12" t="s">
        <v>391</v>
      </c>
      <c r="Q152" s="274"/>
      <c r="R152" s="226">
        <v>1</v>
      </c>
      <c r="S152" s="2"/>
      <c r="V152" s="45">
        <v>151</v>
      </c>
    </row>
    <row r="153" spans="1:22" ht="15" customHeight="1">
      <c r="A153" s="228">
        <v>25</v>
      </c>
      <c r="B153" s="75">
        <v>4</v>
      </c>
      <c r="C153" s="22" t="s">
        <v>384</v>
      </c>
      <c r="D153" s="22"/>
      <c r="E153" s="22"/>
      <c r="F153" s="22"/>
      <c r="G153" s="22"/>
      <c r="H153" s="22"/>
      <c r="I153" s="22"/>
      <c r="J153" s="22"/>
      <c r="K153" s="22"/>
      <c r="L153" s="22" t="s">
        <v>383</v>
      </c>
      <c r="M153" s="22"/>
      <c r="N153" s="22" t="s">
        <v>322</v>
      </c>
      <c r="O153" s="22"/>
      <c r="P153" s="12" t="s">
        <v>391</v>
      </c>
      <c r="Q153" s="274"/>
      <c r="R153" s="226">
        <v>1</v>
      </c>
      <c r="S153" s="2"/>
      <c r="V153" s="45">
        <v>152</v>
      </c>
    </row>
    <row r="154" spans="1:22" ht="15" customHeight="1">
      <c r="A154" s="229">
        <v>26</v>
      </c>
      <c r="B154" s="200" t="s">
        <v>221</v>
      </c>
      <c r="C154" s="222" t="s">
        <v>375</v>
      </c>
      <c r="D154" s="234"/>
      <c r="E154" s="234"/>
      <c r="F154" s="234"/>
      <c r="G154" s="234"/>
      <c r="H154" s="234"/>
      <c r="I154" s="234"/>
      <c r="J154" s="234"/>
      <c r="K154" s="234"/>
      <c r="L154" s="227" t="s">
        <v>379</v>
      </c>
      <c r="M154" s="234"/>
      <c r="N154" s="234"/>
      <c r="O154" s="227" t="s">
        <v>380</v>
      </c>
      <c r="P154" s="227" t="s">
        <v>382</v>
      </c>
      <c r="Q154" s="227">
        <v>1</v>
      </c>
      <c r="R154" s="235"/>
      <c r="S154" s="2"/>
      <c r="V154" s="45">
        <v>153</v>
      </c>
    </row>
    <row r="155" spans="1:22" ht="15" customHeight="1">
      <c r="A155" s="228">
        <v>26</v>
      </c>
      <c r="B155" s="201" t="s">
        <v>222</v>
      </c>
      <c r="C155" s="22" t="s">
        <v>375</v>
      </c>
      <c r="D155" s="2"/>
      <c r="E155" s="2"/>
      <c r="F155" s="2"/>
      <c r="G155" s="2"/>
      <c r="H155" s="2"/>
      <c r="I155" s="2"/>
      <c r="J155" s="2"/>
      <c r="K155" s="2"/>
      <c r="L155" s="12" t="s">
        <v>379</v>
      </c>
      <c r="M155" s="2"/>
      <c r="N155" s="2"/>
      <c r="O155" s="12" t="s">
        <v>380</v>
      </c>
      <c r="P155" s="12" t="s">
        <v>382</v>
      </c>
      <c r="Q155" s="12">
        <v>1</v>
      </c>
      <c r="R155" s="236"/>
      <c r="S155" s="2"/>
      <c r="V155" s="45">
        <v>154</v>
      </c>
    </row>
    <row r="156" spans="1:22" ht="15" customHeight="1">
      <c r="A156" s="228">
        <v>26</v>
      </c>
      <c r="B156" s="201" t="s">
        <v>223</v>
      </c>
      <c r="C156" s="22" t="s">
        <v>375</v>
      </c>
      <c r="D156" s="2"/>
      <c r="E156" s="2"/>
      <c r="F156" s="2"/>
      <c r="G156" s="2"/>
      <c r="H156" s="2"/>
      <c r="I156" s="2"/>
      <c r="J156" s="2"/>
      <c r="K156" s="2"/>
      <c r="L156" s="12" t="s">
        <v>379</v>
      </c>
      <c r="M156" s="2"/>
      <c r="N156" s="2"/>
      <c r="O156" s="12" t="s">
        <v>380</v>
      </c>
      <c r="P156" s="12" t="s">
        <v>382</v>
      </c>
      <c r="Q156" s="12">
        <v>1</v>
      </c>
      <c r="R156" s="236"/>
      <c r="S156" s="2"/>
      <c r="V156" s="45">
        <v>155</v>
      </c>
    </row>
    <row r="157" spans="1:22" ht="15" customHeight="1">
      <c r="A157" s="228">
        <v>26</v>
      </c>
      <c r="B157" s="201" t="s">
        <v>224</v>
      </c>
      <c r="C157" s="22" t="s">
        <v>375</v>
      </c>
      <c r="D157" s="2"/>
      <c r="E157" s="2"/>
      <c r="F157" s="2"/>
      <c r="G157" s="2"/>
      <c r="H157" s="2"/>
      <c r="I157" s="2"/>
      <c r="J157" s="2"/>
      <c r="K157" s="2"/>
      <c r="L157" s="12" t="s">
        <v>379</v>
      </c>
      <c r="M157" s="2"/>
      <c r="N157" s="2"/>
      <c r="O157" s="12" t="s">
        <v>380</v>
      </c>
      <c r="P157" s="12" t="s">
        <v>382</v>
      </c>
      <c r="Q157" s="12">
        <v>1</v>
      </c>
      <c r="R157" s="236"/>
      <c r="S157" s="2"/>
      <c r="V157" s="45">
        <v>156</v>
      </c>
    </row>
    <row r="158" spans="1:22" ht="15" customHeight="1">
      <c r="A158" s="228">
        <v>26</v>
      </c>
      <c r="B158" s="201" t="s">
        <v>229</v>
      </c>
      <c r="C158" s="22" t="s">
        <v>384</v>
      </c>
      <c r="D158" s="2"/>
      <c r="E158" s="2"/>
      <c r="F158" s="2"/>
      <c r="G158" s="2"/>
      <c r="H158" s="2"/>
      <c r="I158" s="2"/>
      <c r="J158" s="2"/>
      <c r="K158" s="2"/>
      <c r="L158" s="12" t="s">
        <v>379</v>
      </c>
      <c r="M158" s="2"/>
      <c r="N158" s="22"/>
      <c r="O158" s="12" t="s">
        <v>380</v>
      </c>
      <c r="P158" s="12" t="s">
        <v>382</v>
      </c>
      <c r="Q158" s="12">
        <v>1</v>
      </c>
      <c r="R158" s="236"/>
      <c r="S158" s="2"/>
      <c r="V158" s="45">
        <v>157</v>
      </c>
    </row>
    <row r="159" spans="1:22" ht="15" customHeight="1">
      <c r="A159" s="228">
        <v>26</v>
      </c>
      <c r="B159" s="201" t="s">
        <v>225</v>
      </c>
      <c r="C159" s="22" t="s">
        <v>384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2" t="s">
        <v>322</v>
      </c>
      <c r="O159" s="12" t="s">
        <v>380</v>
      </c>
      <c r="P159" s="12" t="s">
        <v>391</v>
      </c>
      <c r="Q159" s="12"/>
      <c r="R159" s="236"/>
      <c r="S159" s="2"/>
      <c r="V159" s="45">
        <v>158</v>
      </c>
    </row>
    <row r="160" spans="1:22" ht="15" customHeight="1">
      <c r="A160" s="228">
        <v>26</v>
      </c>
      <c r="B160" s="201" t="s">
        <v>226</v>
      </c>
      <c r="C160" s="22" t="s">
        <v>384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2" t="s">
        <v>322</v>
      </c>
      <c r="O160" s="12" t="s">
        <v>380</v>
      </c>
      <c r="P160" s="12" t="s">
        <v>391</v>
      </c>
      <c r="Q160" s="12"/>
      <c r="R160" s="236"/>
      <c r="S160" s="2"/>
      <c r="V160" s="45">
        <v>159</v>
      </c>
    </row>
    <row r="161" spans="1:22" ht="15" customHeight="1">
      <c r="A161" s="228">
        <v>26</v>
      </c>
      <c r="B161" s="201" t="s">
        <v>227</v>
      </c>
      <c r="C161" s="22" t="s">
        <v>384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2" t="s">
        <v>322</v>
      </c>
      <c r="O161" s="12" t="s">
        <v>380</v>
      </c>
      <c r="P161" s="12" t="s">
        <v>391</v>
      </c>
      <c r="Q161" s="12"/>
      <c r="R161" s="236"/>
      <c r="S161" s="2"/>
      <c r="V161" s="45">
        <v>160</v>
      </c>
    </row>
    <row r="162" spans="1:22" ht="15" customHeight="1">
      <c r="A162" s="228">
        <v>26</v>
      </c>
      <c r="B162" s="201" t="s">
        <v>228</v>
      </c>
      <c r="C162" s="22" t="s">
        <v>384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2" t="s">
        <v>322</v>
      </c>
      <c r="O162" s="12" t="s">
        <v>380</v>
      </c>
      <c r="P162" s="12" t="s">
        <v>391</v>
      </c>
      <c r="Q162" s="12"/>
      <c r="R162" s="236"/>
      <c r="S162" s="2"/>
      <c r="V162" s="45">
        <v>161</v>
      </c>
    </row>
    <row r="163" spans="1:22" ht="15" customHeight="1">
      <c r="A163" s="228">
        <v>26</v>
      </c>
      <c r="B163" s="75" t="s">
        <v>230</v>
      </c>
      <c r="C163" s="22" t="s">
        <v>384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2" t="s">
        <v>322</v>
      </c>
      <c r="O163" s="12" t="s">
        <v>380</v>
      </c>
      <c r="P163" s="27" t="s">
        <v>391</v>
      </c>
      <c r="Q163" s="12"/>
      <c r="R163" s="236"/>
      <c r="S163" s="2"/>
      <c r="U163" s="12"/>
      <c r="V163" s="45">
        <v>162</v>
      </c>
    </row>
    <row r="164" spans="1:22" ht="15" customHeight="1">
      <c r="A164" s="199">
        <v>27</v>
      </c>
      <c r="B164" s="200">
        <v>1</v>
      </c>
      <c r="C164" s="222" t="s">
        <v>384</v>
      </c>
      <c r="D164" s="234"/>
      <c r="E164" s="234"/>
      <c r="F164" s="234"/>
      <c r="G164" s="234"/>
      <c r="H164" s="234"/>
      <c r="I164" s="234"/>
      <c r="J164" s="234"/>
      <c r="K164" s="234"/>
      <c r="L164" s="234"/>
      <c r="M164" s="234"/>
      <c r="N164" s="222" t="s">
        <v>322</v>
      </c>
      <c r="O164" s="234"/>
      <c r="P164" s="12" t="s">
        <v>391</v>
      </c>
      <c r="Q164" s="234"/>
      <c r="R164" s="235"/>
      <c r="S164" s="2"/>
      <c r="V164" s="45">
        <v>163</v>
      </c>
    </row>
    <row r="165" spans="1:22" ht="15" customHeight="1">
      <c r="A165" s="196">
        <v>27</v>
      </c>
      <c r="B165" s="201">
        <v>2</v>
      </c>
      <c r="C165" s="22" t="s">
        <v>384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2" t="s">
        <v>322</v>
      </c>
      <c r="O165" s="2"/>
      <c r="P165" s="12" t="s">
        <v>391</v>
      </c>
      <c r="Q165" s="2"/>
      <c r="R165" s="236"/>
      <c r="S165" s="2"/>
      <c r="V165" s="45">
        <v>164</v>
      </c>
    </row>
    <row r="166" spans="1:22" ht="15" customHeight="1">
      <c r="A166" s="196">
        <v>27</v>
      </c>
      <c r="B166" s="201">
        <v>3</v>
      </c>
      <c r="C166" s="22" t="s">
        <v>384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2" t="s">
        <v>322</v>
      </c>
      <c r="O166" s="2"/>
      <c r="P166" s="12" t="s">
        <v>391</v>
      </c>
      <c r="Q166" s="2"/>
      <c r="R166" s="236"/>
      <c r="S166" s="2"/>
      <c r="V166" s="45">
        <v>165</v>
      </c>
    </row>
    <row r="167" spans="1:22" ht="15" customHeight="1">
      <c r="A167" s="197">
        <v>27</v>
      </c>
      <c r="B167" s="202">
        <v>4</v>
      </c>
      <c r="C167" s="30" t="s">
        <v>384</v>
      </c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0" t="s">
        <v>322</v>
      </c>
      <c r="O167" s="34"/>
      <c r="P167" s="27" t="s">
        <v>391</v>
      </c>
      <c r="Q167" s="34"/>
      <c r="R167" s="237"/>
      <c r="S167" s="2"/>
      <c r="V167" s="45">
        <v>166</v>
      </c>
    </row>
    <row r="168" spans="1:22" ht="15" customHeight="1">
      <c r="A168" s="228">
        <v>28</v>
      </c>
      <c r="B168" s="75">
        <v>1</v>
      </c>
      <c r="C168" s="22" t="s">
        <v>375</v>
      </c>
      <c r="D168" s="2"/>
      <c r="E168" s="2"/>
      <c r="F168" s="2"/>
      <c r="G168" s="2"/>
      <c r="H168" s="22" t="s">
        <v>381</v>
      </c>
      <c r="I168" s="2"/>
      <c r="J168" s="2"/>
      <c r="K168" s="2"/>
      <c r="L168" s="12" t="s">
        <v>379</v>
      </c>
      <c r="M168" s="2">
        <v>190</v>
      </c>
      <c r="N168" s="22" t="s">
        <v>322</v>
      </c>
      <c r="O168" s="12" t="s">
        <v>380</v>
      </c>
      <c r="P168" s="12" t="s">
        <v>382</v>
      </c>
      <c r="Q168" s="12"/>
      <c r="R168" s="236"/>
      <c r="S168" s="2"/>
      <c r="V168" s="45">
        <v>167</v>
      </c>
    </row>
    <row r="169" spans="1:22" ht="15" customHeight="1">
      <c r="A169" s="228">
        <v>28</v>
      </c>
      <c r="B169" s="75">
        <v>2</v>
      </c>
      <c r="C169" s="22" t="s">
        <v>375</v>
      </c>
      <c r="H169" s="22" t="s">
        <v>381</v>
      </c>
      <c r="L169" s="12" t="s">
        <v>379</v>
      </c>
      <c r="M169" s="8">
        <v>190</v>
      </c>
      <c r="N169" s="22" t="s">
        <v>322</v>
      </c>
      <c r="O169" s="12" t="s">
        <v>380</v>
      </c>
      <c r="P169" s="12" t="s">
        <v>382</v>
      </c>
      <c r="Q169" s="12"/>
      <c r="R169" s="236"/>
      <c r="S169" s="2"/>
      <c r="V169" s="45">
        <v>168</v>
      </c>
    </row>
    <row r="170" spans="1:22" ht="15" customHeight="1">
      <c r="A170" s="228">
        <v>28</v>
      </c>
      <c r="B170" s="75">
        <v>3</v>
      </c>
      <c r="C170" s="22" t="s">
        <v>375</v>
      </c>
      <c r="H170" s="22" t="s">
        <v>381</v>
      </c>
      <c r="L170" s="12" t="s">
        <v>379</v>
      </c>
      <c r="M170" s="8">
        <v>190</v>
      </c>
      <c r="N170" s="22" t="s">
        <v>322</v>
      </c>
      <c r="O170" s="12" t="s">
        <v>380</v>
      </c>
      <c r="P170" s="12" t="s">
        <v>382</v>
      </c>
      <c r="Q170" s="12"/>
      <c r="R170" s="236"/>
      <c r="S170" s="2"/>
      <c r="V170" s="45">
        <v>169</v>
      </c>
    </row>
    <row r="171" spans="1:22" ht="15" customHeight="1">
      <c r="A171" s="228">
        <v>28</v>
      </c>
      <c r="B171" s="75">
        <v>4</v>
      </c>
      <c r="C171" s="22" t="s">
        <v>375</v>
      </c>
      <c r="H171" s="22" t="s">
        <v>381</v>
      </c>
      <c r="L171" s="12" t="s">
        <v>379</v>
      </c>
      <c r="M171" s="8">
        <v>190</v>
      </c>
      <c r="N171" s="22" t="s">
        <v>322</v>
      </c>
      <c r="O171" s="12" t="s">
        <v>380</v>
      </c>
      <c r="P171" s="12" t="s">
        <v>382</v>
      </c>
      <c r="Q171" s="12"/>
      <c r="R171" s="236"/>
      <c r="S171" s="2"/>
      <c r="V171" s="45">
        <v>170</v>
      </c>
    </row>
    <row r="172" spans="1:22" ht="15" customHeight="1">
      <c r="A172" s="228">
        <v>28</v>
      </c>
      <c r="B172" s="75">
        <v>5</v>
      </c>
      <c r="C172" s="22" t="s">
        <v>375</v>
      </c>
      <c r="H172" s="22" t="s">
        <v>381</v>
      </c>
      <c r="L172" s="12" t="s">
        <v>379</v>
      </c>
      <c r="M172" s="8">
        <v>190</v>
      </c>
      <c r="N172" s="22" t="s">
        <v>322</v>
      </c>
      <c r="O172" s="12" t="s">
        <v>380</v>
      </c>
      <c r="P172" s="12" t="s">
        <v>382</v>
      </c>
      <c r="Q172" s="12"/>
      <c r="R172" s="236"/>
      <c r="S172" s="2"/>
      <c r="V172" s="45">
        <v>171</v>
      </c>
    </row>
    <row r="173" spans="1:22" ht="15" customHeight="1">
      <c r="A173" s="228">
        <v>28</v>
      </c>
      <c r="B173" s="75">
        <v>6</v>
      </c>
      <c r="C173" s="22" t="s">
        <v>375</v>
      </c>
      <c r="D173" s="2"/>
      <c r="E173" s="2"/>
      <c r="F173" s="2"/>
      <c r="G173" s="2"/>
      <c r="H173" s="22" t="s">
        <v>381</v>
      </c>
      <c r="I173" s="2"/>
      <c r="J173" s="2"/>
      <c r="K173" s="2"/>
      <c r="L173" s="12" t="s">
        <v>379</v>
      </c>
      <c r="M173" s="2">
        <v>190</v>
      </c>
      <c r="N173" s="22" t="s">
        <v>322</v>
      </c>
      <c r="O173" s="12" t="s">
        <v>380</v>
      </c>
      <c r="P173" s="12" t="s">
        <v>382</v>
      </c>
      <c r="Q173" s="12"/>
      <c r="R173" s="236"/>
      <c r="S173" s="2"/>
      <c r="V173" s="45">
        <v>172</v>
      </c>
    </row>
    <row r="174" spans="1:22" ht="15" customHeight="1">
      <c r="A174" s="229">
        <v>29</v>
      </c>
      <c r="B174" s="74">
        <v>1</v>
      </c>
      <c r="C174" s="222" t="s">
        <v>375</v>
      </c>
      <c r="D174" s="234"/>
      <c r="E174" s="234"/>
      <c r="F174" s="234"/>
      <c r="G174" s="234"/>
      <c r="H174" s="234"/>
      <c r="I174" s="234"/>
      <c r="J174" s="234"/>
      <c r="K174" s="234"/>
      <c r="L174" s="227" t="s">
        <v>379</v>
      </c>
      <c r="M174" s="234">
        <v>180</v>
      </c>
      <c r="N174" s="222" t="s">
        <v>322</v>
      </c>
      <c r="O174" s="227" t="s">
        <v>380</v>
      </c>
      <c r="P174" s="227" t="s">
        <v>382</v>
      </c>
      <c r="Q174" s="227"/>
      <c r="R174" s="235"/>
      <c r="S174" s="2"/>
      <c r="V174" s="45">
        <v>173</v>
      </c>
    </row>
    <row r="175" spans="1:22" ht="15" customHeight="1">
      <c r="A175" s="228">
        <v>29</v>
      </c>
      <c r="B175" s="75">
        <v>2</v>
      </c>
      <c r="C175" s="22" t="s">
        <v>375</v>
      </c>
      <c r="D175" s="2"/>
      <c r="E175" s="2"/>
      <c r="F175" s="2"/>
      <c r="G175" s="2"/>
      <c r="H175" s="2"/>
      <c r="I175" s="2"/>
      <c r="J175" s="2"/>
      <c r="K175" s="2"/>
      <c r="L175" s="12" t="s">
        <v>379</v>
      </c>
      <c r="M175" s="2">
        <v>180</v>
      </c>
      <c r="N175" s="22" t="s">
        <v>322</v>
      </c>
      <c r="O175" s="12" t="s">
        <v>380</v>
      </c>
      <c r="P175" s="12" t="s">
        <v>382</v>
      </c>
      <c r="Q175" s="12"/>
      <c r="R175" s="236"/>
      <c r="S175" s="2"/>
      <c r="V175" s="45">
        <v>174</v>
      </c>
    </row>
    <row r="176" spans="1:22" ht="15" customHeight="1">
      <c r="A176" s="228">
        <v>29</v>
      </c>
      <c r="B176" s="75">
        <v>3</v>
      </c>
      <c r="C176" s="22" t="s">
        <v>375</v>
      </c>
      <c r="D176" s="2"/>
      <c r="E176" s="2"/>
      <c r="F176" s="2"/>
      <c r="G176" s="2"/>
      <c r="H176" s="2"/>
      <c r="I176" s="2"/>
      <c r="J176" s="2"/>
      <c r="K176" s="2"/>
      <c r="L176" s="12" t="s">
        <v>379</v>
      </c>
      <c r="M176" s="2">
        <v>180</v>
      </c>
      <c r="N176" s="22" t="s">
        <v>322</v>
      </c>
      <c r="O176" s="12" t="s">
        <v>380</v>
      </c>
      <c r="P176" s="12" t="s">
        <v>382</v>
      </c>
      <c r="Q176" s="12"/>
      <c r="R176" s="236"/>
      <c r="S176" s="2"/>
      <c r="V176" s="45">
        <v>175</v>
      </c>
    </row>
    <row r="177" spans="1:22" ht="15" customHeight="1">
      <c r="A177" s="228">
        <v>29</v>
      </c>
      <c r="B177" s="75">
        <v>4</v>
      </c>
      <c r="C177" s="22" t="s">
        <v>375</v>
      </c>
      <c r="D177" s="2"/>
      <c r="E177" s="2"/>
      <c r="F177" s="2"/>
      <c r="G177" s="2"/>
      <c r="H177" s="2"/>
      <c r="I177" s="2"/>
      <c r="J177" s="2"/>
      <c r="K177" s="2"/>
      <c r="L177" s="12" t="s">
        <v>379</v>
      </c>
      <c r="M177" s="2">
        <v>180</v>
      </c>
      <c r="N177" s="22" t="s">
        <v>322</v>
      </c>
      <c r="O177" s="12" t="s">
        <v>380</v>
      </c>
      <c r="P177" s="12" t="s">
        <v>382</v>
      </c>
      <c r="Q177" s="12"/>
      <c r="R177" s="236"/>
      <c r="S177" s="2"/>
      <c r="V177" s="45">
        <v>176</v>
      </c>
    </row>
    <row r="178" spans="1:22" ht="15" customHeight="1">
      <c r="A178" s="228">
        <v>29</v>
      </c>
      <c r="B178" s="75">
        <v>5</v>
      </c>
      <c r="C178" s="22" t="s">
        <v>375</v>
      </c>
      <c r="D178" s="2"/>
      <c r="E178" s="2"/>
      <c r="F178" s="2"/>
      <c r="G178" s="2"/>
      <c r="H178" s="2"/>
      <c r="I178" s="2"/>
      <c r="J178" s="2"/>
      <c r="K178" s="2"/>
      <c r="L178" s="12" t="s">
        <v>379</v>
      </c>
      <c r="M178" s="2">
        <v>180</v>
      </c>
      <c r="N178" s="22" t="s">
        <v>322</v>
      </c>
      <c r="O178" s="12" t="s">
        <v>380</v>
      </c>
      <c r="P178" s="12" t="s">
        <v>382</v>
      </c>
      <c r="Q178" s="12"/>
      <c r="R178" s="236"/>
      <c r="S178" s="2"/>
      <c r="V178" s="45">
        <v>177</v>
      </c>
    </row>
    <row r="179" spans="1:22" ht="15" customHeight="1">
      <c r="A179" s="229">
        <v>30</v>
      </c>
      <c r="B179" s="74">
        <v>1</v>
      </c>
      <c r="C179" s="222" t="s">
        <v>384</v>
      </c>
      <c r="D179" s="222"/>
      <c r="E179" s="222"/>
      <c r="F179" s="222"/>
      <c r="G179" s="222"/>
      <c r="H179" s="222"/>
      <c r="I179" s="222"/>
      <c r="J179" s="222"/>
      <c r="K179" s="222"/>
      <c r="L179" s="222" t="s">
        <v>383</v>
      </c>
      <c r="M179" s="222"/>
      <c r="N179" s="222" t="s">
        <v>322</v>
      </c>
      <c r="O179" s="222"/>
      <c r="P179" s="222" t="s">
        <v>391</v>
      </c>
      <c r="Q179" s="222"/>
      <c r="R179" s="225">
        <v>1</v>
      </c>
      <c r="S179" s="2"/>
      <c r="V179" s="45">
        <v>178</v>
      </c>
    </row>
    <row r="180" spans="1:22" ht="15" customHeight="1">
      <c r="A180" s="228">
        <v>30</v>
      </c>
      <c r="B180" s="75">
        <v>2</v>
      </c>
      <c r="C180" s="22" t="s">
        <v>384</v>
      </c>
      <c r="D180" s="22"/>
      <c r="E180" s="22"/>
      <c r="F180" s="22"/>
      <c r="G180" s="22"/>
      <c r="H180" s="22"/>
      <c r="I180" s="22"/>
      <c r="J180" s="22"/>
      <c r="K180" s="22"/>
      <c r="L180" s="22" t="s">
        <v>383</v>
      </c>
      <c r="M180" s="22"/>
      <c r="N180" s="22" t="s">
        <v>322</v>
      </c>
      <c r="O180" s="22"/>
      <c r="P180" s="22" t="s">
        <v>391</v>
      </c>
      <c r="Q180" s="22"/>
      <c r="R180" s="226">
        <v>1</v>
      </c>
      <c r="S180" s="2"/>
      <c r="V180" s="45">
        <v>179</v>
      </c>
    </row>
    <row r="181" spans="1:22" ht="15" customHeight="1">
      <c r="A181" s="230">
        <v>30</v>
      </c>
      <c r="B181" s="231">
        <v>3</v>
      </c>
      <c r="C181" s="22" t="s">
        <v>384</v>
      </c>
      <c r="D181" s="22"/>
      <c r="E181" s="22"/>
      <c r="F181" s="22"/>
      <c r="G181" s="22"/>
      <c r="H181" s="22"/>
      <c r="I181" s="22"/>
      <c r="J181" s="22"/>
      <c r="K181" s="22"/>
      <c r="L181" s="22" t="s">
        <v>383</v>
      </c>
      <c r="M181" s="22"/>
      <c r="N181" s="22" t="s">
        <v>322</v>
      </c>
      <c r="O181" s="22"/>
      <c r="P181" s="22" t="s">
        <v>391</v>
      </c>
      <c r="Q181" s="22"/>
      <c r="R181" s="226">
        <v>1</v>
      </c>
      <c r="S181" s="2"/>
      <c r="V181" s="45">
        <v>180</v>
      </c>
    </row>
    <row r="182" spans="1:22" ht="15" customHeight="1">
      <c r="A182" s="229">
        <v>31</v>
      </c>
      <c r="B182" s="74">
        <v>1</v>
      </c>
      <c r="C182" s="222" t="s">
        <v>384</v>
      </c>
      <c r="D182" s="222"/>
      <c r="E182" s="222"/>
      <c r="F182" s="222"/>
      <c r="G182" s="222"/>
      <c r="H182" s="222"/>
      <c r="I182" s="222"/>
      <c r="J182" s="222"/>
      <c r="K182" s="222"/>
      <c r="L182" s="222" t="s">
        <v>383</v>
      </c>
      <c r="M182" s="222"/>
      <c r="N182" s="222" t="s">
        <v>322</v>
      </c>
      <c r="O182" s="222"/>
      <c r="P182" s="222" t="s">
        <v>391</v>
      </c>
      <c r="Q182" s="222"/>
      <c r="R182" s="225">
        <v>1</v>
      </c>
      <c r="S182" s="2"/>
      <c r="V182" s="45">
        <v>181</v>
      </c>
    </row>
    <row r="183" spans="1:22" ht="15" customHeight="1">
      <c r="A183" s="228">
        <v>31</v>
      </c>
      <c r="B183" s="75">
        <v>2</v>
      </c>
      <c r="C183" s="22" t="s">
        <v>384</v>
      </c>
      <c r="D183" s="22"/>
      <c r="E183" s="22"/>
      <c r="F183" s="22"/>
      <c r="G183" s="22"/>
      <c r="H183" s="22"/>
      <c r="I183" s="22"/>
      <c r="J183" s="22"/>
      <c r="K183" s="22"/>
      <c r="L183" s="22" t="s">
        <v>383</v>
      </c>
      <c r="M183" s="22"/>
      <c r="N183" s="22" t="s">
        <v>322</v>
      </c>
      <c r="O183" s="22"/>
      <c r="P183" s="22" t="s">
        <v>391</v>
      </c>
      <c r="Q183" s="22"/>
      <c r="R183" s="226">
        <v>1</v>
      </c>
      <c r="S183" s="2"/>
      <c r="V183" s="45">
        <v>182</v>
      </c>
    </row>
    <row r="184" spans="1:22" ht="15" customHeight="1">
      <c r="A184" s="228">
        <v>31</v>
      </c>
      <c r="B184" s="75">
        <v>3</v>
      </c>
      <c r="C184" s="22" t="s">
        <v>384</v>
      </c>
      <c r="D184" s="22"/>
      <c r="E184" s="22"/>
      <c r="F184" s="22"/>
      <c r="G184" s="22"/>
      <c r="H184" s="22"/>
      <c r="I184" s="22"/>
      <c r="J184" s="22"/>
      <c r="K184" s="22"/>
      <c r="L184" s="22" t="s">
        <v>383</v>
      </c>
      <c r="M184" s="22"/>
      <c r="N184" s="22" t="s">
        <v>322</v>
      </c>
      <c r="O184" s="22"/>
      <c r="P184" s="22" t="s">
        <v>391</v>
      </c>
      <c r="Q184" s="22"/>
      <c r="R184" s="226">
        <v>1</v>
      </c>
      <c r="S184" s="2"/>
      <c r="V184" s="45">
        <v>183</v>
      </c>
    </row>
    <row r="185" spans="1:22" ht="15" customHeight="1">
      <c r="A185" s="228">
        <v>31</v>
      </c>
      <c r="B185" s="75">
        <v>4</v>
      </c>
      <c r="C185" s="22" t="s">
        <v>384</v>
      </c>
      <c r="D185" s="22"/>
      <c r="E185" s="22"/>
      <c r="F185" s="22"/>
      <c r="G185" s="22"/>
      <c r="H185" s="22"/>
      <c r="I185" s="22"/>
      <c r="J185" s="22"/>
      <c r="K185" s="22"/>
      <c r="L185" s="22" t="s">
        <v>383</v>
      </c>
      <c r="M185" s="22"/>
      <c r="N185" s="22" t="s">
        <v>322</v>
      </c>
      <c r="O185" s="22"/>
      <c r="P185" s="22" t="s">
        <v>391</v>
      </c>
      <c r="Q185" s="22"/>
      <c r="R185" s="226">
        <v>1</v>
      </c>
      <c r="S185" s="2"/>
      <c r="V185" s="45">
        <v>184</v>
      </c>
    </row>
    <row r="186" spans="1:22" ht="15" customHeight="1">
      <c r="A186" s="228">
        <v>31</v>
      </c>
      <c r="B186" s="75">
        <v>5</v>
      </c>
      <c r="C186" s="22" t="s">
        <v>384</v>
      </c>
      <c r="D186" s="22"/>
      <c r="E186" s="22"/>
      <c r="F186" s="22"/>
      <c r="G186" s="22"/>
      <c r="H186" s="22"/>
      <c r="I186" s="22"/>
      <c r="J186" s="22"/>
      <c r="K186" s="22"/>
      <c r="L186" s="22" t="s">
        <v>383</v>
      </c>
      <c r="M186" s="22"/>
      <c r="N186" s="22" t="s">
        <v>322</v>
      </c>
      <c r="O186" s="22"/>
      <c r="P186" s="22" t="s">
        <v>391</v>
      </c>
      <c r="Q186" s="22"/>
      <c r="R186" s="226">
        <v>1</v>
      </c>
      <c r="S186" s="2"/>
      <c r="V186" s="45">
        <v>185</v>
      </c>
    </row>
    <row r="187" spans="1:22" ht="15" customHeight="1">
      <c r="A187" s="199">
        <v>32</v>
      </c>
      <c r="B187" s="200">
        <v>1</v>
      </c>
      <c r="C187" s="222" t="s">
        <v>384</v>
      </c>
      <c r="D187" s="234"/>
      <c r="E187" s="234"/>
      <c r="F187" s="234"/>
      <c r="G187" s="234"/>
      <c r="H187" s="234"/>
      <c r="I187" s="234"/>
      <c r="J187" s="234"/>
      <c r="K187" s="234"/>
      <c r="L187" s="222" t="s">
        <v>383</v>
      </c>
      <c r="M187" s="234"/>
      <c r="N187" s="222" t="s">
        <v>322</v>
      </c>
      <c r="O187" s="234"/>
      <c r="P187" s="222" t="s">
        <v>391</v>
      </c>
      <c r="Q187" s="222"/>
      <c r="R187" s="225">
        <v>1</v>
      </c>
      <c r="S187" s="2"/>
      <c r="V187" s="45">
        <v>186</v>
      </c>
    </row>
    <row r="188" spans="1:22" ht="15" customHeight="1">
      <c r="A188" s="196">
        <v>32</v>
      </c>
      <c r="B188" s="201">
        <v>2</v>
      </c>
      <c r="C188" s="22" t="s">
        <v>384</v>
      </c>
      <c r="D188" s="2"/>
      <c r="E188" s="2"/>
      <c r="F188" s="2"/>
      <c r="G188" s="2"/>
      <c r="H188" s="2"/>
      <c r="I188" s="2"/>
      <c r="J188" s="2"/>
      <c r="K188" s="2"/>
      <c r="L188" s="22" t="s">
        <v>383</v>
      </c>
      <c r="M188" s="2"/>
      <c r="N188" s="22" t="s">
        <v>322</v>
      </c>
      <c r="O188" s="2"/>
      <c r="P188" s="22" t="s">
        <v>391</v>
      </c>
      <c r="Q188" s="22"/>
      <c r="R188" s="226">
        <v>1</v>
      </c>
      <c r="S188" s="2"/>
      <c r="V188" s="45">
        <v>187</v>
      </c>
    </row>
    <row r="189" spans="1:22" ht="15" customHeight="1">
      <c r="A189" s="229">
        <v>33</v>
      </c>
      <c r="B189" s="200">
        <v>1</v>
      </c>
      <c r="C189" s="222" t="s">
        <v>375</v>
      </c>
      <c r="D189" s="222"/>
      <c r="E189" s="222" t="s">
        <v>392</v>
      </c>
      <c r="F189" s="222">
        <v>20</v>
      </c>
      <c r="G189" s="222"/>
      <c r="H189" s="222"/>
      <c r="I189" s="222"/>
      <c r="J189" s="222"/>
      <c r="K189" s="222" t="s">
        <v>393</v>
      </c>
      <c r="L189" s="222" t="s">
        <v>383</v>
      </c>
      <c r="M189" s="222">
        <v>180</v>
      </c>
      <c r="N189" s="222" t="s">
        <v>322</v>
      </c>
      <c r="O189" s="227" t="s">
        <v>380</v>
      </c>
      <c r="P189" s="227" t="s">
        <v>382</v>
      </c>
      <c r="Q189" s="227">
        <v>5</v>
      </c>
      <c r="R189" s="225"/>
      <c r="S189" s="2"/>
      <c r="V189" s="45">
        <v>188</v>
      </c>
    </row>
    <row r="190" spans="1:22" ht="15" customHeight="1">
      <c r="A190" s="228">
        <v>33</v>
      </c>
      <c r="B190" s="201">
        <v>2</v>
      </c>
      <c r="C190" s="22" t="s">
        <v>375</v>
      </c>
      <c r="D190" s="22"/>
      <c r="E190" s="22" t="s">
        <v>392</v>
      </c>
      <c r="F190" s="22">
        <v>20</v>
      </c>
      <c r="G190" s="22"/>
      <c r="H190" s="22"/>
      <c r="I190" s="22"/>
      <c r="J190" s="22"/>
      <c r="K190" s="22" t="s">
        <v>393</v>
      </c>
      <c r="L190" s="22" t="s">
        <v>383</v>
      </c>
      <c r="M190" s="22">
        <v>180</v>
      </c>
      <c r="N190" s="22" t="s">
        <v>322</v>
      </c>
      <c r="O190" s="12" t="s">
        <v>380</v>
      </c>
      <c r="P190" s="12" t="s">
        <v>382</v>
      </c>
      <c r="Q190" s="12">
        <v>5</v>
      </c>
      <c r="R190" s="226"/>
      <c r="S190" s="2"/>
      <c r="V190" s="45">
        <v>189</v>
      </c>
    </row>
    <row r="191" spans="1:22" ht="15" customHeight="1">
      <c r="A191" s="228">
        <v>33</v>
      </c>
      <c r="B191" s="201">
        <v>3</v>
      </c>
      <c r="C191" s="22" t="s">
        <v>375</v>
      </c>
      <c r="D191" s="22"/>
      <c r="E191" s="22" t="s">
        <v>392</v>
      </c>
      <c r="F191" s="22">
        <v>20</v>
      </c>
      <c r="G191" s="22"/>
      <c r="H191" s="22"/>
      <c r="I191" s="22"/>
      <c r="J191" s="22"/>
      <c r="K191" s="22" t="s">
        <v>393</v>
      </c>
      <c r="L191" s="22" t="s">
        <v>383</v>
      </c>
      <c r="M191" s="22">
        <v>180</v>
      </c>
      <c r="N191" s="22" t="s">
        <v>322</v>
      </c>
      <c r="O191" s="12" t="s">
        <v>380</v>
      </c>
      <c r="P191" s="12" t="s">
        <v>382</v>
      </c>
      <c r="Q191" s="12">
        <v>5</v>
      </c>
      <c r="R191" s="226"/>
      <c r="S191" s="2"/>
      <c r="V191" s="45">
        <v>190</v>
      </c>
    </row>
    <row r="192" spans="1:22" ht="15" customHeight="1">
      <c r="A192" s="228">
        <v>33</v>
      </c>
      <c r="B192" s="201">
        <v>4</v>
      </c>
      <c r="C192" s="22" t="s">
        <v>375</v>
      </c>
      <c r="D192" s="22"/>
      <c r="E192" s="22" t="s">
        <v>392</v>
      </c>
      <c r="F192" s="22">
        <v>20</v>
      </c>
      <c r="G192" s="22"/>
      <c r="H192" s="22"/>
      <c r="I192" s="22"/>
      <c r="J192" s="22"/>
      <c r="K192" s="22" t="s">
        <v>393</v>
      </c>
      <c r="L192" s="22" t="s">
        <v>383</v>
      </c>
      <c r="M192" s="22">
        <v>180</v>
      </c>
      <c r="N192" s="22" t="s">
        <v>322</v>
      </c>
      <c r="O192" s="12" t="s">
        <v>380</v>
      </c>
      <c r="P192" s="12" t="s">
        <v>382</v>
      </c>
      <c r="Q192" s="12">
        <v>5</v>
      </c>
      <c r="R192" s="226"/>
      <c r="S192" s="2"/>
      <c r="V192" s="45">
        <v>191</v>
      </c>
    </row>
    <row r="193" spans="1:22" ht="15" customHeight="1">
      <c r="A193" s="199">
        <v>34</v>
      </c>
      <c r="B193" s="200">
        <v>1</v>
      </c>
      <c r="C193" s="222" t="s">
        <v>375</v>
      </c>
      <c r="D193" s="234"/>
      <c r="E193" s="234"/>
      <c r="F193" s="234"/>
      <c r="G193" s="234"/>
      <c r="H193" s="234"/>
      <c r="I193" s="234"/>
      <c r="J193" s="234"/>
      <c r="K193" s="234"/>
      <c r="L193" s="222" t="s">
        <v>383</v>
      </c>
      <c r="M193" s="234"/>
      <c r="N193" s="234"/>
      <c r="O193" s="227" t="s">
        <v>380</v>
      </c>
      <c r="P193" s="227" t="s">
        <v>382</v>
      </c>
      <c r="Q193" s="227">
        <v>1</v>
      </c>
      <c r="R193" s="235"/>
      <c r="S193" s="2"/>
      <c r="V193" s="45">
        <v>192</v>
      </c>
    </row>
    <row r="194" spans="1:22" ht="15" customHeight="1">
      <c r="A194" s="196">
        <v>34</v>
      </c>
      <c r="B194" s="201">
        <v>2</v>
      </c>
      <c r="C194" s="22" t="s">
        <v>375</v>
      </c>
      <c r="D194" s="2"/>
      <c r="E194" s="2"/>
      <c r="F194" s="2"/>
      <c r="G194" s="2"/>
      <c r="H194" s="2"/>
      <c r="I194" s="2"/>
      <c r="J194" s="2"/>
      <c r="K194" s="2"/>
      <c r="L194" s="22" t="s">
        <v>383</v>
      </c>
      <c r="M194" s="2"/>
      <c r="N194" s="2"/>
      <c r="O194" s="12" t="s">
        <v>380</v>
      </c>
      <c r="P194" s="12" t="s">
        <v>382</v>
      </c>
      <c r="Q194" s="12">
        <v>1</v>
      </c>
      <c r="R194" s="236"/>
      <c r="S194" s="2"/>
      <c r="V194" s="45">
        <v>193</v>
      </c>
    </row>
    <row r="195" spans="1:22" ht="15" customHeight="1">
      <c r="A195" s="196">
        <v>34</v>
      </c>
      <c r="B195" s="201">
        <v>3</v>
      </c>
      <c r="C195" s="22" t="s">
        <v>375</v>
      </c>
      <c r="D195" s="2"/>
      <c r="E195" s="2"/>
      <c r="F195" s="2"/>
      <c r="G195" s="2"/>
      <c r="H195" s="2"/>
      <c r="I195" s="2"/>
      <c r="J195" s="2"/>
      <c r="K195" s="2"/>
      <c r="L195" s="22" t="s">
        <v>383</v>
      </c>
      <c r="M195" s="2"/>
      <c r="N195" s="2"/>
      <c r="O195" s="12" t="s">
        <v>380</v>
      </c>
      <c r="P195" s="12" t="s">
        <v>382</v>
      </c>
      <c r="Q195" s="12">
        <v>1</v>
      </c>
      <c r="R195" s="236"/>
      <c r="S195" s="2"/>
      <c r="V195" s="45">
        <v>194</v>
      </c>
    </row>
    <row r="196" spans="1:22" ht="15" customHeight="1">
      <c r="A196" s="196">
        <v>34</v>
      </c>
      <c r="B196" s="201">
        <v>4</v>
      </c>
      <c r="C196" s="22" t="s">
        <v>375</v>
      </c>
      <c r="D196" s="2"/>
      <c r="E196" s="2"/>
      <c r="F196" s="2"/>
      <c r="G196" s="2"/>
      <c r="H196" s="2"/>
      <c r="I196" s="2"/>
      <c r="J196" s="2"/>
      <c r="K196" s="2"/>
      <c r="L196" s="22" t="s">
        <v>383</v>
      </c>
      <c r="M196" s="2"/>
      <c r="N196" s="2"/>
      <c r="O196" s="12" t="s">
        <v>380</v>
      </c>
      <c r="P196" s="12" t="s">
        <v>382</v>
      </c>
      <c r="Q196" s="12">
        <v>1</v>
      </c>
      <c r="R196" s="236"/>
      <c r="S196" s="2"/>
      <c r="V196" s="45">
        <v>195</v>
      </c>
    </row>
    <row r="197" spans="1:22" ht="15" customHeight="1">
      <c r="A197" s="229">
        <v>35</v>
      </c>
      <c r="B197" s="74">
        <v>1</v>
      </c>
      <c r="C197" s="222" t="s">
        <v>375</v>
      </c>
      <c r="D197" s="234"/>
      <c r="E197" s="222" t="s">
        <v>392</v>
      </c>
      <c r="F197" s="222">
        <v>50</v>
      </c>
      <c r="G197" s="222"/>
      <c r="H197" s="222"/>
      <c r="I197" s="222"/>
      <c r="J197" s="222"/>
      <c r="K197" s="222" t="s">
        <v>393</v>
      </c>
      <c r="L197" s="227" t="s">
        <v>379</v>
      </c>
      <c r="M197" s="234">
        <v>180</v>
      </c>
      <c r="N197" s="222" t="s">
        <v>322</v>
      </c>
      <c r="O197" s="227" t="s">
        <v>380</v>
      </c>
      <c r="P197" s="227" t="s">
        <v>382</v>
      </c>
      <c r="Q197" s="234"/>
      <c r="R197" s="235"/>
      <c r="S197" s="2"/>
      <c r="V197" s="45">
        <v>196</v>
      </c>
    </row>
    <row r="198" spans="1:22" ht="15" customHeight="1">
      <c r="A198" s="228">
        <v>35</v>
      </c>
      <c r="B198" s="75">
        <v>2</v>
      </c>
      <c r="C198" s="22" t="s">
        <v>375</v>
      </c>
      <c r="D198" s="2"/>
      <c r="E198" s="22" t="s">
        <v>392</v>
      </c>
      <c r="F198" s="22">
        <v>50</v>
      </c>
      <c r="G198" s="22"/>
      <c r="H198" s="22"/>
      <c r="I198" s="22"/>
      <c r="J198" s="22"/>
      <c r="K198" s="22" t="s">
        <v>393</v>
      </c>
      <c r="L198" s="12" t="s">
        <v>379</v>
      </c>
      <c r="M198" s="2">
        <v>180</v>
      </c>
      <c r="N198" s="22" t="s">
        <v>322</v>
      </c>
      <c r="O198" s="12" t="s">
        <v>380</v>
      </c>
      <c r="P198" s="12" t="s">
        <v>382</v>
      </c>
      <c r="Q198" s="2"/>
      <c r="R198" s="236"/>
      <c r="S198" s="2"/>
      <c r="V198" s="45">
        <v>197</v>
      </c>
    </row>
    <row r="199" spans="1:22" ht="15" customHeight="1">
      <c r="A199" s="228">
        <v>35</v>
      </c>
      <c r="B199" s="75">
        <v>3</v>
      </c>
      <c r="C199" s="22" t="s">
        <v>375</v>
      </c>
      <c r="D199" s="2"/>
      <c r="E199" s="22" t="s">
        <v>392</v>
      </c>
      <c r="F199" s="22">
        <v>50</v>
      </c>
      <c r="G199" s="22"/>
      <c r="H199" s="22"/>
      <c r="I199" s="22"/>
      <c r="J199" s="22"/>
      <c r="K199" s="22" t="s">
        <v>393</v>
      </c>
      <c r="L199" s="12" t="s">
        <v>379</v>
      </c>
      <c r="M199" s="2">
        <v>180</v>
      </c>
      <c r="N199" s="22" t="s">
        <v>322</v>
      </c>
      <c r="O199" s="12" t="s">
        <v>380</v>
      </c>
      <c r="P199" s="12" t="s">
        <v>382</v>
      </c>
      <c r="Q199" s="2"/>
      <c r="R199" s="236"/>
      <c r="S199" s="2"/>
      <c r="V199" s="45">
        <v>198</v>
      </c>
    </row>
    <row r="200" spans="1:22" ht="15" customHeight="1">
      <c r="A200" s="230">
        <v>35</v>
      </c>
      <c r="B200" s="231">
        <v>4</v>
      </c>
      <c r="C200" s="30" t="s">
        <v>375</v>
      </c>
      <c r="D200" s="34"/>
      <c r="E200" s="30" t="s">
        <v>392</v>
      </c>
      <c r="F200" s="30">
        <v>50</v>
      </c>
      <c r="G200" s="30"/>
      <c r="H200" s="30"/>
      <c r="I200" s="30"/>
      <c r="J200" s="30"/>
      <c r="K200" s="30" t="s">
        <v>393</v>
      </c>
      <c r="L200" s="27" t="s">
        <v>379</v>
      </c>
      <c r="M200" s="34">
        <v>180</v>
      </c>
      <c r="N200" s="30" t="s">
        <v>322</v>
      </c>
      <c r="O200" s="27" t="s">
        <v>380</v>
      </c>
      <c r="P200" s="12" t="s">
        <v>382</v>
      </c>
      <c r="Q200" s="34"/>
      <c r="R200" s="237"/>
      <c r="S200" s="2"/>
      <c r="V200" s="45">
        <v>199</v>
      </c>
    </row>
    <row r="201" spans="1:22" ht="15" customHeight="1">
      <c r="A201" s="233">
        <v>36</v>
      </c>
      <c r="B201" s="75">
        <v>1</v>
      </c>
      <c r="C201" s="222" t="s">
        <v>384</v>
      </c>
      <c r="D201" s="2"/>
      <c r="E201" s="2"/>
      <c r="F201" s="2"/>
      <c r="G201" s="2"/>
      <c r="H201" s="2"/>
      <c r="I201" s="2"/>
      <c r="J201" s="2"/>
      <c r="K201" s="2"/>
      <c r="L201" s="22" t="s">
        <v>383</v>
      </c>
      <c r="M201" s="2"/>
      <c r="N201" s="22" t="s">
        <v>322</v>
      </c>
      <c r="O201" s="2"/>
      <c r="P201" s="227" t="s">
        <v>388</v>
      </c>
      <c r="Q201" s="2"/>
      <c r="R201" s="226">
        <v>1</v>
      </c>
      <c r="S201" s="2"/>
      <c r="V201" s="45">
        <v>200</v>
      </c>
    </row>
    <row r="202" spans="1:22" ht="15" customHeight="1">
      <c r="A202" s="233">
        <v>36</v>
      </c>
      <c r="B202" s="75">
        <v>2</v>
      </c>
      <c r="C202" s="22" t="s">
        <v>384</v>
      </c>
      <c r="L202" s="22" t="s">
        <v>383</v>
      </c>
      <c r="N202" s="22" t="s">
        <v>322</v>
      </c>
      <c r="O202" s="2"/>
      <c r="P202" s="12" t="s">
        <v>388</v>
      </c>
      <c r="Q202" s="2"/>
      <c r="R202" s="226">
        <v>1</v>
      </c>
      <c r="S202" s="2"/>
      <c r="V202" s="45">
        <v>201</v>
      </c>
    </row>
    <row r="203" spans="1:22" ht="15" customHeight="1">
      <c r="A203" s="233">
        <v>36</v>
      </c>
      <c r="B203" s="75">
        <v>3</v>
      </c>
      <c r="C203" s="22" t="s">
        <v>384</v>
      </c>
      <c r="L203" s="22" t="s">
        <v>383</v>
      </c>
      <c r="N203" s="22" t="s">
        <v>322</v>
      </c>
      <c r="O203" s="2"/>
      <c r="P203" s="12" t="s">
        <v>388</v>
      </c>
      <c r="Q203" s="2"/>
      <c r="R203" s="226">
        <v>1</v>
      </c>
      <c r="S203" s="2"/>
      <c r="V203" s="45">
        <v>202</v>
      </c>
    </row>
    <row r="204" spans="1:22" ht="15" customHeight="1">
      <c r="A204" s="233">
        <v>36</v>
      </c>
      <c r="B204" s="75">
        <v>4</v>
      </c>
      <c r="C204" s="22" t="s">
        <v>384</v>
      </c>
      <c r="D204" s="2"/>
      <c r="E204" s="2"/>
      <c r="F204" s="2"/>
      <c r="G204" s="2"/>
      <c r="H204" s="2"/>
      <c r="I204" s="2"/>
      <c r="J204" s="2"/>
      <c r="K204" s="2"/>
      <c r="L204" s="22" t="s">
        <v>383</v>
      </c>
      <c r="M204" s="2"/>
      <c r="N204" s="22" t="s">
        <v>322</v>
      </c>
      <c r="O204" s="2"/>
      <c r="P204" s="12" t="s">
        <v>388</v>
      </c>
      <c r="Q204" s="2"/>
      <c r="R204" s="226">
        <v>1</v>
      </c>
      <c r="S204" s="2"/>
      <c r="V204" s="45">
        <v>203</v>
      </c>
    </row>
    <row r="205" spans="1:22" ht="15" customHeight="1">
      <c r="A205" s="229">
        <v>37</v>
      </c>
      <c r="B205" s="200">
        <v>1</v>
      </c>
      <c r="C205" s="222" t="s">
        <v>384</v>
      </c>
      <c r="D205" s="234"/>
      <c r="E205" s="234"/>
      <c r="F205" s="234"/>
      <c r="G205" s="234"/>
      <c r="H205" s="234"/>
      <c r="I205" s="234"/>
      <c r="J205" s="234"/>
      <c r="K205" s="234"/>
      <c r="L205" s="234"/>
      <c r="M205" s="234"/>
      <c r="N205" s="222" t="s">
        <v>322</v>
      </c>
      <c r="O205" s="234"/>
      <c r="P205" s="227" t="s">
        <v>391</v>
      </c>
      <c r="Q205" s="234"/>
      <c r="R205" s="235"/>
      <c r="S205" s="2"/>
      <c r="V205" s="45">
        <v>204</v>
      </c>
    </row>
    <row r="206" spans="1:22" ht="15" customHeight="1">
      <c r="A206" s="228">
        <v>37</v>
      </c>
      <c r="B206" s="201">
        <v>2</v>
      </c>
      <c r="C206" s="22" t="s">
        <v>384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2" t="s">
        <v>322</v>
      </c>
      <c r="O206" s="2"/>
      <c r="P206" s="12" t="s">
        <v>391</v>
      </c>
      <c r="Q206" s="2"/>
      <c r="R206" s="236"/>
      <c r="S206" s="2"/>
      <c r="V206" s="45">
        <v>205</v>
      </c>
    </row>
    <row r="207" spans="1:22" ht="15" customHeight="1">
      <c r="A207" s="228">
        <v>37</v>
      </c>
      <c r="B207" s="201">
        <v>3</v>
      </c>
      <c r="C207" s="22" t="s">
        <v>384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2" t="s">
        <v>322</v>
      </c>
      <c r="O207" s="2"/>
      <c r="P207" s="12" t="s">
        <v>391</v>
      </c>
      <c r="Q207" s="2"/>
      <c r="R207" s="236"/>
      <c r="S207" s="2"/>
      <c r="V207" s="45">
        <v>206</v>
      </c>
    </row>
    <row r="208" spans="1:22" ht="15" customHeight="1">
      <c r="A208" s="228">
        <v>37</v>
      </c>
      <c r="B208" s="201">
        <v>4</v>
      </c>
      <c r="C208" s="22" t="s">
        <v>384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2" t="s">
        <v>322</v>
      </c>
      <c r="O208" s="2"/>
      <c r="P208" s="12" t="s">
        <v>391</v>
      </c>
      <c r="Q208" s="2"/>
      <c r="R208" s="236"/>
      <c r="S208" s="2"/>
      <c r="V208" s="45">
        <v>207</v>
      </c>
    </row>
    <row r="209" spans="1:22" ht="15" customHeight="1">
      <c r="A209" s="228">
        <v>37</v>
      </c>
      <c r="B209" s="201">
        <v>5</v>
      </c>
      <c r="C209" s="22" t="s">
        <v>384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2" t="s">
        <v>322</v>
      </c>
      <c r="O209" s="2"/>
      <c r="P209" s="12" t="s">
        <v>391</v>
      </c>
      <c r="Q209" s="2"/>
      <c r="R209" s="236"/>
      <c r="S209" s="2"/>
      <c r="V209" s="45">
        <v>208</v>
      </c>
    </row>
    <row r="210" spans="1:22" ht="15" customHeight="1">
      <c r="A210" s="228">
        <v>37</v>
      </c>
      <c r="B210" s="201">
        <v>6</v>
      </c>
      <c r="C210" s="22" t="s">
        <v>384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2" t="s">
        <v>322</v>
      </c>
      <c r="O210" s="2"/>
      <c r="P210" s="12" t="s">
        <v>391</v>
      </c>
      <c r="Q210" s="2"/>
      <c r="R210" s="236"/>
      <c r="S210" s="2"/>
      <c r="V210" s="45">
        <v>209</v>
      </c>
    </row>
    <row r="211" spans="1:22" ht="15" customHeight="1">
      <c r="A211" s="228">
        <v>37</v>
      </c>
      <c r="B211" s="201">
        <v>7</v>
      </c>
      <c r="C211" s="22" t="s">
        <v>384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2" t="s">
        <v>322</v>
      </c>
      <c r="O211" s="2"/>
      <c r="P211" s="12" t="s">
        <v>391</v>
      </c>
      <c r="Q211" s="2"/>
      <c r="R211" s="236"/>
      <c r="S211" s="2"/>
      <c r="V211" s="45">
        <v>210</v>
      </c>
    </row>
    <row r="212" spans="1:22" ht="15" customHeight="1">
      <c r="A212" s="229">
        <v>38</v>
      </c>
      <c r="B212" s="74">
        <v>1</v>
      </c>
      <c r="C212" s="222" t="s">
        <v>375</v>
      </c>
      <c r="D212" s="227" t="s">
        <v>376</v>
      </c>
      <c r="E212" s="222"/>
      <c r="F212" s="222"/>
      <c r="G212" s="222"/>
      <c r="H212" s="222"/>
      <c r="I212" s="222"/>
      <c r="J212" s="222"/>
      <c r="K212" s="222"/>
      <c r="L212" s="222" t="s">
        <v>383</v>
      </c>
      <c r="M212" s="222">
        <v>180</v>
      </c>
      <c r="N212" s="222" t="s">
        <v>322</v>
      </c>
      <c r="O212" s="227" t="s">
        <v>380</v>
      </c>
      <c r="P212" s="222"/>
      <c r="Q212" s="222">
        <v>0.5</v>
      </c>
      <c r="R212" s="225"/>
      <c r="S212" s="2"/>
      <c r="V212" s="45">
        <v>211</v>
      </c>
    </row>
    <row r="213" spans="1:22" ht="15" customHeight="1">
      <c r="A213" s="228">
        <v>38</v>
      </c>
      <c r="B213" s="75">
        <v>2</v>
      </c>
      <c r="C213" s="22" t="s">
        <v>375</v>
      </c>
      <c r="D213" s="12" t="s">
        <v>376</v>
      </c>
      <c r="E213" s="22"/>
      <c r="F213" s="22"/>
      <c r="G213" s="22"/>
      <c r="H213" s="22"/>
      <c r="I213" s="22"/>
      <c r="J213" s="22"/>
      <c r="K213" s="22"/>
      <c r="L213" s="22" t="s">
        <v>383</v>
      </c>
      <c r="M213" s="22">
        <v>180</v>
      </c>
      <c r="N213" s="22" t="s">
        <v>322</v>
      </c>
      <c r="O213" s="12" t="s">
        <v>380</v>
      </c>
      <c r="P213" s="22"/>
      <c r="Q213" s="22">
        <v>0.5</v>
      </c>
      <c r="R213" s="226"/>
      <c r="S213" s="2"/>
      <c r="V213" s="45">
        <v>212</v>
      </c>
    </row>
    <row r="214" spans="1:22" ht="15" customHeight="1">
      <c r="A214" s="228">
        <v>38</v>
      </c>
      <c r="B214" s="75">
        <v>3</v>
      </c>
      <c r="C214" s="22" t="s">
        <v>375</v>
      </c>
      <c r="D214" s="12" t="s">
        <v>376</v>
      </c>
      <c r="E214" s="22"/>
      <c r="F214" s="22"/>
      <c r="G214" s="22"/>
      <c r="H214" s="22"/>
      <c r="I214" s="22"/>
      <c r="J214" s="22"/>
      <c r="K214" s="22"/>
      <c r="L214" s="22" t="s">
        <v>383</v>
      </c>
      <c r="M214" s="22">
        <v>180</v>
      </c>
      <c r="N214" s="22" t="s">
        <v>322</v>
      </c>
      <c r="O214" s="12" t="s">
        <v>380</v>
      </c>
      <c r="P214" s="22"/>
      <c r="Q214" s="22">
        <v>0.5</v>
      </c>
      <c r="R214" s="226"/>
      <c r="S214" s="2"/>
      <c r="V214" s="45">
        <v>213</v>
      </c>
    </row>
    <row r="215" spans="1:22" ht="15" customHeight="1">
      <c r="A215" s="228">
        <v>38</v>
      </c>
      <c r="B215" s="75">
        <v>4</v>
      </c>
      <c r="C215" s="22" t="s">
        <v>375</v>
      </c>
      <c r="D215" s="12" t="s">
        <v>376</v>
      </c>
      <c r="E215" s="22"/>
      <c r="F215" s="22"/>
      <c r="G215" s="22"/>
      <c r="H215" s="22"/>
      <c r="I215" s="22"/>
      <c r="J215" s="22"/>
      <c r="K215" s="22"/>
      <c r="L215" s="22" t="s">
        <v>383</v>
      </c>
      <c r="M215" s="22">
        <v>185</v>
      </c>
      <c r="N215" s="22" t="s">
        <v>322</v>
      </c>
      <c r="O215" s="12" t="s">
        <v>380</v>
      </c>
      <c r="P215" s="22"/>
      <c r="Q215" s="22">
        <v>0.5</v>
      </c>
      <c r="R215" s="226"/>
      <c r="S215" s="2"/>
      <c r="V215" s="45">
        <v>214</v>
      </c>
    </row>
    <row r="216" spans="1:22" ht="15" customHeight="1">
      <c r="A216" s="228">
        <v>38</v>
      </c>
      <c r="B216" s="75">
        <v>5</v>
      </c>
      <c r="C216" s="22" t="s">
        <v>375</v>
      </c>
      <c r="D216" s="12" t="s">
        <v>376</v>
      </c>
      <c r="E216" s="22"/>
      <c r="F216" s="22"/>
      <c r="G216" s="22"/>
      <c r="H216" s="22"/>
      <c r="I216" s="22"/>
      <c r="J216" s="22"/>
      <c r="K216" s="22"/>
      <c r="L216" s="22" t="s">
        <v>383</v>
      </c>
      <c r="M216" s="22">
        <v>185</v>
      </c>
      <c r="N216" s="22" t="s">
        <v>322</v>
      </c>
      <c r="O216" s="12" t="s">
        <v>380</v>
      </c>
      <c r="P216" s="22"/>
      <c r="Q216" s="22">
        <v>0.5</v>
      </c>
      <c r="R216" s="226"/>
      <c r="S216" s="2"/>
      <c r="V216" s="45">
        <v>215</v>
      </c>
    </row>
    <row r="217" spans="1:22" ht="15" customHeight="1">
      <c r="A217" s="230">
        <v>38</v>
      </c>
      <c r="B217" s="231">
        <v>6</v>
      </c>
      <c r="C217" s="22" t="s">
        <v>375</v>
      </c>
      <c r="D217" s="12" t="s">
        <v>376</v>
      </c>
      <c r="E217" s="30"/>
      <c r="F217" s="30"/>
      <c r="G217" s="30"/>
      <c r="H217" s="30"/>
      <c r="I217" s="30"/>
      <c r="J217" s="30"/>
      <c r="K217" s="30"/>
      <c r="L217" s="30" t="s">
        <v>383</v>
      </c>
      <c r="M217" s="30">
        <v>185</v>
      </c>
      <c r="N217" s="30" t="s">
        <v>322</v>
      </c>
      <c r="O217" s="27" t="s">
        <v>380</v>
      </c>
      <c r="P217" s="30"/>
      <c r="Q217" s="22">
        <v>0.5</v>
      </c>
      <c r="R217" s="232"/>
      <c r="S217" s="2"/>
      <c r="V217" s="45">
        <v>216</v>
      </c>
    </row>
    <row r="218" spans="1:22" ht="15" customHeight="1">
      <c r="A218" s="233">
        <v>39</v>
      </c>
      <c r="B218" s="75">
        <v>1</v>
      </c>
      <c r="C218" s="222" t="s">
        <v>375</v>
      </c>
      <c r="D218" s="227" t="s">
        <v>376</v>
      </c>
      <c r="E218" s="2"/>
      <c r="F218" s="2"/>
      <c r="G218" s="2"/>
      <c r="H218" s="2"/>
      <c r="I218" s="2"/>
      <c r="J218" s="2"/>
      <c r="K218" s="2"/>
      <c r="L218" s="12" t="s">
        <v>379</v>
      </c>
      <c r="M218" s="22">
        <v>190</v>
      </c>
      <c r="N218" s="12" t="s">
        <v>322</v>
      </c>
      <c r="O218" s="12" t="s">
        <v>380</v>
      </c>
      <c r="P218" s="2"/>
      <c r="Q218" s="222">
        <v>1</v>
      </c>
      <c r="R218" s="236"/>
      <c r="S218" s="2"/>
      <c r="V218" s="45">
        <v>217</v>
      </c>
    </row>
    <row r="219" spans="1:22" ht="15" customHeight="1">
      <c r="A219" s="233">
        <v>39</v>
      </c>
      <c r="B219" s="75">
        <v>2</v>
      </c>
      <c r="C219" s="22" t="s">
        <v>375</v>
      </c>
      <c r="D219" s="12" t="s">
        <v>376</v>
      </c>
      <c r="L219" s="12" t="s">
        <v>379</v>
      </c>
      <c r="M219" s="22">
        <v>190</v>
      </c>
      <c r="N219" s="12" t="s">
        <v>322</v>
      </c>
      <c r="O219" s="12" t="s">
        <v>380</v>
      </c>
      <c r="P219" s="2"/>
      <c r="Q219" s="22">
        <v>1</v>
      </c>
      <c r="R219" s="236"/>
      <c r="S219" s="2"/>
      <c r="V219" s="45">
        <v>218</v>
      </c>
    </row>
    <row r="220" spans="1:22" ht="15" customHeight="1">
      <c r="A220" s="233">
        <v>39</v>
      </c>
      <c r="B220" s="75">
        <v>3</v>
      </c>
      <c r="C220" s="22" t="s">
        <v>375</v>
      </c>
      <c r="D220" s="12" t="s">
        <v>376</v>
      </c>
      <c r="L220" s="12" t="s">
        <v>379</v>
      </c>
      <c r="M220" s="22">
        <v>190</v>
      </c>
      <c r="N220" s="12" t="s">
        <v>322</v>
      </c>
      <c r="O220" s="12" t="s">
        <v>380</v>
      </c>
      <c r="P220" s="2"/>
      <c r="Q220" s="22">
        <v>1</v>
      </c>
      <c r="R220" s="236"/>
      <c r="S220" s="2"/>
      <c r="V220" s="45">
        <v>219</v>
      </c>
    </row>
    <row r="221" spans="1:22" ht="15" customHeight="1">
      <c r="A221" s="233">
        <v>39</v>
      </c>
      <c r="B221" s="75">
        <v>4</v>
      </c>
      <c r="C221" s="22" t="s">
        <v>375</v>
      </c>
      <c r="D221" s="12" t="s">
        <v>376</v>
      </c>
      <c r="L221" s="12" t="s">
        <v>379</v>
      </c>
      <c r="M221" s="22">
        <v>190</v>
      </c>
      <c r="N221" s="12" t="s">
        <v>322</v>
      </c>
      <c r="O221" s="12" t="s">
        <v>380</v>
      </c>
      <c r="P221" s="2"/>
      <c r="Q221" s="22">
        <v>1</v>
      </c>
      <c r="R221" s="236"/>
      <c r="S221" s="2"/>
      <c r="V221" s="45">
        <v>220</v>
      </c>
    </row>
    <row r="222" spans="1:22" ht="15" customHeight="1">
      <c r="A222" s="233">
        <v>39</v>
      </c>
      <c r="B222" s="75">
        <v>5</v>
      </c>
      <c r="C222" s="22" t="s">
        <v>375</v>
      </c>
      <c r="D222" s="12" t="s">
        <v>376</v>
      </c>
      <c r="L222" s="12" t="s">
        <v>379</v>
      </c>
      <c r="M222" s="22">
        <v>190</v>
      </c>
      <c r="N222" s="12" t="s">
        <v>322</v>
      </c>
      <c r="O222" s="12" t="s">
        <v>380</v>
      </c>
      <c r="P222" s="2"/>
      <c r="Q222" s="22">
        <v>1</v>
      </c>
      <c r="R222" s="236"/>
      <c r="S222" s="2"/>
      <c r="V222" s="45">
        <v>221</v>
      </c>
    </row>
    <row r="223" spans="1:22" ht="15" customHeight="1">
      <c r="A223" s="233">
        <v>39</v>
      </c>
      <c r="B223" s="75">
        <v>6</v>
      </c>
      <c r="C223" s="22" t="s">
        <v>375</v>
      </c>
      <c r="D223" s="12" t="s">
        <v>376</v>
      </c>
      <c r="L223" s="12" t="s">
        <v>379</v>
      </c>
      <c r="M223" s="22">
        <v>190</v>
      </c>
      <c r="N223" s="12" t="s">
        <v>322</v>
      </c>
      <c r="O223" s="12" t="s">
        <v>380</v>
      </c>
      <c r="P223" s="2"/>
      <c r="Q223" s="22">
        <v>1</v>
      </c>
      <c r="R223" s="236"/>
      <c r="S223" s="2"/>
      <c r="V223" s="45">
        <v>222</v>
      </c>
    </row>
    <row r="224" spans="1:22" ht="15" customHeight="1">
      <c r="A224" s="233">
        <v>39</v>
      </c>
      <c r="B224" s="75">
        <v>7</v>
      </c>
      <c r="C224" s="22" t="s">
        <v>375</v>
      </c>
      <c r="D224" s="12" t="s">
        <v>376</v>
      </c>
      <c r="L224" s="12" t="s">
        <v>379</v>
      </c>
      <c r="M224" s="22">
        <v>190</v>
      </c>
      <c r="N224" s="12" t="s">
        <v>322</v>
      </c>
      <c r="O224" s="12" t="s">
        <v>380</v>
      </c>
      <c r="P224" s="2"/>
      <c r="Q224" s="22">
        <v>1</v>
      </c>
      <c r="R224" s="236"/>
      <c r="S224" s="2"/>
      <c r="V224" s="45">
        <v>223</v>
      </c>
    </row>
    <row r="225" spans="1:22" ht="15" customHeight="1">
      <c r="A225" s="233">
        <v>39</v>
      </c>
      <c r="B225" s="75">
        <v>8</v>
      </c>
      <c r="C225" s="22" t="s">
        <v>375</v>
      </c>
      <c r="D225" s="12" t="s">
        <v>376</v>
      </c>
      <c r="E225" s="2"/>
      <c r="F225" s="2"/>
      <c r="G225" s="2"/>
      <c r="H225" s="2"/>
      <c r="I225" s="2"/>
      <c r="J225" s="2"/>
      <c r="K225" s="2"/>
      <c r="L225" s="12" t="s">
        <v>379</v>
      </c>
      <c r="M225" s="22">
        <v>190</v>
      </c>
      <c r="N225" s="27" t="s">
        <v>322</v>
      </c>
      <c r="O225" s="12" t="s">
        <v>380</v>
      </c>
      <c r="P225" s="2"/>
      <c r="Q225" s="30">
        <v>1</v>
      </c>
      <c r="R225" s="236"/>
      <c r="S225" s="2"/>
      <c r="V225" s="45">
        <v>224</v>
      </c>
    </row>
    <row r="226" spans="1:22" ht="15" customHeight="1">
      <c r="A226" s="229">
        <v>40</v>
      </c>
      <c r="B226" s="74">
        <v>1</v>
      </c>
      <c r="C226" s="222" t="s">
        <v>384</v>
      </c>
      <c r="D226" s="234"/>
      <c r="E226" s="234"/>
      <c r="F226" s="234"/>
      <c r="G226" s="234"/>
      <c r="H226" s="234"/>
      <c r="I226" s="234"/>
      <c r="J226" s="234"/>
      <c r="K226" s="234"/>
      <c r="L226" s="222" t="s">
        <v>383</v>
      </c>
      <c r="M226" s="234"/>
      <c r="N226" s="12" t="s">
        <v>322</v>
      </c>
      <c r="O226" s="234"/>
      <c r="P226" s="234" t="s">
        <v>391</v>
      </c>
      <c r="Q226" s="2"/>
      <c r="R226" s="225">
        <v>1</v>
      </c>
      <c r="S226" s="2"/>
      <c r="V226" s="45">
        <v>225</v>
      </c>
    </row>
    <row r="227" spans="1:22" ht="15" customHeight="1">
      <c r="A227" s="228">
        <v>40</v>
      </c>
      <c r="B227" s="75">
        <v>2</v>
      </c>
      <c r="C227" s="22" t="s">
        <v>384</v>
      </c>
      <c r="D227" s="2"/>
      <c r="E227" s="2"/>
      <c r="F227" s="2"/>
      <c r="G227" s="2"/>
      <c r="H227" s="2"/>
      <c r="I227" s="2"/>
      <c r="J227" s="2"/>
      <c r="K227" s="2"/>
      <c r="L227" s="22" t="s">
        <v>383</v>
      </c>
      <c r="M227" s="2"/>
      <c r="N227" s="12" t="s">
        <v>322</v>
      </c>
      <c r="O227" s="2"/>
      <c r="P227" s="2" t="s">
        <v>391</v>
      </c>
      <c r="Q227" s="2"/>
      <c r="R227" s="226">
        <v>1</v>
      </c>
      <c r="S227" s="2"/>
      <c r="V227" s="45">
        <v>226</v>
      </c>
    </row>
    <row r="228" spans="1:22" ht="15" customHeight="1">
      <c r="A228" s="228">
        <v>40</v>
      </c>
      <c r="B228" s="75">
        <v>3</v>
      </c>
      <c r="C228" s="22" t="s">
        <v>384</v>
      </c>
      <c r="D228" s="2"/>
      <c r="E228" s="2"/>
      <c r="F228" s="2"/>
      <c r="G228" s="2"/>
      <c r="H228" s="2"/>
      <c r="I228" s="2"/>
      <c r="J228" s="2"/>
      <c r="K228" s="2"/>
      <c r="L228" s="22" t="s">
        <v>383</v>
      </c>
      <c r="M228" s="2"/>
      <c r="N228" s="12" t="s">
        <v>322</v>
      </c>
      <c r="O228" s="2"/>
      <c r="P228" s="2" t="s">
        <v>391</v>
      </c>
      <c r="Q228" s="2"/>
      <c r="R228" s="226">
        <v>1</v>
      </c>
      <c r="S228" s="2"/>
      <c r="V228" s="45">
        <v>227</v>
      </c>
    </row>
    <row r="229" spans="1:22" ht="15" customHeight="1">
      <c r="A229" s="228">
        <v>40</v>
      </c>
      <c r="B229" s="75">
        <v>4</v>
      </c>
      <c r="C229" s="22" t="s">
        <v>384</v>
      </c>
      <c r="D229" s="2"/>
      <c r="E229" s="2"/>
      <c r="F229" s="2"/>
      <c r="G229" s="2"/>
      <c r="H229" s="2"/>
      <c r="I229" s="2"/>
      <c r="J229" s="2"/>
      <c r="K229" s="2"/>
      <c r="L229" s="22" t="s">
        <v>383</v>
      </c>
      <c r="M229" s="2"/>
      <c r="N229" s="12" t="s">
        <v>322</v>
      </c>
      <c r="O229" s="2"/>
      <c r="P229" s="2" t="s">
        <v>391</v>
      </c>
      <c r="Q229" s="2"/>
      <c r="R229" s="226">
        <v>1</v>
      </c>
      <c r="S229" s="2"/>
      <c r="V229" s="45">
        <v>228</v>
      </c>
    </row>
    <row r="230" spans="1:22" ht="15" customHeight="1">
      <c r="A230" s="228">
        <v>40</v>
      </c>
      <c r="B230" s="75">
        <v>5</v>
      </c>
      <c r="C230" s="22" t="s">
        <v>384</v>
      </c>
      <c r="D230" s="2"/>
      <c r="E230" s="2"/>
      <c r="F230" s="2"/>
      <c r="G230" s="2"/>
      <c r="H230" s="2"/>
      <c r="I230" s="2"/>
      <c r="J230" s="2"/>
      <c r="K230" s="2"/>
      <c r="L230" s="22" t="s">
        <v>383</v>
      </c>
      <c r="M230" s="2"/>
      <c r="N230" s="27" t="s">
        <v>322</v>
      </c>
      <c r="O230" s="2"/>
      <c r="P230" s="2" t="s">
        <v>391</v>
      </c>
      <c r="Q230" s="2"/>
      <c r="R230" s="226">
        <v>1</v>
      </c>
      <c r="S230" s="2"/>
      <c r="V230" s="45">
        <v>229</v>
      </c>
    </row>
    <row r="231" spans="1:22" ht="15" customHeight="1">
      <c r="A231" s="199">
        <v>41</v>
      </c>
      <c r="B231" s="200">
        <v>1</v>
      </c>
      <c r="C231" s="227" t="s">
        <v>375</v>
      </c>
      <c r="D231" s="227" t="s">
        <v>376</v>
      </c>
      <c r="E231" s="227" t="s">
        <v>377</v>
      </c>
      <c r="F231" s="227">
        <v>25</v>
      </c>
      <c r="G231" s="227">
        <v>0.9</v>
      </c>
      <c r="H231" s="227"/>
      <c r="I231" s="227"/>
      <c r="J231" s="227">
        <v>1</v>
      </c>
      <c r="K231" s="227" t="s">
        <v>378</v>
      </c>
      <c r="L231" s="227" t="s">
        <v>379</v>
      </c>
      <c r="M231" s="227">
        <v>180</v>
      </c>
      <c r="N231" s="12" t="s">
        <v>322</v>
      </c>
      <c r="O231" s="227" t="s">
        <v>380</v>
      </c>
      <c r="P231" s="227" t="s">
        <v>391</v>
      </c>
      <c r="Q231" s="227">
        <v>1.25</v>
      </c>
      <c r="R231" s="215"/>
      <c r="S231" s="2"/>
      <c r="V231" s="45">
        <v>230</v>
      </c>
    </row>
    <row r="232" spans="1:22" ht="15" customHeight="1">
      <c r="A232" s="196">
        <v>41</v>
      </c>
      <c r="B232" s="201">
        <v>2</v>
      </c>
      <c r="C232" s="12" t="s">
        <v>375</v>
      </c>
      <c r="D232" s="12" t="s">
        <v>376</v>
      </c>
      <c r="E232" s="12" t="s">
        <v>377</v>
      </c>
      <c r="F232" s="12">
        <v>25</v>
      </c>
      <c r="G232" s="12">
        <v>0.9</v>
      </c>
      <c r="H232" s="12"/>
      <c r="I232" s="12"/>
      <c r="J232" s="12">
        <v>1</v>
      </c>
      <c r="K232" s="12" t="s">
        <v>378</v>
      </c>
      <c r="L232" s="12" t="s">
        <v>379</v>
      </c>
      <c r="M232" s="12">
        <v>180</v>
      </c>
      <c r="N232" s="12" t="s">
        <v>322</v>
      </c>
      <c r="O232" s="12" t="s">
        <v>380</v>
      </c>
      <c r="P232" s="12" t="s">
        <v>391</v>
      </c>
      <c r="Q232" s="12">
        <v>1.25</v>
      </c>
      <c r="R232" s="218"/>
      <c r="S232" s="2"/>
      <c r="V232" s="45">
        <v>231</v>
      </c>
    </row>
    <row r="233" spans="1:22" ht="15" customHeight="1">
      <c r="A233" s="196">
        <v>41</v>
      </c>
      <c r="B233" s="201">
        <v>3</v>
      </c>
      <c r="C233" s="12" t="s">
        <v>375</v>
      </c>
      <c r="D233" s="12" t="s">
        <v>376</v>
      </c>
      <c r="E233" s="12" t="s">
        <v>377</v>
      </c>
      <c r="F233" s="12">
        <v>25</v>
      </c>
      <c r="G233" s="12">
        <v>0.9</v>
      </c>
      <c r="H233" s="12"/>
      <c r="I233" s="12"/>
      <c r="J233" s="12">
        <v>1</v>
      </c>
      <c r="K233" s="12" t="s">
        <v>378</v>
      </c>
      <c r="L233" s="12" t="s">
        <v>379</v>
      </c>
      <c r="M233" s="12">
        <v>180</v>
      </c>
      <c r="N233" s="12" t="s">
        <v>322</v>
      </c>
      <c r="O233" s="12" t="s">
        <v>380</v>
      </c>
      <c r="P233" s="12" t="s">
        <v>391</v>
      </c>
      <c r="Q233" s="12">
        <v>1.25</v>
      </c>
      <c r="R233" s="218"/>
      <c r="S233" s="2"/>
      <c r="V233" s="45">
        <v>232</v>
      </c>
    </row>
    <row r="234" spans="1:22" ht="15" customHeight="1">
      <c r="A234" s="196">
        <v>41</v>
      </c>
      <c r="B234" s="201">
        <v>4</v>
      </c>
      <c r="C234" s="12" t="s">
        <v>375</v>
      </c>
      <c r="D234" s="12" t="s">
        <v>376</v>
      </c>
      <c r="E234" s="12" t="s">
        <v>377</v>
      </c>
      <c r="F234" s="12">
        <v>25</v>
      </c>
      <c r="G234" s="12">
        <v>0.9</v>
      </c>
      <c r="H234" s="12"/>
      <c r="I234" s="12"/>
      <c r="J234" s="12">
        <v>1</v>
      </c>
      <c r="K234" s="12" t="s">
        <v>378</v>
      </c>
      <c r="L234" s="12" t="s">
        <v>379</v>
      </c>
      <c r="M234" s="12">
        <v>180</v>
      </c>
      <c r="N234" s="12" t="s">
        <v>322</v>
      </c>
      <c r="O234" s="12" t="s">
        <v>380</v>
      </c>
      <c r="P234" s="12" t="s">
        <v>391</v>
      </c>
      <c r="Q234" s="12">
        <v>1.25</v>
      </c>
      <c r="R234" s="218"/>
      <c r="S234" s="2"/>
      <c r="V234" s="45">
        <v>233</v>
      </c>
    </row>
    <row r="235" spans="1:22" ht="15" customHeight="1">
      <c r="A235" s="196">
        <v>41</v>
      </c>
      <c r="B235" s="201">
        <v>5</v>
      </c>
      <c r="C235" s="12" t="s">
        <v>375</v>
      </c>
      <c r="D235" s="12" t="s">
        <v>376</v>
      </c>
      <c r="E235" s="12" t="s">
        <v>377</v>
      </c>
      <c r="F235" s="12">
        <v>25</v>
      </c>
      <c r="G235" s="12">
        <v>0.9</v>
      </c>
      <c r="H235" s="12"/>
      <c r="I235" s="12"/>
      <c r="J235" s="12">
        <v>1</v>
      </c>
      <c r="K235" s="12" t="s">
        <v>378</v>
      </c>
      <c r="L235" s="12" t="s">
        <v>379</v>
      </c>
      <c r="M235" s="12">
        <v>180</v>
      </c>
      <c r="N235" s="12" t="s">
        <v>322</v>
      </c>
      <c r="O235" s="12" t="s">
        <v>380</v>
      </c>
      <c r="P235" s="12" t="s">
        <v>391</v>
      </c>
      <c r="Q235" s="12">
        <v>1.25</v>
      </c>
      <c r="R235" s="218"/>
      <c r="S235" s="2"/>
      <c r="V235" s="45">
        <v>234</v>
      </c>
    </row>
    <row r="236" spans="1:22" ht="15" customHeight="1">
      <c r="A236" s="196">
        <v>41</v>
      </c>
      <c r="B236" s="201">
        <v>6</v>
      </c>
      <c r="C236" s="12" t="s">
        <v>375</v>
      </c>
      <c r="D236" s="12" t="s">
        <v>376</v>
      </c>
      <c r="E236" s="12" t="s">
        <v>377</v>
      </c>
      <c r="F236" s="12">
        <v>25</v>
      </c>
      <c r="G236" s="12">
        <v>0.9</v>
      </c>
      <c r="H236" s="12"/>
      <c r="I236" s="12"/>
      <c r="J236" s="12">
        <v>1</v>
      </c>
      <c r="K236" s="27" t="s">
        <v>378</v>
      </c>
      <c r="L236" s="12" t="s">
        <v>379</v>
      </c>
      <c r="M236" s="12">
        <v>180</v>
      </c>
      <c r="N236" s="12" t="s">
        <v>322</v>
      </c>
      <c r="O236" s="12" t="s">
        <v>380</v>
      </c>
      <c r="P236" s="12" t="s">
        <v>391</v>
      </c>
      <c r="Q236" s="12">
        <v>1.25</v>
      </c>
      <c r="R236" s="218"/>
      <c r="S236" s="2"/>
      <c r="V236" s="45">
        <v>235</v>
      </c>
    </row>
    <row r="237" spans="1:22" ht="15" customHeight="1">
      <c r="A237" s="199">
        <v>42</v>
      </c>
      <c r="B237" s="200" t="s">
        <v>221</v>
      </c>
      <c r="C237" s="227" t="s">
        <v>375</v>
      </c>
      <c r="D237" s="227" t="s">
        <v>376</v>
      </c>
      <c r="E237" s="227" t="s">
        <v>377</v>
      </c>
      <c r="F237" s="227">
        <v>25</v>
      </c>
      <c r="G237" s="227">
        <v>1.5</v>
      </c>
      <c r="H237" s="234"/>
      <c r="I237" s="234"/>
      <c r="J237" s="234"/>
      <c r="K237" s="12" t="s">
        <v>378</v>
      </c>
      <c r="L237" s="222" t="s">
        <v>383</v>
      </c>
      <c r="M237" s="227">
        <v>180</v>
      </c>
      <c r="N237" s="227" t="s">
        <v>322</v>
      </c>
      <c r="O237" s="227" t="s">
        <v>380</v>
      </c>
      <c r="P237" s="227" t="s">
        <v>382</v>
      </c>
      <c r="Q237" s="234"/>
      <c r="R237" s="235"/>
      <c r="S237" s="2"/>
      <c r="V237" s="45">
        <v>236</v>
      </c>
    </row>
    <row r="238" spans="1:22" ht="15" customHeight="1">
      <c r="A238" s="196">
        <v>42</v>
      </c>
      <c r="B238" s="201" t="s">
        <v>222</v>
      </c>
      <c r="C238" s="12" t="s">
        <v>375</v>
      </c>
      <c r="D238" s="12" t="s">
        <v>376</v>
      </c>
      <c r="E238" s="12" t="s">
        <v>377</v>
      </c>
      <c r="F238" s="12">
        <v>25</v>
      </c>
      <c r="G238" s="12">
        <v>1.5</v>
      </c>
      <c r="H238" s="2"/>
      <c r="I238" s="2"/>
      <c r="J238" s="2"/>
      <c r="K238" s="12" t="s">
        <v>378</v>
      </c>
      <c r="L238" s="22" t="s">
        <v>383</v>
      </c>
      <c r="M238" s="12">
        <v>180</v>
      </c>
      <c r="N238" s="12" t="s">
        <v>322</v>
      </c>
      <c r="O238" s="12" t="s">
        <v>380</v>
      </c>
      <c r="P238" s="12" t="s">
        <v>382</v>
      </c>
      <c r="Q238" s="2"/>
      <c r="R238" s="236"/>
      <c r="S238" s="2"/>
      <c r="V238" s="45">
        <v>237</v>
      </c>
    </row>
    <row r="239" spans="1:22" ht="15" customHeight="1">
      <c r="A239" s="196">
        <v>42</v>
      </c>
      <c r="B239" s="201" t="s">
        <v>223</v>
      </c>
      <c r="C239" s="12" t="s">
        <v>375</v>
      </c>
      <c r="D239" s="12" t="s">
        <v>376</v>
      </c>
      <c r="E239" s="12" t="s">
        <v>377</v>
      </c>
      <c r="F239" s="12">
        <v>25</v>
      </c>
      <c r="G239" s="12">
        <v>1.5</v>
      </c>
      <c r="H239" s="2"/>
      <c r="I239" s="2"/>
      <c r="J239" s="2"/>
      <c r="K239" s="12" t="s">
        <v>378</v>
      </c>
      <c r="L239" s="22" t="s">
        <v>383</v>
      </c>
      <c r="M239" s="12">
        <v>180</v>
      </c>
      <c r="N239" s="12" t="s">
        <v>322</v>
      </c>
      <c r="O239" s="12" t="s">
        <v>380</v>
      </c>
      <c r="P239" s="12" t="s">
        <v>382</v>
      </c>
      <c r="Q239" s="2"/>
      <c r="R239" s="236"/>
      <c r="S239" s="2"/>
      <c r="V239" s="45">
        <v>238</v>
      </c>
    </row>
    <row r="240" spans="1:22" ht="15" customHeight="1">
      <c r="A240" s="196">
        <v>42</v>
      </c>
      <c r="B240" s="201" t="s">
        <v>225</v>
      </c>
      <c r="C240" s="22" t="s">
        <v>384</v>
      </c>
      <c r="D240" s="122" t="s">
        <v>385</v>
      </c>
      <c r="E240" s="12" t="s">
        <v>377</v>
      </c>
      <c r="F240" s="12">
        <v>25</v>
      </c>
      <c r="G240" s="12">
        <v>1.5</v>
      </c>
      <c r="H240" s="2"/>
      <c r="I240" s="2"/>
      <c r="J240" s="2"/>
      <c r="K240" s="12" t="s">
        <v>378</v>
      </c>
      <c r="L240" s="22" t="s">
        <v>383</v>
      </c>
      <c r="M240" s="2"/>
      <c r="N240" s="12" t="s">
        <v>322</v>
      </c>
      <c r="O240" s="2"/>
      <c r="P240" s="12" t="s">
        <v>382</v>
      </c>
      <c r="Q240" s="2"/>
      <c r="R240" s="236"/>
      <c r="S240" s="2"/>
      <c r="V240" s="45">
        <v>239</v>
      </c>
    </row>
    <row r="241" spans="1:22" ht="15" customHeight="1">
      <c r="A241" s="196">
        <v>42</v>
      </c>
      <c r="B241" s="201" t="s">
        <v>226</v>
      </c>
      <c r="C241" s="22" t="s">
        <v>384</v>
      </c>
      <c r="D241" s="122" t="s">
        <v>385</v>
      </c>
      <c r="E241" s="12" t="s">
        <v>377</v>
      </c>
      <c r="F241" s="12">
        <v>25</v>
      </c>
      <c r="G241" s="12">
        <v>1.5</v>
      </c>
      <c r="H241" s="2"/>
      <c r="I241" s="2"/>
      <c r="J241" s="2"/>
      <c r="K241" s="12" t="s">
        <v>378</v>
      </c>
      <c r="L241" s="22" t="s">
        <v>383</v>
      </c>
      <c r="M241" s="2"/>
      <c r="N241" s="12" t="s">
        <v>322</v>
      </c>
      <c r="O241" s="2"/>
      <c r="P241" s="12" t="s">
        <v>382</v>
      </c>
      <c r="Q241" s="2"/>
      <c r="R241" s="236"/>
      <c r="S241" s="2"/>
      <c r="V241" s="45">
        <v>240</v>
      </c>
    </row>
    <row r="242" spans="1:22" ht="15" customHeight="1">
      <c r="A242" s="196">
        <v>42</v>
      </c>
      <c r="B242" s="201" t="s">
        <v>227</v>
      </c>
      <c r="C242" s="22" t="s">
        <v>384</v>
      </c>
      <c r="D242" s="122" t="s">
        <v>385</v>
      </c>
      <c r="E242" s="12" t="s">
        <v>377</v>
      </c>
      <c r="F242" s="12">
        <v>25</v>
      </c>
      <c r="G242" s="12">
        <v>1.5</v>
      </c>
      <c r="H242" s="2"/>
      <c r="I242" s="2"/>
      <c r="J242" s="2"/>
      <c r="K242" s="27" t="s">
        <v>378</v>
      </c>
      <c r="L242" s="22" t="s">
        <v>383</v>
      </c>
      <c r="M242" s="2"/>
      <c r="N242" s="12" t="s">
        <v>322</v>
      </c>
      <c r="O242" s="2"/>
      <c r="P242" s="27" t="s">
        <v>382</v>
      </c>
      <c r="Q242" s="2"/>
      <c r="R242" s="236"/>
      <c r="S242" s="2"/>
      <c r="V242" s="45">
        <v>241</v>
      </c>
    </row>
    <row r="243" spans="1:22" ht="15" customHeight="1">
      <c r="A243" s="229">
        <v>43</v>
      </c>
      <c r="B243" s="74">
        <v>1</v>
      </c>
      <c r="C243" s="227" t="s">
        <v>375</v>
      </c>
      <c r="D243" s="227" t="s">
        <v>376</v>
      </c>
      <c r="E243" s="227" t="s">
        <v>377</v>
      </c>
      <c r="F243" s="227">
        <v>25</v>
      </c>
      <c r="G243" s="227">
        <v>1</v>
      </c>
      <c r="H243" s="222"/>
      <c r="I243" s="222"/>
      <c r="J243" s="222"/>
      <c r="K243" s="12" t="s">
        <v>378</v>
      </c>
      <c r="L243" s="227" t="s">
        <v>379</v>
      </c>
      <c r="M243" s="227">
        <v>180</v>
      </c>
      <c r="N243" s="227" t="s">
        <v>322</v>
      </c>
      <c r="O243" s="227" t="s">
        <v>380</v>
      </c>
      <c r="P243" s="12" t="s">
        <v>382</v>
      </c>
      <c r="Q243" s="222"/>
      <c r="R243" s="225"/>
      <c r="S243" s="2"/>
      <c r="V243" s="45">
        <v>242</v>
      </c>
    </row>
    <row r="244" spans="1:22" ht="15" customHeight="1">
      <c r="A244" s="228">
        <v>43</v>
      </c>
      <c r="B244" s="75">
        <v>2</v>
      </c>
      <c r="C244" s="12" t="s">
        <v>375</v>
      </c>
      <c r="D244" s="12" t="s">
        <v>376</v>
      </c>
      <c r="E244" s="12" t="s">
        <v>377</v>
      </c>
      <c r="F244" s="12">
        <v>25</v>
      </c>
      <c r="G244" s="12">
        <v>1</v>
      </c>
      <c r="H244" s="22"/>
      <c r="I244" s="22"/>
      <c r="J244" s="22"/>
      <c r="K244" s="12" t="s">
        <v>378</v>
      </c>
      <c r="L244" s="12" t="s">
        <v>379</v>
      </c>
      <c r="M244" s="12">
        <v>180</v>
      </c>
      <c r="N244" s="22" t="s">
        <v>322</v>
      </c>
      <c r="O244" s="12" t="s">
        <v>380</v>
      </c>
      <c r="P244" s="12" t="s">
        <v>382</v>
      </c>
      <c r="Q244" s="22"/>
      <c r="R244" s="226"/>
      <c r="S244" s="2"/>
      <c r="V244" s="45">
        <v>243</v>
      </c>
    </row>
    <row r="245" spans="1:22" ht="15" customHeight="1">
      <c r="A245" s="230">
        <v>43</v>
      </c>
      <c r="B245" s="231">
        <v>3</v>
      </c>
      <c r="C245" s="27" t="s">
        <v>375</v>
      </c>
      <c r="D245" s="27" t="s">
        <v>376</v>
      </c>
      <c r="E245" s="27" t="s">
        <v>377</v>
      </c>
      <c r="F245" s="27">
        <v>25</v>
      </c>
      <c r="G245" s="27">
        <v>1</v>
      </c>
      <c r="H245" s="30"/>
      <c r="I245" s="30"/>
      <c r="J245" s="30"/>
      <c r="K245" s="27" t="s">
        <v>378</v>
      </c>
      <c r="L245" s="27" t="s">
        <v>379</v>
      </c>
      <c r="M245" s="27">
        <v>180</v>
      </c>
      <c r="N245" s="27" t="s">
        <v>322</v>
      </c>
      <c r="O245" s="27" t="s">
        <v>380</v>
      </c>
      <c r="P245" s="27" t="s">
        <v>382</v>
      </c>
      <c r="Q245" s="30"/>
      <c r="R245" s="232"/>
      <c r="S245" s="2"/>
      <c r="V245" s="45">
        <v>244</v>
      </c>
    </row>
    <row r="246" spans="1:22" ht="15" customHeight="1">
      <c r="A246" s="229">
        <v>44</v>
      </c>
      <c r="B246" s="74" t="s">
        <v>221</v>
      </c>
      <c r="C246" s="12" t="s">
        <v>375</v>
      </c>
      <c r="D246" s="12" t="s">
        <v>376</v>
      </c>
      <c r="E246" s="12" t="s">
        <v>377</v>
      </c>
      <c r="F246" s="12">
        <v>25</v>
      </c>
      <c r="G246" s="12">
        <v>2</v>
      </c>
      <c r="H246" s="2"/>
      <c r="I246" s="2"/>
      <c r="J246" s="2"/>
      <c r="K246" s="12" t="s">
        <v>378</v>
      </c>
      <c r="L246" s="227" t="s">
        <v>379</v>
      </c>
      <c r="M246" s="227">
        <v>190</v>
      </c>
      <c r="N246" s="12" t="s">
        <v>322</v>
      </c>
      <c r="O246" s="227" t="s">
        <v>380</v>
      </c>
      <c r="P246" s="2"/>
      <c r="Q246" s="227">
        <v>15</v>
      </c>
      <c r="R246" s="236"/>
      <c r="S246" s="2"/>
      <c r="V246" s="45">
        <v>245</v>
      </c>
    </row>
    <row r="247" spans="1:22" ht="15" customHeight="1">
      <c r="A247" s="228">
        <v>44</v>
      </c>
      <c r="B247" s="75" t="s">
        <v>222</v>
      </c>
      <c r="C247" s="12" t="s">
        <v>375</v>
      </c>
      <c r="D247" s="12" t="s">
        <v>376</v>
      </c>
      <c r="E247" s="12" t="s">
        <v>377</v>
      </c>
      <c r="F247" s="12">
        <v>25</v>
      </c>
      <c r="G247" s="12">
        <v>2</v>
      </c>
      <c r="K247" s="12" t="s">
        <v>378</v>
      </c>
      <c r="L247" s="12" t="s">
        <v>379</v>
      </c>
      <c r="M247" s="12">
        <v>190</v>
      </c>
      <c r="N247" s="12" t="s">
        <v>322</v>
      </c>
      <c r="O247" s="12" t="s">
        <v>380</v>
      </c>
      <c r="Q247" s="12">
        <v>15</v>
      </c>
      <c r="R247" s="236"/>
      <c r="S247" s="2"/>
      <c r="V247" s="45">
        <v>246</v>
      </c>
    </row>
    <row r="248" spans="1:22" ht="15" customHeight="1">
      <c r="A248" s="228">
        <v>44</v>
      </c>
      <c r="B248" s="75" t="s">
        <v>223</v>
      </c>
      <c r="C248" s="12" t="s">
        <v>375</v>
      </c>
      <c r="D248" s="12" t="s">
        <v>376</v>
      </c>
      <c r="E248" s="12" t="s">
        <v>377</v>
      </c>
      <c r="F248" s="12">
        <v>25</v>
      </c>
      <c r="G248" s="12">
        <v>2</v>
      </c>
      <c r="K248" s="12" t="s">
        <v>378</v>
      </c>
      <c r="L248" s="12" t="s">
        <v>379</v>
      </c>
      <c r="M248" s="12">
        <v>190</v>
      </c>
      <c r="N248" s="12" t="s">
        <v>322</v>
      </c>
      <c r="O248" s="12" t="s">
        <v>380</v>
      </c>
      <c r="Q248" s="12">
        <v>15</v>
      </c>
      <c r="R248" s="236"/>
      <c r="S248" s="2"/>
      <c r="V248" s="45">
        <v>247</v>
      </c>
    </row>
    <row r="249" spans="1:22" ht="15" customHeight="1">
      <c r="A249" s="228">
        <v>44</v>
      </c>
      <c r="B249" s="75" t="s">
        <v>224</v>
      </c>
      <c r="C249" s="12" t="s">
        <v>375</v>
      </c>
      <c r="D249" s="12" t="s">
        <v>376</v>
      </c>
      <c r="E249" s="12" t="s">
        <v>377</v>
      </c>
      <c r="F249" s="12">
        <v>25</v>
      </c>
      <c r="G249" s="12">
        <v>2</v>
      </c>
      <c r="K249" s="12" t="s">
        <v>378</v>
      </c>
      <c r="L249" s="12" t="s">
        <v>379</v>
      </c>
      <c r="M249" s="12">
        <v>190</v>
      </c>
      <c r="N249" s="12" t="s">
        <v>322</v>
      </c>
      <c r="O249" s="12" t="s">
        <v>380</v>
      </c>
      <c r="Q249" s="12">
        <v>15</v>
      </c>
      <c r="R249" s="236"/>
      <c r="S249" s="2"/>
      <c r="V249" s="45">
        <v>248</v>
      </c>
    </row>
    <row r="250" spans="1:22" ht="15" customHeight="1">
      <c r="A250" s="228">
        <v>44</v>
      </c>
      <c r="B250" s="75" t="s">
        <v>229</v>
      </c>
      <c r="C250" s="12" t="s">
        <v>375</v>
      </c>
      <c r="D250" s="12" t="s">
        <v>376</v>
      </c>
      <c r="E250" s="12" t="s">
        <v>377</v>
      </c>
      <c r="F250" s="12">
        <v>25</v>
      </c>
      <c r="G250" s="12">
        <v>2</v>
      </c>
      <c r="K250" s="12" t="s">
        <v>378</v>
      </c>
      <c r="L250" s="12" t="s">
        <v>379</v>
      </c>
      <c r="M250" s="12">
        <v>190</v>
      </c>
      <c r="N250" s="12" t="s">
        <v>322</v>
      </c>
      <c r="O250" s="12" t="s">
        <v>380</v>
      </c>
      <c r="Q250" s="12">
        <v>15</v>
      </c>
      <c r="R250" s="236"/>
      <c r="S250" s="2"/>
      <c r="V250" s="45">
        <v>249</v>
      </c>
    </row>
    <row r="251" spans="1:22" ht="15" customHeight="1">
      <c r="A251" s="228">
        <v>44</v>
      </c>
      <c r="B251" s="75" t="s">
        <v>225</v>
      </c>
      <c r="C251" s="12" t="s">
        <v>384</v>
      </c>
      <c r="D251" s="122" t="s">
        <v>387</v>
      </c>
      <c r="E251" s="12" t="s">
        <v>377</v>
      </c>
      <c r="F251" s="12">
        <v>25</v>
      </c>
      <c r="G251" s="12">
        <v>2</v>
      </c>
      <c r="K251" s="12" t="s">
        <v>378</v>
      </c>
      <c r="L251" s="12" t="s">
        <v>379</v>
      </c>
      <c r="N251" s="12" t="s">
        <v>322</v>
      </c>
      <c r="O251" s="12" t="s">
        <v>380</v>
      </c>
      <c r="P251" s="2"/>
      <c r="Q251" s="12">
        <v>2</v>
      </c>
      <c r="R251" s="218">
        <v>1</v>
      </c>
      <c r="S251" s="2"/>
      <c r="V251" s="45">
        <v>250</v>
      </c>
    </row>
    <row r="252" spans="1:22" ht="15" customHeight="1">
      <c r="A252" s="228">
        <v>44</v>
      </c>
      <c r="B252" s="75" t="s">
        <v>226</v>
      </c>
      <c r="C252" s="12" t="s">
        <v>384</v>
      </c>
      <c r="D252" s="122" t="s">
        <v>387</v>
      </c>
      <c r="E252" s="12" t="s">
        <v>377</v>
      </c>
      <c r="F252" s="12">
        <v>25</v>
      </c>
      <c r="G252" s="12">
        <v>2</v>
      </c>
      <c r="K252" s="12" t="s">
        <v>378</v>
      </c>
      <c r="L252" s="12" t="s">
        <v>379</v>
      </c>
      <c r="N252" s="12" t="s">
        <v>322</v>
      </c>
      <c r="O252" s="12" t="s">
        <v>380</v>
      </c>
      <c r="P252" s="2"/>
      <c r="Q252" s="12">
        <v>2</v>
      </c>
      <c r="R252" s="218">
        <v>1</v>
      </c>
      <c r="S252" s="2"/>
      <c r="V252" s="45">
        <v>251</v>
      </c>
    </row>
    <row r="253" spans="1:22" ht="15" customHeight="1">
      <c r="A253" s="228">
        <v>44</v>
      </c>
      <c r="B253" s="75" t="s">
        <v>227</v>
      </c>
      <c r="C253" s="12" t="s">
        <v>384</v>
      </c>
      <c r="D253" s="122" t="s">
        <v>387</v>
      </c>
      <c r="E253" s="12" t="s">
        <v>377</v>
      </c>
      <c r="F253" s="12">
        <v>25</v>
      </c>
      <c r="G253" s="12">
        <v>2</v>
      </c>
      <c r="K253" s="12" t="s">
        <v>378</v>
      </c>
      <c r="L253" s="12" t="s">
        <v>379</v>
      </c>
      <c r="N253" s="12" t="s">
        <v>322</v>
      </c>
      <c r="O253" s="12" t="s">
        <v>380</v>
      </c>
      <c r="P253" s="2"/>
      <c r="Q253" s="12">
        <v>2</v>
      </c>
      <c r="R253" s="218">
        <v>1</v>
      </c>
      <c r="S253" s="2"/>
      <c r="V253" s="45">
        <v>252</v>
      </c>
    </row>
    <row r="254" spans="1:22" ht="15" customHeight="1">
      <c r="A254" s="228">
        <v>44</v>
      </c>
      <c r="B254" s="75" t="s">
        <v>228</v>
      </c>
      <c r="C254" s="12" t="s">
        <v>384</v>
      </c>
      <c r="D254" s="122" t="s">
        <v>387</v>
      </c>
      <c r="E254" s="12" t="s">
        <v>377</v>
      </c>
      <c r="F254" s="12">
        <v>25</v>
      </c>
      <c r="G254" s="12">
        <v>2</v>
      </c>
      <c r="K254" s="12" t="s">
        <v>378</v>
      </c>
      <c r="L254" s="12" t="s">
        <v>379</v>
      </c>
      <c r="N254" s="12" t="s">
        <v>322</v>
      </c>
      <c r="O254" s="12" t="s">
        <v>380</v>
      </c>
      <c r="P254" s="2"/>
      <c r="Q254" s="12">
        <v>2</v>
      </c>
      <c r="R254" s="218">
        <v>1</v>
      </c>
      <c r="S254" s="2"/>
      <c r="V254" s="45">
        <v>253</v>
      </c>
    </row>
    <row r="255" spans="1:22" ht="15" customHeight="1">
      <c r="A255" s="228">
        <v>44</v>
      </c>
      <c r="B255" s="75" t="s">
        <v>230</v>
      </c>
      <c r="C255" s="12" t="s">
        <v>384</v>
      </c>
      <c r="D255" s="122" t="s">
        <v>387</v>
      </c>
      <c r="E255" s="12" t="s">
        <v>377</v>
      </c>
      <c r="F255" s="12">
        <v>25</v>
      </c>
      <c r="G255" s="12">
        <v>2</v>
      </c>
      <c r="H255" s="2"/>
      <c r="I255" s="2"/>
      <c r="J255" s="2"/>
      <c r="K255" s="27" t="s">
        <v>378</v>
      </c>
      <c r="L255" s="12" t="s">
        <v>379</v>
      </c>
      <c r="M255" s="2"/>
      <c r="N255" s="12" t="s">
        <v>322</v>
      </c>
      <c r="O255" s="12" t="s">
        <v>380</v>
      </c>
      <c r="P255" s="2"/>
      <c r="Q255" s="27">
        <v>2</v>
      </c>
      <c r="R255" s="218">
        <v>1</v>
      </c>
      <c r="S255" s="2"/>
      <c r="V255" s="45">
        <v>254</v>
      </c>
    </row>
    <row r="256" spans="1:22" ht="15" customHeight="1">
      <c r="A256" s="199">
        <v>45</v>
      </c>
      <c r="B256" s="200" t="s">
        <v>221</v>
      </c>
      <c r="C256" s="227" t="s">
        <v>375</v>
      </c>
      <c r="D256" s="227" t="s">
        <v>376</v>
      </c>
      <c r="E256" s="227" t="s">
        <v>377</v>
      </c>
      <c r="F256" s="227">
        <v>25</v>
      </c>
      <c r="G256" s="227"/>
      <c r="H256" s="227" t="s">
        <v>381</v>
      </c>
      <c r="I256" s="227">
        <v>25</v>
      </c>
      <c r="J256" s="227">
        <v>2</v>
      </c>
      <c r="K256" s="12" t="s">
        <v>378</v>
      </c>
      <c r="L256" s="227" t="s">
        <v>379</v>
      </c>
      <c r="M256" s="227">
        <v>180</v>
      </c>
      <c r="N256" s="227" t="s">
        <v>322</v>
      </c>
      <c r="O256" s="227" t="s">
        <v>380</v>
      </c>
      <c r="P256" s="227" t="s">
        <v>382</v>
      </c>
      <c r="Q256" s="12">
        <v>0.5</v>
      </c>
      <c r="R256" s="215"/>
      <c r="S256" s="2"/>
      <c r="V256" s="45">
        <v>255</v>
      </c>
    </row>
    <row r="257" spans="1:22" ht="15" customHeight="1">
      <c r="A257" s="196">
        <v>45</v>
      </c>
      <c r="B257" s="201" t="s">
        <v>222</v>
      </c>
      <c r="C257" s="12" t="s">
        <v>375</v>
      </c>
      <c r="D257" s="12" t="s">
        <v>376</v>
      </c>
      <c r="E257" s="12" t="s">
        <v>377</v>
      </c>
      <c r="F257" s="12">
        <v>25</v>
      </c>
      <c r="G257" s="12"/>
      <c r="H257" s="12" t="s">
        <v>381</v>
      </c>
      <c r="I257" s="12">
        <v>25</v>
      </c>
      <c r="J257" s="12">
        <v>2</v>
      </c>
      <c r="K257" s="12" t="s">
        <v>378</v>
      </c>
      <c r="L257" s="12" t="s">
        <v>379</v>
      </c>
      <c r="M257" s="12">
        <v>180</v>
      </c>
      <c r="N257" s="12" t="s">
        <v>322</v>
      </c>
      <c r="O257" s="12" t="s">
        <v>380</v>
      </c>
      <c r="P257" s="12" t="s">
        <v>382</v>
      </c>
      <c r="Q257" s="12">
        <v>0.5</v>
      </c>
      <c r="R257" s="218"/>
      <c r="S257" s="2"/>
      <c r="V257" s="45">
        <v>256</v>
      </c>
    </row>
    <row r="258" spans="1:22" ht="15" customHeight="1">
      <c r="A258" s="196">
        <v>45</v>
      </c>
      <c r="B258" s="201" t="s">
        <v>223</v>
      </c>
      <c r="C258" s="12" t="s">
        <v>375</v>
      </c>
      <c r="D258" s="12" t="s">
        <v>376</v>
      </c>
      <c r="E258" s="12" t="s">
        <v>377</v>
      </c>
      <c r="F258" s="12">
        <v>25</v>
      </c>
      <c r="G258" s="12"/>
      <c r="H258" s="12" t="s">
        <v>381</v>
      </c>
      <c r="I258" s="12">
        <v>25</v>
      </c>
      <c r="J258" s="12">
        <v>2</v>
      </c>
      <c r="K258" s="12" t="s">
        <v>378</v>
      </c>
      <c r="L258" s="12" t="s">
        <v>379</v>
      </c>
      <c r="M258" s="12">
        <v>180</v>
      </c>
      <c r="N258" s="12" t="s">
        <v>322</v>
      </c>
      <c r="O258" s="12" t="s">
        <v>380</v>
      </c>
      <c r="P258" s="12" t="s">
        <v>382</v>
      </c>
      <c r="Q258" s="12">
        <v>0.5</v>
      </c>
      <c r="R258" s="218"/>
      <c r="S258" s="2"/>
      <c r="V258" s="45">
        <v>257</v>
      </c>
    </row>
    <row r="259" spans="1:22" ht="15" customHeight="1">
      <c r="A259" s="196">
        <v>45</v>
      </c>
      <c r="B259" s="201" t="s">
        <v>224</v>
      </c>
      <c r="C259" s="12" t="s">
        <v>375</v>
      </c>
      <c r="D259" s="12" t="s">
        <v>376</v>
      </c>
      <c r="E259" s="12" t="s">
        <v>377</v>
      </c>
      <c r="F259" s="12">
        <v>25</v>
      </c>
      <c r="G259" s="12"/>
      <c r="H259" s="12" t="s">
        <v>381</v>
      </c>
      <c r="I259" s="12">
        <v>25</v>
      </c>
      <c r="J259" s="12">
        <v>2</v>
      </c>
      <c r="K259" s="12" t="s">
        <v>378</v>
      </c>
      <c r="L259" s="12" t="s">
        <v>379</v>
      </c>
      <c r="M259" s="12">
        <v>180</v>
      </c>
      <c r="N259" s="12" t="s">
        <v>322</v>
      </c>
      <c r="O259" s="12" t="s">
        <v>380</v>
      </c>
      <c r="P259" s="12" t="s">
        <v>382</v>
      </c>
      <c r="Q259" s="12">
        <v>0.5</v>
      </c>
      <c r="R259" s="218"/>
      <c r="S259" s="2"/>
      <c r="V259" s="45">
        <v>258</v>
      </c>
    </row>
    <row r="260" spans="1:22" ht="15" customHeight="1">
      <c r="A260" s="196">
        <v>45</v>
      </c>
      <c r="B260" s="201" t="s">
        <v>225</v>
      </c>
      <c r="C260" s="12" t="s">
        <v>384</v>
      </c>
      <c r="D260" s="122" t="s">
        <v>387</v>
      </c>
      <c r="E260" s="12" t="s">
        <v>377</v>
      </c>
      <c r="F260" s="12">
        <v>25</v>
      </c>
      <c r="G260" s="12"/>
      <c r="H260" s="12" t="s">
        <v>381</v>
      </c>
      <c r="I260" s="12">
        <v>25</v>
      </c>
      <c r="J260" s="12">
        <v>2</v>
      </c>
      <c r="K260" s="12" t="s">
        <v>378</v>
      </c>
      <c r="L260" s="12" t="s">
        <v>383</v>
      </c>
      <c r="M260" s="12"/>
      <c r="N260" s="12" t="s">
        <v>322</v>
      </c>
      <c r="O260" s="12" t="s">
        <v>380</v>
      </c>
      <c r="P260" s="12" t="s">
        <v>386</v>
      </c>
      <c r="Q260" s="12">
        <v>0.5</v>
      </c>
      <c r="R260" s="218">
        <v>1</v>
      </c>
      <c r="S260" s="2"/>
      <c r="V260" s="45">
        <v>259</v>
      </c>
    </row>
    <row r="261" spans="1:22" ht="15" customHeight="1">
      <c r="A261" s="196">
        <v>45</v>
      </c>
      <c r="B261" s="201" t="s">
        <v>226</v>
      </c>
      <c r="C261" s="12" t="s">
        <v>384</v>
      </c>
      <c r="D261" s="122" t="s">
        <v>387</v>
      </c>
      <c r="E261" s="12" t="s">
        <v>377</v>
      </c>
      <c r="F261" s="12">
        <v>25</v>
      </c>
      <c r="G261" s="12"/>
      <c r="H261" s="12" t="s">
        <v>381</v>
      </c>
      <c r="I261" s="12">
        <v>25</v>
      </c>
      <c r="J261" s="12">
        <v>2</v>
      </c>
      <c r="K261" s="12" t="s">
        <v>378</v>
      </c>
      <c r="L261" s="12" t="s">
        <v>383</v>
      </c>
      <c r="M261" s="12"/>
      <c r="N261" s="12" t="s">
        <v>322</v>
      </c>
      <c r="O261" s="12" t="s">
        <v>380</v>
      </c>
      <c r="P261" s="12" t="s">
        <v>386</v>
      </c>
      <c r="Q261" s="12">
        <v>0.5</v>
      </c>
      <c r="R261" s="218">
        <v>1</v>
      </c>
      <c r="S261" s="2"/>
      <c r="V261" s="45">
        <v>260</v>
      </c>
    </row>
    <row r="262" spans="1:22" ht="15" customHeight="1">
      <c r="A262" s="196">
        <v>45</v>
      </c>
      <c r="B262" s="201" t="s">
        <v>227</v>
      </c>
      <c r="C262" s="12" t="s">
        <v>384</v>
      </c>
      <c r="D262" s="122" t="s">
        <v>387</v>
      </c>
      <c r="E262" s="12" t="s">
        <v>377</v>
      </c>
      <c r="F262" s="12">
        <v>25</v>
      </c>
      <c r="G262" s="12"/>
      <c r="H262" s="12" t="s">
        <v>381</v>
      </c>
      <c r="I262" s="12">
        <v>25</v>
      </c>
      <c r="J262" s="12">
        <v>2</v>
      </c>
      <c r="K262" s="12" t="s">
        <v>378</v>
      </c>
      <c r="L262" s="12" t="s">
        <v>383</v>
      </c>
      <c r="M262" s="12"/>
      <c r="N262" s="12" t="s">
        <v>322</v>
      </c>
      <c r="O262" s="12" t="s">
        <v>380</v>
      </c>
      <c r="P262" s="12" t="s">
        <v>386</v>
      </c>
      <c r="Q262" s="12">
        <v>0.5</v>
      </c>
      <c r="R262" s="218">
        <v>1</v>
      </c>
      <c r="S262" s="2"/>
      <c r="V262" s="45">
        <v>261</v>
      </c>
    </row>
    <row r="263" spans="1:22" ht="15" customHeight="1">
      <c r="A263" s="196">
        <v>45</v>
      </c>
      <c r="B263" s="201" t="s">
        <v>228</v>
      </c>
      <c r="C263" s="12" t="s">
        <v>384</v>
      </c>
      <c r="D263" s="122" t="s">
        <v>387</v>
      </c>
      <c r="E263" s="12" t="s">
        <v>377</v>
      </c>
      <c r="F263" s="12">
        <v>25</v>
      </c>
      <c r="G263" s="12"/>
      <c r="H263" s="12" t="s">
        <v>381</v>
      </c>
      <c r="I263" s="12">
        <v>25</v>
      </c>
      <c r="J263" s="12">
        <v>2</v>
      </c>
      <c r="K263" s="12" t="s">
        <v>378</v>
      </c>
      <c r="L263" s="12" t="s">
        <v>383</v>
      </c>
      <c r="M263" s="12"/>
      <c r="N263" s="12" t="s">
        <v>322</v>
      </c>
      <c r="O263" s="12" t="s">
        <v>380</v>
      </c>
      <c r="P263" s="12" t="s">
        <v>386</v>
      </c>
      <c r="Q263" s="12">
        <v>0.5</v>
      </c>
      <c r="R263" s="218">
        <v>1</v>
      </c>
      <c r="S263" s="2"/>
      <c r="V263" s="45">
        <v>262</v>
      </c>
    </row>
    <row r="264" spans="1:22" ht="15" customHeight="1">
      <c r="A264" s="199">
        <v>46</v>
      </c>
      <c r="B264" s="200">
        <v>1</v>
      </c>
      <c r="C264" s="227" t="s">
        <v>375</v>
      </c>
      <c r="D264" s="227" t="s">
        <v>376</v>
      </c>
      <c r="E264" s="227" t="s">
        <v>377</v>
      </c>
      <c r="F264" s="227">
        <v>25</v>
      </c>
      <c r="G264" s="227"/>
      <c r="H264" s="227" t="s">
        <v>381</v>
      </c>
      <c r="I264" s="227">
        <v>25</v>
      </c>
      <c r="J264" s="227">
        <v>1</v>
      </c>
      <c r="K264" s="227" t="s">
        <v>378</v>
      </c>
      <c r="L264" s="227" t="s">
        <v>379</v>
      </c>
      <c r="M264" s="227">
        <v>190</v>
      </c>
      <c r="N264" s="227" t="s">
        <v>322</v>
      </c>
      <c r="O264" s="227" t="s">
        <v>380</v>
      </c>
      <c r="P264" s="227" t="s">
        <v>382</v>
      </c>
      <c r="Q264" s="227">
        <v>0.5</v>
      </c>
      <c r="R264" s="215"/>
      <c r="S264" s="2"/>
      <c r="V264" s="45">
        <v>263</v>
      </c>
    </row>
    <row r="265" spans="1:22" ht="15" customHeight="1">
      <c r="A265" s="196">
        <v>46</v>
      </c>
      <c r="B265" s="201">
        <v>2</v>
      </c>
      <c r="C265" s="12" t="s">
        <v>375</v>
      </c>
      <c r="D265" s="12" t="s">
        <v>376</v>
      </c>
      <c r="E265" s="12" t="s">
        <v>377</v>
      </c>
      <c r="F265" s="12">
        <v>25</v>
      </c>
      <c r="G265" s="12"/>
      <c r="H265" s="12" t="s">
        <v>381</v>
      </c>
      <c r="I265" s="12">
        <v>25</v>
      </c>
      <c r="J265" s="12">
        <v>1</v>
      </c>
      <c r="K265" s="12" t="s">
        <v>378</v>
      </c>
      <c r="L265" s="12" t="s">
        <v>379</v>
      </c>
      <c r="M265" s="12">
        <v>190</v>
      </c>
      <c r="N265" s="12" t="s">
        <v>322</v>
      </c>
      <c r="O265" s="12" t="s">
        <v>380</v>
      </c>
      <c r="P265" s="12" t="s">
        <v>382</v>
      </c>
      <c r="Q265" s="12">
        <v>0.5</v>
      </c>
      <c r="R265" s="218"/>
      <c r="S265" s="2"/>
      <c r="V265" s="45">
        <v>264</v>
      </c>
    </row>
    <row r="266" spans="1:22" ht="15" customHeight="1">
      <c r="A266" s="196">
        <v>46</v>
      </c>
      <c r="B266" s="201">
        <v>3</v>
      </c>
      <c r="C266" s="12" t="s">
        <v>375</v>
      </c>
      <c r="D266" s="12" t="s">
        <v>376</v>
      </c>
      <c r="E266" s="12" t="s">
        <v>377</v>
      </c>
      <c r="F266" s="12">
        <v>25</v>
      </c>
      <c r="G266" s="12"/>
      <c r="H266" s="12" t="s">
        <v>381</v>
      </c>
      <c r="I266" s="12">
        <v>25</v>
      </c>
      <c r="J266" s="12">
        <v>1</v>
      </c>
      <c r="K266" s="12" t="s">
        <v>378</v>
      </c>
      <c r="L266" s="12" t="s">
        <v>379</v>
      </c>
      <c r="M266" s="12">
        <v>190</v>
      </c>
      <c r="N266" s="12" t="s">
        <v>322</v>
      </c>
      <c r="O266" s="12" t="s">
        <v>380</v>
      </c>
      <c r="P266" s="12" t="s">
        <v>382</v>
      </c>
      <c r="Q266" s="12">
        <v>0.5</v>
      </c>
      <c r="R266" s="218"/>
      <c r="S266" s="2"/>
      <c r="V266" s="45">
        <v>265</v>
      </c>
    </row>
    <row r="267" spans="1:22" ht="15" customHeight="1">
      <c r="A267" s="196">
        <v>46</v>
      </c>
      <c r="B267" s="201">
        <v>4</v>
      </c>
      <c r="C267" s="12" t="s">
        <v>375</v>
      </c>
      <c r="D267" s="12" t="s">
        <v>376</v>
      </c>
      <c r="E267" s="12" t="s">
        <v>377</v>
      </c>
      <c r="F267" s="12">
        <v>25</v>
      </c>
      <c r="G267" s="12"/>
      <c r="H267" s="12" t="s">
        <v>381</v>
      </c>
      <c r="I267" s="12">
        <v>25</v>
      </c>
      <c r="J267" s="12">
        <v>1</v>
      </c>
      <c r="K267" s="12" t="s">
        <v>378</v>
      </c>
      <c r="L267" s="12" t="s">
        <v>379</v>
      </c>
      <c r="M267" s="12">
        <v>190</v>
      </c>
      <c r="N267" s="12" t="s">
        <v>322</v>
      </c>
      <c r="O267" s="12" t="s">
        <v>380</v>
      </c>
      <c r="P267" s="12" t="s">
        <v>382</v>
      </c>
      <c r="Q267" s="12">
        <v>0.5</v>
      </c>
      <c r="R267" s="218"/>
      <c r="S267" s="2"/>
      <c r="V267" s="45">
        <v>266</v>
      </c>
    </row>
    <row r="268" spans="1:22" ht="15" customHeight="1">
      <c r="A268" s="196">
        <v>46</v>
      </c>
      <c r="B268" s="201">
        <v>5</v>
      </c>
      <c r="C268" s="12" t="s">
        <v>375</v>
      </c>
      <c r="D268" s="12" t="s">
        <v>376</v>
      </c>
      <c r="E268" s="12" t="s">
        <v>377</v>
      </c>
      <c r="F268" s="12">
        <v>25</v>
      </c>
      <c r="G268" s="12"/>
      <c r="H268" s="12" t="s">
        <v>381</v>
      </c>
      <c r="I268" s="12">
        <v>25</v>
      </c>
      <c r="J268" s="12">
        <v>1</v>
      </c>
      <c r="K268" s="12" t="s">
        <v>378</v>
      </c>
      <c r="L268" s="12" t="s">
        <v>379</v>
      </c>
      <c r="M268" s="12">
        <v>190</v>
      </c>
      <c r="N268" s="12" t="s">
        <v>322</v>
      </c>
      <c r="O268" s="12" t="s">
        <v>380</v>
      </c>
      <c r="P268" s="12" t="s">
        <v>382</v>
      </c>
      <c r="Q268" s="12">
        <v>0.5</v>
      </c>
      <c r="R268" s="218"/>
      <c r="S268" s="2"/>
      <c r="V268" s="45">
        <v>267</v>
      </c>
    </row>
    <row r="269" spans="1:22" ht="15" customHeight="1">
      <c r="A269" s="196">
        <v>46</v>
      </c>
      <c r="B269" s="201">
        <v>6</v>
      </c>
      <c r="C269" s="12" t="s">
        <v>375</v>
      </c>
      <c r="D269" s="12" t="s">
        <v>376</v>
      </c>
      <c r="E269" s="12" t="s">
        <v>377</v>
      </c>
      <c r="F269" s="12">
        <v>25</v>
      </c>
      <c r="G269" s="12"/>
      <c r="H269" s="12" t="s">
        <v>381</v>
      </c>
      <c r="I269" s="12">
        <v>25</v>
      </c>
      <c r="J269" s="12">
        <v>1</v>
      </c>
      <c r="K269" s="12" t="s">
        <v>378</v>
      </c>
      <c r="L269" s="12" t="s">
        <v>379</v>
      </c>
      <c r="M269" s="12">
        <v>190</v>
      </c>
      <c r="N269" s="12" t="s">
        <v>322</v>
      </c>
      <c r="O269" s="12" t="s">
        <v>380</v>
      </c>
      <c r="P269" s="12" t="s">
        <v>382</v>
      </c>
      <c r="Q269" s="12">
        <v>0.5</v>
      </c>
      <c r="R269" s="218"/>
      <c r="S269" s="2"/>
      <c r="V269" s="45">
        <v>268</v>
      </c>
    </row>
    <row r="270" spans="1:22" ht="15" customHeight="1">
      <c r="A270" s="199">
        <v>47</v>
      </c>
      <c r="B270" s="200" t="s">
        <v>221</v>
      </c>
      <c r="C270" s="227" t="s">
        <v>375</v>
      </c>
      <c r="D270" s="227" t="s">
        <v>376</v>
      </c>
      <c r="E270" s="227" t="s">
        <v>377</v>
      </c>
      <c r="F270" s="227"/>
      <c r="G270" s="227"/>
      <c r="H270" s="227"/>
      <c r="I270" s="227"/>
      <c r="J270" s="227"/>
      <c r="K270" s="227"/>
      <c r="L270" s="227" t="s">
        <v>383</v>
      </c>
      <c r="M270" s="227">
        <v>180</v>
      </c>
      <c r="N270" s="227" t="s">
        <v>322</v>
      </c>
      <c r="O270" s="227"/>
      <c r="P270" s="227" t="s">
        <v>382</v>
      </c>
      <c r="Q270" s="227">
        <v>0.1</v>
      </c>
      <c r="R270" s="215"/>
      <c r="S270" s="2"/>
      <c r="V270" s="45">
        <v>269</v>
      </c>
    </row>
    <row r="271" spans="1:22" ht="15" customHeight="1">
      <c r="A271" s="196">
        <v>47</v>
      </c>
      <c r="B271" s="201">
        <v>2</v>
      </c>
      <c r="C271" s="12" t="s">
        <v>375</v>
      </c>
      <c r="D271" s="12" t="s">
        <v>376</v>
      </c>
      <c r="E271" s="12" t="s">
        <v>377</v>
      </c>
      <c r="F271" s="12"/>
      <c r="G271" s="12"/>
      <c r="H271" s="12"/>
      <c r="I271" s="12"/>
      <c r="J271" s="12"/>
      <c r="K271" s="12"/>
      <c r="L271" s="12" t="s">
        <v>383</v>
      </c>
      <c r="M271" s="12">
        <v>180</v>
      </c>
      <c r="N271" s="12" t="s">
        <v>322</v>
      </c>
      <c r="O271" s="12"/>
      <c r="P271" s="12" t="s">
        <v>382</v>
      </c>
      <c r="Q271" s="12">
        <v>0.1</v>
      </c>
      <c r="R271" s="218"/>
      <c r="S271" s="2"/>
      <c r="V271" s="45">
        <v>270</v>
      </c>
    </row>
    <row r="272" spans="1:22" ht="15" customHeight="1">
      <c r="A272" s="196">
        <v>47</v>
      </c>
      <c r="B272" s="201">
        <v>3</v>
      </c>
      <c r="C272" s="12" t="s">
        <v>375</v>
      </c>
      <c r="D272" s="12" t="s">
        <v>376</v>
      </c>
      <c r="E272" s="12" t="s">
        <v>377</v>
      </c>
      <c r="F272" s="12"/>
      <c r="G272" s="12"/>
      <c r="H272" s="12"/>
      <c r="I272" s="12"/>
      <c r="J272" s="12"/>
      <c r="K272" s="12"/>
      <c r="L272" s="12" t="s">
        <v>383</v>
      </c>
      <c r="M272" s="12">
        <v>180</v>
      </c>
      <c r="N272" s="12" t="s">
        <v>322</v>
      </c>
      <c r="O272" s="12"/>
      <c r="P272" s="12" t="s">
        <v>382</v>
      </c>
      <c r="Q272" s="12">
        <v>0.1</v>
      </c>
      <c r="R272" s="218"/>
      <c r="S272" s="2"/>
      <c r="V272" s="45">
        <v>271</v>
      </c>
    </row>
    <row r="273" spans="1:22" ht="15" customHeight="1">
      <c r="A273" s="196">
        <v>47</v>
      </c>
      <c r="B273" s="201" t="s">
        <v>224</v>
      </c>
      <c r="C273" s="12" t="s">
        <v>375</v>
      </c>
      <c r="D273" s="12" t="s">
        <v>376</v>
      </c>
      <c r="E273" s="12" t="s">
        <v>377</v>
      </c>
      <c r="F273" s="12"/>
      <c r="G273" s="12"/>
      <c r="H273" s="12"/>
      <c r="I273" s="12"/>
      <c r="J273" s="12"/>
      <c r="K273" s="12"/>
      <c r="L273" s="12" t="s">
        <v>383</v>
      </c>
      <c r="M273" s="12">
        <v>180</v>
      </c>
      <c r="N273" s="12" t="s">
        <v>322</v>
      </c>
      <c r="O273" s="12"/>
      <c r="P273" s="12" t="s">
        <v>382</v>
      </c>
      <c r="Q273" s="12">
        <v>0.1</v>
      </c>
      <c r="R273" s="218"/>
      <c r="S273" s="2"/>
      <c r="V273" s="45">
        <v>272</v>
      </c>
    </row>
    <row r="274" spans="1:22" ht="15" customHeight="1">
      <c r="A274" s="196">
        <v>47</v>
      </c>
      <c r="B274" s="201">
        <v>5</v>
      </c>
      <c r="C274" s="12" t="s">
        <v>375</v>
      </c>
      <c r="D274" s="12" t="s">
        <v>376</v>
      </c>
      <c r="E274" s="12" t="s">
        <v>377</v>
      </c>
      <c r="F274" s="12"/>
      <c r="G274" s="12"/>
      <c r="H274" s="12"/>
      <c r="I274" s="12"/>
      <c r="J274" s="12"/>
      <c r="K274" s="12"/>
      <c r="L274" s="12" t="s">
        <v>383</v>
      </c>
      <c r="M274" s="12">
        <v>180</v>
      </c>
      <c r="N274" s="12" t="s">
        <v>322</v>
      </c>
      <c r="O274" s="12"/>
      <c r="P274" s="12" t="s">
        <v>382</v>
      </c>
      <c r="Q274" s="12">
        <v>0.1</v>
      </c>
      <c r="R274" s="218"/>
      <c r="S274" s="2"/>
      <c r="V274" s="45">
        <v>273</v>
      </c>
    </row>
    <row r="275" spans="1:22" ht="15" customHeight="1">
      <c r="A275" s="196">
        <v>47</v>
      </c>
      <c r="B275" s="201" t="s">
        <v>225</v>
      </c>
      <c r="C275" s="12" t="s">
        <v>384</v>
      </c>
      <c r="D275" s="122" t="s">
        <v>387</v>
      </c>
      <c r="E275" s="12" t="s">
        <v>377</v>
      </c>
      <c r="F275" s="12"/>
      <c r="G275" s="12"/>
      <c r="H275" s="12"/>
      <c r="I275" s="12"/>
      <c r="J275" s="12"/>
      <c r="K275" s="12"/>
      <c r="L275" s="12"/>
      <c r="M275" s="12"/>
      <c r="N275" s="12" t="s">
        <v>322</v>
      </c>
      <c r="O275" s="12"/>
      <c r="P275" s="12" t="s">
        <v>394</v>
      </c>
      <c r="Q275" s="12">
        <v>0.02</v>
      </c>
      <c r="R275" s="218">
        <v>1</v>
      </c>
      <c r="S275" s="2"/>
      <c r="V275" s="45">
        <v>274</v>
      </c>
    </row>
    <row r="276" spans="1:22" ht="15" customHeight="1">
      <c r="A276" s="196">
        <v>47</v>
      </c>
      <c r="B276" s="201" t="s">
        <v>228</v>
      </c>
      <c r="C276" s="12" t="s">
        <v>384</v>
      </c>
      <c r="D276" s="122" t="s">
        <v>387</v>
      </c>
      <c r="E276" s="12" t="s">
        <v>377</v>
      </c>
      <c r="F276" s="27"/>
      <c r="G276" s="27"/>
      <c r="H276" s="27"/>
      <c r="I276" s="27"/>
      <c r="J276" s="27"/>
      <c r="K276" s="27"/>
      <c r="L276" s="27"/>
      <c r="M276" s="27"/>
      <c r="N276" s="12" t="s">
        <v>322</v>
      </c>
      <c r="O276" s="12"/>
      <c r="P276" s="12" t="s">
        <v>394</v>
      </c>
      <c r="Q276" s="27">
        <v>0.02</v>
      </c>
      <c r="R276" s="218">
        <v>1</v>
      </c>
      <c r="S276" s="2"/>
      <c r="V276" s="45">
        <v>275</v>
      </c>
    </row>
    <row r="277" spans="1:22" ht="15" customHeight="1">
      <c r="A277" s="199">
        <v>48</v>
      </c>
      <c r="B277" s="200">
        <v>1</v>
      </c>
      <c r="C277" s="227" t="s">
        <v>375</v>
      </c>
      <c r="D277" s="227" t="s">
        <v>376</v>
      </c>
      <c r="E277" s="227" t="s">
        <v>377</v>
      </c>
      <c r="F277" s="12">
        <v>25</v>
      </c>
      <c r="G277" s="12">
        <v>1</v>
      </c>
      <c r="H277" s="22"/>
      <c r="I277" s="22"/>
      <c r="J277" s="22"/>
      <c r="K277" s="12" t="s">
        <v>378</v>
      </c>
      <c r="L277" s="12" t="s">
        <v>379</v>
      </c>
      <c r="M277" s="12">
        <v>180</v>
      </c>
      <c r="N277" s="227" t="s">
        <v>322</v>
      </c>
      <c r="O277" s="227" t="s">
        <v>380</v>
      </c>
      <c r="P277" s="234"/>
      <c r="Q277" s="12">
        <v>5</v>
      </c>
      <c r="R277" s="235"/>
      <c r="S277" s="2"/>
      <c r="V277" s="45">
        <v>276</v>
      </c>
    </row>
    <row r="278" spans="1:22" ht="15" customHeight="1">
      <c r="A278" s="196">
        <v>48</v>
      </c>
      <c r="B278" s="201">
        <v>2</v>
      </c>
      <c r="C278" s="12" t="s">
        <v>375</v>
      </c>
      <c r="D278" s="12" t="s">
        <v>376</v>
      </c>
      <c r="E278" s="12" t="s">
        <v>377</v>
      </c>
      <c r="F278" s="12">
        <v>25</v>
      </c>
      <c r="G278" s="12">
        <v>1</v>
      </c>
      <c r="H278" s="22"/>
      <c r="I278" s="22"/>
      <c r="J278" s="22"/>
      <c r="K278" s="12" t="s">
        <v>378</v>
      </c>
      <c r="L278" s="12" t="s">
        <v>379</v>
      </c>
      <c r="M278" s="12">
        <v>180</v>
      </c>
      <c r="N278" s="12" t="s">
        <v>322</v>
      </c>
      <c r="O278" s="12" t="s">
        <v>380</v>
      </c>
      <c r="P278" s="2"/>
      <c r="Q278" s="12">
        <v>5</v>
      </c>
      <c r="R278" s="236"/>
      <c r="S278" s="2"/>
      <c r="V278" s="45">
        <v>277</v>
      </c>
    </row>
    <row r="279" spans="1:22" ht="15" customHeight="1">
      <c r="A279" s="196">
        <v>48</v>
      </c>
      <c r="B279" s="201">
        <v>3</v>
      </c>
      <c r="C279" s="12" t="s">
        <v>375</v>
      </c>
      <c r="D279" s="12" t="s">
        <v>376</v>
      </c>
      <c r="E279" s="12" t="s">
        <v>377</v>
      </c>
      <c r="F279" s="12">
        <v>25</v>
      </c>
      <c r="G279" s="12">
        <v>1</v>
      </c>
      <c r="H279" s="22"/>
      <c r="I279" s="22"/>
      <c r="J279" s="22"/>
      <c r="K279" s="12" t="s">
        <v>378</v>
      </c>
      <c r="L279" s="12" t="s">
        <v>379</v>
      </c>
      <c r="M279" s="12">
        <v>180</v>
      </c>
      <c r="N279" s="12" t="s">
        <v>322</v>
      </c>
      <c r="O279" s="12" t="s">
        <v>380</v>
      </c>
      <c r="P279" s="2"/>
      <c r="Q279" s="12">
        <v>5</v>
      </c>
      <c r="R279" s="236"/>
      <c r="S279" s="2"/>
      <c r="V279" s="45">
        <v>278</v>
      </c>
    </row>
    <row r="280" spans="1:22" ht="15" customHeight="1">
      <c r="A280" s="196">
        <v>48</v>
      </c>
      <c r="B280" s="201">
        <v>4</v>
      </c>
      <c r="C280" s="12" t="s">
        <v>375</v>
      </c>
      <c r="D280" s="12" t="s">
        <v>376</v>
      </c>
      <c r="E280" s="12" t="s">
        <v>377</v>
      </c>
      <c r="F280" s="12">
        <v>25</v>
      </c>
      <c r="G280" s="12">
        <v>1</v>
      </c>
      <c r="H280" s="22"/>
      <c r="I280" s="22"/>
      <c r="J280" s="22"/>
      <c r="K280" s="12" t="s">
        <v>378</v>
      </c>
      <c r="L280" s="12" t="s">
        <v>379</v>
      </c>
      <c r="M280" s="12">
        <v>180</v>
      </c>
      <c r="N280" s="12" t="s">
        <v>322</v>
      </c>
      <c r="O280" s="12" t="s">
        <v>380</v>
      </c>
      <c r="P280" s="2"/>
      <c r="Q280" s="12">
        <v>5</v>
      </c>
      <c r="R280" s="236"/>
      <c r="S280" s="2"/>
      <c r="V280" s="45">
        <v>279</v>
      </c>
    </row>
    <row r="281" spans="1:22" ht="15" customHeight="1">
      <c r="A281" s="196">
        <v>48</v>
      </c>
      <c r="B281" s="201">
        <v>5</v>
      </c>
      <c r="C281" s="12" t="s">
        <v>375</v>
      </c>
      <c r="D281" s="12" t="s">
        <v>376</v>
      </c>
      <c r="E281" s="12" t="s">
        <v>377</v>
      </c>
      <c r="F281" s="12">
        <v>25</v>
      </c>
      <c r="G281" s="12">
        <v>1</v>
      </c>
      <c r="H281" s="22"/>
      <c r="I281" s="22"/>
      <c r="J281" s="22"/>
      <c r="K281" s="12" t="s">
        <v>378</v>
      </c>
      <c r="L281" s="12" t="s">
        <v>379</v>
      </c>
      <c r="M281" s="12">
        <v>180</v>
      </c>
      <c r="N281" s="12" t="s">
        <v>322</v>
      </c>
      <c r="O281" s="12" t="s">
        <v>380</v>
      </c>
      <c r="P281" s="2"/>
      <c r="Q281" s="12">
        <v>5</v>
      </c>
      <c r="R281" s="236"/>
      <c r="S281" s="2"/>
      <c r="V281" s="45">
        <v>280</v>
      </c>
    </row>
    <row r="282" spans="1:22" ht="15" customHeight="1">
      <c r="A282" s="196">
        <v>48</v>
      </c>
      <c r="B282" s="201">
        <v>6</v>
      </c>
      <c r="C282" s="12" t="s">
        <v>375</v>
      </c>
      <c r="D282" s="12" t="s">
        <v>376</v>
      </c>
      <c r="E282" s="12" t="s">
        <v>377</v>
      </c>
      <c r="F282" s="12">
        <v>25</v>
      </c>
      <c r="G282" s="12">
        <v>1</v>
      </c>
      <c r="H282" s="22"/>
      <c r="I282" s="22"/>
      <c r="J282" s="22"/>
      <c r="K282" s="12" t="s">
        <v>378</v>
      </c>
      <c r="L282" s="12" t="s">
        <v>379</v>
      </c>
      <c r="M282" s="12">
        <v>180</v>
      </c>
      <c r="N282" s="12" t="s">
        <v>322</v>
      </c>
      <c r="O282" s="12" t="s">
        <v>380</v>
      </c>
      <c r="P282" s="2"/>
      <c r="Q282" s="12">
        <v>5</v>
      </c>
      <c r="R282" s="236"/>
      <c r="S282" s="2"/>
      <c r="V282" s="45">
        <v>281</v>
      </c>
    </row>
    <row r="283" spans="1:22" ht="15" customHeight="1">
      <c r="A283" s="196">
        <v>48</v>
      </c>
      <c r="B283" s="201">
        <v>7</v>
      </c>
      <c r="C283" s="12" t="s">
        <v>375</v>
      </c>
      <c r="D283" s="12" t="s">
        <v>376</v>
      </c>
      <c r="E283" s="12" t="s">
        <v>377</v>
      </c>
      <c r="F283" s="12">
        <v>25</v>
      </c>
      <c r="G283" s="12">
        <v>1</v>
      </c>
      <c r="H283" s="22"/>
      <c r="I283" s="22"/>
      <c r="J283" s="22"/>
      <c r="K283" s="12" t="s">
        <v>378</v>
      </c>
      <c r="L283" s="12" t="s">
        <v>379</v>
      </c>
      <c r="M283" s="12">
        <v>180</v>
      </c>
      <c r="N283" s="12" t="s">
        <v>322</v>
      </c>
      <c r="O283" s="12" t="s">
        <v>380</v>
      </c>
      <c r="P283" s="2"/>
      <c r="Q283" s="12">
        <v>5</v>
      </c>
      <c r="R283" s="236"/>
      <c r="S283" s="2"/>
      <c r="V283" s="45">
        <v>282</v>
      </c>
    </row>
    <row r="284" spans="1:22" ht="15" customHeight="1">
      <c r="A284" s="196">
        <v>48</v>
      </c>
      <c r="B284" s="201">
        <v>8</v>
      </c>
      <c r="C284" s="12" t="s">
        <v>375</v>
      </c>
      <c r="D284" s="12" t="s">
        <v>376</v>
      </c>
      <c r="E284" s="12" t="s">
        <v>377</v>
      </c>
      <c r="F284" s="12">
        <v>25</v>
      </c>
      <c r="G284" s="12">
        <v>1</v>
      </c>
      <c r="H284" s="22"/>
      <c r="I284" s="22"/>
      <c r="J284" s="22"/>
      <c r="K284" s="12" t="s">
        <v>378</v>
      </c>
      <c r="L284" s="12" t="s">
        <v>379</v>
      </c>
      <c r="M284" s="12">
        <v>180</v>
      </c>
      <c r="N284" s="12" t="s">
        <v>322</v>
      </c>
      <c r="O284" s="12" t="s">
        <v>380</v>
      </c>
      <c r="P284" s="2"/>
      <c r="Q284" s="12">
        <v>5</v>
      </c>
      <c r="R284" s="236"/>
      <c r="S284" s="2"/>
      <c r="V284" s="45">
        <v>283</v>
      </c>
    </row>
    <row r="285" spans="1:22" ht="15" customHeight="1">
      <c r="A285" s="196">
        <v>48</v>
      </c>
      <c r="B285" s="201">
        <v>9</v>
      </c>
      <c r="C285" s="12" t="s">
        <v>375</v>
      </c>
      <c r="D285" s="12" t="s">
        <v>376</v>
      </c>
      <c r="E285" s="12" t="s">
        <v>377</v>
      </c>
      <c r="F285" s="12">
        <v>25</v>
      </c>
      <c r="G285" s="12">
        <v>1</v>
      </c>
      <c r="H285" s="22"/>
      <c r="I285" s="22"/>
      <c r="J285" s="22"/>
      <c r="K285" s="12" t="s">
        <v>378</v>
      </c>
      <c r="L285" s="12" t="s">
        <v>379</v>
      </c>
      <c r="M285" s="12">
        <v>180</v>
      </c>
      <c r="N285" s="12" t="s">
        <v>322</v>
      </c>
      <c r="O285" s="12" t="s">
        <v>380</v>
      </c>
      <c r="P285" s="2"/>
      <c r="Q285" s="12">
        <v>5</v>
      </c>
      <c r="R285" s="236"/>
      <c r="S285" s="2"/>
      <c r="V285" s="45">
        <v>284</v>
      </c>
    </row>
    <row r="286" spans="1:22" ht="15" customHeight="1">
      <c r="A286" s="196">
        <v>48</v>
      </c>
      <c r="B286" s="201">
        <v>10</v>
      </c>
      <c r="C286" s="12" t="s">
        <v>375</v>
      </c>
      <c r="D286" s="12" t="s">
        <v>376</v>
      </c>
      <c r="E286" s="12" t="s">
        <v>377</v>
      </c>
      <c r="F286" s="12">
        <v>25</v>
      </c>
      <c r="G286" s="12">
        <v>1</v>
      </c>
      <c r="H286" s="22"/>
      <c r="I286" s="22"/>
      <c r="J286" s="22"/>
      <c r="K286" s="12" t="s">
        <v>378</v>
      </c>
      <c r="L286" s="12" t="s">
        <v>379</v>
      </c>
      <c r="M286" s="12">
        <v>180</v>
      </c>
      <c r="N286" s="12" t="s">
        <v>322</v>
      </c>
      <c r="O286" s="12" t="s">
        <v>380</v>
      </c>
      <c r="P286" s="2"/>
      <c r="Q286" s="12">
        <v>5</v>
      </c>
      <c r="R286" s="236"/>
      <c r="S286" s="2"/>
      <c r="V286" s="45">
        <v>285</v>
      </c>
    </row>
    <row r="287" spans="1:22" ht="15" customHeight="1">
      <c r="A287" s="196">
        <v>48</v>
      </c>
      <c r="B287" s="201">
        <v>11</v>
      </c>
      <c r="C287" s="12" t="s">
        <v>375</v>
      </c>
      <c r="D287" s="12" t="s">
        <v>376</v>
      </c>
      <c r="E287" s="12" t="s">
        <v>377</v>
      </c>
      <c r="F287" s="12">
        <v>25</v>
      </c>
      <c r="G287" s="12">
        <v>1</v>
      </c>
      <c r="H287" s="22"/>
      <c r="I287" s="22"/>
      <c r="J287" s="22"/>
      <c r="K287" s="12" t="s">
        <v>378</v>
      </c>
      <c r="L287" s="12" t="s">
        <v>379</v>
      </c>
      <c r="M287" s="12">
        <v>180</v>
      </c>
      <c r="N287" s="12" t="s">
        <v>322</v>
      </c>
      <c r="O287" s="12" t="s">
        <v>380</v>
      </c>
      <c r="P287" s="2"/>
      <c r="Q287" s="12">
        <v>5</v>
      </c>
      <c r="R287" s="236"/>
      <c r="S287" s="2"/>
      <c r="V287" s="45">
        <v>286</v>
      </c>
    </row>
    <row r="288" spans="1:22" ht="15" customHeight="1">
      <c r="A288" s="196">
        <v>48</v>
      </c>
      <c r="B288" s="201">
        <v>12</v>
      </c>
      <c r="C288" s="12" t="s">
        <v>375</v>
      </c>
      <c r="D288" s="12" t="s">
        <v>376</v>
      </c>
      <c r="E288" s="12" t="s">
        <v>377</v>
      </c>
      <c r="F288" s="12">
        <v>25</v>
      </c>
      <c r="G288" s="12">
        <v>1</v>
      </c>
      <c r="H288" s="22"/>
      <c r="I288" s="22"/>
      <c r="J288" s="22"/>
      <c r="K288" s="12" t="s">
        <v>378</v>
      </c>
      <c r="L288" s="12" t="s">
        <v>379</v>
      </c>
      <c r="M288" s="12">
        <v>180</v>
      </c>
      <c r="N288" s="12" t="s">
        <v>322</v>
      </c>
      <c r="O288" s="12" t="s">
        <v>380</v>
      </c>
      <c r="P288" s="2"/>
      <c r="Q288" s="12">
        <v>5</v>
      </c>
      <c r="R288" s="236"/>
      <c r="S288" s="2"/>
      <c r="V288" s="45">
        <v>287</v>
      </c>
    </row>
    <row r="289" spans="1:22" ht="15" customHeight="1">
      <c r="A289" s="309">
        <v>49</v>
      </c>
      <c r="B289" s="74">
        <v>1</v>
      </c>
      <c r="C289" s="227" t="s">
        <v>375</v>
      </c>
      <c r="D289" s="227" t="s">
        <v>376</v>
      </c>
      <c r="E289" s="234"/>
      <c r="F289" s="234"/>
      <c r="G289" s="234"/>
      <c r="H289" s="234"/>
      <c r="I289" s="234"/>
      <c r="J289" s="234"/>
      <c r="K289" s="234"/>
      <c r="L289" s="222" t="s">
        <v>383</v>
      </c>
      <c r="M289" s="222">
        <v>185</v>
      </c>
      <c r="N289" s="227" t="s">
        <v>322</v>
      </c>
      <c r="O289" s="227" t="s">
        <v>380</v>
      </c>
      <c r="P289" s="227" t="s">
        <v>382</v>
      </c>
      <c r="Q289" s="234"/>
      <c r="R289" s="235"/>
      <c r="S289" s="2"/>
      <c r="V289" s="45">
        <v>288</v>
      </c>
    </row>
    <row r="290" spans="1:22" ht="15" customHeight="1">
      <c r="A290" s="238">
        <v>49</v>
      </c>
      <c r="B290" s="75">
        <v>2</v>
      </c>
      <c r="C290" s="12" t="s">
        <v>375</v>
      </c>
      <c r="D290" s="12" t="s">
        <v>376</v>
      </c>
      <c r="E290" s="2"/>
      <c r="F290" s="2"/>
      <c r="G290" s="2"/>
      <c r="H290" s="2"/>
      <c r="I290" s="2"/>
      <c r="J290" s="2"/>
      <c r="K290" s="2"/>
      <c r="L290" s="22" t="s">
        <v>383</v>
      </c>
      <c r="M290" s="22">
        <v>185</v>
      </c>
      <c r="N290" s="12" t="s">
        <v>322</v>
      </c>
      <c r="O290" s="12" t="s">
        <v>380</v>
      </c>
      <c r="P290" s="12" t="s">
        <v>382</v>
      </c>
      <c r="Q290" s="2"/>
      <c r="R290" s="236"/>
      <c r="S290" s="2"/>
      <c r="V290" s="45">
        <v>289</v>
      </c>
    </row>
    <row r="291" spans="1:22" ht="15" customHeight="1">
      <c r="A291" s="238">
        <v>49</v>
      </c>
      <c r="B291" s="75">
        <v>3</v>
      </c>
      <c r="C291" s="12" t="s">
        <v>375</v>
      </c>
      <c r="D291" s="12" t="s">
        <v>376</v>
      </c>
      <c r="E291" s="2"/>
      <c r="F291" s="2"/>
      <c r="G291" s="2"/>
      <c r="H291" s="2"/>
      <c r="I291" s="2"/>
      <c r="J291" s="2"/>
      <c r="K291" s="2"/>
      <c r="L291" s="22" t="s">
        <v>383</v>
      </c>
      <c r="M291" s="22">
        <v>185</v>
      </c>
      <c r="N291" s="12" t="s">
        <v>322</v>
      </c>
      <c r="O291" s="12" t="s">
        <v>380</v>
      </c>
      <c r="P291" s="12" t="s">
        <v>382</v>
      </c>
      <c r="Q291" s="2"/>
      <c r="R291" s="236"/>
      <c r="S291" s="2"/>
      <c r="V291" s="45">
        <v>290</v>
      </c>
    </row>
    <row r="292" spans="1:22" ht="15" customHeight="1">
      <c r="A292" s="238">
        <v>49</v>
      </c>
      <c r="B292" s="75">
        <v>4</v>
      </c>
      <c r="C292" s="27" t="s">
        <v>375</v>
      </c>
      <c r="D292" s="27" t="s">
        <v>376</v>
      </c>
      <c r="E292" s="34"/>
      <c r="F292" s="2"/>
      <c r="G292" s="2"/>
      <c r="H292" s="2"/>
      <c r="I292" s="2"/>
      <c r="J292" s="2"/>
      <c r="K292" s="2"/>
      <c r="L292" s="22" t="s">
        <v>383</v>
      </c>
      <c r="M292" s="22">
        <v>185</v>
      </c>
      <c r="N292" s="12" t="s">
        <v>322</v>
      </c>
      <c r="O292" s="12" t="s">
        <v>380</v>
      </c>
      <c r="P292" s="12" t="s">
        <v>382</v>
      </c>
      <c r="Q292" s="2"/>
      <c r="R292" s="236"/>
      <c r="S292" s="2"/>
      <c r="V292" s="45">
        <v>291</v>
      </c>
    </row>
    <row r="293" spans="1:22" ht="15" customHeight="1">
      <c r="A293" s="229">
        <v>50</v>
      </c>
      <c r="B293" s="74">
        <v>1</v>
      </c>
      <c r="C293" s="12" t="s">
        <v>384</v>
      </c>
      <c r="D293" s="122" t="s">
        <v>387</v>
      </c>
      <c r="E293" s="12" t="s">
        <v>377</v>
      </c>
      <c r="F293" s="234"/>
      <c r="G293" s="234"/>
      <c r="H293" s="234"/>
      <c r="I293" s="234"/>
      <c r="J293" s="234"/>
      <c r="K293" s="234"/>
      <c r="L293" s="222" t="s">
        <v>383</v>
      </c>
      <c r="M293" s="234"/>
      <c r="N293" s="227" t="s">
        <v>322</v>
      </c>
      <c r="O293" s="234"/>
      <c r="P293" s="222" t="s">
        <v>391</v>
      </c>
      <c r="Q293" s="227">
        <v>0.1</v>
      </c>
      <c r="R293" s="225">
        <v>1</v>
      </c>
      <c r="S293" s="2"/>
      <c r="V293" s="45">
        <v>292</v>
      </c>
    </row>
    <row r="294" spans="1:22" ht="15" customHeight="1">
      <c r="A294" s="228">
        <v>50</v>
      </c>
      <c r="B294" s="75">
        <v>2</v>
      </c>
      <c r="C294" s="12" t="s">
        <v>384</v>
      </c>
      <c r="D294" s="122" t="s">
        <v>387</v>
      </c>
      <c r="E294" s="12" t="s">
        <v>377</v>
      </c>
      <c r="F294" s="2"/>
      <c r="G294" s="2"/>
      <c r="H294" s="2"/>
      <c r="I294" s="2"/>
      <c r="J294" s="2"/>
      <c r="K294" s="2"/>
      <c r="L294" s="22" t="s">
        <v>383</v>
      </c>
      <c r="M294" s="2"/>
      <c r="N294" s="12" t="s">
        <v>322</v>
      </c>
      <c r="O294" s="2"/>
      <c r="P294" s="22" t="s">
        <v>391</v>
      </c>
      <c r="Q294" s="12">
        <v>0.1</v>
      </c>
      <c r="R294" s="226">
        <v>1</v>
      </c>
      <c r="S294" s="2"/>
      <c r="V294" s="45">
        <v>293</v>
      </c>
    </row>
    <row r="295" spans="1:22" ht="15" customHeight="1">
      <c r="A295" s="228">
        <v>50</v>
      </c>
      <c r="B295" s="75">
        <v>3</v>
      </c>
      <c r="C295" s="12" t="s">
        <v>384</v>
      </c>
      <c r="D295" s="122" t="s">
        <v>387</v>
      </c>
      <c r="E295" s="12" t="s">
        <v>377</v>
      </c>
      <c r="F295" s="2"/>
      <c r="G295" s="2"/>
      <c r="H295" s="2"/>
      <c r="I295" s="2"/>
      <c r="J295" s="2"/>
      <c r="K295" s="2"/>
      <c r="L295" s="22" t="s">
        <v>383</v>
      </c>
      <c r="M295" s="2"/>
      <c r="N295" s="12" t="s">
        <v>322</v>
      </c>
      <c r="O295" s="2"/>
      <c r="P295" s="22" t="s">
        <v>391</v>
      </c>
      <c r="Q295" s="12">
        <v>0.1</v>
      </c>
      <c r="R295" s="226">
        <v>1</v>
      </c>
      <c r="S295" s="2"/>
      <c r="V295" s="45">
        <v>294</v>
      </c>
    </row>
    <row r="296" spans="1:22" ht="15" customHeight="1">
      <c r="A296" s="228">
        <v>50</v>
      </c>
      <c r="B296" s="75">
        <v>4</v>
      </c>
      <c r="C296" s="12" t="s">
        <v>384</v>
      </c>
      <c r="D296" s="122" t="s">
        <v>387</v>
      </c>
      <c r="E296" s="12" t="s">
        <v>377</v>
      </c>
      <c r="F296" s="2"/>
      <c r="G296" s="2"/>
      <c r="H296" s="2"/>
      <c r="I296" s="2"/>
      <c r="J296" s="2"/>
      <c r="K296" s="2"/>
      <c r="L296" s="22" t="s">
        <v>383</v>
      </c>
      <c r="M296" s="2"/>
      <c r="N296" s="12" t="s">
        <v>322</v>
      </c>
      <c r="O296" s="2"/>
      <c r="P296" s="22" t="s">
        <v>391</v>
      </c>
      <c r="Q296" s="12">
        <v>0.1</v>
      </c>
      <c r="R296" s="226">
        <v>1</v>
      </c>
      <c r="S296" s="2"/>
      <c r="V296" s="45">
        <v>295</v>
      </c>
    </row>
    <row r="297" spans="1:22" ht="15" customHeight="1">
      <c r="A297" s="229">
        <v>51</v>
      </c>
      <c r="B297" s="74">
        <v>1</v>
      </c>
      <c r="C297" s="227" t="s">
        <v>375</v>
      </c>
      <c r="D297" s="227" t="s">
        <v>376</v>
      </c>
      <c r="E297" s="234"/>
      <c r="F297" s="234"/>
      <c r="G297" s="234"/>
      <c r="H297" s="234"/>
      <c r="I297" s="234"/>
      <c r="J297" s="234"/>
      <c r="K297" s="234"/>
      <c r="L297" s="222" t="s">
        <v>383</v>
      </c>
      <c r="M297" s="234"/>
      <c r="N297" s="227" t="s">
        <v>322</v>
      </c>
      <c r="O297" s="234"/>
      <c r="P297" s="222" t="s">
        <v>391</v>
      </c>
      <c r="Q297" s="234"/>
      <c r="R297" s="225">
        <v>1</v>
      </c>
      <c r="S297" s="2"/>
      <c r="V297" s="45">
        <v>296</v>
      </c>
    </row>
    <row r="298" spans="1:22" ht="15" customHeight="1">
      <c r="A298" s="228">
        <v>51</v>
      </c>
      <c r="B298" s="75">
        <v>2</v>
      </c>
      <c r="C298" s="12" t="s">
        <v>375</v>
      </c>
      <c r="D298" s="12" t="s">
        <v>376</v>
      </c>
      <c r="E298" s="2"/>
      <c r="F298" s="2"/>
      <c r="G298" s="2"/>
      <c r="H298" s="2"/>
      <c r="I298" s="2"/>
      <c r="J298" s="2"/>
      <c r="K298" s="2"/>
      <c r="L298" s="22" t="s">
        <v>383</v>
      </c>
      <c r="M298" s="2"/>
      <c r="N298" s="12" t="s">
        <v>322</v>
      </c>
      <c r="O298" s="2"/>
      <c r="P298" s="22" t="s">
        <v>391</v>
      </c>
      <c r="Q298" s="2"/>
      <c r="R298" s="226">
        <v>1</v>
      </c>
      <c r="S298" s="2"/>
      <c r="V298" s="45">
        <v>297</v>
      </c>
    </row>
    <row r="299" spans="1:22" ht="15" customHeight="1">
      <c r="A299" s="228">
        <v>51</v>
      </c>
      <c r="B299" s="75">
        <v>3</v>
      </c>
      <c r="C299" s="12" t="s">
        <v>375</v>
      </c>
      <c r="D299" s="12" t="s">
        <v>376</v>
      </c>
      <c r="E299" s="2"/>
      <c r="F299" s="2"/>
      <c r="G299" s="2"/>
      <c r="H299" s="2"/>
      <c r="I299" s="2"/>
      <c r="J299" s="2"/>
      <c r="K299" s="2"/>
      <c r="L299" s="22" t="s">
        <v>383</v>
      </c>
      <c r="M299" s="2"/>
      <c r="N299" s="12" t="s">
        <v>322</v>
      </c>
      <c r="O299" s="2"/>
      <c r="P299" s="22" t="s">
        <v>391</v>
      </c>
      <c r="Q299" s="2"/>
      <c r="R299" s="226">
        <v>1</v>
      </c>
      <c r="S299" s="2"/>
      <c r="V299" s="45">
        <v>298</v>
      </c>
    </row>
    <row r="300" spans="1:22" ht="15" customHeight="1">
      <c r="A300" s="228">
        <v>51</v>
      </c>
      <c r="B300" s="75">
        <v>4</v>
      </c>
      <c r="C300" s="12" t="s">
        <v>375</v>
      </c>
      <c r="D300" s="12" t="s">
        <v>376</v>
      </c>
      <c r="E300" s="2"/>
      <c r="F300" s="2"/>
      <c r="G300" s="2"/>
      <c r="H300" s="2"/>
      <c r="I300" s="2"/>
      <c r="J300" s="2"/>
      <c r="K300" s="2"/>
      <c r="L300" s="22" t="s">
        <v>383</v>
      </c>
      <c r="M300" s="2"/>
      <c r="N300" s="12" t="s">
        <v>322</v>
      </c>
      <c r="O300" s="2"/>
      <c r="P300" s="22" t="s">
        <v>391</v>
      </c>
      <c r="Q300" s="2"/>
      <c r="R300" s="226">
        <v>1</v>
      </c>
      <c r="S300" s="2"/>
      <c r="V300" s="45">
        <v>299</v>
      </c>
    </row>
    <row r="301" spans="1:22" ht="15" customHeight="1">
      <c r="A301" s="228">
        <v>51</v>
      </c>
      <c r="B301" s="75">
        <v>5</v>
      </c>
      <c r="C301" s="12" t="s">
        <v>375</v>
      </c>
      <c r="D301" s="12" t="s">
        <v>376</v>
      </c>
      <c r="E301" s="2"/>
      <c r="F301" s="2"/>
      <c r="G301" s="2"/>
      <c r="H301" s="2"/>
      <c r="I301" s="2"/>
      <c r="J301" s="2"/>
      <c r="K301" s="2"/>
      <c r="L301" s="22" t="s">
        <v>383</v>
      </c>
      <c r="M301" s="2"/>
      <c r="N301" s="12" t="s">
        <v>322</v>
      </c>
      <c r="O301" s="2"/>
      <c r="P301" s="22" t="s">
        <v>391</v>
      </c>
      <c r="Q301" s="2"/>
      <c r="R301" s="226">
        <v>1</v>
      </c>
      <c r="S301" s="2"/>
      <c r="V301" s="45">
        <v>300</v>
      </c>
    </row>
    <row r="302" spans="1:22" ht="15" customHeight="1">
      <c r="A302" s="228">
        <v>51</v>
      </c>
      <c r="B302" s="75">
        <v>6</v>
      </c>
      <c r="C302" s="12" t="s">
        <v>375</v>
      </c>
      <c r="D302" s="12" t="s">
        <v>376</v>
      </c>
      <c r="E302" s="2"/>
      <c r="F302" s="2"/>
      <c r="G302" s="2"/>
      <c r="H302" s="2"/>
      <c r="I302" s="2"/>
      <c r="J302" s="2"/>
      <c r="K302" s="2"/>
      <c r="L302" s="22" t="s">
        <v>383</v>
      </c>
      <c r="M302" s="2"/>
      <c r="N302" s="12" t="s">
        <v>322</v>
      </c>
      <c r="O302" s="2"/>
      <c r="P302" s="22" t="s">
        <v>391</v>
      </c>
      <c r="Q302" s="2"/>
      <c r="R302" s="226">
        <v>1</v>
      </c>
      <c r="S302" s="2"/>
      <c r="V302" s="45">
        <v>301</v>
      </c>
    </row>
    <row r="303" spans="1:22" ht="15" customHeight="1">
      <c r="A303" s="228">
        <v>51</v>
      </c>
      <c r="B303" s="75">
        <v>7</v>
      </c>
      <c r="C303" s="27" t="s">
        <v>375</v>
      </c>
      <c r="D303" s="27" t="s">
        <v>376</v>
      </c>
      <c r="E303" s="2"/>
      <c r="F303" s="2"/>
      <c r="G303" s="2"/>
      <c r="H303" s="2"/>
      <c r="I303" s="2"/>
      <c r="J303" s="2"/>
      <c r="K303" s="2"/>
      <c r="L303" s="22" t="s">
        <v>383</v>
      </c>
      <c r="M303" s="2"/>
      <c r="N303" s="12" t="s">
        <v>322</v>
      </c>
      <c r="O303" s="2"/>
      <c r="P303" s="22" t="s">
        <v>391</v>
      </c>
      <c r="Q303" s="2"/>
      <c r="R303" s="226">
        <v>1</v>
      </c>
      <c r="S303" s="2"/>
      <c r="V303" s="45">
        <v>302</v>
      </c>
    </row>
    <row r="304" spans="1:22" ht="15" customHeight="1">
      <c r="A304" s="272">
        <v>52</v>
      </c>
      <c r="B304" s="200">
        <v>1</v>
      </c>
      <c r="C304" s="12" t="s">
        <v>384</v>
      </c>
      <c r="D304" s="122" t="s">
        <v>387</v>
      </c>
      <c r="E304" s="227"/>
      <c r="F304" s="227"/>
      <c r="G304" s="227"/>
      <c r="H304" s="227"/>
      <c r="I304" s="227"/>
      <c r="J304" s="227"/>
      <c r="K304" s="227"/>
      <c r="L304" s="227"/>
      <c r="M304" s="227"/>
      <c r="N304" s="227" t="s">
        <v>322</v>
      </c>
      <c r="O304" s="227"/>
      <c r="P304" s="227" t="s">
        <v>386</v>
      </c>
      <c r="Q304" s="234"/>
      <c r="R304" s="235"/>
      <c r="S304" s="2"/>
      <c r="V304" s="45">
        <v>303</v>
      </c>
    </row>
    <row r="305" spans="1:37" ht="15" customHeight="1">
      <c r="A305" s="233">
        <v>52</v>
      </c>
      <c r="B305" s="201">
        <v>2</v>
      </c>
      <c r="C305" s="12" t="s">
        <v>384</v>
      </c>
      <c r="D305" s="122" t="s">
        <v>387</v>
      </c>
      <c r="E305" s="12"/>
      <c r="F305" s="12"/>
      <c r="G305" s="12"/>
      <c r="H305" s="12"/>
      <c r="I305" s="12"/>
      <c r="J305" s="12"/>
      <c r="K305" s="12"/>
      <c r="L305" s="12"/>
      <c r="M305" s="12"/>
      <c r="N305" s="12" t="s">
        <v>322</v>
      </c>
      <c r="O305" s="12"/>
      <c r="P305" s="12" t="s">
        <v>386</v>
      </c>
      <c r="Q305" s="2"/>
      <c r="R305" s="236"/>
      <c r="S305" s="2"/>
      <c r="V305" s="45">
        <v>304</v>
      </c>
    </row>
    <row r="306" spans="1:37" ht="15" customHeight="1">
      <c r="A306" s="233">
        <v>52</v>
      </c>
      <c r="B306" s="201">
        <v>3</v>
      </c>
      <c r="C306" s="12" t="s">
        <v>384</v>
      </c>
      <c r="D306" s="122" t="s">
        <v>387</v>
      </c>
      <c r="E306" s="12"/>
      <c r="F306" s="12"/>
      <c r="G306" s="12"/>
      <c r="H306" s="12"/>
      <c r="I306" s="12"/>
      <c r="J306" s="12"/>
      <c r="K306" s="12"/>
      <c r="L306" s="12"/>
      <c r="M306" s="12"/>
      <c r="N306" s="12" t="s">
        <v>322</v>
      </c>
      <c r="O306" s="12"/>
      <c r="P306" s="12" t="s">
        <v>386</v>
      </c>
      <c r="Q306" s="2"/>
      <c r="R306" s="236"/>
      <c r="S306" s="2"/>
      <c r="V306" s="45">
        <v>305</v>
      </c>
    </row>
    <row r="307" spans="1:37" ht="15" customHeight="1">
      <c r="A307" s="233">
        <v>52</v>
      </c>
      <c r="B307" s="202">
        <v>4</v>
      </c>
      <c r="C307" s="12" t="s">
        <v>384</v>
      </c>
      <c r="D307" s="122" t="s">
        <v>387</v>
      </c>
      <c r="E307" s="12"/>
      <c r="F307" s="12"/>
      <c r="G307" s="12"/>
      <c r="H307" s="12"/>
      <c r="I307" s="12"/>
      <c r="J307" s="12"/>
      <c r="K307" s="12"/>
      <c r="L307" s="12"/>
      <c r="M307" s="12"/>
      <c r="N307" s="12" t="s">
        <v>322</v>
      </c>
      <c r="O307" s="12"/>
      <c r="P307" s="12" t="s">
        <v>386</v>
      </c>
      <c r="Q307" s="2"/>
      <c r="R307" s="236"/>
      <c r="S307" s="2"/>
      <c r="V307" s="45">
        <v>306</v>
      </c>
    </row>
    <row r="308" spans="1:37" ht="15" customHeight="1">
      <c r="A308" s="199">
        <v>53</v>
      </c>
      <c r="B308" s="201">
        <v>1</v>
      </c>
      <c r="C308" s="227" t="s">
        <v>384</v>
      </c>
      <c r="D308" s="325" t="s">
        <v>395</v>
      </c>
      <c r="E308" s="227" t="s">
        <v>377</v>
      </c>
      <c r="F308" s="227">
        <v>25</v>
      </c>
      <c r="G308" s="227">
        <v>0.5</v>
      </c>
      <c r="H308" s="227" t="s">
        <v>381</v>
      </c>
      <c r="I308" s="227">
        <v>25</v>
      </c>
      <c r="J308" s="227">
        <v>1</v>
      </c>
      <c r="K308" s="227" t="s">
        <v>378</v>
      </c>
      <c r="L308" s="222" t="s">
        <v>383</v>
      </c>
      <c r="M308" s="227"/>
      <c r="N308" s="227" t="s">
        <v>322</v>
      </c>
      <c r="O308" s="227" t="s">
        <v>380</v>
      </c>
      <c r="P308" s="227"/>
      <c r="Q308" s="227"/>
      <c r="R308" s="225">
        <v>1</v>
      </c>
      <c r="S308" s="12"/>
      <c r="T308" s="12"/>
      <c r="U308" s="12"/>
      <c r="V308" s="45">
        <v>307</v>
      </c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spans="1:37" ht="15" customHeight="1">
      <c r="A309" s="196">
        <v>53</v>
      </c>
      <c r="B309" s="201">
        <v>2</v>
      </c>
      <c r="C309" s="12" t="s">
        <v>384</v>
      </c>
      <c r="D309" s="122" t="s">
        <v>395</v>
      </c>
      <c r="E309" s="12" t="s">
        <v>377</v>
      </c>
      <c r="F309" s="12">
        <v>25</v>
      </c>
      <c r="G309" s="12">
        <v>0.5</v>
      </c>
      <c r="H309" s="12" t="s">
        <v>381</v>
      </c>
      <c r="I309" s="12">
        <v>25</v>
      </c>
      <c r="J309" s="12">
        <v>1</v>
      </c>
      <c r="K309" s="12" t="s">
        <v>378</v>
      </c>
      <c r="L309" s="22" t="s">
        <v>383</v>
      </c>
      <c r="M309" s="12"/>
      <c r="N309" s="12" t="s">
        <v>322</v>
      </c>
      <c r="O309" s="12" t="s">
        <v>380</v>
      </c>
      <c r="P309" s="12"/>
      <c r="Q309" s="12"/>
      <c r="R309" s="226">
        <v>1</v>
      </c>
      <c r="S309" s="12"/>
      <c r="T309" s="12"/>
      <c r="U309" s="12"/>
      <c r="V309" s="45">
        <v>308</v>
      </c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spans="1:37" ht="15" customHeight="1">
      <c r="A310" s="196">
        <v>53</v>
      </c>
      <c r="B310" s="201">
        <v>3</v>
      </c>
      <c r="C310" s="12" t="s">
        <v>384</v>
      </c>
      <c r="D310" s="122" t="s">
        <v>395</v>
      </c>
      <c r="E310" s="12" t="s">
        <v>377</v>
      </c>
      <c r="F310" s="12">
        <v>25</v>
      </c>
      <c r="G310" s="12">
        <v>0.5</v>
      </c>
      <c r="H310" s="12" t="s">
        <v>381</v>
      </c>
      <c r="I310" s="12">
        <v>25</v>
      </c>
      <c r="J310" s="12">
        <v>1</v>
      </c>
      <c r="K310" s="12" t="s">
        <v>378</v>
      </c>
      <c r="L310" s="22" t="s">
        <v>383</v>
      </c>
      <c r="M310" s="12"/>
      <c r="N310" s="12" t="s">
        <v>322</v>
      </c>
      <c r="O310" s="12" t="s">
        <v>380</v>
      </c>
      <c r="P310" s="12"/>
      <c r="Q310" s="12"/>
      <c r="R310" s="226">
        <v>1</v>
      </c>
      <c r="S310" s="12"/>
      <c r="T310" s="12"/>
      <c r="U310" s="12"/>
      <c r="V310" s="45">
        <v>309</v>
      </c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spans="1:37" ht="15" customHeight="1">
      <c r="A311" s="196">
        <v>53</v>
      </c>
      <c r="B311" s="201">
        <v>4</v>
      </c>
      <c r="C311" s="12" t="s">
        <v>384</v>
      </c>
      <c r="D311" s="122" t="s">
        <v>395</v>
      </c>
      <c r="E311" s="12" t="s">
        <v>377</v>
      </c>
      <c r="F311" s="12">
        <v>25</v>
      </c>
      <c r="G311" s="12">
        <v>0.5</v>
      </c>
      <c r="H311" s="12" t="s">
        <v>381</v>
      </c>
      <c r="I311" s="12">
        <v>25</v>
      </c>
      <c r="J311" s="12">
        <v>1</v>
      </c>
      <c r="K311" s="12" t="s">
        <v>378</v>
      </c>
      <c r="L311" s="22" t="s">
        <v>383</v>
      </c>
      <c r="M311" s="12"/>
      <c r="N311" s="12" t="s">
        <v>322</v>
      </c>
      <c r="O311" s="12" t="s">
        <v>380</v>
      </c>
      <c r="P311" s="12"/>
      <c r="Q311" s="12"/>
      <c r="R311" s="226">
        <v>1</v>
      </c>
      <c r="S311" s="12"/>
      <c r="T311" s="12"/>
      <c r="U311" s="12"/>
      <c r="V311" s="45">
        <v>310</v>
      </c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spans="1:37" ht="15" customHeight="1">
      <c r="A312" s="196">
        <v>53</v>
      </c>
      <c r="B312" s="201">
        <v>5</v>
      </c>
      <c r="C312" s="12" t="s">
        <v>384</v>
      </c>
      <c r="D312" s="122" t="s">
        <v>395</v>
      </c>
      <c r="E312" s="12" t="s">
        <v>377</v>
      </c>
      <c r="F312" s="12">
        <v>25</v>
      </c>
      <c r="G312" s="12">
        <v>0.5</v>
      </c>
      <c r="H312" s="12" t="s">
        <v>381</v>
      </c>
      <c r="I312" s="12">
        <v>25</v>
      </c>
      <c r="J312" s="12">
        <v>1</v>
      </c>
      <c r="K312" s="12" t="s">
        <v>378</v>
      </c>
      <c r="L312" s="22" t="s">
        <v>383</v>
      </c>
      <c r="M312" s="12"/>
      <c r="N312" s="12" t="s">
        <v>322</v>
      </c>
      <c r="O312" s="12" t="s">
        <v>380</v>
      </c>
      <c r="P312" s="12"/>
      <c r="Q312" s="12"/>
      <c r="R312" s="226">
        <v>1</v>
      </c>
      <c r="S312" s="12"/>
      <c r="T312" s="12"/>
      <c r="U312" s="12"/>
      <c r="V312" s="45">
        <v>311</v>
      </c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spans="1:37" ht="15" customHeight="1">
      <c r="A313" s="229">
        <v>54</v>
      </c>
      <c r="B313" s="200">
        <v>1</v>
      </c>
      <c r="C313" s="227" t="s">
        <v>384</v>
      </c>
      <c r="D313" s="227"/>
      <c r="E313" s="227"/>
      <c r="F313" s="227"/>
      <c r="G313" s="227"/>
      <c r="H313" s="227"/>
      <c r="I313" s="227"/>
      <c r="J313" s="227"/>
      <c r="K313" s="227"/>
      <c r="L313" s="222" t="s">
        <v>383</v>
      </c>
      <c r="M313" s="227"/>
      <c r="N313" s="227" t="s">
        <v>322</v>
      </c>
      <c r="O313" s="227"/>
      <c r="P313" s="227" t="s">
        <v>391</v>
      </c>
      <c r="Q313" s="227"/>
      <c r="R313" s="215">
        <v>1</v>
      </c>
      <c r="S313" s="12"/>
      <c r="T313" s="12"/>
      <c r="U313" s="12"/>
      <c r="V313" s="45">
        <v>312</v>
      </c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spans="1:37" ht="15" customHeight="1">
      <c r="A314" s="228">
        <v>54</v>
      </c>
      <c r="B314" s="201">
        <v>2</v>
      </c>
      <c r="C314" s="12" t="s">
        <v>384</v>
      </c>
      <c r="D314" s="12"/>
      <c r="E314" s="12"/>
      <c r="F314" s="12"/>
      <c r="G314" s="12"/>
      <c r="H314" s="12"/>
      <c r="I314" s="12"/>
      <c r="J314" s="12"/>
      <c r="K314" s="12"/>
      <c r="L314" s="22" t="s">
        <v>383</v>
      </c>
      <c r="M314" s="12"/>
      <c r="N314" s="12" t="s">
        <v>322</v>
      </c>
      <c r="O314" s="12"/>
      <c r="P314" s="12" t="s">
        <v>391</v>
      </c>
      <c r="Q314" s="12"/>
      <c r="R314" s="218">
        <v>1</v>
      </c>
      <c r="S314" s="12"/>
      <c r="T314" s="12"/>
      <c r="U314" s="12"/>
      <c r="V314" s="45">
        <v>313</v>
      </c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spans="1:37" ht="15" customHeight="1">
      <c r="A315" s="228">
        <v>54</v>
      </c>
      <c r="B315" s="201">
        <v>3</v>
      </c>
      <c r="C315" s="12" t="s">
        <v>384</v>
      </c>
      <c r="D315" s="12"/>
      <c r="E315" s="12"/>
      <c r="F315" s="12"/>
      <c r="G315" s="12"/>
      <c r="H315" s="12"/>
      <c r="I315" s="12"/>
      <c r="J315" s="12"/>
      <c r="K315" s="12"/>
      <c r="L315" s="22" t="s">
        <v>383</v>
      </c>
      <c r="M315" s="12"/>
      <c r="N315" s="12" t="s">
        <v>322</v>
      </c>
      <c r="O315" s="12"/>
      <c r="P315" s="12" t="s">
        <v>391</v>
      </c>
      <c r="Q315" s="12"/>
      <c r="R315" s="218">
        <v>1</v>
      </c>
      <c r="S315" s="12"/>
      <c r="T315" s="12"/>
      <c r="U315" s="12"/>
      <c r="V315" s="45">
        <v>314</v>
      </c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spans="1:37" ht="15" customHeight="1">
      <c r="A316" s="228">
        <v>54</v>
      </c>
      <c r="B316" s="201">
        <v>4</v>
      </c>
      <c r="C316" s="12" t="s">
        <v>384</v>
      </c>
      <c r="D316" s="12"/>
      <c r="E316" s="12"/>
      <c r="F316" s="12"/>
      <c r="G316" s="12"/>
      <c r="H316" s="12"/>
      <c r="I316" s="12"/>
      <c r="J316" s="12"/>
      <c r="K316" s="12"/>
      <c r="L316" s="22" t="s">
        <v>383</v>
      </c>
      <c r="M316" s="12"/>
      <c r="N316" s="12" t="s">
        <v>322</v>
      </c>
      <c r="O316" s="12"/>
      <c r="P316" s="12" t="s">
        <v>391</v>
      </c>
      <c r="Q316" s="12"/>
      <c r="R316" s="218">
        <v>1</v>
      </c>
      <c r="S316" s="12"/>
      <c r="T316" s="12"/>
      <c r="U316" s="12"/>
      <c r="V316" s="45">
        <v>315</v>
      </c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spans="1:37" ht="15" customHeight="1">
      <c r="A317" s="229">
        <v>55</v>
      </c>
      <c r="B317" s="200" t="s">
        <v>221</v>
      </c>
      <c r="C317" s="227" t="s">
        <v>375</v>
      </c>
      <c r="D317" s="227" t="s">
        <v>376</v>
      </c>
      <c r="E317" s="227" t="s">
        <v>377</v>
      </c>
      <c r="F317" s="227">
        <v>25</v>
      </c>
      <c r="G317" s="227">
        <v>2</v>
      </c>
      <c r="H317" s="227"/>
      <c r="I317" s="227"/>
      <c r="J317" s="227"/>
      <c r="K317" s="227"/>
      <c r="L317" s="227" t="s">
        <v>379</v>
      </c>
      <c r="M317" s="227">
        <v>190</v>
      </c>
      <c r="N317" s="227" t="s">
        <v>322</v>
      </c>
      <c r="O317" s="227" t="s">
        <v>380</v>
      </c>
      <c r="P317" s="227"/>
      <c r="Q317" s="227">
        <v>15</v>
      </c>
      <c r="R317" s="215"/>
      <c r="S317" s="12"/>
      <c r="T317" s="12"/>
      <c r="U317" s="12"/>
      <c r="V317" s="45">
        <v>316</v>
      </c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spans="1:37" ht="15" customHeight="1">
      <c r="A318" s="228">
        <v>55</v>
      </c>
      <c r="B318" s="201" t="s">
        <v>222</v>
      </c>
      <c r="C318" s="12" t="s">
        <v>375</v>
      </c>
      <c r="D318" s="12" t="s">
        <v>376</v>
      </c>
      <c r="E318" s="12" t="s">
        <v>377</v>
      </c>
      <c r="F318" s="12">
        <v>25</v>
      </c>
      <c r="G318" s="12">
        <v>2</v>
      </c>
      <c r="H318" s="12"/>
      <c r="I318" s="12"/>
      <c r="J318" s="12"/>
      <c r="K318" s="12"/>
      <c r="L318" s="12" t="s">
        <v>379</v>
      </c>
      <c r="M318" s="12">
        <v>190</v>
      </c>
      <c r="N318" s="12" t="s">
        <v>322</v>
      </c>
      <c r="O318" s="12" t="s">
        <v>380</v>
      </c>
      <c r="P318" s="12"/>
      <c r="Q318" s="12">
        <v>15</v>
      </c>
      <c r="R318" s="218"/>
      <c r="S318" s="12"/>
      <c r="T318" s="12"/>
      <c r="U318" s="12"/>
      <c r="V318" s="45">
        <v>317</v>
      </c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spans="1:37" ht="15" customHeight="1">
      <c r="A319" s="228">
        <v>55</v>
      </c>
      <c r="B319" s="201" t="s">
        <v>223</v>
      </c>
      <c r="C319" s="12" t="s">
        <v>375</v>
      </c>
      <c r="D319" s="12" t="s">
        <v>376</v>
      </c>
      <c r="E319" s="12" t="s">
        <v>377</v>
      </c>
      <c r="F319" s="12">
        <v>25</v>
      </c>
      <c r="G319" s="12">
        <v>2</v>
      </c>
      <c r="H319" s="12"/>
      <c r="I319" s="12"/>
      <c r="J319" s="12"/>
      <c r="K319" s="12"/>
      <c r="L319" s="12" t="s">
        <v>379</v>
      </c>
      <c r="M319" s="12">
        <v>190</v>
      </c>
      <c r="N319" s="12" t="s">
        <v>322</v>
      </c>
      <c r="O319" s="12" t="s">
        <v>380</v>
      </c>
      <c r="P319" s="12"/>
      <c r="Q319" s="12">
        <v>15</v>
      </c>
      <c r="R319" s="218"/>
      <c r="S319" s="2"/>
      <c r="V319" s="45">
        <v>318</v>
      </c>
    </row>
    <row r="320" spans="1:37" ht="15" customHeight="1">
      <c r="A320" s="228">
        <v>55</v>
      </c>
      <c r="B320" s="201" t="s">
        <v>225</v>
      </c>
      <c r="C320" s="12" t="s">
        <v>375</v>
      </c>
      <c r="D320" s="12" t="s">
        <v>376</v>
      </c>
      <c r="E320" s="12" t="s">
        <v>377</v>
      </c>
      <c r="F320" s="12">
        <v>25</v>
      </c>
      <c r="G320" s="12">
        <v>2</v>
      </c>
      <c r="H320" s="12"/>
      <c r="I320" s="12"/>
      <c r="J320" s="12"/>
      <c r="K320" s="12"/>
      <c r="L320" s="12" t="s">
        <v>379</v>
      </c>
      <c r="M320" s="12">
        <v>195</v>
      </c>
      <c r="N320" s="12" t="s">
        <v>322</v>
      </c>
      <c r="O320" s="12" t="s">
        <v>380</v>
      </c>
      <c r="P320" s="12"/>
      <c r="Q320" s="12">
        <v>15</v>
      </c>
      <c r="R320" s="218"/>
      <c r="S320" s="2"/>
      <c r="V320" s="45">
        <v>319</v>
      </c>
    </row>
    <row r="321" spans="1:22" ht="15" customHeight="1">
      <c r="A321" s="228">
        <v>55</v>
      </c>
      <c r="B321" s="201" t="s">
        <v>226</v>
      </c>
      <c r="C321" s="12" t="s">
        <v>375</v>
      </c>
      <c r="D321" s="12" t="s">
        <v>376</v>
      </c>
      <c r="E321" s="12" t="s">
        <v>377</v>
      </c>
      <c r="F321" s="12">
        <v>25</v>
      </c>
      <c r="G321" s="12">
        <v>2</v>
      </c>
      <c r="H321" s="12"/>
      <c r="I321" s="12"/>
      <c r="J321" s="12"/>
      <c r="K321" s="12"/>
      <c r="L321" s="12" t="s">
        <v>379</v>
      </c>
      <c r="M321" s="12">
        <v>195</v>
      </c>
      <c r="N321" s="12" t="s">
        <v>322</v>
      </c>
      <c r="O321" s="12" t="s">
        <v>380</v>
      </c>
      <c r="P321" s="12"/>
      <c r="Q321" s="12">
        <v>15</v>
      </c>
      <c r="R321" s="218"/>
      <c r="S321" s="2"/>
      <c r="V321" s="45">
        <v>320</v>
      </c>
    </row>
    <row r="322" spans="1:22" ht="15" customHeight="1">
      <c r="A322" s="228">
        <v>55</v>
      </c>
      <c r="B322" s="201" t="s">
        <v>227</v>
      </c>
      <c r="C322" s="12" t="s">
        <v>375</v>
      </c>
      <c r="D322" s="12" t="s">
        <v>376</v>
      </c>
      <c r="E322" s="12" t="s">
        <v>377</v>
      </c>
      <c r="F322" s="12">
        <v>25</v>
      </c>
      <c r="G322" s="12">
        <v>2</v>
      </c>
      <c r="H322" s="12"/>
      <c r="I322" s="12"/>
      <c r="J322" s="12"/>
      <c r="K322" s="12"/>
      <c r="L322" s="12" t="s">
        <v>379</v>
      </c>
      <c r="M322" s="12">
        <v>195</v>
      </c>
      <c r="N322" s="12" t="s">
        <v>322</v>
      </c>
      <c r="O322" s="12" t="s">
        <v>380</v>
      </c>
      <c r="P322" s="12"/>
      <c r="Q322" s="12">
        <v>15</v>
      </c>
      <c r="R322" s="218"/>
      <c r="S322" s="2"/>
      <c r="V322" s="45">
        <v>321</v>
      </c>
    </row>
    <row r="323" spans="1:22" ht="15" customHeight="1">
      <c r="A323" s="228">
        <v>55</v>
      </c>
      <c r="B323" s="201" t="s">
        <v>231</v>
      </c>
      <c r="C323" s="12" t="s">
        <v>375</v>
      </c>
      <c r="D323" s="12" t="s">
        <v>376</v>
      </c>
      <c r="E323" s="12" t="s">
        <v>377</v>
      </c>
      <c r="F323" s="12">
        <v>25</v>
      </c>
      <c r="G323" s="12">
        <v>2</v>
      </c>
      <c r="H323" s="12"/>
      <c r="I323" s="12"/>
      <c r="J323" s="12"/>
      <c r="K323" s="12"/>
      <c r="L323" s="12" t="s">
        <v>379</v>
      </c>
      <c r="M323" s="12">
        <v>200</v>
      </c>
      <c r="N323" s="12" t="s">
        <v>322</v>
      </c>
      <c r="O323" s="12" t="s">
        <v>380</v>
      </c>
      <c r="P323" s="12"/>
      <c r="Q323" s="12">
        <v>15</v>
      </c>
      <c r="R323" s="218"/>
      <c r="S323" s="2"/>
      <c r="V323" s="45">
        <v>322</v>
      </c>
    </row>
    <row r="324" spans="1:22" ht="15" customHeight="1">
      <c r="A324" s="228">
        <v>55</v>
      </c>
      <c r="B324" s="201" t="s">
        <v>232</v>
      </c>
      <c r="C324" s="12" t="s">
        <v>375</v>
      </c>
      <c r="D324" s="12" t="s">
        <v>376</v>
      </c>
      <c r="E324" s="12" t="s">
        <v>377</v>
      </c>
      <c r="F324" s="12">
        <v>25</v>
      </c>
      <c r="G324" s="12">
        <v>2</v>
      </c>
      <c r="H324" s="12"/>
      <c r="I324" s="12"/>
      <c r="J324" s="12"/>
      <c r="K324" s="12"/>
      <c r="L324" s="12" t="s">
        <v>379</v>
      </c>
      <c r="M324" s="12">
        <v>200</v>
      </c>
      <c r="N324" s="12" t="s">
        <v>322</v>
      </c>
      <c r="O324" s="12" t="s">
        <v>380</v>
      </c>
      <c r="P324" s="12"/>
      <c r="Q324" s="12">
        <v>15</v>
      </c>
      <c r="R324" s="218"/>
      <c r="S324" s="2"/>
      <c r="V324" s="45">
        <v>323</v>
      </c>
    </row>
    <row r="325" spans="1:22" ht="15" customHeight="1">
      <c r="A325" s="228">
        <v>55</v>
      </c>
      <c r="B325" s="201" t="s">
        <v>233</v>
      </c>
      <c r="C325" s="12" t="s">
        <v>375</v>
      </c>
      <c r="D325" s="12" t="s">
        <v>376</v>
      </c>
      <c r="E325" s="12" t="s">
        <v>377</v>
      </c>
      <c r="F325" s="12">
        <v>25</v>
      </c>
      <c r="G325" s="12">
        <v>2</v>
      </c>
      <c r="H325" s="12"/>
      <c r="I325" s="12"/>
      <c r="J325" s="12"/>
      <c r="K325" s="12"/>
      <c r="L325" s="12" t="s">
        <v>379</v>
      </c>
      <c r="M325" s="12">
        <v>200</v>
      </c>
      <c r="N325" s="12" t="s">
        <v>322</v>
      </c>
      <c r="O325" s="12" t="s">
        <v>380</v>
      </c>
      <c r="P325" s="12"/>
      <c r="Q325" s="12">
        <v>15</v>
      </c>
      <c r="R325" s="218"/>
      <c r="S325" s="2"/>
      <c r="V325" s="45">
        <v>324</v>
      </c>
    </row>
    <row r="326" spans="1:22" ht="15" customHeight="1">
      <c r="A326" s="199">
        <v>56</v>
      </c>
      <c r="B326" s="200" t="s">
        <v>221</v>
      </c>
      <c r="C326" s="227" t="s">
        <v>384</v>
      </c>
      <c r="D326" s="325" t="s">
        <v>395</v>
      </c>
      <c r="E326" s="227" t="s">
        <v>377</v>
      </c>
      <c r="F326" s="227"/>
      <c r="G326" s="227"/>
      <c r="H326" s="227" t="s">
        <v>381</v>
      </c>
      <c r="I326" s="227">
        <v>25</v>
      </c>
      <c r="J326" s="227">
        <v>1</v>
      </c>
      <c r="K326" s="227" t="s">
        <v>378</v>
      </c>
      <c r="L326" s="222" t="s">
        <v>383</v>
      </c>
      <c r="M326" s="227"/>
      <c r="N326" s="227" t="s">
        <v>322</v>
      </c>
      <c r="O326" s="227"/>
      <c r="P326" s="227" t="s">
        <v>386</v>
      </c>
      <c r="Q326" s="222"/>
      <c r="R326" s="215">
        <v>1</v>
      </c>
      <c r="S326" s="2"/>
      <c r="V326" s="45">
        <v>325</v>
      </c>
    </row>
    <row r="327" spans="1:22" ht="15" customHeight="1">
      <c r="A327" s="196">
        <v>56</v>
      </c>
      <c r="B327" s="201" t="s">
        <v>225</v>
      </c>
      <c r="C327" s="12" t="s">
        <v>375</v>
      </c>
      <c r="D327" s="12" t="s">
        <v>376</v>
      </c>
      <c r="E327" s="12"/>
      <c r="F327" s="12"/>
      <c r="G327" s="12"/>
      <c r="H327" s="12"/>
      <c r="I327" s="12"/>
      <c r="J327" s="12"/>
      <c r="K327" s="12"/>
      <c r="L327" s="12" t="s">
        <v>379</v>
      </c>
      <c r="M327" s="12">
        <v>175</v>
      </c>
      <c r="N327" s="12" t="s">
        <v>322</v>
      </c>
      <c r="O327" s="12" t="s">
        <v>380</v>
      </c>
      <c r="P327" s="12"/>
      <c r="Q327" s="12">
        <v>1</v>
      </c>
      <c r="R327" s="218"/>
      <c r="S327" s="2"/>
      <c r="V327" s="45">
        <v>326</v>
      </c>
    </row>
    <row r="328" spans="1:22" ht="15" customHeight="1">
      <c r="A328" s="199">
        <v>57</v>
      </c>
      <c r="B328" s="200">
        <v>1</v>
      </c>
      <c r="C328" s="227" t="s">
        <v>384</v>
      </c>
      <c r="D328" s="325" t="s">
        <v>395</v>
      </c>
      <c r="E328" s="234"/>
      <c r="F328" s="234"/>
      <c r="G328" s="234"/>
      <c r="H328" s="234"/>
      <c r="I328" s="234"/>
      <c r="J328" s="234"/>
      <c r="K328" s="234"/>
      <c r="L328" s="222" t="s">
        <v>383</v>
      </c>
      <c r="M328" s="234"/>
      <c r="N328" s="227" t="s">
        <v>322</v>
      </c>
      <c r="O328" s="234"/>
      <c r="P328" s="227" t="s">
        <v>386</v>
      </c>
      <c r="Q328" s="234"/>
      <c r="R328" s="215">
        <v>1</v>
      </c>
      <c r="S328" s="2"/>
      <c r="V328" s="45">
        <v>327</v>
      </c>
    </row>
    <row r="329" spans="1:22" ht="15" customHeight="1">
      <c r="A329" s="196">
        <v>57</v>
      </c>
      <c r="B329" s="201">
        <v>2</v>
      </c>
      <c r="C329" s="12" t="s">
        <v>384</v>
      </c>
      <c r="D329" s="122" t="s">
        <v>395</v>
      </c>
      <c r="E329" s="2"/>
      <c r="F329" s="2"/>
      <c r="G329" s="2"/>
      <c r="H329" s="2"/>
      <c r="I329" s="2"/>
      <c r="J329" s="2"/>
      <c r="K329" s="2"/>
      <c r="L329" s="22" t="s">
        <v>383</v>
      </c>
      <c r="M329" s="2"/>
      <c r="N329" s="12" t="s">
        <v>322</v>
      </c>
      <c r="O329" s="2"/>
      <c r="P329" s="12" t="s">
        <v>386</v>
      </c>
      <c r="Q329" s="2"/>
      <c r="R329" s="218">
        <v>1</v>
      </c>
      <c r="S329" s="2"/>
      <c r="V329" s="45">
        <v>328</v>
      </c>
    </row>
    <row r="330" spans="1:22" ht="15" customHeight="1">
      <c r="A330" s="199">
        <v>58</v>
      </c>
      <c r="B330" s="200">
        <v>1</v>
      </c>
      <c r="C330" s="227" t="s">
        <v>375</v>
      </c>
      <c r="D330" s="227" t="s">
        <v>376</v>
      </c>
      <c r="E330" s="227" t="s">
        <v>377</v>
      </c>
      <c r="F330" s="227"/>
      <c r="G330" s="227"/>
      <c r="H330" s="227"/>
      <c r="I330" s="227">
        <v>5</v>
      </c>
      <c r="J330" s="227">
        <v>2</v>
      </c>
      <c r="K330" s="227" t="s">
        <v>378</v>
      </c>
      <c r="L330" s="227" t="s">
        <v>379</v>
      </c>
      <c r="M330" s="227">
        <v>180</v>
      </c>
      <c r="N330" s="227" t="s">
        <v>322</v>
      </c>
      <c r="O330" s="227"/>
      <c r="P330" s="328" t="s">
        <v>389</v>
      </c>
      <c r="Q330" s="227">
        <v>15</v>
      </c>
      <c r="R330" s="215"/>
      <c r="S330" s="2"/>
      <c r="V330" s="45">
        <v>329</v>
      </c>
    </row>
    <row r="331" spans="1:22" ht="15" customHeight="1">
      <c r="A331" s="196">
        <v>58</v>
      </c>
      <c r="B331" s="201">
        <v>2</v>
      </c>
      <c r="C331" s="12" t="s">
        <v>375</v>
      </c>
      <c r="D331" s="12" t="s">
        <v>376</v>
      </c>
      <c r="E331" s="12" t="s">
        <v>377</v>
      </c>
      <c r="F331" s="12"/>
      <c r="G331" s="12"/>
      <c r="H331" s="12"/>
      <c r="I331" s="12">
        <v>5</v>
      </c>
      <c r="J331" s="12">
        <v>2</v>
      </c>
      <c r="K331" s="12" t="s">
        <v>378</v>
      </c>
      <c r="L331" s="12" t="s">
        <v>379</v>
      </c>
      <c r="M331" s="12">
        <v>180</v>
      </c>
      <c r="N331" s="12" t="s">
        <v>322</v>
      </c>
      <c r="O331" s="12"/>
      <c r="P331" s="123" t="s">
        <v>389</v>
      </c>
      <c r="Q331" s="12">
        <v>15</v>
      </c>
      <c r="R331" s="218"/>
      <c r="S331" s="2"/>
      <c r="V331" s="45">
        <v>330</v>
      </c>
    </row>
    <row r="332" spans="1:22" ht="15" customHeight="1">
      <c r="A332" s="196">
        <v>58</v>
      </c>
      <c r="B332" s="201">
        <v>3</v>
      </c>
      <c r="C332" s="12" t="s">
        <v>375</v>
      </c>
      <c r="D332" s="12" t="s">
        <v>376</v>
      </c>
      <c r="E332" s="12" t="s">
        <v>377</v>
      </c>
      <c r="F332" s="12"/>
      <c r="G332" s="12"/>
      <c r="H332" s="12"/>
      <c r="I332" s="12">
        <v>5</v>
      </c>
      <c r="J332" s="12">
        <v>2</v>
      </c>
      <c r="K332" s="12" t="s">
        <v>378</v>
      </c>
      <c r="L332" s="12" t="s">
        <v>379</v>
      </c>
      <c r="M332" s="12">
        <v>180</v>
      </c>
      <c r="N332" s="12" t="s">
        <v>322</v>
      </c>
      <c r="O332" s="12"/>
      <c r="P332" s="123" t="s">
        <v>389</v>
      </c>
      <c r="Q332" s="12">
        <v>15</v>
      </c>
      <c r="R332" s="218"/>
      <c r="S332" s="2"/>
      <c r="V332" s="45">
        <v>331</v>
      </c>
    </row>
    <row r="333" spans="1:22" ht="15" customHeight="1">
      <c r="A333" s="196">
        <v>58</v>
      </c>
      <c r="B333" s="201">
        <v>4</v>
      </c>
      <c r="C333" s="12" t="s">
        <v>375</v>
      </c>
      <c r="D333" s="12" t="s">
        <v>376</v>
      </c>
      <c r="E333" s="12" t="s">
        <v>377</v>
      </c>
      <c r="F333" s="12"/>
      <c r="G333" s="12"/>
      <c r="H333" s="12"/>
      <c r="I333" s="12">
        <v>5</v>
      </c>
      <c r="J333" s="12">
        <v>2</v>
      </c>
      <c r="K333" s="12" t="s">
        <v>378</v>
      </c>
      <c r="L333" s="12" t="s">
        <v>379</v>
      </c>
      <c r="M333" s="12">
        <v>180</v>
      </c>
      <c r="N333" s="12" t="s">
        <v>322</v>
      </c>
      <c r="O333" s="12"/>
      <c r="P333" s="123" t="s">
        <v>389</v>
      </c>
      <c r="Q333" s="12">
        <v>15</v>
      </c>
      <c r="R333" s="218"/>
      <c r="S333" s="2"/>
      <c r="V333" s="45">
        <v>332</v>
      </c>
    </row>
    <row r="334" spans="1:22" ht="15" customHeight="1">
      <c r="A334" s="196">
        <v>58</v>
      </c>
      <c r="B334" s="201">
        <v>5</v>
      </c>
      <c r="C334" s="12" t="s">
        <v>375</v>
      </c>
      <c r="D334" s="12" t="s">
        <v>376</v>
      </c>
      <c r="E334" s="12" t="s">
        <v>377</v>
      </c>
      <c r="F334" s="12"/>
      <c r="G334" s="12"/>
      <c r="H334" s="12"/>
      <c r="I334" s="12">
        <v>5</v>
      </c>
      <c r="J334" s="12">
        <v>2</v>
      </c>
      <c r="K334" s="12" t="s">
        <v>378</v>
      </c>
      <c r="L334" s="12" t="s">
        <v>379</v>
      </c>
      <c r="M334" s="12">
        <v>180</v>
      </c>
      <c r="N334" s="12" t="s">
        <v>322</v>
      </c>
      <c r="O334" s="12"/>
      <c r="P334" s="123" t="s">
        <v>389</v>
      </c>
      <c r="Q334" s="12">
        <v>15</v>
      </c>
      <c r="R334" s="218"/>
      <c r="S334" s="2"/>
      <c r="V334" s="45">
        <v>333</v>
      </c>
    </row>
    <row r="335" spans="1:22" ht="15" customHeight="1">
      <c r="A335" s="229">
        <v>59</v>
      </c>
      <c r="B335" s="74">
        <v>1</v>
      </c>
      <c r="C335" s="227" t="s">
        <v>384</v>
      </c>
      <c r="D335" s="234"/>
      <c r="E335" s="234"/>
      <c r="F335" s="234"/>
      <c r="G335" s="234"/>
      <c r="H335" s="234"/>
      <c r="I335" s="234"/>
      <c r="J335" s="234"/>
      <c r="K335" s="234"/>
      <c r="L335" s="234"/>
      <c r="M335" s="234"/>
      <c r="N335" s="227" t="s">
        <v>322</v>
      </c>
      <c r="O335" s="234"/>
      <c r="P335" s="227" t="s">
        <v>386</v>
      </c>
      <c r="Q335" s="234"/>
      <c r="R335" s="235"/>
      <c r="S335" s="2"/>
      <c r="V335" s="45">
        <v>334</v>
      </c>
    </row>
    <row r="336" spans="1:22" ht="15" customHeight="1">
      <c r="A336" s="228">
        <v>59</v>
      </c>
      <c r="B336" s="75">
        <v>2</v>
      </c>
      <c r="C336" s="12" t="s">
        <v>384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12" t="s">
        <v>322</v>
      </c>
      <c r="O336" s="2"/>
      <c r="P336" s="12" t="s">
        <v>386</v>
      </c>
      <c r="Q336" s="2"/>
      <c r="R336" s="236"/>
      <c r="S336" s="2"/>
      <c r="V336" s="45">
        <v>335</v>
      </c>
    </row>
    <row r="337" spans="1:22" ht="15" customHeight="1">
      <c r="A337" s="228">
        <v>59</v>
      </c>
      <c r="B337" s="75">
        <v>3</v>
      </c>
      <c r="C337" s="12" t="s">
        <v>384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12" t="s">
        <v>322</v>
      </c>
      <c r="O337" s="2"/>
      <c r="P337" s="12" t="s">
        <v>386</v>
      </c>
      <c r="Q337" s="2"/>
      <c r="R337" s="236"/>
      <c r="S337" s="2"/>
      <c r="V337" s="45">
        <v>336</v>
      </c>
    </row>
    <row r="338" spans="1:22" ht="15" customHeight="1">
      <c r="A338" s="228">
        <v>59</v>
      </c>
      <c r="B338" s="75">
        <v>4</v>
      </c>
      <c r="C338" s="12" t="s">
        <v>384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12" t="s">
        <v>322</v>
      </c>
      <c r="O338" s="2"/>
      <c r="P338" s="12" t="s">
        <v>386</v>
      </c>
      <c r="Q338" s="2"/>
      <c r="R338" s="236"/>
      <c r="S338" s="2"/>
      <c r="V338" s="45">
        <v>337</v>
      </c>
    </row>
    <row r="339" spans="1:22" ht="15" customHeight="1">
      <c r="A339" s="228">
        <v>59</v>
      </c>
      <c r="B339" s="75">
        <v>5</v>
      </c>
      <c r="C339" s="12" t="s">
        <v>384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12" t="s">
        <v>322</v>
      </c>
      <c r="O339" s="2"/>
      <c r="P339" s="12" t="s">
        <v>386</v>
      </c>
      <c r="Q339" s="2"/>
      <c r="R339" s="236"/>
      <c r="S339" s="2"/>
      <c r="V339" s="45">
        <v>338</v>
      </c>
    </row>
    <row r="340" spans="1:22" ht="15" customHeight="1">
      <c r="A340" s="228">
        <v>59</v>
      </c>
      <c r="B340" s="75">
        <v>6</v>
      </c>
      <c r="C340" s="12" t="s">
        <v>384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12" t="s">
        <v>322</v>
      </c>
      <c r="O340" s="2"/>
      <c r="P340" s="12" t="s">
        <v>386</v>
      </c>
      <c r="Q340" s="2"/>
      <c r="R340" s="236"/>
      <c r="S340" s="2"/>
      <c r="V340" s="45">
        <v>339</v>
      </c>
    </row>
    <row r="341" spans="1:22" ht="15" customHeight="1">
      <c r="A341" s="229">
        <v>60</v>
      </c>
      <c r="B341" s="74">
        <v>1</v>
      </c>
      <c r="C341" s="227" t="s">
        <v>384</v>
      </c>
      <c r="D341" s="325" t="s">
        <v>387</v>
      </c>
      <c r="E341" s="234"/>
      <c r="F341" s="234"/>
      <c r="G341" s="234"/>
      <c r="H341" s="234"/>
      <c r="I341" s="234"/>
      <c r="J341" s="234"/>
      <c r="K341" s="234"/>
      <c r="L341" s="222" t="s">
        <v>383</v>
      </c>
      <c r="M341" s="234"/>
      <c r="N341" s="227" t="s">
        <v>322</v>
      </c>
      <c r="O341" s="234"/>
      <c r="P341" s="227" t="s">
        <v>382</v>
      </c>
      <c r="Q341" s="234"/>
      <c r="R341" s="215">
        <v>1</v>
      </c>
      <c r="S341" s="2"/>
      <c r="V341" s="45">
        <v>340</v>
      </c>
    </row>
    <row r="342" spans="1:22" ht="15" customHeight="1">
      <c r="A342" s="228">
        <v>60</v>
      </c>
      <c r="B342" s="75">
        <v>2</v>
      </c>
      <c r="C342" s="12" t="s">
        <v>384</v>
      </c>
      <c r="D342" s="122" t="s">
        <v>387</v>
      </c>
      <c r="E342" s="2"/>
      <c r="F342" s="2"/>
      <c r="G342" s="2"/>
      <c r="H342" s="2"/>
      <c r="I342" s="2"/>
      <c r="J342" s="2"/>
      <c r="K342" s="2"/>
      <c r="L342" s="22" t="s">
        <v>383</v>
      </c>
      <c r="M342" s="2"/>
      <c r="N342" s="12" t="s">
        <v>322</v>
      </c>
      <c r="O342" s="2"/>
      <c r="P342" s="12" t="s">
        <v>382</v>
      </c>
      <c r="Q342" s="2"/>
      <c r="R342" s="218">
        <v>1</v>
      </c>
      <c r="S342" s="2"/>
      <c r="V342" s="45">
        <v>341</v>
      </c>
    </row>
    <row r="343" spans="1:22" ht="15" customHeight="1">
      <c r="A343" s="228">
        <v>60</v>
      </c>
      <c r="B343" s="75">
        <v>3</v>
      </c>
      <c r="C343" s="12" t="s">
        <v>384</v>
      </c>
      <c r="D343" s="122" t="s">
        <v>387</v>
      </c>
      <c r="E343" s="2"/>
      <c r="F343" s="2"/>
      <c r="G343" s="2"/>
      <c r="H343" s="2"/>
      <c r="I343" s="2"/>
      <c r="J343" s="2"/>
      <c r="K343" s="2"/>
      <c r="L343" s="22" t="s">
        <v>383</v>
      </c>
      <c r="M343" s="2"/>
      <c r="N343" s="12" t="s">
        <v>322</v>
      </c>
      <c r="O343" s="2"/>
      <c r="P343" s="12" t="s">
        <v>382</v>
      </c>
      <c r="Q343" s="2"/>
      <c r="R343" s="218">
        <v>1</v>
      </c>
      <c r="S343" s="2"/>
      <c r="V343" s="45">
        <v>342</v>
      </c>
    </row>
    <row r="344" spans="1:22" ht="15" customHeight="1">
      <c r="A344" s="228">
        <v>60</v>
      </c>
      <c r="B344" s="75">
        <v>4</v>
      </c>
      <c r="C344" s="12" t="s">
        <v>384</v>
      </c>
      <c r="D344" s="122" t="s">
        <v>387</v>
      </c>
      <c r="E344" s="2"/>
      <c r="F344" s="2"/>
      <c r="G344" s="2"/>
      <c r="H344" s="2"/>
      <c r="I344" s="2"/>
      <c r="J344" s="2"/>
      <c r="K344" s="2"/>
      <c r="L344" s="22" t="s">
        <v>383</v>
      </c>
      <c r="M344" s="2"/>
      <c r="N344" s="12" t="s">
        <v>322</v>
      </c>
      <c r="O344" s="2"/>
      <c r="P344" s="12" t="s">
        <v>382</v>
      </c>
      <c r="Q344" s="2"/>
      <c r="R344" s="218">
        <v>1</v>
      </c>
      <c r="S344" s="2"/>
      <c r="V344" s="45">
        <v>343</v>
      </c>
    </row>
    <row r="345" spans="1:22" ht="15" customHeight="1">
      <c r="A345" s="228">
        <v>60</v>
      </c>
      <c r="B345" s="75">
        <v>5</v>
      </c>
      <c r="C345" s="12" t="s">
        <v>384</v>
      </c>
      <c r="D345" s="122" t="s">
        <v>387</v>
      </c>
      <c r="E345" s="2"/>
      <c r="F345" s="2"/>
      <c r="G345" s="2"/>
      <c r="H345" s="2"/>
      <c r="I345" s="2"/>
      <c r="J345" s="2"/>
      <c r="K345" s="2"/>
      <c r="L345" s="22" t="s">
        <v>383</v>
      </c>
      <c r="M345" s="2"/>
      <c r="N345" s="12" t="s">
        <v>322</v>
      </c>
      <c r="O345" s="2"/>
      <c r="P345" s="12" t="s">
        <v>382</v>
      </c>
      <c r="Q345" s="2"/>
      <c r="R345" s="218">
        <v>1</v>
      </c>
      <c r="S345" s="2"/>
      <c r="V345" s="45">
        <v>344</v>
      </c>
    </row>
    <row r="346" spans="1:22" ht="15" customHeight="1">
      <c r="A346" s="228">
        <v>60</v>
      </c>
      <c r="B346" s="75">
        <v>6</v>
      </c>
      <c r="C346" s="12" t="s">
        <v>384</v>
      </c>
      <c r="D346" s="122" t="s">
        <v>387</v>
      </c>
      <c r="E346" s="2"/>
      <c r="F346" s="2"/>
      <c r="G346" s="2"/>
      <c r="H346" s="2"/>
      <c r="I346" s="2"/>
      <c r="J346" s="2"/>
      <c r="K346" s="2"/>
      <c r="L346" s="22" t="s">
        <v>383</v>
      </c>
      <c r="M346" s="2"/>
      <c r="N346" s="12" t="s">
        <v>322</v>
      </c>
      <c r="O346" s="2"/>
      <c r="P346" s="12" t="s">
        <v>382</v>
      </c>
      <c r="Q346" s="2"/>
      <c r="R346" s="218">
        <v>1</v>
      </c>
      <c r="S346" s="2"/>
      <c r="V346" s="45">
        <v>345</v>
      </c>
    </row>
    <row r="347" spans="1:22" ht="15" customHeight="1">
      <c r="A347" s="228">
        <v>60</v>
      </c>
      <c r="B347" s="75">
        <v>7</v>
      </c>
      <c r="C347" s="12" t="s">
        <v>384</v>
      </c>
      <c r="D347" s="122" t="s">
        <v>387</v>
      </c>
      <c r="E347" s="2"/>
      <c r="F347" s="2"/>
      <c r="G347" s="2"/>
      <c r="H347" s="2"/>
      <c r="I347" s="2"/>
      <c r="J347" s="2"/>
      <c r="K347" s="2"/>
      <c r="L347" s="22" t="s">
        <v>383</v>
      </c>
      <c r="M347" s="2"/>
      <c r="N347" s="12" t="s">
        <v>322</v>
      </c>
      <c r="O347" s="2"/>
      <c r="P347" s="12" t="s">
        <v>382</v>
      </c>
      <c r="Q347" s="2"/>
      <c r="R347" s="218">
        <v>1</v>
      </c>
      <c r="S347" s="2"/>
      <c r="V347" s="45">
        <v>346</v>
      </c>
    </row>
    <row r="348" spans="1:22" ht="15" customHeight="1">
      <c r="A348" s="228">
        <v>60</v>
      </c>
      <c r="B348" s="75">
        <v>8</v>
      </c>
      <c r="C348" s="12" t="s">
        <v>384</v>
      </c>
      <c r="D348" s="122" t="s">
        <v>387</v>
      </c>
      <c r="E348" s="2"/>
      <c r="F348" s="2"/>
      <c r="G348" s="2"/>
      <c r="H348" s="2"/>
      <c r="I348" s="2"/>
      <c r="J348" s="2"/>
      <c r="K348" s="2"/>
      <c r="L348" s="22" t="s">
        <v>383</v>
      </c>
      <c r="M348" s="2"/>
      <c r="N348" s="12" t="s">
        <v>322</v>
      </c>
      <c r="O348" s="2"/>
      <c r="P348" s="12" t="s">
        <v>382</v>
      </c>
      <c r="Q348" s="2"/>
      <c r="R348" s="218">
        <v>1</v>
      </c>
      <c r="S348" s="2"/>
      <c r="V348" s="45">
        <v>347</v>
      </c>
    </row>
    <row r="349" spans="1:22" ht="15" customHeight="1">
      <c r="A349" s="124">
        <v>61</v>
      </c>
      <c r="B349" s="281">
        <v>1</v>
      </c>
      <c r="C349" s="125" t="s">
        <v>384</v>
      </c>
      <c r="D349" s="126" t="s">
        <v>387</v>
      </c>
      <c r="E349" s="127" t="s">
        <v>396</v>
      </c>
      <c r="F349" s="127"/>
      <c r="G349" s="127"/>
      <c r="H349" s="127"/>
      <c r="I349" s="127"/>
      <c r="J349" s="127"/>
      <c r="K349" s="127"/>
      <c r="L349" s="80" t="s">
        <v>383</v>
      </c>
      <c r="M349" s="125"/>
      <c r="N349" s="125" t="s">
        <v>322</v>
      </c>
      <c r="O349" s="127"/>
      <c r="P349" s="125" t="s">
        <v>386</v>
      </c>
      <c r="Q349" s="125">
        <v>1</v>
      </c>
      <c r="R349" s="128">
        <v>1</v>
      </c>
      <c r="S349" s="2"/>
      <c r="V349" s="45">
        <v>348</v>
      </c>
    </row>
    <row r="350" spans="1:22" ht="1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V350" s="45"/>
    </row>
    <row r="772" spans="13:15" ht="15" customHeight="1">
      <c r="M772" s="12"/>
      <c r="O772" s="22"/>
    </row>
    <row r="773" spans="13:15" ht="15.75" customHeight="1"/>
    <row r="774" spans="13:15" ht="15.75" customHeight="1"/>
    <row r="775" spans="13:15" ht="15.75" customHeight="1"/>
    <row r="776" spans="13:15" ht="15.75" customHeight="1"/>
    <row r="777" spans="13:15" ht="15.75" customHeight="1"/>
    <row r="778" spans="13:15" ht="15.75" customHeight="1"/>
    <row r="779" spans="13:15" ht="15.75" customHeight="1"/>
    <row r="780" spans="13:15" ht="15.75" customHeight="1"/>
  </sheetData>
  <autoFilter ref="A1:AK780" xr:uid="{00000000-0001-0000-0600-000000000000}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1FD7D-0B7A-4B08-89F0-5A426D4FD2A5}">
  <dimension ref="A1:T349"/>
  <sheetViews>
    <sheetView tabSelected="1" topLeftCell="J1" workbookViewId="0">
      <selection activeCell="S3" sqref="S3"/>
    </sheetView>
  </sheetViews>
  <sheetFormatPr defaultRowHeight="14.4"/>
  <cols>
    <col min="6" max="6" width="0.109375" customWidth="1"/>
    <col min="9" max="9" width="16.6640625" bestFit="1" customWidth="1"/>
    <col min="10" max="10" width="22.33203125" bestFit="1" customWidth="1"/>
    <col min="12" max="12" width="16.6640625" bestFit="1" customWidth="1"/>
    <col min="13" max="13" width="22.33203125" bestFit="1" customWidth="1"/>
    <col min="16" max="16" width="23.5546875" bestFit="1" customWidth="1"/>
    <col min="17" max="17" width="22.6640625" bestFit="1" customWidth="1"/>
    <col min="19" max="19" width="17.88671875" bestFit="1" customWidth="1"/>
    <col min="20" max="20" width="21.5546875" bestFit="1" customWidth="1"/>
  </cols>
  <sheetData>
    <row r="1" spans="1:20">
      <c r="A1" t="s">
        <v>219</v>
      </c>
      <c r="B1" t="s">
        <v>220</v>
      </c>
      <c r="C1" t="s">
        <v>359</v>
      </c>
      <c r="D1" t="s">
        <v>571</v>
      </c>
      <c r="E1" t="s">
        <v>572</v>
      </c>
      <c r="F1" t="s">
        <v>580</v>
      </c>
      <c r="G1" t="s">
        <v>586</v>
      </c>
      <c r="I1" s="526" t="s">
        <v>571</v>
      </c>
      <c r="J1" s="525" t="s">
        <v>579</v>
      </c>
      <c r="L1" s="526" t="s">
        <v>572</v>
      </c>
      <c r="M1" s="525" t="s">
        <v>579</v>
      </c>
      <c r="P1" s="526" t="s">
        <v>580</v>
      </c>
      <c r="Q1" s="525" t="s">
        <v>579</v>
      </c>
      <c r="S1" s="526" t="s">
        <v>586</v>
      </c>
      <c r="T1" s="525" t="s">
        <v>579</v>
      </c>
    </row>
    <row r="2" spans="1:20">
      <c r="A2">
        <v>1</v>
      </c>
      <c r="B2">
        <v>1</v>
      </c>
      <c r="C2" t="s">
        <v>375</v>
      </c>
      <c r="G2">
        <v>1334.6153801166299</v>
      </c>
    </row>
    <row r="3" spans="1:20">
      <c r="A3">
        <v>1</v>
      </c>
      <c r="B3">
        <v>2</v>
      </c>
      <c r="C3" t="s">
        <v>375</v>
      </c>
      <c r="G3">
        <v>1635.59288882331</v>
      </c>
      <c r="I3" s="519" t="s">
        <v>576</v>
      </c>
      <c r="J3" s="520" t="s">
        <v>578</v>
      </c>
      <c r="L3" s="519" t="s">
        <v>576</v>
      </c>
      <c r="M3" s="520" t="s">
        <v>578</v>
      </c>
      <c r="P3" s="519" t="s">
        <v>576</v>
      </c>
      <c r="Q3" s="520" t="s">
        <v>581</v>
      </c>
      <c r="S3" s="519" t="s">
        <v>576</v>
      </c>
      <c r="T3" s="520" t="s">
        <v>595</v>
      </c>
    </row>
    <row r="4" spans="1:20">
      <c r="A4">
        <v>1</v>
      </c>
      <c r="B4">
        <v>3</v>
      </c>
      <c r="C4" t="s">
        <v>375</v>
      </c>
      <c r="G4">
        <v>1965.3834445719499</v>
      </c>
      <c r="I4" s="521" t="s">
        <v>375</v>
      </c>
      <c r="J4" s="520">
        <v>120</v>
      </c>
      <c r="L4" s="521" t="s">
        <v>375</v>
      </c>
      <c r="M4" s="520">
        <v>57</v>
      </c>
      <c r="P4" s="521" t="s">
        <v>375</v>
      </c>
      <c r="Q4" s="520">
        <v>101</v>
      </c>
      <c r="S4" s="521" t="s">
        <v>375</v>
      </c>
      <c r="T4" s="528">
        <v>159</v>
      </c>
    </row>
    <row r="5" spans="1:20">
      <c r="A5">
        <v>1</v>
      </c>
      <c r="B5">
        <v>4</v>
      </c>
      <c r="C5" t="s">
        <v>375</v>
      </c>
      <c r="G5">
        <v>2346.2288481422602</v>
      </c>
      <c r="I5" s="522" t="s">
        <v>384</v>
      </c>
      <c r="J5" s="523">
        <v>116</v>
      </c>
      <c r="L5" s="522" t="s">
        <v>384</v>
      </c>
      <c r="M5" s="523">
        <v>38</v>
      </c>
      <c r="P5" s="522" t="s">
        <v>384</v>
      </c>
      <c r="Q5" s="523">
        <v>92</v>
      </c>
      <c r="S5" s="522" t="s">
        <v>384</v>
      </c>
      <c r="T5" s="529">
        <v>11</v>
      </c>
    </row>
    <row r="6" spans="1:20">
      <c r="A6">
        <v>1</v>
      </c>
      <c r="B6">
        <v>5</v>
      </c>
      <c r="C6" t="s">
        <v>375</v>
      </c>
      <c r="G6">
        <v>2990.77316872132</v>
      </c>
      <c r="I6" s="524" t="s">
        <v>577</v>
      </c>
      <c r="J6" s="525">
        <v>236</v>
      </c>
      <c r="L6" s="524" t="s">
        <v>577</v>
      </c>
      <c r="M6" s="525">
        <v>95</v>
      </c>
      <c r="P6" s="524" t="s">
        <v>577</v>
      </c>
      <c r="Q6" s="525">
        <v>193</v>
      </c>
      <c r="S6" s="524" t="s">
        <v>577</v>
      </c>
      <c r="T6" s="530">
        <v>170</v>
      </c>
    </row>
    <row r="7" spans="1:20">
      <c r="A7">
        <v>2</v>
      </c>
      <c r="B7">
        <v>1</v>
      </c>
      <c r="C7" t="s">
        <v>375</v>
      </c>
      <c r="D7">
        <v>7.8116806310642408E-5</v>
      </c>
      <c r="E7">
        <v>2.6282830311377898E-4</v>
      </c>
      <c r="F7">
        <v>2.6282830311377898E-4</v>
      </c>
      <c r="G7">
        <v>322.45905452963899</v>
      </c>
    </row>
    <row r="8" spans="1:20">
      <c r="A8">
        <v>2</v>
      </c>
      <c r="B8">
        <v>2</v>
      </c>
      <c r="C8" t="s">
        <v>375</v>
      </c>
      <c r="D8">
        <v>2.26406864333339E-6</v>
      </c>
      <c r="E8">
        <v>3.5015658260911697E-5</v>
      </c>
      <c r="F8">
        <v>3.5015658260911697E-5</v>
      </c>
      <c r="G8">
        <v>34.413049869757302</v>
      </c>
    </row>
    <row r="9" spans="1:20">
      <c r="A9">
        <v>2</v>
      </c>
      <c r="B9">
        <v>3</v>
      </c>
      <c r="C9" t="s">
        <v>375</v>
      </c>
      <c r="D9">
        <v>6.9042533485137996E-4</v>
      </c>
      <c r="E9">
        <v>1.1455561822784101E-3</v>
      </c>
      <c r="F9">
        <v>1.1455561822784101E-3</v>
      </c>
      <c r="J9">
        <f>GETPIVOTDATA("Study_id",$I$3)+GETPIVOTDATA("Study_id",$L$3)</f>
        <v>331</v>
      </c>
    </row>
    <row r="10" spans="1:20">
      <c r="A10">
        <v>2</v>
      </c>
      <c r="B10">
        <v>4</v>
      </c>
      <c r="C10" t="s">
        <v>375</v>
      </c>
      <c r="D10">
        <v>9.2320826649339909E-4</v>
      </c>
      <c r="E10">
        <v>3.7195620092518701E-3</v>
      </c>
      <c r="F10">
        <v>3.7195620092518701E-3</v>
      </c>
    </row>
    <row r="11" spans="1:20">
      <c r="A11">
        <v>3</v>
      </c>
      <c r="B11">
        <v>1</v>
      </c>
      <c r="C11" t="s">
        <v>375</v>
      </c>
      <c r="D11">
        <v>2.37474943173543E-5</v>
      </c>
      <c r="E11">
        <v>1.81071975453401E-5</v>
      </c>
      <c r="F11">
        <v>1.81071975453401E-5</v>
      </c>
      <c r="G11">
        <v>656.66394802535899</v>
      </c>
    </row>
    <row r="12" spans="1:20">
      <c r="A12">
        <v>3</v>
      </c>
      <c r="B12">
        <v>2</v>
      </c>
      <c r="C12" t="s">
        <v>375</v>
      </c>
      <c r="D12">
        <v>2.1517122110803E-3</v>
      </c>
      <c r="E12">
        <v>6.5543393870584293E-5</v>
      </c>
      <c r="F12">
        <v>6.5543393870584293E-5</v>
      </c>
      <c r="G12">
        <v>35017.121479422</v>
      </c>
      <c r="J12" t="str" cm="1">
        <f t="array" ref="J12:J73">_xlfn.UNIQUE(A:A)</f>
        <v>Study_id</v>
      </c>
      <c r="L12" t="s">
        <v>582</v>
      </c>
      <c r="M12" t="s">
        <v>583</v>
      </c>
      <c r="N12" t="s">
        <v>584</v>
      </c>
      <c r="O12" t="s">
        <v>585</v>
      </c>
    </row>
    <row r="13" spans="1:20">
      <c r="A13">
        <v>3</v>
      </c>
      <c r="B13">
        <v>3</v>
      </c>
      <c r="C13" t="s">
        <v>375</v>
      </c>
      <c r="D13">
        <v>0.13240702811159602</v>
      </c>
      <c r="E13">
        <v>1.51413740824685E-4</v>
      </c>
      <c r="F13">
        <v>1.51413740824685E-4</v>
      </c>
      <c r="G13">
        <v>1465722.1822494699</v>
      </c>
      <c r="J13">
        <v>1</v>
      </c>
      <c r="L13">
        <f>COUNT(J13:J72)</f>
        <v>60</v>
      </c>
      <c r="M13">
        <v>348</v>
      </c>
      <c r="N13">
        <v>213</v>
      </c>
      <c r="O13">
        <v>135</v>
      </c>
    </row>
    <row r="14" spans="1:20">
      <c r="A14">
        <v>3</v>
      </c>
      <c r="B14">
        <v>4</v>
      </c>
      <c r="C14" t="s">
        <v>375</v>
      </c>
      <c r="D14">
        <v>1.6815127502392202E-4</v>
      </c>
      <c r="E14">
        <v>4.2796175387416397E-5</v>
      </c>
      <c r="F14">
        <v>4.2796175387416397E-5</v>
      </c>
      <c r="G14">
        <v>7782.9441043669603</v>
      </c>
      <c r="J14">
        <v>2</v>
      </c>
    </row>
    <row r="15" spans="1:20">
      <c r="A15">
        <v>4</v>
      </c>
      <c r="B15">
        <v>1</v>
      </c>
      <c r="C15" t="s">
        <v>375</v>
      </c>
      <c r="D15">
        <v>6.6089431059826297E-7</v>
      </c>
      <c r="E15">
        <v>6.0388241190619601E-6</v>
      </c>
      <c r="F15">
        <v>6.0388241190619601E-6</v>
      </c>
      <c r="G15">
        <v>193.755099576981</v>
      </c>
      <c r="J15">
        <v>3</v>
      </c>
      <c r="M15" s="527" t="s">
        <v>584</v>
      </c>
    </row>
    <row r="16" spans="1:20">
      <c r="A16">
        <v>4</v>
      </c>
      <c r="B16">
        <v>2</v>
      </c>
      <c r="C16" t="s">
        <v>375</v>
      </c>
      <c r="D16">
        <v>1.9369959509055001E-5</v>
      </c>
      <c r="E16">
        <v>2.3519526350709501E-5</v>
      </c>
      <c r="F16">
        <v>2.3519526350709501E-5</v>
      </c>
      <c r="G16">
        <v>1037.9059203438501</v>
      </c>
      <c r="J16">
        <v>4</v>
      </c>
      <c r="L16" t="s">
        <v>571</v>
      </c>
      <c r="M16" t="s">
        <v>572</v>
      </c>
      <c r="N16" t="s">
        <v>587</v>
      </c>
      <c r="P16" t="s">
        <v>588</v>
      </c>
      <c r="Q16">
        <f>COUNTIFS(L18:L500,"&lt;&gt;",M18:M500,"",N18:N500,"")</f>
        <v>3</v>
      </c>
    </row>
    <row r="17" spans="1:17">
      <c r="A17">
        <v>4</v>
      </c>
      <c r="B17">
        <v>3</v>
      </c>
      <c r="C17" t="s">
        <v>375</v>
      </c>
      <c r="D17">
        <v>7.5203425621060699E-5</v>
      </c>
      <c r="E17">
        <v>6.0388241190619606E-5</v>
      </c>
      <c r="F17">
        <v>6.0388241190619606E-5</v>
      </c>
      <c r="G17">
        <v>3168.82069765083</v>
      </c>
      <c r="J17">
        <v>5</v>
      </c>
      <c r="L17">
        <f>COUNT(L18:L500)</f>
        <v>26</v>
      </c>
      <c r="M17">
        <f t="shared" ref="M17:N17" si="0">COUNT(M18:M500)</f>
        <v>13</v>
      </c>
      <c r="N17">
        <f t="shared" si="0"/>
        <v>30</v>
      </c>
      <c r="P17" t="s">
        <v>589</v>
      </c>
      <c r="Q17">
        <f>COUNTIFS(L18:L500,"",M18:M500,"&lt;&gt;",N18:N500,"")</f>
        <v>0</v>
      </c>
    </row>
    <row r="18" spans="1:17">
      <c r="A18">
        <v>5</v>
      </c>
      <c r="B18">
        <v>1</v>
      </c>
      <c r="C18" t="s">
        <v>375</v>
      </c>
      <c r="D18">
        <v>8.3623838199155313E-6</v>
      </c>
      <c r="E18">
        <v>3.4087379834759098E-5</v>
      </c>
      <c r="F18">
        <v>3.4087379834759098E-5</v>
      </c>
      <c r="J18">
        <v>6</v>
      </c>
      <c r="N18">
        <v>1</v>
      </c>
      <c r="P18" t="s">
        <v>590</v>
      </c>
      <c r="Q18">
        <f>COUNTIFS(L18:L500,"",M18:M500,"",N18:N500,"&lt;&gt;")</f>
        <v>12</v>
      </c>
    </row>
    <row r="19" spans="1:17">
      <c r="A19">
        <v>5</v>
      </c>
      <c r="B19">
        <v>2</v>
      </c>
      <c r="C19" t="s">
        <v>375</v>
      </c>
      <c r="D19">
        <v>3.6219788372586698E-4</v>
      </c>
      <c r="E19">
        <v>3.5646024043929202E-4</v>
      </c>
      <c r="F19">
        <v>3.5646024043929202E-4</v>
      </c>
      <c r="J19">
        <v>7</v>
      </c>
      <c r="L19">
        <v>2</v>
      </c>
      <c r="M19">
        <v>2</v>
      </c>
      <c r="N19">
        <v>2</v>
      </c>
      <c r="P19" t="s">
        <v>593</v>
      </c>
      <c r="Q19">
        <f>COUNTIFS(L18:L500,"&lt;&gt;",M18:M500,"&lt;&gt;",N18:N500,"")</f>
        <v>5</v>
      </c>
    </row>
    <row r="20" spans="1:17">
      <c r="A20">
        <v>5</v>
      </c>
      <c r="B20">
        <v>3</v>
      </c>
      <c r="C20" t="s">
        <v>375</v>
      </c>
      <c r="D20">
        <v>1.6829642705753901E-4</v>
      </c>
      <c r="E20">
        <v>1.8819955200992199E-4</v>
      </c>
      <c r="F20">
        <v>1.8819955200992199E-4</v>
      </c>
      <c r="J20">
        <v>8</v>
      </c>
      <c r="L20">
        <v>3</v>
      </c>
      <c r="M20">
        <v>3</v>
      </c>
      <c r="N20">
        <v>3</v>
      </c>
      <c r="P20" t="s">
        <v>591</v>
      </c>
      <c r="Q20">
        <f>COUNTIFS(L18:L500,"&lt;&gt;",M18:M500,"",N18:N500,"&lt;&gt;")</f>
        <v>10</v>
      </c>
    </row>
    <row r="21" spans="1:17">
      <c r="A21">
        <v>5</v>
      </c>
      <c r="B21">
        <v>4</v>
      </c>
      <c r="C21" t="s">
        <v>375</v>
      </c>
      <c r="D21">
        <v>7.3773048029818499E-5</v>
      </c>
      <c r="E21">
        <v>3.8986037025490701E-5</v>
      </c>
      <c r="F21">
        <v>3.8986037025490701E-5</v>
      </c>
      <c r="J21">
        <v>9</v>
      </c>
      <c r="L21">
        <v>4</v>
      </c>
      <c r="M21">
        <v>4</v>
      </c>
      <c r="N21">
        <v>4</v>
      </c>
      <c r="P21" t="s">
        <v>592</v>
      </c>
      <c r="Q21">
        <f>COUNTIFS(L18:L500,"",M18:M500,"&lt;&gt;",N18:N500,"&lt;&gt;")</f>
        <v>0</v>
      </c>
    </row>
    <row r="22" spans="1:17">
      <c r="A22">
        <v>5</v>
      </c>
      <c r="B22">
        <v>5</v>
      </c>
      <c r="C22" t="s">
        <v>375</v>
      </c>
      <c r="D22">
        <v>5.47818082744525E-6</v>
      </c>
      <c r="E22">
        <v>6.04296390238132E-6</v>
      </c>
      <c r="F22">
        <v>6.04296390238132E-6</v>
      </c>
      <c r="J22">
        <v>11</v>
      </c>
      <c r="L22">
        <v>5</v>
      </c>
      <c r="M22">
        <v>5</v>
      </c>
      <c r="P22" t="s">
        <v>594</v>
      </c>
      <c r="Q22">
        <f>COUNTIFS(L18:L500,"&lt;&gt;",M18:M500,"&lt;&gt;",N18:N500,"&lt;&gt;")</f>
        <v>8</v>
      </c>
    </row>
    <row r="23" spans="1:17">
      <c r="A23">
        <v>5</v>
      </c>
      <c r="B23">
        <v>6</v>
      </c>
      <c r="C23" t="s">
        <v>375</v>
      </c>
      <c r="D23">
        <v>3.1934591389895901E-6</v>
      </c>
      <c r="E23">
        <v>7.9797380741988205E-6</v>
      </c>
      <c r="F23">
        <v>7.9797380741988205E-6</v>
      </c>
      <c r="J23">
        <v>12</v>
      </c>
      <c r="L23">
        <v>6</v>
      </c>
      <c r="N23">
        <v>6</v>
      </c>
    </row>
    <row r="24" spans="1:17">
      <c r="A24">
        <v>6</v>
      </c>
      <c r="B24">
        <v>1</v>
      </c>
      <c r="C24" t="s">
        <v>375</v>
      </c>
      <c r="D24">
        <v>1.5091405542646299E-5</v>
      </c>
      <c r="F24">
        <v>7.7097756251931328E-5</v>
      </c>
      <c r="G24">
        <v>762.85232849610304</v>
      </c>
      <c r="J24">
        <v>13</v>
      </c>
      <c r="L24">
        <v>7</v>
      </c>
      <c r="M24">
        <v>7</v>
      </c>
    </row>
    <row r="25" spans="1:17">
      <c r="A25">
        <v>6</v>
      </c>
      <c r="B25">
        <v>2</v>
      </c>
      <c r="C25" t="s">
        <v>375</v>
      </c>
      <c r="D25">
        <v>1.1418448306596499E-3</v>
      </c>
      <c r="F25">
        <v>7.6298619908954075E-4</v>
      </c>
      <c r="G25">
        <v>13335.214321633201</v>
      </c>
      <c r="J25">
        <v>14</v>
      </c>
      <c r="N25">
        <v>11</v>
      </c>
    </row>
    <row r="26" spans="1:17">
      <c r="A26">
        <v>6</v>
      </c>
      <c r="B26">
        <v>3</v>
      </c>
      <c r="C26" t="s">
        <v>375</v>
      </c>
      <c r="D26">
        <v>7.9351815692941096E-3</v>
      </c>
      <c r="F26">
        <v>4.6500130751126077E-3</v>
      </c>
      <c r="G26">
        <v>89308.512749914298</v>
      </c>
      <c r="J26">
        <v>15</v>
      </c>
      <c r="L26">
        <v>12</v>
      </c>
      <c r="N26">
        <v>12</v>
      </c>
    </row>
    <row r="27" spans="1:17">
      <c r="A27">
        <v>6</v>
      </c>
      <c r="B27">
        <v>4</v>
      </c>
      <c r="C27" t="s">
        <v>375</v>
      </c>
      <c r="D27">
        <v>2.15687860058109E-2</v>
      </c>
      <c r="F27">
        <v>1.3990956112877029E-2</v>
      </c>
      <c r="G27">
        <v>249644.17014069701</v>
      </c>
      <c r="J27">
        <v>16</v>
      </c>
      <c r="N27">
        <v>13</v>
      </c>
    </row>
    <row r="28" spans="1:17">
      <c r="A28">
        <v>7</v>
      </c>
      <c r="B28">
        <v>1</v>
      </c>
      <c r="C28" t="s">
        <v>375</v>
      </c>
      <c r="D28">
        <v>1.8968234314012899E-6</v>
      </c>
      <c r="E28">
        <v>3.9483219301735999E-5</v>
      </c>
      <c r="F28">
        <v>3.9483219301735999E-5</v>
      </c>
      <c r="J28">
        <v>17</v>
      </c>
      <c r="L28">
        <v>14</v>
      </c>
      <c r="M28">
        <v>14</v>
      </c>
    </row>
    <row r="29" spans="1:17">
      <c r="A29">
        <v>7</v>
      </c>
      <c r="B29">
        <v>2</v>
      </c>
      <c r="C29" t="s">
        <v>375</v>
      </c>
      <c r="D29">
        <v>8.3039076612001009E-3</v>
      </c>
      <c r="E29">
        <v>7.1862486844915304E-3</v>
      </c>
      <c r="F29">
        <v>7.1862486844915304E-3</v>
      </c>
      <c r="J29">
        <v>18</v>
      </c>
      <c r="N29">
        <v>15</v>
      </c>
    </row>
    <row r="30" spans="1:17">
      <c r="A30">
        <v>8</v>
      </c>
      <c r="B30">
        <v>1</v>
      </c>
      <c r="C30" t="s">
        <v>384</v>
      </c>
      <c r="D30">
        <v>6874.06855439642</v>
      </c>
      <c r="F30">
        <v>436.89377981666581</v>
      </c>
      <c r="J30">
        <v>19</v>
      </c>
    </row>
    <row r="31" spans="1:17">
      <c r="A31">
        <v>8</v>
      </c>
      <c r="B31">
        <v>2</v>
      </c>
      <c r="C31" t="s">
        <v>384</v>
      </c>
      <c r="D31">
        <v>7522.3546944858399</v>
      </c>
      <c r="F31">
        <v>459.88622834258848</v>
      </c>
      <c r="J31">
        <v>20</v>
      </c>
    </row>
    <row r="32" spans="1:17">
      <c r="A32">
        <v>8</v>
      </c>
      <c r="B32">
        <v>3</v>
      </c>
      <c r="C32" t="s">
        <v>384</v>
      </c>
      <c r="D32">
        <v>7622.9508196721299</v>
      </c>
      <c r="F32">
        <v>404.28610678633532</v>
      </c>
      <c r="J32">
        <v>21</v>
      </c>
    </row>
    <row r="33" spans="1:14">
      <c r="A33">
        <v>8</v>
      </c>
      <c r="B33">
        <v>4</v>
      </c>
      <c r="C33" t="s">
        <v>384</v>
      </c>
      <c r="D33">
        <v>4046.1997019373998</v>
      </c>
      <c r="F33">
        <v>232.29857879093106</v>
      </c>
      <c r="J33">
        <v>22</v>
      </c>
    </row>
    <row r="34" spans="1:14">
      <c r="A34">
        <v>9</v>
      </c>
      <c r="B34">
        <v>1</v>
      </c>
      <c r="C34" t="s">
        <v>384</v>
      </c>
      <c r="D34">
        <v>2779.4524142974601</v>
      </c>
      <c r="F34">
        <v>283.09237553029448</v>
      </c>
      <c r="J34">
        <v>23</v>
      </c>
    </row>
    <row r="35" spans="1:14">
      <c r="A35">
        <v>9</v>
      </c>
      <c r="B35">
        <v>2</v>
      </c>
      <c r="C35" t="s">
        <v>384</v>
      </c>
      <c r="D35">
        <v>3444.4342889310601</v>
      </c>
      <c r="F35">
        <v>69.919072104369818</v>
      </c>
      <c r="J35">
        <v>24</v>
      </c>
    </row>
    <row r="36" spans="1:14">
      <c r="A36">
        <v>9</v>
      </c>
      <c r="B36">
        <v>3</v>
      </c>
      <c r="C36" t="s">
        <v>384</v>
      </c>
      <c r="D36">
        <v>3242.7766007222899</v>
      </c>
      <c r="F36">
        <v>207.87029491809548</v>
      </c>
      <c r="J36">
        <v>25</v>
      </c>
    </row>
    <row r="37" spans="1:14">
      <c r="A37">
        <v>9</v>
      </c>
      <c r="B37">
        <v>4</v>
      </c>
      <c r="C37" t="s">
        <v>384</v>
      </c>
      <c r="D37">
        <v>3398.5642729759302</v>
      </c>
      <c r="F37">
        <v>187.59881136441211</v>
      </c>
      <c r="J37">
        <v>26</v>
      </c>
    </row>
    <row r="38" spans="1:14">
      <c r="A38">
        <v>11</v>
      </c>
      <c r="B38" t="s">
        <v>221</v>
      </c>
      <c r="C38" t="s">
        <v>375</v>
      </c>
      <c r="G38">
        <v>655.64184941797805</v>
      </c>
      <c r="J38">
        <v>27</v>
      </c>
      <c r="L38" s="527">
        <v>17</v>
      </c>
    </row>
    <row r="39" spans="1:14">
      <c r="A39">
        <v>11</v>
      </c>
      <c r="B39" t="s">
        <v>222</v>
      </c>
      <c r="C39" t="s">
        <v>375</v>
      </c>
      <c r="G39">
        <v>318.25686305580098</v>
      </c>
      <c r="J39">
        <v>28</v>
      </c>
      <c r="L39">
        <v>18</v>
      </c>
      <c r="M39">
        <v>18</v>
      </c>
    </row>
    <row r="40" spans="1:14">
      <c r="A40">
        <v>11</v>
      </c>
      <c r="B40" t="s">
        <v>223</v>
      </c>
      <c r="C40" t="s">
        <v>375</v>
      </c>
      <c r="G40">
        <v>240.19035030788001</v>
      </c>
      <c r="J40">
        <v>29</v>
      </c>
      <c r="N40">
        <v>20</v>
      </c>
    </row>
    <row r="41" spans="1:14">
      <c r="A41">
        <v>11</v>
      </c>
      <c r="B41" t="s">
        <v>224</v>
      </c>
      <c r="C41" t="s">
        <v>375</v>
      </c>
      <c r="G41">
        <v>285.46676634979298</v>
      </c>
      <c r="J41">
        <v>30</v>
      </c>
      <c r="N41">
        <v>21</v>
      </c>
    </row>
    <row r="42" spans="1:14">
      <c r="A42">
        <v>11</v>
      </c>
      <c r="B42" t="s">
        <v>225</v>
      </c>
      <c r="C42" t="s">
        <v>384</v>
      </c>
      <c r="D42">
        <v>4044.7031858346199</v>
      </c>
      <c r="F42">
        <v>55.42960734906562</v>
      </c>
      <c r="J42">
        <v>31</v>
      </c>
    </row>
    <row r="43" spans="1:14">
      <c r="A43">
        <v>11</v>
      </c>
      <c r="B43" t="s">
        <v>226</v>
      </c>
      <c r="C43" t="s">
        <v>384</v>
      </c>
      <c r="D43">
        <v>2738.9851019136099</v>
      </c>
      <c r="F43">
        <v>41.866770811095158</v>
      </c>
      <c r="J43">
        <v>32</v>
      </c>
    </row>
    <row r="44" spans="1:14">
      <c r="A44">
        <v>11</v>
      </c>
      <c r="B44" t="s">
        <v>227</v>
      </c>
      <c r="C44" t="s">
        <v>384</v>
      </c>
      <c r="D44">
        <v>2632.52817063572</v>
      </c>
      <c r="F44">
        <v>39.545737965918526</v>
      </c>
      <c r="J44">
        <v>33</v>
      </c>
    </row>
    <row r="45" spans="1:14">
      <c r="A45">
        <v>11</v>
      </c>
      <c r="B45" t="s">
        <v>228</v>
      </c>
      <c r="C45" t="s">
        <v>384</v>
      </c>
      <c r="D45">
        <v>1491.4240697027601</v>
      </c>
      <c r="F45">
        <v>32.230482091965889</v>
      </c>
      <c r="J45">
        <v>34</v>
      </c>
    </row>
    <row r="46" spans="1:14">
      <c r="A46">
        <v>12</v>
      </c>
      <c r="B46" t="s">
        <v>221</v>
      </c>
      <c r="C46" t="s">
        <v>375</v>
      </c>
      <c r="D46">
        <v>2.2939421957726698E-2</v>
      </c>
      <c r="F46">
        <v>2.7684108459327682E-2</v>
      </c>
      <c r="G46">
        <v>562700.78473477904</v>
      </c>
      <c r="J46">
        <v>35</v>
      </c>
      <c r="N46">
        <v>22</v>
      </c>
    </row>
    <row r="47" spans="1:14">
      <c r="A47">
        <v>12</v>
      </c>
      <c r="B47" t="s">
        <v>222</v>
      </c>
      <c r="C47" t="s">
        <v>375</v>
      </c>
      <c r="D47">
        <v>1.9250161970978398E-4</v>
      </c>
      <c r="F47">
        <v>2.738054439749729E-4</v>
      </c>
      <c r="G47">
        <v>5238.4271083747899</v>
      </c>
      <c r="J47">
        <v>36</v>
      </c>
      <c r="L47">
        <v>24</v>
      </c>
      <c r="N47">
        <v>24</v>
      </c>
    </row>
    <row r="48" spans="1:14">
      <c r="A48">
        <v>12</v>
      </c>
      <c r="B48" t="s">
        <v>223</v>
      </c>
      <c r="C48" t="s">
        <v>375</v>
      </c>
      <c r="D48">
        <v>1.0860113903145201E-4</v>
      </c>
      <c r="F48">
        <v>2.5414887670902757E-5</v>
      </c>
      <c r="G48">
        <v>1745.63432235659</v>
      </c>
      <c r="J48">
        <v>37</v>
      </c>
      <c r="L48">
        <v>26</v>
      </c>
      <c r="N48">
        <v>26</v>
      </c>
    </row>
    <row r="49" spans="1:14">
      <c r="A49">
        <v>12</v>
      </c>
      <c r="B49" t="s">
        <v>224</v>
      </c>
      <c r="C49" t="s">
        <v>375</v>
      </c>
      <c r="D49">
        <v>9.8719070212982287E-6</v>
      </c>
      <c r="F49">
        <v>4.451756962164651E-5</v>
      </c>
      <c r="G49">
        <v>713.66798014118797</v>
      </c>
      <c r="J49">
        <v>38</v>
      </c>
      <c r="L49">
        <v>28</v>
      </c>
      <c r="N49">
        <v>28</v>
      </c>
    </row>
    <row r="50" spans="1:14">
      <c r="A50">
        <v>12</v>
      </c>
      <c r="B50" t="s">
        <v>229</v>
      </c>
      <c r="C50" t="s">
        <v>375</v>
      </c>
      <c r="D50">
        <v>1.3279465837272701E-4</v>
      </c>
      <c r="F50">
        <v>3.9680560771921784E-5</v>
      </c>
      <c r="G50">
        <v>2169.1667459215901</v>
      </c>
      <c r="J50">
        <v>39</v>
      </c>
      <c r="L50">
        <v>29</v>
      </c>
      <c r="N50">
        <v>29</v>
      </c>
    </row>
    <row r="51" spans="1:14">
      <c r="A51">
        <v>12</v>
      </c>
      <c r="B51" t="s">
        <v>225</v>
      </c>
      <c r="C51" t="s">
        <v>384</v>
      </c>
      <c r="D51">
        <v>12525.235362351599</v>
      </c>
      <c r="F51">
        <v>183.02564680068784</v>
      </c>
      <c r="J51">
        <v>40</v>
      </c>
    </row>
    <row r="52" spans="1:14">
      <c r="A52">
        <v>12</v>
      </c>
      <c r="B52" t="s">
        <v>226</v>
      </c>
      <c r="C52" t="s">
        <v>384</v>
      </c>
      <c r="D52">
        <v>10345.704351709601</v>
      </c>
      <c r="F52">
        <v>188.97135653972396</v>
      </c>
      <c r="J52">
        <v>41</v>
      </c>
    </row>
    <row r="53" spans="1:14">
      <c r="A53">
        <v>12</v>
      </c>
      <c r="B53" t="s">
        <v>227</v>
      </c>
      <c r="C53" t="s">
        <v>384</v>
      </c>
      <c r="D53">
        <v>11456.2023544844</v>
      </c>
      <c r="F53">
        <v>175.01351666531659</v>
      </c>
      <c r="J53">
        <v>42</v>
      </c>
    </row>
    <row r="54" spans="1:14">
      <c r="A54">
        <v>12</v>
      </c>
      <c r="B54" t="s">
        <v>228</v>
      </c>
      <c r="C54" t="s">
        <v>384</v>
      </c>
      <c r="D54">
        <v>13869.682137681701</v>
      </c>
      <c r="F54">
        <v>221.09583379548189</v>
      </c>
      <c r="J54">
        <v>43</v>
      </c>
    </row>
    <row r="55" spans="1:14">
      <c r="A55">
        <v>12</v>
      </c>
      <c r="B55" t="s">
        <v>230</v>
      </c>
      <c r="C55" t="s">
        <v>384</v>
      </c>
      <c r="D55">
        <v>11026.44056311</v>
      </c>
      <c r="F55">
        <v>128.16711626263572</v>
      </c>
      <c r="J55">
        <v>44</v>
      </c>
    </row>
    <row r="56" spans="1:14">
      <c r="A56">
        <v>13</v>
      </c>
      <c r="B56">
        <v>1</v>
      </c>
      <c r="C56" t="s">
        <v>375</v>
      </c>
      <c r="G56">
        <v>6.07039264789507</v>
      </c>
      <c r="J56">
        <v>45</v>
      </c>
    </row>
    <row r="57" spans="1:14">
      <c r="A57">
        <v>13</v>
      </c>
      <c r="B57">
        <v>2</v>
      </c>
      <c r="C57" t="s">
        <v>375</v>
      </c>
      <c r="G57">
        <v>13.2336083953562</v>
      </c>
      <c r="J57">
        <v>46</v>
      </c>
    </row>
    <row r="58" spans="1:14">
      <c r="A58">
        <v>13</v>
      </c>
      <c r="B58">
        <v>3</v>
      </c>
      <c r="C58" t="s">
        <v>375</v>
      </c>
      <c r="G58">
        <v>22.441336418153099</v>
      </c>
      <c r="J58">
        <v>47</v>
      </c>
    </row>
    <row r="59" spans="1:14">
      <c r="A59">
        <v>13</v>
      </c>
      <c r="B59">
        <v>4</v>
      </c>
      <c r="C59" t="s">
        <v>375</v>
      </c>
      <c r="G59">
        <v>59.350790726368302</v>
      </c>
      <c r="J59">
        <v>48</v>
      </c>
    </row>
    <row r="60" spans="1:14">
      <c r="A60">
        <v>13</v>
      </c>
      <c r="B60">
        <v>5</v>
      </c>
      <c r="C60" t="s">
        <v>375</v>
      </c>
      <c r="G60">
        <v>25.199884990662198</v>
      </c>
      <c r="J60">
        <v>49</v>
      </c>
    </row>
    <row r="61" spans="1:14">
      <c r="A61">
        <v>13</v>
      </c>
      <c r="B61">
        <v>6</v>
      </c>
      <c r="C61" t="s">
        <v>375</v>
      </c>
      <c r="G61">
        <v>15.3466655520605</v>
      </c>
      <c r="J61">
        <v>50</v>
      </c>
    </row>
    <row r="62" spans="1:14">
      <c r="A62">
        <v>13</v>
      </c>
      <c r="B62">
        <v>7</v>
      </c>
      <c r="C62" t="s">
        <v>375</v>
      </c>
      <c r="G62">
        <v>6.6861301346527497</v>
      </c>
      <c r="J62">
        <v>51</v>
      </c>
    </row>
    <row r="63" spans="1:14">
      <c r="A63">
        <v>13</v>
      </c>
      <c r="B63">
        <v>8</v>
      </c>
      <c r="C63" t="s">
        <v>375</v>
      </c>
      <c r="G63">
        <v>8.5402071189957098</v>
      </c>
      <c r="J63">
        <v>52</v>
      </c>
    </row>
    <row r="64" spans="1:14">
      <c r="A64">
        <v>14</v>
      </c>
      <c r="B64">
        <v>1</v>
      </c>
      <c r="C64" t="s">
        <v>375</v>
      </c>
      <c r="D64">
        <v>2.26934152711838E-4</v>
      </c>
      <c r="E64">
        <v>1.2941039544084299E-3</v>
      </c>
      <c r="F64">
        <v>1.2941039544084299E-3</v>
      </c>
      <c r="J64">
        <v>53</v>
      </c>
    </row>
    <row r="65" spans="1:14">
      <c r="A65">
        <v>14</v>
      </c>
      <c r="B65">
        <v>2</v>
      </c>
      <c r="C65" t="s">
        <v>375</v>
      </c>
      <c r="D65">
        <v>4.8818908460809699E-4</v>
      </c>
      <c r="E65">
        <v>1.10273454821906E-3</v>
      </c>
      <c r="F65">
        <v>1.10273454821906E-3</v>
      </c>
      <c r="J65">
        <v>54</v>
      </c>
    </row>
    <row r="66" spans="1:14">
      <c r="A66">
        <v>14</v>
      </c>
      <c r="B66">
        <v>3</v>
      </c>
      <c r="C66" t="s">
        <v>375</v>
      </c>
      <c r="D66">
        <v>2.5141269035092902E-3</v>
      </c>
      <c r="E66">
        <v>1.84675511099487E-3</v>
      </c>
      <c r="F66">
        <v>1.84675511099487E-3</v>
      </c>
      <c r="J66">
        <v>55</v>
      </c>
    </row>
    <row r="67" spans="1:14">
      <c r="A67">
        <v>14</v>
      </c>
      <c r="B67">
        <v>4</v>
      </c>
      <c r="C67" t="s">
        <v>375</v>
      </c>
      <c r="D67">
        <v>6.0186161470522099E-3</v>
      </c>
      <c r="E67">
        <v>2.1672424209635602E-3</v>
      </c>
      <c r="F67">
        <v>2.1672424209635602E-3</v>
      </c>
      <c r="J67">
        <v>56</v>
      </c>
    </row>
    <row r="68" spans="1:14">
      <c r="A68">
        <v>14</v>
      </c>
      <c r="B68">
        <v>5</v>
      </c>
      <c r="C68" t="s">
        <v>375</v>
      </c>
      <c r="D68">
        <v>8.1475180266749204E-3</v>
      </c>
      <c r="E68">
        <v>3.3803189069540099E-3</v>
      </c>
      <c r="F68">
        <v>3.3803189069540099E-3</v>
      </c>
      <c r="J68">
        <v>57</v>
      </c>
    </row>
    <row r="69" spans="1:14">
      <c r="A69">
        <v>14</v>
      </c>
      <c r="B69">
        <v>6</v>
      </c>
      <c r="C69" t="s">
        <v>375</v>
      </c>
      <c r="D69">
        <v>1.0643377802739201E-2</v>
      </c>
      <c r="E69">
        <v>3.1763655150792301E-3</v>
      </c>
      <c r="F69">
        <v>3.1763655150792301E-3</v>
      </c>
      <c r="J69">
        <v>58</v>
      </c>
    </row>
    <row r="70" spans="1:14">
      <c r="A70">
        <v>14</v>
      </c>
      <c r="B70">
        <v>7</v>
      </c>
      <c r="C70" t="s">
        <v>375</v>
      </c>
      <c r="D70">
        <v>1.1429495846981799E-2</v>
      </c>
      <c r="E70">
        <v>2.4112343319032002E-3</v>
      </c>
      <c r="F70">
        <v>2.4112343319032002E-3</v>
      </c>
      <c r="J70">
        <v>59</v>
      </c>
    </row>
    <row r="71" spans="1:14">
      <c r="A71">
        <v>14</v>
      </c>
      <c r="B71">
        <v>8</v>
      </c>
      <c r="C71" t="s">
        <v>375</v>
      </c>
      <c r="D71">
        <v>2.1704870911799099E-2</v>
      </c>
      <c r="E71">
        <v>4.4135472823130005E-3</v>
      </c>
      <c r="F71">
        <v>4.4135472823130005E-3</v>
      </c>
      <c r="J71">
        <v>60</v>
      </c>
    </row>
    <row r="72" spans="1:14">
      <c r="A72">
        <v>14</v>
      </c>
      <c r="B72">
        <v>9</v>
      </c>
      <c r="C72" t="s">
        <v>375</v>
      </c>
      <c r="D72">
        <v>2.78531446935582E-2</v>
      </c>
      <c r="E72">
        <v>5.4632570530422702E-3</v>
      </c>
      <c r="F72">
        <v>5.4632570530422702E-3</v>
      </c>
      <c r="J72">
        <v>61</v>
      </c>
    </row>
    <row r="73" spans="1:14">
      <c r="A73">
        <v>14</v>
      </c>
      <c r="B73">
        <v>10</v>
      </c>
      <c r="C73" t="s">
        <v>375</v>
      </c>
      <c r="D73">
        <v>5.3844480790280494E-2</v>
      </c>
      <c r="E73">
        <v>1.00893013070457E-2</v>
      </c>
      <c r="F73">
        <v>1.00893013070457E-2</v>
      </c>
      <c r="J73">
        <v>0</v>
      </c>
    </row>
    <row r="74" spans="1:14">
      <c r="A74">
        <v>15</v>
      </c>
      <c r="B74">
        <v>1</v>
      </c>
      <c r="C74" t="s">
        <v>375</v>
      </c>
      <c r="G74">
        <v>359.59769264420697</v>
      </c>
    </row>
    <row r="75" spans="1:14">
      <c r="A75">
        <v>15</v>
      </c>
      <c r="B75">
        <v>2</v>
      </c>
      <c r="C75" t="s">
        <v>375</v>
      </c>
      <c r="G75">
        <v>726.67429101709502</v>
      </c>
    </row>
    <row r="76" spans="1:14">
      <c r="A76">
        <v>15</v>
      </c>
      <c r="B76">
        <v>3</v>
      </c>
      <c r="C76" t="s">
        <v>375</v>
      </c>
      <c r="G76">
        <v>1317.82879404243</v>
      </c>
      <c r="L76">
        <v>33</v>
      </c>
      <c r="M76">
        <v>33</v>
      </c>
      <c r="N76">
        <v>33</v>
      </c>
    </row>
    <row r="77" spans="1:14">
      <c r="A77">
        <v>15</v>
      </c>
      <c r="B77">
        <v>4</v>
      </c>
      <c r="C77" t="s">
        <v>375</v>
      </c>
      <c r="G77">
        <v>1904.01639477092</v>
      </c>
      <c r="L77">
        <v>34</v>
      </c>
      <c r="M77">
        <v>34</v>
      </c>
      <c r="N77">
        <v>34</v>
      </c>
    </row>
    <row r="78" spans="1:14">
      <c r="A78">
        <v>15</v>
      </c>
      <c r="B78">
        <v>5</v>
      </c>
      <c r="C78" t="s">
        <v>375</v>
      </c>
      <c r="G78">
        <v>4241.2823357346297</v>
      </c>
    </row>
    <row r="79" spans="1:14">
      <c r="A79">
        <v>15</v>
      </c>
      <c r="B79">
        <v>6</v>
      </c>
      <c r="C79" t="s">
        <v>375</v>
      </c>
      <c r="G79">
        <v>7130.4027010711798</v>
      </c>
    </row>
    <row r="80" spans="1:14">
      <c r="A80">
        <v>16</v>
      </c>
      <c r="B80">
        <v>1</v>
      </c>
      <c r="C80" t="s">
        <v>384</v>
      </c>
      <c r="D80">
        <v>1623.0152115798401</v>
      </c>
    </row>
    <row r="81" spans="1:7">
      <c r="A81">
        <v>16</v>
      </c>
      <c r="B81">
        <v>2</v>
      </c>
      <c r="C81" t="s">
        <v>384</v>
      </c>
      <c r="D81">
        <v>2416.71719149509</v>
      </c>
    </row>
    <row r="82" spans="1:7">
      <c r="A82">
        <v>16</v>
      </c>
      <c r="B82">
        <v>3</v>
      </c>
      <c r="C82" t="s">
        <v>384</v>
      </c>
      <c r="D82">
        <v>2888.31918134222</v>
      </c>
    </row>
    <row r="83" spans="1:7">
      <c r="A83">
        <v>17</v>
      </c>
      <c r="B83">
        <v>1</v>
      </c>
      <c r="C83" t="s">
        <v>375</v>
      </c>
      <c r="D83">
        <v>2.6366509999999998E-3</v>
      </c>
    </row>
    <row r="84" spans="1:7">
      <c r="A84">
        <v>17</v>
      </c>
      <c r="B84">
        <v>2</v>
      </c>
      <c r="C84" t="s">
        <v>375</v>
      </c>
      <c r="D84">
        <v>3.0990500000000002E-4</v>
      </c>
    </row>
    <row r="85" spans="1:7">
      <c r="A85">
        <v>17</v>
      </c>
      <c r="B85">
        <v>3</v>
      </c>
      <c r="C85" t="s">
        <v>375</v>
      </c>
      <c r="D85">
        <v>1.7604100000000002E-4</v>
      </c>
    </row>
    <row r="86" spans="1:7">
      <c r="A86">
        <v>17</v>
      </c>
      <c r="B86">
        <v>4</v>
      </c>
      <c r="C86" t="s">
        <v>375</v>
      </c>
      <c r="D86">
        <v>4.1957299999999996E-4</v>
      </c>
    </row>
    <row r="87" spans="1:7">
      <c r="A87">
        <v>18</v>
      </c>
      <c r="B87">
        <v>1</v>
      </c>
      <c r="C87" t="s">
        <v>375</v>
      </c>
      <c r="D87">
        <v>2.1303200000000002E-3</v>
      </c>
      <c r="E87">
        <v>8.0566999999999998E-4</v>
      </c>
      <c r="F87">
        <v>8.0566999999999998E-4</v>
      </c>
    </row>
    <row r="88" spans="1:7">
      <c r="A88">
        <v>18</v>
      </c>
      <c r="B88">
        <v>2</v>
      </c>
      <c r="C88" t="s">
        <v>375</v>
      </c>
      <c r="D88">
        <v>1.6000999999999998E-4</v>
      </c>
      <c r="E88">
        <v>1.11516E-3</v>
      </c>
      <c r="F88">
        <v>1.11516E-3</v>
      </c>
    </row>
    <row r="89" spans="1:7">
      <c r="A89">
        <v>19</v>
      </c>
      <c r="B89">
        <v>1</v>
      </c>
      <c r="C89" t="s">
        <v>384</v>
      </c>
      <c r="D89">
        <v>5420.22</v>
      </c>
      <c r="E89">
        <v>234.94</v>
      </c>
      <c r="F89">
        <v>234.94</v>
      </c>
    </row>
    <row r="90" spans="1:7">
      <c r="A90">
        <v>19</v>
      </c>
      <c r="B90">
        <v>2</v>
      </c>
      <c r="C90" t="s">
        <v>384</v>
      </c>
      <c r="D90">
        <v>4489.8900000000003</v>
      </c>
      <c r="E90">
        <v>208.16</v>
      </c>
      <c r="F90">
        <v>208.16</v>
      </c>
    </row>
    <row r="91" spans="1:7">
      <c r="A91">
        <v>19</v>
      </c>
      <c r="B91">
        <v>3</v>
      </c>
      <c r="C91" t="s">
        <v>384</v>
      </c>
      <c r="D91">
        <v>4058.43</v>
      </c>
      <c r="E91">
        <v>200.21</v>
      </c>
      <c r="F91">
        <v>200.21</v>
      </c>
    </row>
    <row r="92" spans="1:7">
      <c r="A92">
        <v>19</v>
      </c>
      <c r="B92">
        <v>4</v>
      </c>
      <c r="C92" t="s">
        <v>384</v>
      </c>
      <c r="D92">
        <v>3802.25</v>
      </c>
      <c r="E92">
        <v>197.7</v>
      </c>
      <c r="F92">
        <v>197.7</v>
      </c>
    </row>
    <row r="93" spans="1:7">
      <c r="A93">
        <v>19</v>
      </c>
      <c r="B93">
        <v>5</v>
      </c>
      <c r="C93" t="s">
        <v>384</v>
      </c>
      <c r="D93">
        <v>2575.2800000000002</v>
      </c>
      <c r="E93">
        <v>170.5</v>
      </c>
      <c r="F93">
        <v>170.5</v>
      </c>
    </row>
    <row r="94" spans="1:7">
      <c r="A94">
        <v>20</v>
      </c>
      <c r="B94" t="s">
        <v>221</v>
      </c>
      <c r="C94" t="s">
        <v>375</v>
      </c>
      <c r="G94">
        <v>12227112.01</v>
      </c>
    </row>
    <row r="95" spans="1:7">
      <c r="A95">
        <v>20</v>
      </c>
      <c r="B95" t="s">
        <v>222</v>
      </c>
      <c r="C95" t="s">
        <v>375</v>
      </c>
      <c r="G95">
        <v>5093802.8989882004</v>
      </c>
    </row>
    <row r="96" spans="1:7">
      <c r="A96">
        <v>20</v>
      </c>
      <c r="B96" t="s">
        <v>223</v>
      </c>
      <c r="C96" t="s">
        <v>375</v>
      </c>
      <c r="G96">
        <v>1680164.53</v>
      </c>
    </row>
    <row r="97" spans="1:7">
      <c r="A97">
        <v>20</v>
      </c>
      <c r="B97" t="s">
        <v>224</v>
      </c>
      <c r="C97" t="s">
        <v>375</v>
      </c>
      <c r="G97">
        <v>5093802.8989882004</v>
      </c>
    </row>
    <row r="98" spans="1:7">
      <c r="A98">
        <v>20</v>
      </c>
      <c r="B98" t="s">
        <v>225</v>
      </c>
      <c r="C98" t="s">
        <v>375</v>
      </c>
      <c r="G98">
        <v>610.79289178461102</v>
      </c>
    </row>
    <row r="99" spans="1:7">
      <c r="A99">
        <v>20</v>
      </c>
      <c r="B99" t="s">
        <v>226</v>
      </c>
      <c r="C99" t="s">
        <v>375</v>
      </c>
      <c r="G99">
        <v>11763283.727299999</v>
      </c>
    </row>
    <row r="100" spans="1:7">
      <c r="A100">
        <v>20</v>
      </c>
      <c r="B100" t="s">
        <v>227</v>
      </c>
      <c r="C100" t="s">
        <v>375</v>
      </c>
      <c r="G100">
        <v>88.532572632467705</v>
      </c>
    </row>
    <row r="101" spans="1:7">
      <c r="A101">
        <v>20</v>
      </c>
      <c r="B101" t="s">
        <v>228</v>
      </c>
      <c r="C101" t="s">
        <v>375</v>
      </c>
      <c r="G101">
        <v>444.89187015326098</v>
      </c>
    </row>
    <row r="102" spans="1:7">
      <c r="A102">
        <v>20</v>
      </c>
      <c r="B102" t="s">
        <v>231</v>
      </c>
      <c r="C102" t="s">
        <v>375</v>
      </c>
      <c r="G102">
        <v>24.234214312874101</v>
      </c>
    </row>
    <row r="103" spans="1:7">
      <c r="A103">
        <v>20</v>
      </c>
      <c r="B103" t="s">
        <v>232</v>
      </c>
      <c r="C103" t="s">
        <v>375</v>
      </c>
      <c r="G103">
        <v>308355.44573191</v>
      </c>
    </row>
    <row r="104" spans="1:7">
      <c r="A104">
        <v>20</v>
      </c>
      <c r="B104" t="s">
        <v>233</v>
      </c>
      <c r="C104" t="s">
        <v>375</v>
      </c>
      <c r="G104">
        <v>31.889661833169001</v>
      </c>
    </row>
    <row r="105" spans="1:7">
      <c r="A105">
        <v>20</v>
      </c>
      <c r="B105" t="s">
        <v>234</v>
      </c>
      <c r="C105" t="s">
        <v>375</v>
      </c>
      <c r="G105">
        <v>12.442021262517599</v>
      </c>
    </row>
    <row r="106" spans="1:7">
      <c r="A106">
        <v>20</v>
      </c>
      <c r="B106" t="s">
        <v>235</v>
      </c>
      <c r="C106" t="s">
        <v>384</v>
      </c>
      <c r="D106">
        <v>2564.8851719364202</v>
      </c>
    </row>
    <row r="107" spans="1:7">
      <c r="A107">
        <v>20</v>
      </c>
      <c r="B107" t="s">
        <v>236</v>
      </c>
      <c r="C107" t="s">
        <v>384</v>
      </c>
      <c r="D107">
        <v>1459.26288005383</v>
      </c>
    </row>
    <row r="108" spans="1:7">
      <c r="A108">
        <v>20</v>
      </c>
      <c r="B108" t="s">
        <v>237</v>
      </c>
      <c r="C108" t="s">
        <v>384</v>
      </c>
      <c r="D108">
        <v>875.48614787682698</v>
      </c>
    </row>
    <row r="109" spans="1:7">
      <c r="A109">
        <v>20</v>
      </c>
      <c r="B109" t="s">
        <v>238</v>
      </c>
      <c r="C109" t="s">
        <v>384</v>
      </c>
      <c r="D109">
        <v>755.82193751668501</v>
      </c>
    </row>
    <row r="110" spans="1:7">
      <c r="A110">
        <v>20</v>
      </c>
      <c r="B110" t="s">
        <v>239</v>
      </c>
      <c r="C110" t="s">
        <v>384</v>
      </c>
    </row>
    <row r="111" spans="1:7">
      <c r="A111">
        <v>20</v>
      </c>
      <c r="B111" t="s">
        <v>240</v>
      </c>
      <c r="C111" t="s">
        <v>384</v>
      </c>
    </row>
    <row r="112" spans="1:7">
      <c r="A112">
        <v>20</v>
      </c>
      <c r="B112" t="s">
        <v>241</v>
      </c>
      <c r="C112" t="s">
        <v>384</v>
      </c>
    </row>
    <row r="113" spans="1:7">
      <c r="A113">
        <v>20</v>
      </c>
      <c r="B113" t="s">
        <v>242</v>
      </c>
      <c r="C113" t="s">
        <v>384</v>
      </c>
    </row>
    <row r="114" spans="1:7">
      <c r="A114">
        <v>21</v>
      </c>
      <c r="B114" t="s">
        <v>221</v>
      </c>
      <c r="C114" t="s">
        <v>384</v>
      </c>
      <c r="D114">
        <v>3307.34</v>
      </c>
      <c r="E114">
        <v>57.31</v>
      </c>
      <c r="F114">
        <v>57.31</v>
      </c>
    </row>
    <row r="115" spans="1:7">
      <c r="A115">
        <v>21</v>
      </c>
      <c r="B115" t="s">
        <v>222</v>
      </c>
      <c r="C115" t="s">
        <v>384</v>
      </c>
      <c r="D115">
        <v>3050.46</v>
      </c>
      <c r="E115">
        <v>76.650000000000006</v>
      </c>
      <c r="F115">
        <v>76.650000000000006</v>
      </c>
    </row>
    <row r="116" spans="1:7">
      <c r="A116">
        <v>21</v>
      </c>
      <c r="B116" t="s">
        <v>223</v>
      </c>
      <c r="C116" t="s">
        <v>384</v>
      </c>
      <c r="D116">
        <v>2868.5</v>
      </c>
      <c r="E116">
        <v>83.09</v>
      </c>
      <c r="F116">
        <v>83.09</v>
      </c>
    </row>
    <row r="117" spans="1:7">
      <c r="A117">
        <v>21</v>
      </c>
      <c r="B117" t="s">
        <v>224</v>
      </c>
      <c r="C117" t="s">
        <v>384</v>
      </c>
      <c r="D117">
        <v>2707.95</v>
      </c>
      <c r="E117">
        <v>121.06</v>
      </c>
      <c r="F117">
        <v>121.06</v>
      </c>
    </row>
    <row r="118" spans="1:7">
      <c r="A118">
        <v>21</v>
      </c>
      <c r="B118" t="s">
        <v>229</v>
      </c>
      <c r="C118" t="s">
        <v>384</v>
      </c>
      <c r="D118">
        <v>3000</v>
      </c>
      <c r="E118">
        <v>51.49</v>
      </c>
      <c r="F118">
        <v>51.49</v>
      </c>
    </row>
    <row r="119" spans="1:7">
      <c r="A119">
        <v>21</v>
      </c>
      <c r="B119" t="s">
        <v>243</v>
      </c>
      <c r="C119" t="s">
        <v>384</v>
      </c>
      <c r="D119">
        <v>3702.38</v>
      </c>
      <c r="E119">
        <v>75.37</v>
      </c>
      <c r="F119">
        <v>75.37</v>
      </c>
    </row>
    <row r="120" spans="1:7">
      <c r="A120">
        <v>21</v>
      </c>
      <c r="B120" t="s">
        <v>244</v>
      </c>
      <c r="C120" t="s">
        <v>384</v>
      </c>
      <c r="D120">
        <v>3130.95</v>
      </c>
      <c r="E120">
        <v>81.34</v>
      </c>
      <c r="F120">
        <v>81.34</v>
      </c>
    </row>
    <row r="121" spans="1:7">
      <c r="A121">
        <v>21</v>
      </c>
      <c r="B121" t="s">
        <v>245</v>
      </c>
      <c r="C121" t="s">
        <v>384</v>
      </c>
      <c r="D121">
        <v>2642.86</v>
      </c>
      <c r="E121">
        <v>115.67</v>
      </c>
      <c r="F121">
        <v>115.67</v>
      </c>
    </row>
    <row r="122" spans="1:7">
      <c r="A122">
        <v>21</v>
      </c>
      <c r="B122" t="s">
        <v>225</v>
      </c>
      <c r="C122" t="s">
        <v>375</v>
      </c>
      <c r="G122">
        <v>311.41000000000003</v>
      </c>
    </row>
    <row r="123" spans="1:7">
      <c r="A123">
        <v>21</v>
      </c>
      <c r="B123" t="s">
        <v>226</v>
      </c>
      <c r="C123" t="s">
        <v>375</v>
      </c>
      <c r="G123">
        <v>122.09</v>
      </c>
    </row>
    <row r="124" spans="1:7">
      <c r="A124">
        <v>21</v>
      </c>
      <c r="B124" t="s">
        <v>227</v>
      </c>
      <c r="C124" t="s">
        <v>375</v>
      </c>
      <c r="G124">
        <v>45.71</v>
      </c>
    </row>
    <row r="125" spans="1:7">
      <c r="A125">
        <v>21</v>
      </c>
      <c r="B125" t="s">
        <v>228</v>
      </c>
      <c r="C125" t="s">
        <v>375</v>
      </c>
      <c r="G125">
        <v>27.97</v>
      </c>
    </row>
    <row r="126" spans="1:7">
      <c r="A126">
        <v>21</v>
      </c>
      <c r="B126" t="s">
        <v>230</v>
      </c>
      <c r="C126" t="s">
        <v>375</v>
      </c>
      <c r="G126">
        <v>271.23</v>
      </c>
    </row>
    <row r="127" spans="1:7">
      <c r="A127">
        <v>21</v>
      </c>
      <c r="B127" t="s">
        <v>246</v>
      </c>
      <c r="C127" t="s">
        <v>375</v>
      </c>
      <c r="G127">
        <v>165.96</v>
      </c>
    </row>
    <row r="128" spans="1:7">
      <c r="A128">
        <v>21</v>
      </c>
      <c r="B128" t="s">
        <v>247</v>
      </c>
      <c r="C128" t="s">
        <v>375</v>
      </c>
      <c r="G128">
        <v>129.82</v>
      </c>
    </row>
    <row r="129" spans="1:7">
      <c r="A129">
        <v>21</v>
      </c>
      <c r="B129" t="s">
        <v>248</v>
      </c>
      <c r="C129" t="s">
        <v>375</v>
      </c>
      <c r="G129">
        <v>78.22</v>
      </c>
    </row>
    <row r="130" spans="1:7">
      <c r="A130">
        <v>22</v>
      </c>
      <c r="B130">
        <v>1</v>
      </c>
      <c r="C130" t="s">
        <v>375</v>
      </c>
      <c r="G130">
        <v>36.19</v>
      </c>
    </row>
    <row r="131" spans="1:7">
      <c r="A131">
        <v>22</v>
      </c>
      <c r="B131">
        <v>2</v>
      </c>
      <c r="C131" t="s">
        <v>375</v>
      </c>
      <c r="G131">
        <v>49.5</v>
      </c>
    </row>
    <row r="132" spans="1:7">
      <c r="A132">
        <v>22</v>
      </c>
      <c r="B132">
        <v>3</v>
      </c>
      <c r="C132" t="s">
        <v>375</v>
      </c>
    </row>
    <row r="133" spans="1:7">
      <c r="A133">
        <v>22</v>
      </c>
      <c r="B133">
        <v>4</v>
      </c>
      <c r="C133" t="s">
        <v>375</v>
      </c>
      <c r="G133">
        <v>116.18</v>
      </c>
    </row>
    <row r="134" spans="1:7">
      <c r="A134">
        <v>22</v>
      </c>
      <c r="B134">
        <v>5</v>
      </c>
      <c r="C134" t="s">
        <v>375</v>
      </c>
    </row>
    <row r="135" spans="1:7">
      <c r="A135">
        <v>22</v>
      </c>
      <c r="B135">
        <v>6</v>
      </c>
      <c r="C135" t="s">
        <v>375</v>
      </c>
      <c r="G135">
        <v>162.12</v>
      </c>
    </row>
    <row r="136" spans="1:7">
      <c r="A136">
        <v>22</v>
      </c>
      <c r="B136">
        <v>7</v>
      </c>
      <c r="C136" t="s">
        <v>375</v>
      </c>
    </row>
    <row r="137" spans="1:7">
      <c r="A137">
        <v>22</v>
      </c>
      <c r="B137">
        <v>8</v>
      </c>
      <c r="C137" t="s">
        <v>375</v>
      </c>
      <c r="G137">
        <v>346.58</v>
      </c>
    </row>
    <row r="138" spans="1:7">
      <c r="A138">
        <v>23</v>
      </c>
      <c r="B138">
        <v>1</v>
      </c>
      <c r="C138" t="s">
        <v>384</v>
      </c>
      <c r="D138">
        <v>3990</v>
      </c>
      <c r="E138">
        <v>90</v>
      </c>
      <c r="F138">
        <v>90</v>
      </c>
    </row>
    <row r="139" spans="1:7">
      <c r="A139">
        <v>23</v>
      </c>
      <c r="B139">
        <v>2</v>
      </c>
      <c r="C139" t="s">
        <v>384</v>
      </c>
      <c r="D139">
        <v>5050</v>
      </c>
      <c r="E139">
        <v>100</v>
      </c>
      <c r="F139">
        <v>100</v>
      </c>
    </row>
    <row r="140" spans="1:7">
      <c r="A140">
        <v>23</v>
      </c>
      <c r="B140">
        <v>3</v>
      </c>
      <c r="C140" t="s">
        <v>384</v>
      </c>
      <c r="D140">
        <v>7450</v>
      </c>
      <c r="E140">
        <v>140</v>
      </c>
      <c r="F140">
        <v>140</v>
      </c>
    </row>
    <row r="141" spans="1:7">
      <c r="A141">
        <v>23</v>
      </c>
      <c r="B141">
        <v>4</v>
      </c>
      <c r="C141" t="s">
        <v>384</v>
      </c>
      <c r="D141">
        <v>8400</v>
      </c>
      <c r="E141">
        <v>160</v>
      </c>
      <c r="F141">
        <v>160</v>
      </c>
    </row>
    <row r="142" spans="1:7">
      <c r="A142">
        <v>23</v>
      </c>
      <c r="B142">
        <v>5</v>
      </c>
      <c r="C142" t="s">
        <v>384</v>
      </c>
      <c r="D142">
        <v>5950</v>
      </c>
      <c r="E142">
        <v>120</v>
      </c>
      <c r="F142">
        <v>120</v>
      </c>
    </row>
    <row r="143" spans="1:7">
      <c r="A143">
        <v>24</v>
      </c>
      <c r="B143">
        <v>1</v>
      </c>
      <c r="C143" t="s">
        <v>375</v>
      </c>
      <c r="D143">
        <v>8.9999999999999999E-8</v>
      </c>
      <c r="F143">
        <v>1.8282778481401564E-5</v>
      </c>
      <c r="G143">
        <v>182.83</v>
      </c>
    </row>
    <row r="144" spans="1:7">
      <c r="A144">
        <v>24</v>
      </c>
      <c r="B144">
        <v>2</v>
      </c>
      <c r="C144" t="s">
        <v>375</v>
      </c>
      <c r="D144">
        <v>9.4199999999999996E-6</v>
      </c>
      <c r="F144">
        <v>1.6517460412847975E-4</v>
      </c>
      <c r="G144">
        <v>1654.43</v>
      </c>
    </row>
    <row r="145" spans="1:7">
      <c r="A145">
        <v>24</v>
      </c>
      <c r="B145">
        <v>3</v>
      </c>
      <c r="C145" t="s">
        <v>375</v>
      </c>
      <c r="D145">
        <v>7.8640000000000006E-5</v>
      </c>
      <c r="F145">
        <v>2.4072342521865212E-4</v>
      </c>
      <c r="G145">
        <v>2532.4299999999998</v>
      </c>
    </row>
    <row r="146" spans="1:7">
      <c r="A146">
        <v>24</v>
      </c>
      <c r="B146">
        <v>4</v>
      </c>
      <c r="C146" t="s">
        <v>375</v>
      </c>
      <c r="D146">
        <v>2.0561000000000001E-4</v>
      </c>
      <c r="F146">
        <v>7.8633300884548918E-4</v>
      </c>
      <c r="G146">
        <v>8127.7</v>
      </c>
    </row>
    <row r="147" spans="1:7">
      <c r="A147">
        <v>24</v>
      </c>
      <c r="B147">
        <v>5</v>
      </c>
      <c r="C147" t="s">
        <v>375</v>
      </c>
      <c r="D147">
        <v>8.0232000000000003E-4</v>
      </c>
      <c r="F147">
        <v>4.8283193123773421E-3</v>
      </c>
      <c r="G147">
        <v>48945.26</v>
      </c>
    </row>
    <row r="148" spans="1:7">
      <c r="A148">
        <v>24</v>
      </c>
      <c r="B148">
        <v>6</v>
      </c>
      <c r="C148" t="s">
        <v>375</v>
      </c>
      <c r="D148">
        <v>2.0976799999999998E-3</v>
      </c>
      <c r="F148">
        <v>1.5277317558084732E-2</v>
      </c>
      <c r="G148">
        <v>154206.57999999999</v>
      </c>
    </row>
    <row r="149" spans="1:7">
      <c r="A149">
        <v>24</v>
      </c>
      <c r="B149">
        <v>7</v>
      </c>
      <c r="C149" t="s">
        <v>375</v>
      </c>
      <c r="D149">
        <v>9.60746E-3</v>
      </c>
      <c r="F149">
        <v>0.10527243007081355</v>
      </c>
      <c r="G149">
        <v>1057099.23</v>
      </c>
    </row>
    <row r="150" spans="1:7">
      <c r="A150">
        <v>25</v>
      </c>
      <c r="B150">
        <v>1</v>
      </c>
      <c r="C150" t="s">
        <v>384</v>
      </c>
      <c r="D150">
        <v>1365.74</v>
      </c>
    </row>
    <row r="151" spans="1:7">
      <c r="A151">
        <v>25</v>
      </c>
      <c r="B151">
        <v>2</v>
      </c>
      <c r="C151" t="s">
        <v>384</v>
      </c>
      <c r="D151">
        <v>1722.22</v>
      </c>
    </row>
    <row r="152" spans="1:7">
      <c r="A152">
        <v>25</v>
      </c>
      <c r="B152">
        <v>3</v>
      </c>
      <c r="C152" t="s">
        <v>384</v>
      </c>
      <c r="D152">
        <v>2518.52</v>
      </c>
    </row>
    <row r="153" spans="1:7">
      <c r="A153">
        <v>25</v>
      </c>
      <c r="B153">
        <v>4</v>
      </c>
      <c r="C153" t="s">
        <v>384</v>
      </c>
      <c r="D153">
        <v>2634.26</v>
      </c>
    </row>
    <row r="154" spans="1:7">
      <c r="A154">
        <v>26</v>
      </c>
      <c r="B154" t="s">
        <v>221</v>
      </c>
      <c r="C154" t="s">
        <v>375</v>
      </c>
      <c r="D154">
        <v>8.0000000000000007E-7</v>
      </c>
      <c r="F154">
        <v>4.4780321825400402E-3</v>
      </c>
      <c r="G154">
        <v>43902.277000000002</v>
      </c>
    </row>
    <row r="155" spans="1:7">
      <c r="A155">
        <v>26</v>
      </c>
      <c r="B155" t="s">
        <v>222</v>
      </c>
      <c r="C155" t="s">
        <v>375</v>
      </c>
      <c r="D155">
        <v>1.2914999999999999E-5</v>
      </c>
      <c r="F155">
        <v>2.8798994834113915E-2</v>
      </c>
      <c r="G155">
        <v>282343.11499999999</v>
      </c>
    </row>
    <row r="156" spans="1:7">
      <c r="A156">
        <v>26</v>
      </c>
      <c r="B156" t="s">
        <v>223</v>
      </c>
      <c r="C156" t="s">
        <v>375</v>
      </c>
      <c r="D156">
        <v>2.6208399999999999E-4</v>
      </c>
      <c r="F156">
        <v>0.39272839533623033</v>
      </c>
      <c r="G156">
        <v>3850279.2429999998</v>
      </c>
    </row>
    <row r="157" spans="1:7">
      <c r="A157">
        <v>26</v>
      </c>
      <c r="B157" t="s">
        <v>224</v>
      </c>
      <c r="C157" t="s">
        <v>375</v>
      </c>
      <c r="D157">
        <v>1.8298330000000001E-3</v>
      </c>
      <c r="F157">
        <v>2.5257039369613925</v>
      </c>
      <c r="G157">
        <v>24761809.802000001</v>
      </c>
    </row>
    <row r="158" spans="1:7">
      <c r="A158">
        <v>26</v>
      </c>
      <c r="B158" t="s">
        <v>229</v>
      </c>
      <c r="C158" t="s">
        <v>384</v>
      </c>
      <c r="D158">
        <v>7.2136660000000005E-3</v>
      </c>
      <c r="F158">
        <v>8.5286405153992035</v>
      </c>
      <c r="G158">
        <v>83614152.608999997</v>
      </c>
    </row>
    <row r="159" spans="1:7">
      <c r="A159">
        <v>26</v>
      </c>
      <c r="B159" t="s">
        <v>225</v>
      </c>
      <c r="C159" t="s">
        <v>384</v>
      </c>
      <c r="D159">
        <v>9816.4716526543798</v>
      </c>
      <c r="F159">
        <v>83.767264712642785</v>
      </c>
    </row>
    <row r="160" spans="1:7">
      <c r="A160">
        <v>26</v>
      </c>
      <c r="B160" t="s">
        <v>226</v>
      </c>
      <c r="C160" t="s">
        <v>384</v>
      </c>
      <c r="D160">
        <v>13209.4115651273</v>
      </c>
      <c r="F160">
        <v>54.158587417021934</v>
      </c>
    </row>
    <row r="161" spans="1:7">
      <c r="A161">
        <v>26</v>
      </c>
      <c r="B161" t="s">
        <v>227</v>
      </c>
      <c r="C161" t="s">
        <v>384</v>
      </c>
      <c r="D161">
        <v>11754.718000000001</v>
      </c>
      <c r="F161">
        <v>47.018872000000002</v>
      </c>
    </row>
    <row r="162" spans="1:7">
      <c r="A162">
        <v>26</v>
      </c>
      <c r="B162" t="s">
        <v>228</v>
      </c>
      <c r="C162" t="s">
        <v>384</v>
      </c>
      <c r="D162">
        <v>12712.264999999999</v>
      </c>
      <c r="F162">
        <v>50.849060000000001</v>
      </c>
    </row>
    <row r="163" spans="1:7">
      <c r="A163">
        <v>26</v>
      </c>
      <c r="B163" t="s">
        <v>230</v>
      </c>
      <c r="C163" t="s">
        <v>384</v>
      </c>
      <c r="D163">
        <v>12051.888000000001</v>
      </c>
      <c r="F163">
        <v>60.259440000000005</v>
      </c>
    </row>
    <row r="164" spans="1:7">
      <c r="A164">
        <v>27</v>
      </c>
      <c r="B164">
        <v>1</v>
      </c>
      <c r="C164" t="s">
        <v>384</v>
      </c>
      <c r="D164">
        <v>1638.655</v>
      </c>
      <c r="F164">
        <v>36.050409999999999</v>
      </c>
    </row>
    <row r="165" spans="1:7">
      <c r="A165">
        <v>27</v>
      </c>
      <c r="B165">
        <v>2</v>
      </c>
      <c r="C165" t="s">
        <v>384</v>
      </c>
      <c r="D165">
        <v>4172.2690000000002</v>
      </c>
      <c r="F165">
        <v>133.512608</v>
      </c>
    </row>
    <row r="166" spans="1:7">
      <c r="A166">
        <v>27</v>
      </c>
      <c r="B166">
        <v>3</v>
      </c>
      <c r="C166" t="s">
        <v>384</v>
      </c>
      <c r="D166">
        <v>5130.2520000000004</v>
      </c>
      <c r="F166">
        <v>179.55882000000003</v>
      </c>
    </row>
    <row r="167" spans="1:7">
      <c r="A167">
        <v>27</v>
      </c>
      <c r="B167">
        <v>4</v>
      </c>
      <c r="C167" t="s">
        <v>384</v>
      </c>
      <c r="D167">
        <v>5369.7479999999996</v>
      </c>
      <c r="F167">
        <v>214.78992</v>
      </c>
    </row>
    <row r="168" spans="1:7">
      <c r="A168">
        <v>28</v>
      </c>
      <c r="B168">
        <v>1</v>
      </c>
      <c r="C168" t="s">
        <v>375</v>
      </c>
      <c r="D168">
        <v>1.187E-5</v>
      </c>
      <c r="G168">
        <v>210.17</v>
      </c>
    </row>
    <row r="169" spans="1:7">
      <c r="A169">
        <v>28</v>
      </c>
      <c r="B169">
        <v>2</v>
      </c>
      <c r="C169" t="s">
        <v>375</v>
      </c>
      <c r="D169">
        <v>1.156051E-2</v>
      </c>
      <c r="G169">
        <v>109729</v>
      </c>
    </row>
    <row r="170" spans="1:7">
      <c r="A170">
        <v>28</v>
      </c>
      <c r="B170">
        <v>3</v>
      </c>
      <c r="C170" t="s">
        <v>375</v>
      </c>
      <c r="D170">
        <v>2.60634E-3</v>
      </c>
      <c r="G170">
        <v>32215.47</v>
      </c>
    </row>
    <row r="171" spans="1:7">
      <c r="A171">
        <v>28</v>
      </c>
      <c r="B171">
        <v>4</v>
      </c>
      <c r="C171" t="s">
        <v>375</v>
      </c>
      <c r="D171">
        <v>1.318952E-2</v>
      </c>
      <c r="G171">
        <v>132119.75</v>
      </c>
    </row>
    <row r="172" spans="1:7">
      <c r="A172">
        <v>28</v>
      </c>
      <c r="B172">
        <v>5</v>
      </c>
      <c r="C172" t="s">
        <v>375</v>
      </c>
      <c r="D172">
        <v>1.6943679999999999E-2</v>
      </c>
      <c r="G172">
        <v>165098.04999999999</v>
      </c>
    </row>
    <row r="173" spans="1:7">
      <c r="A173">
        <v>28</v>
      </c>
      <c r="B173">
        <v>6</v>
      </c>
      <c r="C173" t="s">
        <v>375</v>
      </c>
      <c r="D173">
        <v>8.7649200000000007E-3</v>
      </c>
      <c r="G173">
        <v>86195.36</v>
      </c>
    </row>
    <row r="174" spans="1:7">
      <c r="A174">
        <v>29</v>
      </c>
      <c r="B174">
        <v>1</v>
      </c>
      <c r="C174" t="s">
        <v>375</v>
      </c>
      <c r="D174">
        <v>5.5952999999999992E-4</v>
      </c>
      <c r="F174">
        <v>5.7530334863535437E-3</v>
      </c>
      <c r="G174">
        <v>192672.63</v>
      </c>
    </row>
    <row r="175" spans="1:7">
      <c r="A175">
        <v>29</v>
      </c>
      <c r="B175">
        <v>2</v>
      </c>
      <c r="C175" t="s">
        <v>375</v>
      </c>
      <c r="D175">
        <v>1.0134379999999998E-2</v>
      </c>
      <c r="F175">
        <v>2.9521963713789467E-2</v>
      </c>
      <c r="G175">
        <v>1040433.67</v>
      </c>
    </row>
    <row r="176" spans="1:7">
      <c r="A176">
        <v>29</v>
      </c>
      <c r="B176">
        <v>3</v>
      </c>
      <c r="C176" t="s">
        <v>375</v>
      </c>
      <c r="D176">
        <v>2.8325259999999998E-2</v>
      </c>
      <c r="F176">
        <v>6.8491806784856266E-2</v>
      </c>
      <c r="G176">
        <v>2470593.2599999998</v>
      </c>
    </row>
    <row r="177" spans="1:7">
      <c r="A177">
        <v>29</v>
      </c>
      <c r="B177">
        <v>4</v>
      </c>
      <c r="C177" t="s">
        <v>375</v>
      </c>
      <c r="D177">
        <v>0.19886151000000002</v>
      </c>
      <c r="F177">
        <v>0.37446219691122845</v>
      </c>
      <c r="G177">
        <v>14133012.460000001</v>
      </c>
    </row>
    <row r="178" spans="1:7">
      <c r="A178">
        <v>29</v>
      </c>
      <c r="B178">
        <v>5</v>
      </c>
      <c r="C178" t="s">
        <v>375</v>
      </c>
      <c r="D178">
        <v>7.2105940000000007E-2</v>
      </c>
      <c r="F178">
        <v>0.14703195364785604</v>
      </c>
      <c r="G178">
        <v>5458699.6799999997</v>
      </c>
    </row>
    <row r="179" spans="1:7">
      <c r="A179">
        <v>30</v>
      </c>
      <c r="B179">
        <v>1</v>
      </c>
      <c r="C179" t="s">
        <v>384</v>
      </c>
      <c r="D179">
        <v>2511.9</v>
      </c>
      <c r="E179">
        <v>172.2</v>
      </c>
      <c r="F179">
        <v>172.2</v>
      </c>
    </row>
    <row r="180" spans="1:7">
      <c r="A180">
        <v>30</v>
      </c>
      <c r="B180">
        <v>2</v>
      </c>
      <c r="C180" t="s">
        <v>384</v>
      </c>
      <c r="D180">
        <v>5595.24</v>
      </c>
      <c r="E180">
        <v>237.18</v>
      </c>
      <c r="F180">
        <v>237.18</v>
      </c>
    </row>
    <row r="181" spans="1:7">
      <c r="A181">
        <v>30</v>
      </c>
      <c r="B181">
        <v>3</v>
      </c>
      <c r="C181" t="s">
        <v>384</v>
      </c>
      <c r="D181">
        <v>5738.1</v>
      </c>
      <c r="E181">
        <v>224.19</v>
      </c>
      <c r="F181">
        <v>224.19</v>
      </c>
    </row>
    <row r="182" spans="1:7">
      <c r="A182">
        <v>31</v>
      </c>
      <c r="B182">
        <v>1</v>
      </c>
      <c r="C182" t="s">
        <v>384</v>
      </c>
      <c r="D182">
        <v>1190.48</v>
      </c>
    </row>
    <row r="183" spans="1:7">
      <c r="A183">
        <v>31</v>
      </c>
      <c r="B183">
        <v>2</v>
      </c>
      <c r="C183" t="s">
        <v>384</v>
      </c>
      <c r="D183">
        <v>1587.3</v>
      </c>
    </row>
    <row r="184" spans="1:7">
      <c r="A184">
        <v>31</v>
      </c>
      <c r="B184">
        <v>3</v>
      </c>
      <c r="C184" t="s">
        <v>384</v>
      </c>
      <c r="D184">
        <v>2371.0300000000002</v>
      </c>
    </row>
    <row r="185" spans="1:7">
      <c r="A185">
        <v>31</v>
      </c>
      <c r="B185">
        <v>4</v>
      </c>
      <c r="C185" t="s">
        <v>384</v>
      </c>
      <c r="D185">
        <v>3541.67</v>
      </c>
    </row>
    <row r="186" spans="1:7">
      <c r="A186">
        <v>31</v>
      </c>
      <c r="B186">
        <v>5</v>
      </c>
      <c r="C186" t="s">
        <v>384</v>
      </c>
      <c r="D186">
        <v>4186.51</v>
      </c>
    </row>
    <row r="187" spans="1:7">
      <c r="A187">
        <v>32</v>
      </c>
      <c r="B187">
        <v>1</v>
      </c>
      <c r="C187" t="s">
        <v>384</v>
      </c>
    </row>
    <row r="188" spans="1:7">
      <c r="A188">
        <v>32</v>
      </c>
      <c r="B188">
        <v>2</v>
      </c>
      <c r="C188" t="s">
        <v>384</v>
      </c>
      <c r="D188">
        <v>4652.4059999999999</v>
      </c>
      <c r="E188">
        <v>130.548</v>
      </c>
      <c r="F188">
        <v>130.548</v>
      </c>
    </row>
    <row r="189" spans="1:7">
      <c r="A189">
        <v>33</v>
      </c>
      <c r="B189">
        <v>1</v>
      </c>
      <c r="C189" t="s">
        <v>375</v>
      </c>
      <c r="D189">
        <v>1.6500000000000001E-7</v>
      </c>
      <c r="E189">
        <v>2.791E-6</v>
      </c>
      <c r="F189">
        <v>2.791E-6</v>
      </c>
      <c r="G189">
        <v>220.32599999999999</v>
      </c>
    </row>
    <row r="190" spans="1:7">
      <c r="A190">
        <v>33</v>
      </c>
      <c r="B190">
        <v>2</v>
      </c>
      <c r="C190" t="s">
        <v>375</v>
      </c>
      <c r="D190">
        <v>1.0279999999999999E-6</v>
      </c>
      <c r="E190">
        <v>1.2076000000000001E-5</v>
      </c>
      <c r="F190">
        <v>1.2076000000000001E-5</v>
      </c>
      <c r="G190">
        <v>1045.3440000000001</v>
      </c>
    </row>
    <row r="191" spans="1:7">
      <c r="A191">
        <v>33</v>
      </c>
      <c r="B191">
        <v>3</v>
      </c>
      <c r="C191" t="s">
        <v>375</v>
      </c>
      <c r="D191">
        <v>1.483E-6</v>
      </c>
      <c r="E191">
        <v>1.6295000000000002E-5</v>
      </c>
      <c r="F191">
        <v>1.6295000000000002E-5</v>
      </c>
    </row>
    <row r="192" spans="1:7">
      <c r="A192">
        <v>33</v>
      </c>
      <c r="B192">
        <v>4</v>
      </c>
      <c r="C192" t="s">
        <v>375</v>
      </c>
      <c r="D192">
        <v>1.234714E-3</v>
      </c>
      <c r="E192">
        <v>5.3718100000000007E-4</v>
      </c>
      <c r="F192">
        <v>5.3718100000000007E-4</v>
      </c>
    </row>
    <row r="193" spans="1:14">
      <c r="A193">
        <v>34</v>
      </c>
      <c r="B193">
        <v>1</v>
      </c>
      <c r="C193" t="s">
        <v>375</v>
      </c>
      <c r="D193">
        <v>1.2914999999999999E-5</v>
      </c>
      <c r="E193">
        <v>8.3941000000000002E-5</v>
      </c>
      <c r="F193">
        <v>8.3941000000000002E-5</v>
      </c>
      <c r="G193">
        <v>892.37900000000002</v>
      </c>
    </row>
    <row r="194" spans="1:14">
      <c r="A194">
        <v>34</v>
      </c>
      <c r="B194">
        <v>2</v>
      </c>
      <c r="C194" t="s">
        <v>375</v>
      </c>
      <c r="D194">
        <v>3.5314000000000001E-5</v>
      </c>
      <c r="E194">
        <v>1.2951799999999999E-4</v>
      </c>
      <c r="F194">
        <v>1.2951799999999999E-4</v>
      </c>
      <c r="G194">
        <v>1321.229</v>
      </c>
    </row>
    <row r="195" spans="1:14">
      <c r="A195">
        <v>34</v>
      </c>
      <c r="B195">
        <v>3</v>
      </c>
      <c r="C195" t="s">
        <v>375</v>
      </c>
      <c r="D195">
        <v>9.0447999999999999E-5</v>
      </c>
      <c r="E195">
        <v>2.12671E-4</v>
      </c>
      <c r="F195">
        <v>2.12671E-4</v>
      </c>
      <c r="G195">
        <v>2218.723</v>
      </c>
    </row>
    <row r="196" spans="1:14">
      <c r="A196">
        <v>34</v>
      </c>
      <c r="B196">
        <v>4</v>
      </c>
      <c r="C196" t="s">
        <v>375</v>
      </c>
      <c r="D196">
        <v>3.445652E-3</v>
      </c>
      <c r="E196">
        <v>1.9486449999999999E-3</v>
      </c>
      <c r="F196">
        <v>1.9486449999999999E-3</v>
      </c>
      <c r="G196">
        <v>38712.103000000003</v>
      </c>
    </row>
    <row r="197" spans="1:14">
      <c r="A197">
        <v>35</v>
      </c>
      <c r="B197">
        <v>1</v>
      </c>
      <c r="C197" t="s">
        <v>375</v>
      </c>
      <c r="D197">
        <v>4.5000000000000003E-7</v>
      </c>
      <c r="G197">
        <v>67.512</v>
      </c>
      <c r="L197">
        <v>35</v>
      </c>
      <c r="N197">
        <v>35</v>
      </c>
    </row>
    <row r="198" spans="1:14">
      <c r="A198">
        <v>35</v>
      </c>
      <c r="B198">
        <v>2</v>
      </c>
      <c r="C198" t="s">
        <v>375</v>
      </c>
      <c r="D198">
        <v>4.8999999999999997E-7</v>
      </c>
      <c r="G198">
        <v>60.094000000000001</v>
      </c>
      <c r="N198">
        <v>38</v>
      </c>
    </row>
    <row r="199" spans="1:14">
      <c r="A199">
        <v>35</v>
      </c>
      <c r="B199">
        <v>3</v>
      </c>
      <c r="C199" t="s">
        <v>375</v>
      </c>
      <c r="D199">
        <v>1.6E-7</v>
      </c>
      <c r="G199">
        <v>15.084</v>
      </c>
    </row>
    <row r="200" spans="1:14">
      <c r="A200">
        <v>35</v>
      </c>
      <c r="B200">
        <v>4</v>
      </c>
      <c r="C200" t="s">
        <v>375</v>
      </c>
      <c r="D200">
        <v>1.04E-6</v>
      </c>
      <c r="G200">
        <v>159.29900000000001</v>
      </c>
    </row>
    <row r="201" spans="1:14">
      <c r="A201">
        <v>36</v>
      </c>
      <c r="B201">
        <v>1</v>
      </c>
      <c r="C201" t="s">
        <v>384</v>
      </c>
      <c r="D201">
        <v>4017.0000000000005</v>
      </c>
    </row>
    <row r="202" spans="1:14">
      <c r="A202">
        <v>36</v>
      </c>
      <c r="B202">
        <v>2</v>
      </c>
      <c r="C202" t="s">
        <v>384</v>
      </c>
      <c r="D202">
        <v>8343</v>
      </c>
    </row>
    <row r="203" spans="1:14">
      <c r="A203">
        <v>36</v>
      </c>
      <c r="B203">
        <v>3</v>
      </c>
      <c r="C203" t="s">
        <v>384</v>
      </c>
      <c r="D203">
        <v>5382</v>
      </c>
    </row>
    <row r="204" spans="1:14">
      <c r="A204">
        <v>36</v>
      </c>
      <c r="B204">
        <v>4</v>
      </c>
      <c r="C204" t="s">
        <v>384</v>
      </c>
      <c r="D204">
        <v>7403</v>
      </c>
    </row>
    <row r="205" spans="1:14">
      <c r="A205">
        <v>37</v>
      </c>
      <c r="B205">
        <v>1</v>
      </c>
      <c r="C205" t="s">
        <v>384</v>
      </c>
      <c r="D205">
        <v>3774.82</v>
      </c>
      <c r="F205">
        <v>139.66834</v>
      </c>
    </row>
    <row r="206" spans="1:14">
      <c r="A206">
        <v>37</v>
      </c>
      <c r="B206">
        <v>2</v>
      </c>
      <c r="C206" t="s">
        <v>384</v>
      </c>
      <c r="D206">
        <v>3820.8629999999998</v>
      </c>
      <c r="F206">
        <v>129.90934200000001</v>
      </c>
    </row>
    <row r="207" spans="1:14">
      <c r="A207">
        <v>37</v>
      </c>
      <c r="B207">
        <v>3</v>
      </c>
      <c r="C207" t="s">
        <v>384</v>
      </c>
      <c r="D207">
        <v>3475.54</v>
      </c>
      <c r="F207">
        <v>149.44821999999999</v>
      </c>
    </row>
    <row r="208" spans="1:14">
      <c r="A208">
        <v>37</v>
      </c>
      <c r="B208">
        <v>4</v>
      </c>
      <c r="C208" t="s">
        <v>384</v>
      </c>
      <c r="D208">
        <v>3999.2809999999999</v>
      </c>
      <c r="F208">
        <v>155.971959</v>
      </c>
    </row>
    <row r="209" spans="1:14">
      <c r="A209">
        <v>37</v>
      </c>
      <c r="B209">
        <v>5</v>
      </c>
      <c r="C209" t="s">
        <v>384</v>
      </c>
      <c r="D209">
        <v>3653.9569999999999</v>
      </c>
      <c r="F209">
        <v>146.15827999999999</v>
      </c>
    </row>
    <row r="210" spans="1:14">
      <c r="A210">
        <v>37</v>
      </c>
      <c r="B210">
        <v>6</v>
      </c>
      <c r="C210" t="s">
        <v>384</v>
      </c>
      <c r="D210">
        <v>4315.8270000000002</v>
      </c>
      <c r="F210">
        <v>168.31725300000002</v>
      </c>
    </row>
    <row r="211" spans="1:14">
      <c r="A211">
        <v>37</v>
      </c>
      <c r="B211">
        <v>7</v>
      </c>
      <c r="C211" t="s">
        <v>384</v>
      </c>
      <c r="D211">
        <v>3918.7049999999999</v>
      </c>
      <c r="F211">
        <v>137.154675</v>
      </c>
    </row>
    <row r="212" spans="1:14">
      <c r="A212">
        <v>38</v>
      </c>
      <c r="B212">
        <v>1</v>
      </c>
      <c r="C212" t="s">
        <v>375</v>
      </c>
      <c r="G212">
        <v>137.661</v>
      </c>
      <c r="N212">
        <v>39</v>
      </c>
    </row>
    <row r="213" spans="1:14">
      <c r="A213">
        <v>38</v>
      </c>
      <c r="B213">
        <v>2</v>
      </c>
      <c r="C213" t="s">
        <v>375</v>
      </c>
      <c r="G213">
        <v>712.346</v>
      </c>
    </row>
    <row r="214" spans="1:14">
      <c r="A214">
        <v>38</v>
      </c>
      <c r="B214">
        <v>3</v>
      </c>
      <c r="C214" t="s">
        <v>375</v>
      </c>
      <c r="G214">
        <v>849.53</v>
      </c>
    </row>
    <row r="215" spans="1:14">
      <c r="A215">
        <v>38</v>
      </c>
      <c r="B215">
        <v>4</v>
      </c>
      <c r="C215" t="s">
        <v>375</v>
      </c>
      <c r="G215">
        <v>111.001</v>
      </c>
    </row>
    <row r="216" spans="1:14">
      <c r="A216">
        <v>38</v>
      </c>
      <c r="B216">
        <v>5</v>
      </c>
      <c r="C216" t="s">
        <v>375</v>
      </c>
      <c r="G216">
        <v>93.075999999999993</v>
      </c>
      <c r="L216">
        <v>41</v>
      </c>
      <c r="M216">
        <v>41</v>
      </c>
      <c r="N216">
        <v>41</v>
      </c>
    </row>
    <row r="217" spans="1:14">
      <c r="A217">
        <v>38</v>
      </c>
      <c r="B217">
        <v>6</v>
      </c>
      <c r="C217" t="s">
        <v>375</v>
      </c>
      <c r="G217">
        <v>32.991999999999997</v>
      </c>
      <c r="L217">
        <v>42</v>
      </c>
      <c r="M217">
        <v>42</v>
      </c>
      <c r="N217">
        <v>42</v>
      </c>
    </row>
    <row r="218" spans="1:14">
      <c r="A218">
        <v>39</v>
      </c>
      <c r="B218">
        <v>1</v>
      </c>
      <c r="C218" t="s">
        <v>375</v>
      </c>
      <c r="G218">
        <v>93.894999999999996</v>
      </c>
      <c r="L218">
        <v>43</v>
      </c>
      <c r="N218">
        <v>43</v>
      </c>
    </row>
    <row r="219" spans="1:14">
      <c r="A219">
        <v>39</v>
      </c>
      <c r="B219">
        <v>2</v>
      </c>
      <c r="C219" t="s">
        <v>375</v>
      </c>
      <c r="G219">
        <v>136.06299999999999</v>
      </c>
      <c r="N219">
        <v>44</v>
      </c>
    </row>
    <row r="220" spans="1:14">
      <c r="A220">
        <v>39</v>
      </c>
      <c r="B220">
        <v>3</v>
      </c>
      <c r="C220" t="s">
        <v>375</v>
      </c>
      <c r="G220">
        <v>220.529</v>
      </c>
      <c r="L220">
        <v>45</v>
      </c>
      <c r="M220">
        <v>45</v>
      </c>
      <c r="N220">
        <v>45</v>
      </c>
    </row>
    <row r="221" spans="1:14">
      <c r="A221">
        <v>39</v>
      </c>
      <c r="B221">
        <v>4</v>
      </c>
      <c r="C221" t="s">
        <v>375</v>
      </c>
      <c r="G221">
        <v>208.52099999999999</v>
      </c>
      <c r="L221">
        <v>46</v>
      </c>
      <c r="N221">
        <v>46</v>
      </c>
    </row>
    <row r="222" spans="1:14">
      <c r="A222">
        <v>39</v>
      </c>
      <c r="B222">
        <v>5</v>
      </c>
      <c r="C222" t="s">
        <v>375</v>
      </c>
      <c r="G222">
        <v>94.584000000000003</v>
      </c>
    </row>
    <row r="223" spans="1:14">
      <c r="A223">
        <v>39</v>
      </c>
      <c r="B223">
        <v>6</v>
      </c>
      <c r="C223" t="s">
        <v>375</v>
      </c>
      <c r="G223">
        <v>131.24</v>
      </c>
      <c r="L223" s="527">
        <v>47</v>
      </c>
    </row>
    <row r="224" spans="1:14">
      <c r="A224">
        <v>39</v>
      </c>
      <c r="B224">
        <v>7</v>
      </c>
      <c r="C224" t="s">
        <v>375</v>
      </c>
      <c r="G224">
        <v>110.687</v>
      </c>
      <c r="N224">
        <v>48</v>
      </c>
    </row>
    <row r="225" spans="1:7">
      <c r="A225">
        <v>39</v>
      </c>
      <c r="B225">
        <v>8</v>
      </c>
      <c r="C225" t="s">
        <v>375</v>
      </c>
      <c r="G225">
        <v>171.67599999999999</v>
      </c>
    </row>
    <row r="226" spans="1:7">
      <c r="A226">
        <v>40</v>
      </c>
      <c r="B226">
        <v>1</v>
      </c>
      <c r="C226" t="s">
        <v>384</v>
      </c>
      <c r="D226">
        <v>1953.087</v>
      </c>
      <c r="F226">
        <v>144.52843799999999</v>
      </c>
    </row>
    <row r="227" spans="1:7">
      <c r="A227">
        <v>40</v>
      </c>
      <c r="B227">
        <v>2</v>
      </c>
      <c r="C227" t="s">
        <v>384</v>
      </c>
      <c r="D227">
        <v>2127.3310000000001</v>
      </c>
      <c r="F227">
        <v>270.17103700000001</v>
      </c>
    </row>
    <row r="228" spans="1:7">
      <c r="A228">
        <v>40</v>
      </c>
      <c r="B228">
        <v>3</v>
      </c>
      <c r="C228" t="s">
        <v>384</v>
      </c>
      <c r="D228">
        <v>2384.0729999999999</v>
      </c>
      <c r="F228">
        <v>202.64620500000001</v>
      </c>
    </row>
    <row r="229" spans="1:7">
      <c r="A229">
        <v>40</v>
      </c>
      <c r="B229">
        <v>4</v>
      </c>
      <c r="C229" t="s">
        <v>384</v>
      </c>
      <c r="D229">
        <v>2523.84</v>
      </c>
      <c r="F229">
        <v>239.76480000000001</v>
      </c>
    </row>
    <row r="230" spans="1:7">
      <c r="A230">
        <v>40</v>
      </c>
      <c r="B230">
        <v>5</v>
      </c>
      <c r="C230" t="s">
        <v>384</v>
      </c>
      <c r="D230">
        <v>2560.0439999999999</v>
      </c>
      <c r="F230">
        <v>161.28277199999999</v>
      </c>
    </row>
    <row r="231" spans="1:7">
      <c r="A231">
        <v>41</v>
      </c>
      <c r="B231">
        <v>1</v>
      </c>
      <c r="C231" t="s">
        <v>375</v>
      </c>
      <c r="D231">
        <v>0.43099999999999999</v>
      </c>
      <c r="E231">
        <v>16.030999999999999</v>
      </c>
      <c r="F231">
        <v>16.030999999999999</v>
      </c>
      <c r="G231">
        <v>119.746</v>
      </c>
    </row>
    <row r="232" spans="1:7">
      <c r="A232">
        <v>41</v>
      </c>
      <c r="B232">
        <v>2</v>
      </c>
      <c r="C232" t="s">
        <v>375</v>
      </c>
      <c r="D232">
        <v>98.453999999999994</v>
      </c>
      <c r="E232">
        <v>102.902</v>
      </c>
      <c r="F232">
        <v>102.902</v>
      </c>
      <c r="G232">
        <v>1377.623</v>
      </c>
    </row>
    <row r="233" spans="1:7">
      <c r="A233">
        <v>41</v>
      </c>
      <c r="B233">
        <v>3</v>
      </c>
      <c r="C233" t="s">
        <v>375</v>
      </c>
      <c r="D233">
        <v>1408.8009999999999</v>
      </c>
      <c r="E233">
        <v>1014.405</v>
      </c>
      <c r="F233">
        <v>1014.405</v>
      </c>
      <c r="G233">
        <v>17872.030999999999</v>
      </c>
    </row>
    <row r="234" spans="1:7">
      <c r="A234">
        <v>41</v>
      </c>
      <c r="B234">
        <v>4</v>
      </c>
      <c r="C234" t="s">
        <v>375</v>
      </c>
      <c r="D234">
        <v>15181.9</v>
      </c>
      <c r="E234">
        <v>10144.045</v>
      </c>
      <c r="F234">
        <v>10144.045</v>
      </c>
      <c r="G234">
        <v>182334.8</v>
      </c>
    </row>
    <row r="235" spans="1:7">
      <c r="A235">
        <v>41</v>
      </c>
      <c r="B235">
        <v>5</v>
      </c>
      <c r="C235" t="s">
        <v>375</v>
      </c>
      <c r="D235">
        <v>48234.29</v>
      </c>
      <c r="E235">
        <v>23926.654999999999</v>
      </c>
      <c r="F235">
        <v>23926.654999999999</v>
      </c>
      <c r="G235">
        <v>537569.701</v>
      </c>
    </row>
    <row r="236" spans="1:7">
      <c r="A236">
        <v>41</v>
      </c>
      <c r="B236">
        <v>6</v>
      </c>
      <c r="C236" t="s">
        <v>375</v>
      </c>
      <c r="D236">
        <v>222031.234</v>
      </c>
      <c r="E236">
        <v>147130.21299999999</v>
      </c>
      <c r="F236">
        <v>147130.21299999999</v>
      </c>
      <c r="G236">
        <v>2667392.6889999998</v>
      </c>
    </row>
    <row r="237" spans="1:7">
      <c r="A237">
        <v>42</v>
      </c>
      <c r="B237" t="s">
        <v>221</v>
      </c>
      <c r="C237" t="s">
        <v>375</v>
      </c>
      <c r="D237">
        <v>3.6699999999999999E-7</v>
      </c>
      <c r="E237">
        <v>6.0701E-5</v>
      </c>
      <c r="F237">
        <v>6.0701E-5</v>
      </c>
      <c r="G237">
        <v>293.44900000000001</v>
      </c>
    </row>
    <row r="238" spans="1:7">
      <c r="A238">
        <v>42</v>
      </c>
      <c r="B238" t="s">
        <v>222</v>
      </c>
      <c r="C238" t="s">
        <v>375</v>
      </c>
      <c r="D238">
        <v>1.4610000000000001E-6</v>
      </c>
      <c r="E238">
        <v>1.01168E-4</v>
      </c>
      <c r="F238">
        <v>1.01168E-4</v>
      </c>
      <c r="G238">
        <v>533.66999999999996</v>
      </c>
    </row>
    <row r="239" spans="1:7">
      <c r="A239">
        <v>42</v>
      </c>
      <c r="B239" t="s">
        <v>223</v>
      </c>
      <c r="C239" t="s">
        <v>375</v>
      </c>
      <c r="D239">
        <v>1.241989E-3</v>
      </c>
      <c r="E239">
        <v>4.6836900000000006E-4</v>
      </c>
      <c r="F239">
        <v>4.6836900000000006E-4</v>
      </c>
      <c r="G239">
        <v>21330.662</v>
      </c>
    </row>
    <row r="240" spans="1:7">
      <c r="A240">
        <v>42</v>
      </c>
      <c r="B240" t="s">
        <v>225</v>
      </c>
      <c r="C240" t="s">
        <v>384</v>
      </c>
      <c r="D240">
        <v>0.17256529400000001</v>
      </c>
      <c r="F240">
        <v>1.7083964106000001E-2</v>
      </c>
    </row>
    <row r="241" spans="1:7">
      <c r="A241">
        <v>42</v>
      </c>
      <c r="B241" t="s">
        <v>226</v>
      </c>
      <c r="C241" t="s">
        <v>384</v>
      </c>
      <c r="D241">
        <v>0.32402482100000002</v>
      </c>
      <c r="F241">
        <v>3.0134308353000003E-2</v>
      </c>
    </row>
    <row r="242" spans="1:7">
      <c r="A242">
        <v>42</v>
      </c>
      <c r="B242" t="s">
        <v>227</v>
      </c>
      <c r="C242" t="s">
        <v>384</v>
      </c>
      <c r="D242">
        <v>0.32402482100000002</v>
      </c>
      <c r="F242">
        <v>3.0134308353000003E-2</v>
      </c>
    </row>
    <row r="243" spans="1:7">
      <c r="A243">
        <v>43</v>
      </c>
      <c r="B243">
        <v>1</v>
      </c>
      <c r="C243" t="s">
        <v>375</v>
      </c>
      <c r="D243">
        <v>3.5999999999999999E-7</v>
      </c>
      <c r="F243">
        <v>3.8927371397119746E-5</v>
      </c>
      <c r="G243">
        <v>385.43599999999998</v>
      </c>
    </row>
    <row r="244" spans="1:7">
      <c r="A244">
        <v>43</v>
      </c>
      <c r="B244">
        <v>2</v>
      </c>
      <c r="C244" t="s">
        <v>375</v>
      </c>
      <c r="D244">
        <v>1.5900000000000001E-7</v>
      </c>
      <c r="F244">
        <v>1.4378490901235083E-5</v>
      </c>
      <c r="G244">
        <v>142.37</v>
      </c>
    </row>
    <row r="245" spans="1:7">
      <c r="A245">
        <v>43</v>
      </c>
      <c r="B245">
        <v>3</v>
      </c>
      <c r="C245" t="s">
        <v>375</v>
      </c>
      <c r="D245">
        <v>4.1477300000000001E-4</v>
      </c>
      <c r="F245">
        <v>2.5672987884129946E-4</v>
      </c>
      <c r="G245">
        <v>4829.683</v>
      </c>
    </row>
    <row r="246" spans="1:7">
      <c r="A246">
        <v>44</v>
      </c>
      <c r="B246" t="s">
        <v>221</v>
      </c>
      <c r="C246" t="s">
        <v>375</v>
      </c>
      <c r="G246">
        <v>3.3570000000000002</v>
      </c>
    </row>
    <row r="247" spans="1:7">
      <c r="A247">
        <v>44</v>
      </c>
      <c r="B247" t="s">
        <v>222</v>
      </c>
      <c r="C247" t="s">
        <v>375</v>
      </c>
      <c r="G247">
        <v>17.327999999999999</v>
      </c>
    </row>
    <row r="248" spans="1:7">
      <c r="A248">
        <v>44</v>
      </c>
      <c r="B248" t="s">
        <v>223</v>
      </c>
      <c r="C248" t="s">
        <v>375</v>
      </c>
      <c r="G248">
        <v>11.090999999999999</v>
      </c>
    </row>
    <row r="249" spans="1:7">
      <c r="A249">
        <v>44</v>
      </c>
      <c r="B249" t="s">
        <v>224</v>
      </c>
      <c r="C249" t="s">
        <v>375</v>
      </c>
      <c r="G249">
        <v>7.9370000000000003</v>
      </c>
    </row>
    <row r="250" spans="1:7">
      <c r="A250">
        <v>44</v>
      </c>
      <c r="B250" t="s">
        <v>229</v>
      </c>
      <c r="C250" t="s">
        <v>375</v>
      </c>
      <c r="G250">
        <v>6.7679999999999998</v>
      </c>
    </row>
    <row r="251" spans="1:7">
      <c r="A251">
        <v>44</v>
      </c>
      <c r="B251" t="s">
        <v>225</v>
      </c>
      <c r="C251" t="s">
        <v>384</v>
      </c>
      <c r="G251">
        <v>300.53100000000001</v>
      </c>
    </row>
    <row r="252" spans="1:7">
      <c r="A252">
        <v>44</v>
      </c>
      <c r="B252" t="s">
        <v>226</v>
      </c>
      <c r="C252" t="s">
        <v>384</v>
      </c>
      <c r="G252">
        <v>652.45500000000004</v>
      </c>
    </row>
    <row r="253" spans="1:7">
      <c r="A253">
        <v>44</v>
      </c>
      <c r="B253" t="s">
        <v>227</v>
      </c>
      <c r="C253" t="s">
        <v>384</v>
      </c>
      <c r="G253">
        <v>342.72800000000001</v>
      </c>
    </row>
    <row r="254" spans="1:7">
      <c r="A254">
        <v>44</v>
      </c>
      <c r="B254" t="s">
        <v>228</v>
      </c>
      <c r="C254" t="s">
        <v>384</v>
      </c>
      <c r="G254">
        <v>380.714</v>
      </c>
    </row>
    <row r="255" spans="1:7">
      <c r="A255">
        <v>44</v>
      </c>
      <c r="B255" t="s">
        <v>230</v>
      </c>
      <c r="C255" t="s">
        <v>384</v>
      </c>
      <c r="G255">
        <v>177.68199999999999</v>
      </c>
    </row>
    <row r="256" spans="1:7">
      <c r="A256">
        <v>45</v>
      </c>
      <c r="B256" t="s">
        <v>221</v>
      </c>
      <c r="C256" t="s">
        <v>375</v>
      </c>
      <c r="D256">
        <v>1.1370000000000001E-6</v>
      </c>
      <c r="E256">
        <v>1.9570000000000001E-6</v>
      </c>
      <c r="F256">
        <v>1.9570000000000001E-6</v>
      </c>
      <c r="G256">
        <v>28.597999999999999</v>
      </c>
    </row>
    <row r="257" spans="1:7">
      <c r="A257">
        <v>45</v>
      </c>
      <c r="B257" t="s">
        <v>222</v>
      </c>
      <c r="C257" t="s">
        <v>375</v>
      </c>
      <c r="D257">
        <v>4.092E-6</v>
      </c>
      <c r="E257">
        <v>7.3799999999999996E-6</v>
      </c>
      <c r="F257">
        <v>7.3799999999999996E-6</v>
      </c>
      <c r="G257">
        <v>204.108</v>
      </c>
    </row>
    <row r="258" spans="1:7">
      <c r="A258">
        <v>45</v>
      </c>
      <c r="B258" t="s">
        <v>223</v>
      </c>
      <c r="C258" t="s">
        <v>375</v>
      </c>
      <c r="D258">
        <v>1.0359E-5</v>
      </c>
      <c r="E258">
        <v>2.1203E-5</v>
      </c>
      <c r="F258">
        <v>2.1203E-5</v>
      </c>
      <c r="G258">
        <v>453.25</v>
      </c>
    </row>
    <row r="259" spans="1:7">
      <c r="A259">
        <v>45</v>
      </c>
      <c r="B259" t="s">
        <v>224</v>
      </c>
      <c r="C259" t="s">
        <v>375</v>
      </c>
      <c r="D259">
        <v>4.4475999999999999E-5</v>
      </c>
      <c r="E259">
        <v>7.7426E-5</v>
      </c>
      <c r="F259">
        <v>7.7426E-5</v>
      </c>
      <c r="G259">
        <v>1006.5069999999999</v>
      </c>
    </row>
    <row r="260" spans="1:7">
      <c r="A260">
        <v>45</v>
      </c>
      <c r="B260" t="s">
        <v>225</v>
      </c>
      <c r="C260" t="s">
        <v>384</v>
      </c>
      <c r="D260">
        <v>6672.2682926829266</v>
      </c>
      <c r="E260">
        <v>273.56299999999999</v>
      </c>
      <c r="F260">
        <v>273.56299999999999</v>
      </c>
    </row>
    <row r="261" spans="1:7">
      <c r="A261">
        <v>45</v>
      </c>
      <c r="B261" t="s">
        <v>226</v>
      </c>
      <c r="C261" t="s">
        <v>384</v>
      </c>
      <c r="D261">
        <v>10446.806451612903</v>
      </c>
      <c r="E261">
        <v>323.851</v>
      </c>
      <c r="F261">
        <v>323.851</v>
      </c>
    </row>
    <row r="262" spans="1:7">
      <c r="A262">
        <v>45</v>
      </c>
      <c r="B262" t="s">
        <v>227</v>
      </c>
      <c r="C262" t="s">
        <v>384</v>
      </c>
      <c r="D262">
        <v>15360.5</v>
      </c>
      <c r="E262">
        <v>1013.793</v>
      </c>
      <c r="F262">
        <v>1013.793</v>
      </c>
    </row>
    <row r="263" spans="1:7">
      <c r="A263">
        <v>45</v>
      </c>
      <c r="B263" t="s">
        <v>228</v>
      </c>
      <c r="C263" t="s">
        <v>384</v>
      </c>
      <c r="D263">
        <v>17879.944444444445</v>
      </c>
      <c r="E263">
        <v>1287.356</v>
      </c>
      <c r="F263">
        <v>1287.356</v>
      </c>
    </row>
    <row r="264" spans="1:7">
      <c r="A264">
        <v>46</v>
      </c>
      <c r="B264">
        <v>1</v>
      </c>
      <c r="C264" t="s">
        <v>375</v>
      </c>
      <c r="D264">
        <v>1.1877E-5</v>
      </c>
      <c r="F264">
        <v>1.6497153E-5</v>
      </c>
      <c r="G264">
        <v>215.44300000000001</v>
      </c>
    </row>
    <row r="265" spans="1:7">
      <c r="A265">
        <v>46</v>
      </c>
      <c r="B265">
        <v>2</v>
      </c>
      <c r="C265" t="s">
        <v>375</v>
      </c>
      <c r="D265">
        <v>1.2358165999999999E-2</v>
      </c>
      <c r="F265">
        <v>1.2976074299999999E-3</v>
      </c>
      <c r="G265">
        <v>116095.34699999999</v>
      </c>
    </row>
    <row r="266" spans="1:7">
      <c r="A266">
        <v>46</v>
      </c>
      <c r="B266">
        <v>3</v>
      </c>
      <c r="C266" t="s">
        <v>375</v>
      </c>
      <c r="D266">
        <v>1.3921247999999999E-2</v>
      </c>
      <c r="F266">
        <v>1.6983922559999998E-3</v>
      </c>
      <c r="G266">
        <v>131938.144</v>
      </c>
    </row>
    <row r="267" spans="1:7">
      <c r="A267">
        <v>46</v>
      </c>
      <c r="B267">
        <v>4</v>
      </c>
      <c r="C267" t="s">
        <v>375</v>
      </c>
      <c r="D267">
        <v>1.7433288000000002E-2</v>
      </c>
      <c r="F267">
        <v>2.1268611360000002E-3</v>
      </c>
      <c r="G267">
        <v>181659.97899999999</v>
      </c>
    </row>
    <row r="268" spans="1:7">
      <c r="A268">
        <v>46</v>
      </c>
      <c r="B268">
        <v>5</v>
      </c>
      <c r="C268" t="s">
        <v>375</v>
      </c>
      <c r="D268">
        <v>8.8771969999999999E-3</v>
      </c>
      <c r="F268">
        <v>1.2161759890000001E-3</v>
      </c>
      <c r="G268">
        <v>89888.410999999993</v>
      </c>
    </row>
    <row r="269" spans="1:7">
      <c r="A269">
        <v>46</v>
      </c>
      <c r="B269">
        <v>6</v>
      </c>
      <c r="C269" t="s">
        <v>375</v>
      </c>
      <c r="D269">
        <v>2.6624859999999999E-3</v>
      </c>
      <c r="F269">
        <v>1.9995269860000001E-3</v>
      </c>
      <c r="G269">
        <v>33000.347999999998</v>
      </c>
    </row>
    <row r="270" spans="1:7">
      <c r="A270">
        <v>47</v>
      </c>
      <c r="B270" t="s">
        <v>221</v>
      </c>
      <c r="C270" t="s">
        <v>375</v>
      </c>
      <c r="D270">
        <v>4.8399999999999994E-7</v>
      </c>
    </row>
    <row r="271" spans="1:7">
      <c r="A271">
        <v>47</v>
      </c>
      <c r="B271">
        <v>2</v>
      </c>
      <c r="C271" t="s">
        <v>375</v>
      </c>
      <c r="D271">
        <v>3.6190000000000004E-6</v>
      </c>
    </row>
    <row r="272" spans="1:7">
      <c r="A272">
        <v>47</v>
      </c>
      <c r="B272">
        <v>3</v>
      </c>
      <c r="C272" t="s">
        <v>375</v>
      </c>
      <c r="D272">
        <v>2.3408E-5</v>
      </c>
    </row>
    <row r="273" spans="1:14">
      <c r="A273">
        <v>47</v>
      </c>
      <c r="B273" t="s">
        <v>224</v>
      </c>
      <c r="C273" t="s">
        <v>375</v>
      </c>
      <c r="D273">
        <v>1.0209600000000001E-4</v>
      </c>
    </row>
    <row r="274" spans="1:14">
      <c r="A274">
        <v>47</v>
      </c>
      <c r="B274">
        <v>5</v>
      </c>
      <c r="C274" t="s">
        <v>375</v>
      </c>
      <c r="D274">
        <v>1.365008E-3</v>
      </c>
    </row>
    <row r="275" spans="1:14">
      <c r="A275">
        <v>47</v>
      </c>
      <c r="B275" t="s">
        <v>225</v>
      </c>
      <c r="C275" t="s">
        <v>384</v>
      </c>
      <c r="D275">
        <v>1131</v>
      </c>
      <c r="F275">
        <v>26.012999999999998</v>
      </c>
    </row>
    <row r="276" spans="1:14">
      <c r="A276">
        <v>47</v>
      </c>
      <c r="B276" t="s">
        <v>228</v>
      </c>
      <c r="C276" t="s">
        <v>384</v>
      </c>
      <c r="D276">
        <v>1395</v>
      </c>
      <c r="F276">
        <v>18.134999999999998</v>
      </c>
    </row>
    <row r="277" spans="1:14">
      <c r="A277">
        <v>48</v>
      </c>
      <c r="B277">
        <v>1</v>
      </c>
      <c r="C277" t="s">
        <v>375</v>
      </c>
      <c r="G277">
        <v>1214.6310000000001</v>
      </c>
    </row>
    <row r="278" spans="1:14">
      <c r="A278">
        <v>48</v>
      </c>
      <c r="B278">
        <v>2</v>
      </c>
      <c r="C278" t="s">
        <v>375</v>
      </c>
      <c r="G278">
        <v>2132.4989999999998</v>
      </c>
    </row>
    <row r="279" spans="1:14">
      <c r="A279">
        <v>48</v>
      </c>
      <c r="B279">
        <v>3</v>
      </c>
      <c r="C279" t="s">
        <v>375</v>
      </c>
      <c r="G279">
        <v>4986.2929999999997</v>
      </c>
      <c r="L279">
        <v>49</v>
      </c>
      <c r="N279">
        <v>49</v>
      </c>
    </row>
    <row r="280" spans="1:14">
      <c r="A280">
        <v>48</v>
      </c>
      <c r="B280">
        <v>4</v>
      </c>
      <c r="C280" t="s">
        <v>375</v>
      </c>
      <c r="G280">
        <v>951.99</v>
      </c>
      <c r="L280" s="527">
        <v>51</v>
      </c>
    </row>
    <row r="281" spans="1:14">
      <c r="A281">
        <v>48</v>
      </c>
      <c r="B281">
        <v>5</v>
      </c>
      <c r="C281" t="s">
        <v>375</v>
      </c>
      <c r="G281">
        <v>1356.684</v>
      </c>
      <c r="N281">
        <v>55</v>
      </c>
    </row>
    <row r="282" spans="1:14">
      <c r="A282">
        <v>48</v>
      </c>
      <c r="B282">
        <v>6</v>
      </c>
      <c r="C282" t="s">
        <v>375</v>
      </c>
      <c r="G282">
        <v>9152.473</v>
      </c>
    </row>
    <row r="283" spans="1:14">
      <c r="A283">
        <v>48</v>
      </c>
      <c r="B283">
        <v>7</v>
      </c>
      <c r="C283" t="s">
        <v>375</v>
      </c>
      <c r="G283">
        <v>21757.392</v>
      </c>
      <c r="L283">
        <v>58</v>
      </c>
      <c r="M283">
        <v>58</v>
      </c>
    </row>
    <row r="284" spans="1:14">
      <c r="A284">
        <v>48</v>
      </c>
      <c r="B284">
        <v>8</v>
      </c>
      <c r="C284" t="s">
        <v>375</v>
      </c>
      <c r="G284">
        <v>1194.684</v>
      </c>
    </row>
    <row r="285" spans="1:14">
      <c r="A285">
        <v>48</v>
      </c>
      <c r="B285">
        <v>9</v>
      </c>
      <c r="C285" t="s">
        <v>375</v>
      </c>
      <c r="G285">
        <v>1345.1020000000001</v>
      </c>
    </row>
    <row r="286" spans="1:14">
      <c r="A286">
        <v>48</v>
      </c>
      <c r="B286">
        <v>10</v>
      </c>
      <c r="C286" t="s">
        <v>375</v>
      </c>
      <c r="G286">
        <v>7217.2060000000001</v>
      </c>
    </row>
    <row r="287" spans="1:14">
      <c r="A287">
        <v>48</v>
      </c>
      <c r="B287">
        <v>11</v>
      </c>
      <c r="C287" t="s">
        <v>375</v>
      </c>
      <c r="G287">
        <v>1827.269</v>
      </c>
    </row>
    <row r="288" spans="1:14">
      <c r="A288">
        <v>48</v>
      </c>
      <c r="B288">
        <v>12</v>
      </c>
      <c r="C288" t="s">
        <v>375</v>
      </c>
      <c r="G288">
        <v>3306.08</v>
      </c>
    </row>
    <row r="289" spans="1:7">
      <c r="A289">
        <v>49</v>
      </c>
      <c r="B289">
        <v>1</v>
      </c>
      <c r="C289" t="s">
        <v>375</v>
      </c>
      <c r="G289">
        <v>58.539000000000001</v>
      </c>
    </row>
    <row r="290" spans="1:7">
      <c r="A290">
        <v>49</v>
      </c>
      <c r="B290">
        <v>2</v>
      </c>
      <c r="C290" t="s">
        <v>375</v>
      </c>
      <c r="D290">
        <v>3.1729999999999999E-6</v>
      </c>
      <c r="F290">
        <v>9.810536599091315E-6</v>
      </c>
      <c r="G290">
        <v>164.10300000000001</v>
      </c>
    </row>
    <row r="291" spans="1:7">
      <c r="A291">
        <v>49</v>
      </c>
      <c r="B291">
        <v>3</v>
      </c>
      <c r="C291" t="s">
        <v>375</v>
      </c>
      <c r="D291">
        <v>1.4694E-5</v>
      </c>
      <c r="F291">
        <v>6.3734719319190336E-5</v>
      </c>
      <c r="G291">
        <v>1040.979</v>
      </c>
    </row>
    <row r="292" spans="1:7">
      <c r="A292">
        <v>49</v>
      </c>
      <c r="B292">
        <v>4</v>
      </c>
      <c r="C292" t="s">
        <v>375</v>
      </c>
      <c r="D292">
        <v>5.5770000000000003E-5</v>
      </c>
      <c r="F292">
        <v>1.6216300711656756E-4</v>
      </c>
      <c r="G292">
        <v>2729.27</v>
      </c>
    </row>
    <row r="293" spans="1:7">
      <c r="A293">
        <v>50</v>
      </c>
      <c r="B293">
        <v>1</v>
      </c>
      <c r="C293" t="s">
        <v>384</v>
      </c>
      <c r="D293">
        <v>3950.7959999999998</v>
      </c>
    </row>
    <row r="294" spans="1:7">
      <c r="A294">
        <v>50</v>
      </c>
      <c r="B294">
        <v>2</v>
      </c>
      <c r="C294" t="s">
        <v>384</v>
      </c>
      <c r="D294">
        <v>4619.3919999999998</v>
      </c>
    </row>
    <row r="295" spans="1:7">
      <c r="A295">
        <v>50</v>
      </c>
      <c r="B295">
        <v>3</v>
      </c>
      <c r="C295" t="s">
        <v>384</v>
      </c>
      <c r="D295">
        <v>4489.1459999999997</v>
      </c>
    </row>
    <row r="296" spans="1:7">
      <c r="A296">
        <v>50</v>
      </c>
      <c r="B296">
        <v>4</v>
      </c>
      <c r="C296" t="s">
        <v>384</v>
      </c>
      <c r="D296">
        <v>5253.2560000000003</v>
      </c>
    </row>
    <row r="297" spans="1:7">
      <c r="A297">
        <v>51</v>
      </c>
      <c r="B297">
        <v>1</v>
      </c>
      <c r="C297" t="s">
        <v>375</v>
      </c>
      <c r="D297">
        <v>4591.2049999999999</v>
      </c>
      <c r="F297">
        <v>110.18892</v>
      </c>
    </row>
    <row r="298" spans="1:7">
      <c r="A298">
        <v>51</v>
      </c>
      <c r="B298">
        <v>2</v>
      </c>
      <c r="C298" t="s">
        <v>375</v>
      </c>
      <c r="D298">
        <v>6228.0129999999999</v>
      </c>
      <c r="F298">
        <v>217.98045500000001</v>
      </c>
    </row>
    <row r="299" spans="1:7">
      <c r="A299">
        <v>51</v>
      </c>
      <c r="B299">
        <v>3</v>
      </c>
      <c r="C299" t="s">
        <v>375</v>
      </c>
      <c r="D299">
        <v>6081.433</v>
      </c>
      <c r="F299">
        <v>200.68728900000002</v>
      </c>
    </row>
    <row r="300" spans="1:7">
      <c r="A300">
        <v>51</v>
      </c>
      <c r="B300">
        <v>4</v>
      </c>
      <c r="C300" t="s">
        <v>375</v>
      </c>
      <c r="D300">
        <v>5902.28</v>
      </c>
      <c r="F300">
        <v>206.57980000000001</v>
      </c>
    </row>
    <row r="301" spans="1:7">
      <c r="A301">
        <v>51</v>
      </c>
      <c r="B301">
        <v>5</v>
      </c>
      <c r="C301" t="s">
        <v>375</v>
      </c>
      <c r="D301">
        <v>6089.5770000000002</v>
      </c>
      <c r="F301">
        <v>225.31434899999999</v>
      </c>
    </row>
    <row r="302" spans="1:7">
      <c r="A302">
        <v>51</v>
      </c>
      <c r="B302">
        <v>6</v>
      </c>
      <c r="C302" t="s">
        <v>375</v>
      </c>
      <c r="D302">
        <v>6016.2870000000003</v>
      </c>
      <c r="F302">
        <v>174.47232300000002</v>
      </c>
    </row>
    <row r="303" spans="1:7">
      <c r="A303">
        <v>51</v>
      </c>
      <c r="B303">
        <v>7</v>
      </c>
      <c r="C303" t="s">
        <v>375</v>
      </c>
      <c r="D303">
        <v>5723.1270000000004</v>
      </c>
      <c r="F303">
        <v>223.201953</v>
      </c>
    </row>
    <row r="304" spans="1:7">
      <c r="A304">
        <v>52</v>
      </c>
      <c r="B304">
        <v>1</v>
      </c>
      <c r="C304" t="s">
        <v>384</v>
      </c>
      <c r="E304">
        <v>30926.641</v>
      </c>
      <c r="F304">
        <v>30926.641</v>
      </c>
    </row>
    <row r="305" spans="1:7">
      <c r="A305">
        <v>52</v>
      </c>
      <c r="B305">
        <v>2</v>
      </c>
      <c r="C305" t="s">
        <v>384</v>
      </c>
      <c r="E305">
        <v>95096.524999999994</v>
      </c>
      <c r="F305">
        <v>95096.524999999994</v>
      </c>
    </row>
    <row r="306" spans="1:7">
      <c r="A306">
        <v>52</v>
      </c>
      <c r="B306">
        <v>3</v>
      </c>
      <c r="C306" t="s">
        <v>384</v>
      </c>
    </row>
    <row r="307" spans="1:7">
      <c r="A307">
        <v>52</v>
      </c>
      <c r="B307">
        <v>4</v>
      </c>
      <c r="C307" t="s">
        <v>384</v>
      </c>
    </row>
    <row r="308" spans="1:7">
      <c r="A308">
        <v>53</v>
      </c>
      <c r="B308">
        <v>1</v>
      </c>
      <c r="C308" t="s">
        <v>384</v>
      </c>
      <c r="G308">
        <v>753.91099999999994</v>
      </c>
    </row>
    <row r="309" spans="1:7">
      <c r="A309">
        <v>53</v>
      </c>
      <c r="B309">
        <v>2</v>
      </c>
      <c r="C309" t="s">
        <v>384</v>
      </c>
      <c r="G309">
        <v>369.34500000000003</v>
      </c>
    </row>
    <row r="310" spans="1:7">
      <c r="A310">
        <v>53</v>
      </c>
      <c r="B310">
        <v>3</v>
      </c>
      <c r="C310" t="s">
        <v>384</v>
      </c>
      <c r="G310">
        <v>190.405</v>
      </c>
    </row>
    <row r="311" spans="1:7">
      <c r="A311">
        <v>53</v>
      </c>
      <c r="B311">
        <v>4</v>
      </c>
      <c r="C311" t="s">
        <v>384</v>
      </c>
      <c r="G311">
        <v>140.239</v>
      </c>
    </row>
    <row r="312" spans="1:7">
      <c r="A312">
        <v>53</v>
      </c>
      <c r="B312">
        <v>5</v>
      </c>
      <c r="C312" t="s">
        <v>384</v>
      </c>
      <c r="G312">
        <v>140.239</v>
      </c>
    </row>
    <row r="313" spans="1:7">
      <c r="A313">
        <v>54</v>
      </c>
      <c r="B313">
        <v>1</v>
      </c>
      <c r="C313" t="s">
        <v>384</v>
      </c>
      <c r="D313">
        <v>355.04300000000001</v>
      </c>
      <c r="F313">
        <v>35.149257000000006</v>
      </c>
    </row>
    <row r="314" spans="1:7">
      <c r="A314">
        <v>54</v>
      </c>
      <c r="B314">
        <v>2</v>
      </c>
      <c r="C314" t="s">
        <v>384</v>
      </c>
      <c r="D314">
        <v>662.82399999999996</v>
      </c>
      <c r="F314">
        <v>24.524487999999998</v>
      </c>
    </row>
    <row r="315" spans="1:7">
      <c r="A315">
        <v>54</v>
      </c>
      <c r="B315">
        <v>3</v>
      </c>
      <c r="C315" t="s">
        <v>384</v>
      </c>
      <c r="D315">
        <v>523.63099999999997</v>
      </c>
      <c r="F315">
        <v>13.614405999999999</v>
      </c>
    </row>
    <row r="316" spans="1:7">
      <c r="A316">
        <v>54</v>
      </c>
      <c r="B316">
        <v>4</v>
      </c>
      <c r="C316" t="s">
        <v>384</v>
      </c>
      <c r="D316">
        <v>292.79500000000002</v>
      </c>
      <c r="F316">
        <v>20.495650000000005</v>
      </c>
    </row>
    <row r="317" spans="1:7">
      <c r="A317">
        <v>55</v>
      </c>
      <c r="B317" t="s">
        <v>221</v>
      </c>
      <c r="C317" t="s">
        <v>375</v>
      </c>
      <c r="G317">
        <v>462.04899999999998</v>
      </c>
    </row>
    <row r="318" spans="1:7">
      <c r="A318">
        <v>55</v>
      </c>
      <c r="B318" t="s">
        <v>222</v>
      </c>
      <c r="C318" t="s">
        <v>375</v>
      </c>
    </row>
    <row r="319" spans="1:7">
      <c r="A319">
        <v>55</v>
      </c>
      <c r="B319" t="s">
        <v>223</v>
      </c>
      <c r="C319" t="s">
        <v>375</v>
      </c>
    </row>
    <row r="320" spans="1:7">
      <c r="A320">
        <v>55</v>
      </c>
      <c r="B320" t="s">
        <v>225</v>
      </c>
      <c r="C320" t="s">
        <v>375</v>
      </c>
      <c r="G320">
        <v>115.824</v>
      </c>
    </row>
    <row r="321" spans="1:7">
      <c r="A321">
        <v>55</v>
      </c>
      <c r="B321" t="s">
        <v>226</v>
      </c>
      <c r="C321" t="s">
        <v>375</v>
      </c>
    </row>
    <row r="322" spans="1:7">
      <c r="A322">
        <v>55</v>
      </c>
      <c r="B322" t="s">
        <v>227</v>
      </c>
      <c r="C322" t="s">
        <v>375</v>
      </c>
    </row>
    <row r="323" spans="1:7">
      <c r="A323">
        <v>55</v>
      </c>
      <c r="B323" t="s">
        <v>231</v>
      </c>
      <c r="C323" t="s">
        <v>375</v>
      </c>
      <c r="G323">
        <v>46.046999999999997</v>
      </c>
    </row>
    <row r="324" spans="1:7">
      <c r="A324">
        <v>55</v>
      </c>
      <c r="B324" t="s">
        <v>232</v>
      </c>
      <c r="C324" t="s">
        <v>375</v>
      </c>
    </row>
    <row r="325" spans="1:7">
      <c r="A325">
        <v>55</v>
      </c>
      <c r="B325" t="s">
        <v>233</v>
      </c>
      <c r="C325" t="s">
        <v>375</v>
      </c>
    </row>
    <row r="326" spans="1:7">
      <c r="A326">
        <v>56</v>
      </c>
      <c r="B326" t="s">
        <v>221</v>
      </c>
      <c r="C326" t="s">
        <v>384</v>
      </c>
      <c r="D326">
        <v>895279196.13399994</v>
      </c>
      <c r="E326">
        <v>102343860.287</v>
      </c>
      <c r="F326">
        <v>102343860.287</v>
      </c>
    </row>
    <row r="327" spans="1:7">
      <c r="A327">
        <v>56</v>
      </c>
      <c r="B327" t="s">
        <v>225</v>
      </c>
      <c r="C327" t="s">
        <v>375</v>
      </c>
      <c r="G327">
        <v>114.58799999999999</v>
      </c>
    </row>
    <row r="328" spans="1:7">
      <c r="A328">
        <v>57</v>
      </c>
      <c r="B328">
        <v>1</v>
      </c>
      <c r="C328" t="s">
        <v>384</v>
      </c>
      <c r="D328">
        <v>928105386.37800002</v>
      </c>
    </row>
    <row r="329" spans="1:7">
      <c r="A329">
        <v>57</v>
      </c>
      <c r="B329">
        <v>2</v>
      </c>
      <c r="C329" t="s">
        <v>384</v>
      </c>
      <c r="D329">
        <v>818980434.62699997</v>
      </c>
    </row>
    <row r="330" spans="1:7">
      <c r="A330">
        <v>58</v>
      </c>
      <c r="B330">
        <v>1</v>
      </c>
      <c r="C330" t="s">
        <v>375</v>
      </c>
      <c r="D330">
        <v>2.6465518999999999E-3</v>
      </c>
      <c r="E330">
        <v>5.1707150000000002E-3</v>
      </c>
      <c r="F330">
        <v>5.1707150000000002E-3</v>
      </c>
    </row>
    <row r="331" spans="1:7">
      <c r="A331">
        <v>58</v>
      </c>
      <c r="B331">
        <v>2</v>
      </c>
      <c r="C331" t="s">
        <v>375</v>
      </c>
      <c r="D331">
        <v>1.3661342E-3</v>
      </c>
      <c r="E331">
        <v>2.5904729999999998E-3</v>
      </c>
      <c r="F331">
        <v>2.5904729999999998E-3</v>
      </c>
    </row>
    <row r="332" spans="1:7">
      <c r="A332">
        <v>58</v>
      </c>
      <c r="B332">
        <v>3</v>
      </c>
      <c r="C332" t="s">
        <v>375</v>
      </c>
      <c r="D332">
        <v>2.1086600000000002E-5</v>
      </c>
      <c r="E332">
        <v>1.0361849999999999E-4</v>
      </c>
      <c r="F332">
        <v>1.0361849999999999E-4</v>
      </c>
    </row>
    <row r="333" spans="1:7">
      <c r="A333">
        <v>58</v>
      </c>
      <c r="B333">
        <v>4</v>
      </c>
      <c r="C333" t="s">
        <v>375</v>
      </c>
      <c r="D333">
        <v>3.3899400000000003E-5</v>
      </c>
      <c r="E333">
        <v>8.5049999999999994E-5</v>
      </c>
      <c r="F333">
        <v>8.5049999999999994E-5</v>
      </c>
    </row>
    <row r="334" spans="1:7">
      <c r="A334">
        <v>58</v>
      </c>
      <c r="B334">
        <v>5</v>
      </c>
      <c r="C334" t="s">
        <v>375</v>
      </c>
      <c r="D334">
        <v>1.2896000000000002E-5</v>
      </c>
      <c r="E334">
        <v>2.052E-5</v>
      </c>
      <c r="F334">
        <v>2.052E-5</v>
      </c>
    </row>
    <row r="335" spans="1:7">
      <c r="A335">
        <v>59</v>
      </c>
      <c r="B335">
        <v>1</v>
      </c>
      <c r="C335" t="s">
        <v>384</v>
      </c>
      <c r="D335">
        <v>6256.3739999999998</v>
      </c>
      <c r="F335">
        <v>125.12748000000001</v>
      </c>
    </row>
    <row r="336" spans="1:7">
      <c r="A336">
        <v>59</v>
      </c>
      <c r="B336">
        <v>2</v>
      </c>
      <c r="C336" t="s">
        <v>384</v>
      </c>
      <c r="D336">
        <v>6603.3990000000003</v>
      </c>
      <c r="F336">
        <v>132.06798000000001</v>
      </c>
    </row>
    <row r="337" spans="1:6">
      <c r="A337">
        <v>59</v>
      </c>
      <c r="B337">
        <v>3</v>
      </c>
      <c r="C337" t="s">
        <v>384</v>
      </c>
      <c r="D337">
        <v>5611.8980000000001</v>
      </c>
      <c r="F337">
        <v>134.685552</v>
      </c>
    </row>
    <row r="338" spans="1:6">
      <c r="A338">
        <v>59</v>
      </c>
      <c r="B338">
        <v>4</v>
      </c>
      <c r="C338" t="s">
        <v>384</v>
      </c>
      <c r="D338">
        <v>5175.6369999999997</v>
      </c>
      <c r="F338">
        <v>175.97165799999999</v>
      </c>
    </row>
    <row r="339" spans="1:6">
      <c r="A339">
        <v>59</v>
      </c>
      <c r="B339">
        <v>5</v>
      </c>
      <c r="C339" t="s">
        <v>384</v>
      </c>
      <c r="D339">
        <v>4630.3119999999999</v>
      </c>
      <c r="F339">
        <v>148.169984</v>
      </c>
    </row>
    <row r="340" spans="1:6">
      <c r="A340">
        <v>59</v>
      </c>
      <c r="B340">
        <v>6</v>
      </c>
      <c r="C340" t="s">
        <v>384</v>
      </c>
      <c r="D340">
        <v>5046.7420000000002</v>
      </c>
      <c r="F340">
        <v>191.776196</v>
      </c>
    </row>
    <row r="341" spans="1:6">
      <c r="A341">
        <v>60</v>
      </c>
      <c r="B341">
        <v>1</v>
      </c>
      <c r="C341" t="s">
        <v>384</v>
      </c>
      <c r="D341">
        <v>20090928126.087399</v>
      </c>
      <c r="E341">
        <v>524807460.24977338</v>
      </c>
      <c r="F341">
        <v>524807460.24977338</v>
      </c>
    </row>
    <row r="342" spans="1:6">
      <c r="A342">
        <v>60</v>
      </c>
      <c r="B342">
        <v>2</v>
      </c>
      <c r="C342" t="s">
        <v>384</v>
      </c>
      <c r="D342">
        <v>1336595516.5464447</v>
      </c>
      <c r="E342">
        <v>45708818.96148771</v>
      </c>
      <c r="F342">
        <v>45708818.96148771</v>
      </c>
    </row>
    <row r="343" spans="1:6">
      <c r="A343">
        <v>60</v>
      </c>
      <c r="B343">
        <v>3</v>
      </c>
      <c r="C343" t="s">
        <v>384</v>
      </c>
      <c r="D343">
        <v>92044957.175317541</v>
      </c>
      <c r="E343">
        <v>2735268.7263067118</v>
      </c>
      <c r="F343">
        <v>2735268.7263067118</v>
      </c>
    </row>
    <row r="344" spans="1:6">
      <c r="A344">
        <v>60</v>
      </c>
      <c r="B344">
        <v>4</v>
      </c>
      <c r="C344" t="s">
        <v>384</v>
      </c>
      <c r="D344">
        <v>11297959.146728039</v>
      </c>
      <c r="E344">
        <v>133967.66874259422</v>
      </c>
      <c r="F344">
        <v>133967.66874259422</v>
      </c>
    </row>
    <row r="345" spans="1:6">
      <c r="A345">
        <v>60</v>
      </c>
      <c r="B345">
        <v>5</v>
      </c>
      <c r="C345" t="s">
        <v>384</v>
      </c>
      <c r="D345">
        <v>1492794.4095789965</v>
      </c>
      <c r="E345">
        <v>27164.392688390799</v>
      </c>
      <c r="F345">
        <v>27164.392688390799</v>
      </c>
    </row>
    <row r="346" spans="1:6">
      <c r="A346">
        <v>60</v>
      </c>
      <c r="B346">
        <v>6</v>
      </c>
      <c r="C346" t="s">
        <v>384</v>
      </c>
      <c r="D346">
        <v>137404.19750125185</v>
      </c>
      <c r="E346">
        <v>2999.1625189876609</v>
      </c>
      <c r="F346">
        <v>2999.1625189876609</v>
      </c>
    </row>
    <row r="347" spans="1:6">
      <c r="A347">
        <v>60</v>
      </c>
      <c r="B347">
        <v>7</v>
      </c>
      <c r="C347" t="s">
        <v>384</v>
      </c>
      <c r="D347">
        <v>27989.813196343654</v>
      </c>
      <c r="E347">
        <v>570.16427228074883</v>
      </c>
      <c r="F347">
        <v>570.16427228074883</v>
      </c>
    </row>
    <row r="348" spans="1:6">
      <c r="A348">
        <v>60</v>
      </c>
      <c r="B348">
        <v>8</v>
      </c>
      <c r="C348" t="s">
        <v>384</v>
      </c>
      <c r="D348">
        <v>2398.8329190194968</v>
      </c>
      <c r="E348">
        <v>60.813500127871762</v>
      </c>
      <c r="F348">
        <v>60.813500127871762</v>
      </c>
    </row>
    <row r="349" spans="1:6">
      <c r="A349">
        <v>61</v>
      </c>
      <c r="B349">
        <v>1</v>
      </c>
      <c r="C349" t="s">
        <v>384</v>
      </c>
      <c r="D349">
        <v>16503.866000000002</v>
      </c>
      <c r="E349">
        <v>44645.373</v>
      </c>
      <c r="F349">
        <v>44645.373</v>
      </c>
    </row>
  </sheetData>
  <autoFilter ref="A1:G349" xr:uid="{2651FD7D-0B7A-4B08-89F0-5A426D4FD2A5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M428"/>
  <sheetViews>
    <sheetView topLeftCell="A227" workbookViewId="0">
      <selection activeCell="I77" sqref="I77"/>
    </sheetView>
  </sheetViews>
  <sheetFormatPr defaultColWidth="12.5546875" defaultRowHeight="15" customHeight="1"/>
  <cols>
    <col min="12" max="12" width="18.33203125" customWidth="1"/>
    <col min="19" max="19" width="11.44140625" customWidth="1"/>
    <col min="25" max="27" width="11.44140625" customWidth="1"/>
    <col min="28" max="28" width="9.33203125" customWidth="1"/>
    <col min="29" max="29" width="10.44140625" customWidth="1"/>
    <col min="30" max="30" width="13.88671875" customWidth="1"/>
  </cols>
  <sheetData>
    <row r="1" spans="1:49" ht="14.4">
      <c r="A1" s="16" t="s">
        <v>219</v>
      </c>
      <c r="B1" s="15" t="s">
        <v>220</v>
      </c>
    </row>
    <row r="2" spans="1:49" ht="14.4">
      <c r="A2" s="380">
        <v>1</v>
      </c>
      <c r="B2" s="295">
        <v>1</v>
      </c>
    </row>
    <row r="3" spans="1:49" ht="14.4">
      <c r="A3" s="380">
        <v>1</v>
      </c>
      <c r="B3" s="295">
        <v>2</v>
      </c>
    </row>
    <row r="4" spans="1:49" ht="14.4">
      <c r="A4" s="381">
        <v>1</v>
      </c>
      <c r="B4" s="295">
        <v>3</v>
      </c>
    </row>
    <row r="5" spans="1:49" ht="14.4">
      <c r="A5" s="381">
        <v>1</v>
      </c>
      <c r="B5" s="295">
        <v>4</v>
      </c>
    </row>
    <row r="6" spans="1:49" ht="14.4">
      <c r="A6" s="381">
        <v>1</v>
      </c>
      <c r="B6" s="295">
        <v>5</v>
      </c>
    </row>
    <row r="7" spans="1:49" ht="14.4">
      <c r="A7" s="199">
        <v>2</v>
      </c>
      <c r="B7" s="200">
        <v>1</v>
      </c>
      <c r="C7" s="404">
        <v>78.116806310642403</v>
      </c>
      <c r="D7" s="404">
        <v>110.30285429800399</v>
      </c>
      <c r="E7" s="404">
        <v>161.51092065876301</v>
      </c>
      <c r="F7" s="404">
        <v>240.826054185602</v>
      </c>
      <c r="G7" s="404">
        <v>365.67181101941497</v>
      </c>
      <c r="H7" s="404">
        <v>545.24671777932997</v>
      </c>
      <c r="I7" s="404">
        <v>756.04717660682195</v>
      </c>
      <c r="J7" s="404">
        <v>1010.95508532093</v>
      </c>
      <c r="K7" s="404">
        <v>1453.6523938769301</v>
      </c>
      <c r="L7" s="404">
        <v>2015.6559449537001</v>
      </c>
      <c r="M7" s="405">
        <v>2552.3490290923</v>
      </c>
    </row>
    <row r="8" spans="1:49" ht="14.4">
      <c r="A8" s="196">
        <v>2</v>
      </c>
      <c r="B8" s="201">
        <v>2</v>
      </c>
      <c r="C8" s="151">
        <v>2.2640686433333901</v>
      </c>
      <c r="D8" s="151">
        <v>2.4346432415670902</v>
      </c>
      <c r="E8" s="151">
        <v>2.7646514028593199</v>
      </c>
      <c r="F8" s="151">
        <v>2.9729398324913299</v>
      </c>
      <c r="G8" s="151">
        <v>3.4377762152010898</v>
      </c>
      <c r="H8" s="151">
        <v>3.90375586607693</v>
      </c>
      <c r="I8" s="151">
        <v>4.5968524908072999</v>
      </c>
      <c r="J8" s="151">
        <v>6.2593605509614703</v>
      </c>
      <c r="K8" s="151">
        <v>8.2191422785135195</v>
      </c>
      <c r="L8" s="151">
        <v>11.605631310581799</v>
      </c>
      <c r="M8" s="384">
        <v>28.7733571395482</v>
      </c>
    </row>
    <row r="9" spans="1:49" ht="14.4">
      <c r="A9" s="196">
        <v>2</v>
      </c>
      <c r="B9" s="201">
        <v>3</v>
      </c>
      <c r="C9" s="151">
        <v>690.42533485137994</v>
      </c>
      <c r="D9" s="151">
        <v>843.07751718878103</v>
      </c>
      <c r="E9" s="151">
        <v>1067.55723258899</v>
      </c>
      <c r="F9" s="151">
        <v>1453.6523938769301</v>
      </c>
      <c r="G9" s="151">
        <v>2015.6559449537001</v>
      </c>
      <c r="H9" s="151">
        <v>2599.1210013088698</v>
      </c>
      <c r="I9" s="151">
        <v>3670.0228625603399</v>
      </c>
      <c r="J9" s="151">
        <v>4819.0929132765104</v>
      </c>
      <c r="K9" s="151">
        <v>7317.3413027418401</v>
      </c>
      <c r="L9" s="151">
        <v>11947.7758487762</v>
      </c>
      <c r="M9" s="384">
        <v>12616.7173061541</v>
      </c>
    </row>
    <row r="10" spans="1:49" ht="14.4">
      <c r="A10" s="197">
        <v>2</v>
      </c>
      <c r="B10" s="202">
        <v>4</v>
      </c>
      <c r="C10" s="152">
        <v>923.20826649339904</v>
      </c>
      <c r="D10" s="152">
        <v>1190.44621679225</v>
      </c>
      <c r="E10" s="152">
        <v>1650.69036045498</v>
      </c>
      <c r="F10" s="152">
        <v>2373.5277945243201</v>
      </c>
      <c r="G10" s="152">
        <v>3539.1249763402998</v>
      </c>
      <c r="H10" s="152">
        <v>5472.3056568335996</v>
      </c>
      <c r="I10" s="152">
        <v>8309.1836834395399</v>
      </c>
      <c r="J10" s="152">
        <v>13815.879887167799</v>
      </c>
      <c r="K10" s="152">
        <v>22152.659261826899</v>
      </c>
      <c r="L10" s="152">
        <v>35520.018730504897</v>
      </c>
      <c r="M10" s="385">
        <v>63509.561872022001</v>
      </c>
    </row>
    <row r="11" spans="1:49" ht="14.4">
      <c r="A11" s="203">
        <v>3</v>
      </c>
      <c r="B11" s="200">
        <v>1</v>
      </c>
      <c r="C11" s="223">
        <v>23.747494317354299</v>
      </c>
      <c r="D11" s="223">
        <v>14.724465497136</v>
      </c>
      <c r="E11" s="223">
        <v>21.1930956726879</v>
      </c>
      <c r="F11" s="223">
        <v>40.083478541601004</v>
      </c>
      <c r="G11" s="223">
        <v>164.36732451588099</v>
      </c>
      <c r="H11" s="223">
        <v>332.843842594904</v>
      </c>
      <c r="I11" s="223">
        <v>906.079682481644</v>
      </c>
      <c r="J11" s="223">
        <v>1675.1462069041399</v>
      </c>
      <c r="K11" s="223">
        <v>3241.2191933232898</v>
      </c>
      <c r="L11" s="223">
        <v>6130.2672337590602</v>
      </c>
      <c r="M11" s="223">
        <v>10114.451572906</v>
      </c>
      <c r="N11" s="223">
        <v>17465.242872062401</v>
      </c>
      <c r="O11" s="223">
        <v>26914.327055682399</v>
      </c>
      <c r="P11" s="223">
        <v>39629.908011002997</v>
      </c>
      <c r="Q11" s="223">
        <v>57039.790825709199</v>
      </c>
      <c r="R11" s="223">
        <v>78444.667530402294</v>
      </c>
      <c r="S11" s="223">
        <v>96277.662014594098</v>
      </c>
      <c r="T11" s="223">
        <v>115505.58004857101</v>
      </c>
      <c r="U11" s="223">
        <v>138573.56673591101</v>
      </c>
      <c r="V11" s="223">
        <v>166248.53439840101</v>
      </c>
      <c r="W11" s="223">
        <v>194962.27170075101</v>
      </c>
      <c r="X11" s="223">
        <v>218461.026686097</v>
      </c>
      <c r="Y11" s="293">
        <v>233898.80694204001</v>
      </c>
    </row>
    <row r="12" spans="1:49" ht="14.4">
      <c r="A12" s="204">
        <v>3</v>
      </c>
      <c r="B12" s="201">
        <v>2</v>
      </c>
      <c r="C12" s="21">
        <v>2151.7122110803002</v>
      </c>
      <c r="D12" s="21">
        <v>2009.69498267726</v>
      </c>
      <c r="E12" s="21">
        <v>1529.3750584537399</v>
      </c>
      <c r="F12" s="21">
        <v>1564.5832699791599</v>
      </c>
      <c r="G12" s="21">
        <v>2959.1684432198699</v>
      </c>
      <c r="H12" s="21">
        <v>4163.3207228822203</v>
      </c>
      <c r="I12" s="21">
        <v>6869.1468460253</v>
      </c>
      <c r="J12" s="21">
        <v>10829.2000255728</v>
      </c>
      <c r="K12" s="21">
        <v>16312.5025691058</v>
      </c>
      <c r="L12" s="21">
        <v>24019.288125073999</v>
      </c>
      <c r="M12" s="21">
        <v>34571.242760802699</v>
      </c>
      <c r="N12" s="21">
        <v>47544.522958903501</v>
      </c>
      <c r="O12" s="21">
        <v>71618.416049434702</v>
      </c>
      <c r="P12" s="21">
        <v>98494.099552688407</v>
      </c>
      <c r="Q12" s="21">
        <v>138573.56673591101</v>
      </c>
      <c r="R12" s="21">
        <v>177996.663485072</v>
      </c>
      <c r="S12" s="21">
        <v>223490.28487564801</v>
      </c>
      <c r="T12" s="21">
        <v>307357.73816062399</v>
      </c>
      <c r="U12" s="21">
        <v>377230.03186583699</v>
      </c>
      <c r="V12" s="21">
        <v>462986.54393120902</v>
      </c>
      <c r="W12" s="21">
        <v>581319.85493905295</v>
      </c>
      <c r="X12" s="21">
        <v>651386.19505790796</v>
      </c>
      <c r="Y12" s="211">
        <v>781476.60341388895</v>
      </c>
    </row>
    <row r="13" spans="1:49" ht="14.4">
      <c r="A13" s="204">
        <v>3</v>
      </c>
      <c r="B13" s="201">
        <v>3</v>
      </c>
      <c r="C13" s="21">
        <v>132407.02811159601</v>
      </c>
      <c r="D13" s="21">
        <v>138573.56673591101</v>
      </c>
      <c r="E13" s="21">
        <v>145027.29705350401</v>
      </c>
      <c r="F13" s="21">
        <v>148366.01486728899</v>
      </c>
      <c r="G13" s="21">
        <v>158850.456736466</v>
      </c>
      <c r="H13" s="21">
        <v>170075.792815186</v>
      </c>
      <c r="I13" s="21">
        <v>182094.37917891701</v>
      </c>
      <c r="J13" s="21">
        <v>199450.557856311</v>
      </c>
      <c r="K13" s="21">
        <v>218461.026686097</v>
      </c>
      <c r="L13" s="21">
        <v>244792.08086986799</v>
      </c>
      <c r="M13" s="21">
        <v>287071.524290097</v>
      </c>
      <c r="N13" s="21">
        <v>344403.49126393301</v>
      </c>
      <c r="O13" s="21">
        <v>413185.407671861</v>
      </c>
      <c r="P13" s="21">
        <v>473645.09892858902</v>
      </c>
      <c r="Q13" s="21">
        <v>581319.85493905295</v>
      </c>
      <c r="R13" s="21">
        <v>713472.54412804998</v>
      </c>
      <c r="S13" s="21">
        <v>855962.41468501999</v>
      </c>
      <c r="T13" s="21">
        <v>1050550.18591673</v>
      </c>
      <c r="U13" s="21">
        <v>1231996.73021564</v>
      </c>
      <c r="V13" s="21">
        <v>1380488.9951730401</v>
      </c>
      <c r="W13" s="21">
        <v>1618921.1624076201</v>
      </c>
      <c r="X13" s="21">
        <v>1656190.8422117699</v>
      </c>
      <c r="Y13" s="211">
        <v>1855811.1198716599</v>
      </c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</row>
    <row r="14" spans="1:49" ht="14.4">
      <c r="A14" s="205">
        <v>3</v>
      </c>
      <c r="B14" s="202">
        <v>4</v>
      </c>
      <c r="C14" s="23">
        <v>168.15127502392201</v>
      </c>
      <c r="D14" s="23">
        <v>1364.8678677457999</v>
      </c>
      <c r="E14" s="23">
        <v>5227.41109955508</v>
      </c>
      <c r="F14" s="23">
        <v>8823.3654396127295</v>
      </c>
      <c r="G14" s="23">
        <v>17072.218111296199</v>
      </c>
      <c r="H14" s="23">
        <v>29479.644400822799</v>
      </c>
      <c r="I14" s="23">
        <v>43407.200684775496</v>
      </c>
      <c r="J14" s="23">
        <v>63914.782881023399</v>
      </c>
      <c r="K14" s="23">
        <v>87899.584146439403</v>
      </c>
      <c r="L14" s="23">
        <v>110365.569312967</v>
      </c>
      <c r="M14" s="23">
        <v>170075.792815186</v>
      </c>
      <c r="N14" s="23">
        <v>228635.32315797301</v>
      </c>
      <c r="O14" s="23">
        <v>280611.48145053402</v>
      </c>
      <c r="P14" s="23">
        <v>336653.29272661102</v>
      </c>
      <c r="Q14" s="23">
        <v>403887.39233981702</v>
      </c>
      <c r="R14" s="23">
        <v>484549.02778428397</v>
      </c>
      <c r="S14" s="23">
        <v>608393.42791843996</v>
      </c>
      <c r="T14" s="23">
        <v>697417.09170615894</v>
      </c>
      <c r="U14" s="23">
        <v>763890.83851208002</v>
      </c>
      <c r="V14" s="23">
        <v>855962.41468501999</v>
      </c>
      <c r="W14" s="23">
        <v>1003800.58964933</v>
      </c>
      <c r="X14" s="23">
        <v>959131.35544408602</v>
      </c>
      <c r="Y14" s="212">
        <v>1150682.5283786801</v>
      </c>
    </row>
    <row r="15" spans="1:49" ht="14.4">
      <c r="A15" s="204">
        <v>4</v>
      </c>
      <c r="B15" s="201">
        <v>1</v>
      </c>
      <c r="C15" s="266">
        <v>0.66089431059826298</v>
      </c>
      <c r="D15" s="266">
        <v>0.79614119988508802</v>
      </c>
      <c r="E15" s="266">
        <v>1.5479929444639899</v>
      </c>
      <c r="F15" s="266">
        <v>2.07410951184209</v>
      </c>
      <c r="G15" s="266">
        <v>3.8239151834991101</v>
      </c>
      <c r="H15" s="266">
        <v>6.6847090312426403</v>
      </c>
      <c r="I15" s="266">
        <v>14.8462634085056</v>
      </c>
      <c r="J15" s="266">
        <v>20.978874175881799</v>
      </c>
      <c r="K15" s="266">
        <v>45.369675867579197</v>
      </c>
      <c r="L15" s="266">
        <v>93.035107693370705</v>
      </c>
      <c r="M15" s="266">
        <v>195.92019660113601</v>
      </c>
      <c r="N15" s="266">
        <v>423.70413880097198</v>
      </c>
      <c r="O15" s="266">
        <v>966.38129404957704</v>
      </c>
      <c r="P15" s="266">
        <v>2035.0770565652299</v>
      </c>
      <c r="Q15" s="266">
        <v>3557.5836090715502</v>
      </c>
      <c r="R15" s="266">
        <v>6917.2583041530797</v>
      </c>
      <c r="S15" s="266">
        <v>11164.898659922301</v>
      </c>
      <c r="T15" s="266">
        <v>17547.870569073199</v>
      </c>
      <c r="U15" s="266">
        <v>27579.9871443786</v>
      </c>
      <c r="V15" s="266">
        <v>41101.851530092703</v>
      </c>
      <c r="W15" s="346">
        <v>59645.482721422799</v>
      </c>
    </row>
    <row r="16" spans="1:49" ht="14.4">
      <c r="A16" s="204">
        <v>4</v>
      </c>
      <c r="B16" s="201">
        <v>2</v>
      </c>
      <c r="C16" s="66">
        <v>19.369959509055001</v>
      </c>
      <c r="D16" s="66">
        <v>26.652783666455399</v>
      </c>
      <c r="E16" s="66">
        <v>50.462678313251402</v>
      </c>
      <c r="F16" s="66">
        <v>67.613435485511005</v>
      </c>
      <c r="G16" s="66">
        <v>100.762823862715</v>
      </c>
      <c r="H16" s="66">
        <v>146.22327330594999</v>
      </c>
      <c r="I16" s="66">
        <v>206.624358457336</v>
      </c>
      <c r="J16" s="66">
        <v>291.97558324778902</v>
      </c>
      <c r="K16" s="66">
        <v>423.70413880097198</v>
      </c>
      <c r="L16" s="66">
        <v>702.31938135631003</v>
      </c>
      <c r="M16" s="66">
        <v>1074.8630541664299</v>
      </c>
      <c r="N16" s="66">
        <v>1689.36219920178</v>
      </c>
      <c r="O16" s="66">
        <v>2655.1704694186801</v>
      </c>
      <c r="P16" s="66">
        <v>4519.7614282333698</v>
      </c>
      <c r="Q16" s="66">
        <v>7295.1848975993698</v>
      </c>
      <c r="R16" s="66">
        <v>12418.221613928699</v>
      </c>
      <c r="S16" s="66">
        <v>20043.806340545001</v>
      </c>
      <c r="T16" s="66">
        <v>35039.222063109002</v>
      </c>
      <c r="U16" s="66">
        <v>52218.186158994999</v>
      </c>
      <c r="V16" s="66">
        <v>75777.095297277396</v>
      </c>
      <c r="W16" s="347">
        <v>109964.91058132</v>
      </c>
    </row>
    <row r="17" spans="1:46" ht="14.4">
      <c r="A17" s="204">
        <v>4</v>
      </c>
      <c r="B17" s="201">
        <v>3</v>
      </c>
      <c r="C17" s="68">
        <v>75.203425621060703</v>
      </c>
      <c r="D17" s="68">
        <v>83.6454350312423</v>
      </c>
      <c r="E17" s="68">
        <v>162.63766186660499</v>
      </c>
      <c r="F17" s="68">
        <v>185.77056317468799</v>
      </c>
      <c r="G17" s="68">
        <v>206.624358457336</v>
      </c>
      <c r="H17" s="68">
        <v>299.84560654570402</v>
      </c>
      <c r="I17" s="68">
        <v>401.75417261727199</v>
      </c>
      <c r="J17" s="68">
        <v>583.01075667013902</v>
      </c>
      <c r="K17" s="68">
        <v>846.04358973737897</v>
      </c>
      <c r="L17" s="68">
        <v>1195.52250475652</v>
      </c>
      <c r="M17" s="68">
        <v>1829.6846205577899</v>
      </c>
      <c r="N17" s="68">
        <v>2655.1704694186801</v>
      </c>
      <c r="O17" s="68">
        <v>4285.6154725463102</v>
      </c>
      <c r="P17" s="68">
        <v>6917.2583041530797</v>
      </c>
      <c r="Q17" s="68">
        <v>11164.898659922301</v>
      </c>
      <c r="R17" s="68">
        <v>18020.862689411599</v>
      </c>
      <c r="S17" s="68">
        <v>26856.097460341</v>
      </c>
      <c r="T17" s="68">
        <v>46948.0071136927</v>
      </c>
      <c r="U17" s="68">
        <v>68129.206905796003</v>
      </c>
      <c r="V17" s="68">
        <v>98866.578561521397</v>
      </c>
      <c r="W17" s="348">
        <v>139705.82730290201</v>
      </c>
    </row>
    <row r="18" spans="1:46" ht="14.4">
      <c r="A18" s="203">
        <v>5</v>
      </c>
      <c r="B18" s="200">
        <v>1</v>
      </c>
      <c r="C18" s="223">
        <v>8.3623838199155305</v>
      </c>
      <c r="D18" s="223">
        <v>9.6548028937266501</v>
      </c>
      <c r="E18" s="223">
        <v>10.970386132301799</v>
      </c>
      <c r="F18" s="223">
        <v>11.1469672911586</v>
      </c>
      <c r="G18" s="223">
        <v>12.465233440446401</v>
      </c>
      <c r="H18" s="223">
        <v>14.6234061987104</v>
      </c>
      <c r="I18" s="223">
        <v>17.7119467074223</v>
      </c>
      <c r="J18" s="223">
        <v>19.806602515814799</v>
      </c>
      <c r="K18" s="223">
        <v>22.505490786217301</v>
      </c>
      <c r="L18" s="223">
        <v>25.983748443838401</v>
      </c>
      <c r="M18" s="223">
        <v>29.524347284057001</v>
      </c>
      <c r="N18" s="223">
        <v>31.978226106577299</v>
      </c>
      <c r="O18" s="223">
        <v>36.335644764240101</v>
      </c>
      <c r="P18" s="223">
        <v>38.118632262468601</v>
      </c>
      <c r="Q18" s="223">
        <v>41.951373647754103</v>
      </c>
      <c r="R18" s="223">
        <v>46.169488422759599</v>
      </c>
      <c r="S18" s="223">
        <v>51.629598973719702</v>
      </c>
      <c r="T18" s="223">
        <v>58.664753991573001</v>
      </c>
      <c r="U18" s="223">
        <v>63.540600900676999</v>
      </c>
      <c r="V18" s="223">
        <v>71.0550594152553</v>
      </c>
      <c r="W18" s="223">
        <v>82.036726372511197</v>
      </c>
      <c r="X18" s="223">
        <v>88.855105237167805</v>
      </c>
      <c r="Y18" s="223">
        <v>104.23906643385899</v>
      </c>
      <c r="Z18" s="223">
        <v>116.56661967088399</v>
      </c>
      <c r="AA18" s="223">
        <v>138.94954943731301</v>
      </c>
      <c r="AB18" s="223">
        <v>163.00663058235199</v>
      </c>
      <c r="AC18" s="223">
        <v>191.22884328458201</v>
      </c>
      <c r="AD18" s="223">
        <v>227.948289903514</v>
      </c>
      <c r="AE18" s="223">
        <v>276.09217086338901</v>
      </c>
      <c r="AF18" s="223">
        <v>339.78692047485799</v>
      </c>
      <c r="AG18" s="223">
        <v>424.90714701344098</v>
      </c>
      <c r="AH18" s="223">
        <v>514.64977729802797</v>
      </c>
      <c r="AI18" s="223">
        <v>653.93409388793202</v>
      </c>
      <c r="AJ18" s="223">
        <v>792.04842317318298</v>
      </c>
      <c r="AK18" s="223">
        <v>1022.60694492338</v>
      </c>
      <c r="AL18" s="223">
        <v>1299.3642967122701</v>
      </c>
      <c r="AM18" s="223">
        <v>1651.0229897735201</v>
      </c>
      <c r="AN18" s="223">
        <v>2064.6217554750701</v>
      </c>
      <c r="AO18" s="223">
        <v>2752.1184954564301</v>
      </c>
      <c r="AP18" s="223">
        <v>3910.5064784321999</v>
      </c>
      <c r="AQ18" s="223">
        <v>5468.4478860195604</v>
      </c>
      <c r="AR18" s="223">
        <v>8828.9378661252395</v>
      </c>
      <c r="AS18" s="293">
        <v>16991.658994433401</v>
      </c>
    </row>
    <row r="19" spans="1:46" ht="14.4">
      <c r="A19" s="204">
        <v>5</v>
      </c>
      <c r="B19" s="201">
        <v>2</v>
      </c>
      <c r="C19" s="21">
        <v>362.19788372586697</v>
      </c>
      <c r="D19" s="21">
        <v>418.17611475450002</v>
      </c>
      <c r="E19" s="21">
        <v>460.22276769633498</v>
      </c>
      <c r="F19" s="21">
        <v>490.57718957845498</v>
      </c>
      <c r="G19" s="21">
        <v>514.64977729802797</v>
      </c>
      <c r="H19" s="21">
        <v>514.64977729802797</v>
      </c>
      <c r="I19" s="21">
        <v>575.51345101569098</v>
      </c>
      <c r="J19" s="21">
        <v>603.75385502891902</v>
      </c>
      <c r="K19" s="21">
        <v>633.380013653829</v>
      </c>
      <c r="L19" s="21">
        <v>633.380013653829</v>
      </c>
      <c r="M19" s="21">
        <v>643.57500364405303</v>
      </c>
      <c r="N19" s="21">
        <v>719.68567300115205</v>
      </c>
      <c r="O19" s="21">
        <v>708.28499990041098</v>
      </c>
      <c r="P19" s="21">
        <v>708.28499990041098</v>
      </c>
      <c r="Q19" s="21">
        <v>731.26985323132305</v>
      </c>
      <c r="R19" s="21">
        <v>767.15321279746297</v>
      </c>
      <c r="S19" s="21">
        <v>792.04842317318298</v>
      </c>
      <c r="T19" s="21">
        <v>792.04842317318298</v>
      </c>
      <c r="U19" s="21">
        <v>830.91418283349196</v>
      </c>
      <c r="V19" s="21">
        <v>885.71790273595195</v>
      </c>
      <c r="W19" s="21">
        <v>899.97456533644004</v>
      </c>
      <c r="X19" s="21">
        <v>857.87852716619398</v>
      </c>
      <c r="Y19" s="21">
        <v>857.87852716619398</v>
      </c>
      <c r="Z19" s="21">
        <v>871.68708254960904</v>
      </c>
      <c r="AA19" s="21">
        <v>914.46070554811297</v>
      </c>
      <c r="AB19" s="21">
        <v>929.18001708074905</v>
      </c>
      <c r="AC19" s="21">
        <v>1039.0669963027799</v>
      </c>
      <c r="AD19" s="21">
        <v>1039.0669963027799</v>
      </c>
      <c r="AE19" s="21">
        <v>990.46495173116705</v>
      </c>
      <c r="AF19" s="21">
        <v>1107.5996291567301</v>
      </c>
      <c r="AG19" s="21">
        <v>1143.5428088501001</v>
      </c>
      <c r="AH19" s="21">
        <v>1180.6523957293</v>
      </c>
      <c r="AI19" s="21">
        <v>1299.3642967122701</v>
      </c>
      <c r="AJ19" s="21">
        <v>1299.3642967122701</v>
      </c>
      <c r="AK19" s="21">
        <v>1320.27908043305</v>
      </c>
      <c r="AL19" s="21">
        <v>1453.0301255613099</v>
      </c>
      <c r="AM19" s="21">
        <v>1524.3302102366999</v>
      </c>
      <c r="AN19" s="21">
        <v>1817.02957934345</v>
      </c>
      <c r="AO19" s="21">
        <v>2200.7958089804902</v>
      </c>
      <c r="AP19" s="21">
        <v>2933.6370376589998</v>
      </c>
      <c r="AQ19" s="21">
        <v>4372.9720246599099</v>
      </c>
      <c r="AR19" s="21">
        <v>7770.1599406248897</v>
      </c>
      <c r="AS19" s="211">
        <v>16991.658994433401</v>
      </c>
      <c r="AT19" s="96"/>
    </row>
    <row r="20" spans="1:46" ht="14.4">
      <c r="A20" s="204">
        <v>5</v>
      </c>
      <c r="B20" s="201">
        <v>3</v>
      </c>
      <c r="C20" s="21">
        <v>168.29642705753901</v>
      </c>
      <c r="D20" s="21">
        <v>217.28607756750901</v>
      </c>
      <c r="E20" s="21">
        <v>246.893924021766</v>
      </c>
      <c r="F20" s="21">
        <v>280.53619634201698</v>
      </c>
      <c r="G20" s="21">
        <v>323.89349001028398</v>
      </c>
      <c r="H20" s="21">
        <v>362.19788372586697</v>
      </c>
      <c r="I20" s="21">
        <v>418.17611475450002</v>
      </c>
      <c r="J20" s="21">
        <v>445.75731042593901</v>
      </c>
      <c r="K20" s="21">
        <v>490.57718957845498</v>
      </c>
      <c r="L20" s="21">
        <v>539.90360518087698</v>
      </c>
      <c r="M20" s="21">
        <v>584.77701119419498</v>
      </c>
      <c r="N20" s="21">
        <v>633.380013653829</v>
      </c>
      <c r="O20" s="21">
        <v>767.15321279746297</v>
      </c>
      <c r="P20" s="21">
        <v>817.75151845287303</v>
      </c>
      <c r="Q20" s="21">
        <v>899.97456533644004</v>
      </c>
      <c r="R20" s="21">
        <v>1006.40764024499</v>
      </c>
      <c r="S20" s="21">
        <v>1072.7861948095499</v>
      </c>
      <c r="T20" s="21">
        <v>1180.6523957293</v>
      </c>
      <c r="U20" s="21">
        <v>1407.3593185755601</v>
      </c>
      <c r="V20" s="21">
        <v>1599.1289849841501</v>
      </c>
      <c r="W20" s="21">
        <v>1677.5981302760899</v>
      </c>
      <c r="X20" s="21">
        <v>1817.02957934345</v>
      </c>
      <c r="Y20" s="21">
        <v>2131.6216612193298</v>
      </c>
      <c r="Z20" s="21">
        <v>2272.21475599732</v>
      </c>
      <c r="AA20" s="21">
        <v>2422.08079946919</v>
      </c>
      <c r="AB20" s="21">
        <v>2933.6370376589998</v>
      </c>
      <c r="AC20" s="21">
        <v>3077.5903979591699</v>
      </c>
      <c r="AD20" s="21">
        <v>3333.3804355604998</v>
      </c>
      <c r="AE20" s="21">
        <v>4037.4079628191098</v>
      </c>
      <c r="AF20" s="21">
        <v>4372.9720246599099</v>
      </c>
      <c r="AG20" s="21">
        <v>4661.3954731122003</v>
      </c>
      <c r="AH20" s="21">
        <v>5381.8211973751104</v>
      </c>
      <c r="AI20" s="21">
        <v>6115.1591886536198</v>
      </c>
      <c r="AJ20" s="21">
        <v>6623.4129185330403</v>
      </c>
      <c r="AK20" s="21">
        <v>7406.7130588486498</v>
      </c>
      <c r="AL20" s="21">
        <v>7895.2297267081703</v>
      </c>
      <c r="AM20" s="21">
        <v>8828.9378661252395</v>
      </c>
      <c r="AN20" s="21">
        <v>9411.2586976235598</v>
      </c>
      <c r="AO20" s="21">
        <v>10357.5392579973</v>
      </c>
      <c r="AP20" s="21">
        <v>12150.7956118437</v>
      </c>
      <c r="AQ20" s="21">
        <v>12952.212669177699</v>
      </c>
      <c r="AR20" s="21">
        <v>17265.159562230299</v>
      </c>
      <c r="AS20" s="211">
        <v>24532.198897224502</v>
      </c>
    </row>
    <row r="21" spans="1:46" ht="14.4">
      <c r="A21" s="204">
        <v>5</v>
      </c>
      <c r="B21" s="201">
        <v>4</v>
      </c>
      <c r="C21" s="21">
        <v>73.773048029818497</v>
      </c>
      <c r="D21" s="21">
        <v>89.768713244731401</v>
      </c>
      <c r="E21" s="21">
        <v>109.232600425532</v>
      </c>
      <c r="F21" s="21">
        <v>118.539648841611</v>
      </c>
      <c r="G21" s="21">
        <v>128.63969449369699</v>
      </c>
      <c r="H21" s="21">
        <v>139.600303874215</v>
      </c>
      <c r="I21" s="21">
        <v>151.494800407257</v>
      </c>
      <c r="J21" s="21">
        <v>159.11259011248501</v>
      </c>
      <c r="K21" s="21">
        <v>172.66961039778101</v>
      </c>
      <c r="L21" s="21">
        <v>184.34229924091099</v>
      </c>
      <c r="M21" s="21">
        <v>190.471299787059</v>
      </c>
      <c r="N21" s="21">
        <v>206.70020582871399</v>
      </c>
      <c r="O21" s="21">
        <v>224.311878678825</v>
      </c>
      <c r="P21" s="21">
        <v>235.59121444194199</v>
      </c>
      <c r="Q21" s="21">
        <v>251.517485046367</v>
      </c>
      <c r="R21" s="21">
        <v>272.94776686422802</v>
      </c>
      <c r="S21" s="21">
        <v>282.02271612475801</v>
      </c>
      <c r="T21" s="21">
        <v>301.08781625693899</v>
      </c>
      <c r="U21" s="21">
        <v>316.22776601683699</v>
      </c>
      <c r="V21" s="21">
        <v>348.82984610451598</v>
      </c>
      <c r="W21" s="21">
        <v>378.55152492586302</v>
      </c>
      <c r="X21" s="21">
        <v>384.79309728552198</v>
      </c>
      <c r="Y21" s="21">
        <v>417.578986961846</v>
      </c>
      <c r="Z21" s="21">
        <v>468.22494300105802</v>
      </c>
      <c r="AA21" s="21">
        <v>491.76924380171801</v>
      </c>
      <c r="AB21" s="21">
        <v>551.41334535056797</v>
      </c>
      <c r="AC21" s="21">
        <v>588.68960021324199</v>
      </c>
      <c r="AD21" s="21">
        <v>660.08866133473805</v>
      </c>
      <c r="AE21" s="21">
        <v>704.71150802378702</v>
      </c>
      <c r="AF21" s="21">
        <v>728.14170953120197</v>
      </c>
      <c r="AG21" s="21">
        <v>829.91591104868201</v>
      </c>
      <c r="AH21" s="21">
        <v>915.47761025952002</v>
      </c>
      <c r="AI21" s="21">
        <v>977.36507999315302</v>
      </c>
      <c r="AJ21" s="21">
        <v>1113.9738599948</v>
      </c>
      <c r="AK21" s="21">
        <v>1208.8888268529399</v>
      </c>
      <c r="AL21" s="21">
        <v>1377.85826434825</v>
      </c>
      <c r="AM21" s="21">
        <v>1570.44498589259</v>
      </c>
      <c r="AN21" s="21">
        <v>1789.95003878849</v>
      </c>
      <c r="AO21" s="21">
        <v>2287.5732003183898</v>
      </c>
      <c r="AP21" s="21">
        <v>3172.6375097650698</v>
      </c>
      <c r="AQ21" s="21">
        <v>4546.4294322986498</v>
      </c>
      <c r="AR21" s="21">
        <v>7927.7094931967504</v>
      </c>
      <c r="AS21" s="211">
        <v>16821.017890573501</v>
      </c>
    </row>
    <row r="22" spans="1:46" ht="14.4">
      <c r="A22" s="204">
        <v>5</v>
      </c>
      <c r="B22" s="201">
        <v>5</v>
      </c>
      <c r="C22" s="21">
        <v>5.4781808274452501</v>
      </c>
      <c r="D22" s="21">
        <v>7.8503019877601696</v>
      </c>
      <c r="E22" s="21">
        <v>9.0950861722264698</v>
      </c>
      <c r="F22" s="21">
        <v>9.5524249959002301</v>
      </c>
      <c r="G22" s="21">
        <v>10.7109883132983</v>
      </c>
      <c r="H22" s="21">
        <v>11.815257249599499</v>
      </c>
      <c r="I22" s="21">
        <v>12.6139839112187</v>
      </c>
      <c r="J22" s="21">
        <v>13.6887450953708</v>
      </c>
      <c r="K22" s="21">
        <v>15.1000113150339</v>
      </c>
      <c r="L22" s="21">
        <v>15.6020554903413</v>
      </c>
      <c r="M22" s="21">
        <v>16.931412159259601</v>
      </c>
      <c r="N22" s="21">
        <v>18.374035259917601</v>
      </c>
      <c r="O22" s="21">
        <v>19.939575539070599</v>
      </c>
      <c r="P22" s="21">
        <v>22.3579416391938</v>
      </c>
      <c r="Q22" s="21">
        <v>23.869367392260202</v>
      </c>
      <c r="R22" s="21">
        <v>25.0696186266408</v>
      </c>
      <c r="S22" s="21">
        <v>28.110180634136398</v>
      </c>
      <c r="T22" s="21">
        <v>31.519516393602899</v>
      </c>
      <c r="U22" s="21">
        <v>31.519516393602899</v>
      </c>
      <c r="V22" s="21">
        <v>33.650276441655699</v>
      </c>
      <c r="W22" s="21">
        <v>38.986037025490702</v>
      </c>
      <c r="X22" s="21">
        <v>43.005373839003099</v>
      </c>
      <c r="Y22" s="21">
        <v>48.2212691328413</v>
      </c>
      <c r="Z22" s="21">
        <v>51.481089253543303</v>
      </c>
      <c r="AA22" s="21">
        <v>57.724959430430197</v>
      </c>
      <c r="AB22" s="21">
        <v>63.676219732818303</v>
      </c>
      <c r="AC22" s="21">
        <v>71.399173056679501</v>
      </c>
      <c r="AD22" s="21">
        <v>76.225849440713702</v>
      </c>
      <c r="AE22" s="21">
        <v>88.312611450538299</v>
      </c>
      <c r="AF22" s="21">
        <v>105.717705171425</v>
      </c>
      <c r="AG22" s="21">
        <v>118.539648841611</v>
      </c>
      <c r="AH22" s="21">
        <v>139.600303874215</v>
      </c>
      <c r="AI22" s="21">
        <v>159.11259011248501</v>
      </c>
      <c r="AJ22" s="21">
        <v>190.471299787059</v>
      </c>
      <c r="AK22" s="21">
        <v>243.42413552369101</v>
      </c>
      <c r="AL22" s="21">
        <v>311.098364014433</v>
      </c>
      <c r="AM22" s="21">
        <v>372.41119457338903</v>
      </c>
      <c r="AN22" s="21">
        <v>569.74669970669595</v>
      </c>
      <c r="AO22" s="21">
        <v>843.59959707334804</v>
      </c>
      <c r="AP22" s="21">
        <v>1570.44498589259</v>
      </c>
      <c r="AQ22" s="21">
        <v>2694.0008429218201</v>
      </c>
      <c r="AR22" s="21">
        <v>5623.4132519034902</v>
      </c>
      <c r="AS22" s="211">
        <v>15001.5579379266</v>
      </c>
    </row>
    <row r="23" spans="1:46" ht="14.4">
      <c r="A23" s="205">
        <v>5</v>
      </c>
      <c r="B23" s="202">
        <v>6</v>
      </c>
      <c r="C23" s="23">
        <v>3.1934591389895899</v>
      </c>
      <c r="D23" s="23">
        <v>4.0812711999542399</v>
      </c>
      <c r="E23" s="23">
        <v>4.8063808630643896</v>
      </c>
      <c r="F23" s="23">
        <v>5.4781808274452501</v>
      </c>
      <c r="G23" s="23">
        <v>6.5578482628834198</v>
      </c>
      <c r="H23" s="23">
        <v>6.8876041941176496</v>
      </c>
      <c r="I23" s="23">
        <v>7.5976943496320102</v>
      </c>
      <c r="J23" s="23">
        <v>7.8503019877601696</v>
      </c>
      <c r="K23" s="23">
        <v>8.5191786820464603</v>
      </c>
      <c r="L23" s="23">
        <v>8.9475584778323807</v>
      </c>
      <c r="M23" s="23">
        <v>9.3974789944185702</v>
      </c>
      <c r="N23" s="23">
        <v>9.5524249959002301</v>
      </c>
      <c r="O23" s="23">
        <v>9.8700233889874198</v>
      </c>
      <c r="P23" s="23">
        <v>10.366329284376899</v>
      </c>
      <c r="Q23" s="23">
        <v>10.537249727360701</v>
      </c>
      <c r="R23" s="23">
        <v>11.6236067662837</v>
      </c>
      <c r="S23" s="23">
        <v>12.409377607517101</v>
      </c>
      <c r="T23" s="23">
        <v>13.2482675732485</v>
      </c>
      <c r="U23" s="23">
        <v>13.9144456602871</v>
      </c>
      <c r="V23" s="23">
        <v>15.3489808926176</v>
      </c>
      <c r="W23" s="23">
        <v>16.120791597111701</v>
      </c>
      <c r="X23" s="23">
        <v>17.494346628442599</v>
      </c>
      <c r="Y23" s="23">
        <v>18.676987072451301</v>
      </c>
      <c r="Z23" s="23">
        <v>20.942220467212099</v>
      </c>
      <c r="AA23" s="23">
        <v>23.869367392260202</v>
      </c>
      <c r="AB23" s="23">
        <v>26.3302234934391</v>
      </c>
      <c r="AC23" s="23">
        <v>29.0447860565945</v>
      </c>
      <c r="AD23" s="23">
        <v>34.769078602300397</v>
      </c>
      <c r="AE23" s="23">
        <v>42.307801157570097</v>
      </c>
      <c r="AF23" s="23">
        <v>49.016343305706499</v>
      </c>
      <c r="AG23" s="23">
        <v>61.627241299031198</v>
      </c>
      <c r="AH23" s="23">
        <v>74.989420933245498</v>
      </c>
      <c r="AI23" s="23">
        <v>91.248823302299598</v>
      </c>
      <c r="AJ23" s="23">
        <v>114.72527064761201</v>
      </c>
      <c r="AK23" s="23">
        <v>151.494800407257</v>
      </c>
      <c r="AL23" s="23">
        <v>210.10828691276001</v>
      </c>
      <c r="AM23" s="23">
        <v>301.08781625693899</v>
      </c>
      <c r="AN23" s="23">
        <v>453.15836376008099</v>
      </c>
      <c r="AO23" s="23">
        <v>764.75570818925701</v>
      </c>
      <c r="AP23" s="23">
        <v>1570.44498589259</v>
      </c>
      <c r="AQ23" s="23">
        <v>2876.1187819738102</v>
      </c>
      <c r="AR23" s="23">
        <v>6622.5115937785704</v>
      </c>
      <c r="AS23" s="212">
        <v>17098.363491935699</v>
      </c>
      <c r="AT23" s="96"/>
    </row>
    <row r="24" spans="1:46" ht="14.4">
      <c r="A24" s="203">
        <v>6</v>
      </c>
      <c r="B24" s="200">
        <v>1</v>
      </c>
      <c r="C24" s="406">
        <v>15.091405542646299</v>
      </c>
      <c r="D24" s="406">
        <v>21.789989263005399</v>
      </c>
      <c r="E24" s="406">
        <v>25.135956781483699</v>
      </c>
      <c r="F24" s="406">
        <v>27.273817991426998</v>
      </c>
      <c r="G24" s="406">
        <v>27.836111485703899</v>
      </c>
      <c r="H24" s="406">
        <v>41.865969444342703</v>
      </c>
      <c r="I24" s="406">
        <v>48.2947093670467</v>
      </c>
      <c r="J24" s="406">
        <v>54.585253599296202</v>
      </c>
      <c r="K24" s="406">
        <v>62.967106537664897</v>
      </c>
      <c r="L24" s="406">
        <v>68.322579406253297</v>
      </c>
      <c r="M24" s="406">
        <v>66.942453380673896</v>
      </c>
      <c r="N24" s="406">
        <v>72.636037103192393</v>
      </c>
      <c r="O24" s="406">
        <v>102.758283004072</v>
      </c>
      <c r="P24" s="406">
        <v>116.142886264739</v>
      </c>
      <c r="Q24" s="406">
        <v>148.369340219252</v>
      </c>
      <c r="R24" s="406">
        <v>189.53774807109801</v>
      </c>
      <c r="S24" s="406">
        <v>252.21593733742901</v>
      </c>
      <c r="T24" s="406">
        <v>322.19891737696298</v>
      </c>
      <c r="U24" s="406">
        <v>465.21252976446601</v>
      </c>
      <c r="V24" s="406">
        <v>644.84223000859004</v>
      </c>
      <c r="W24" s="406">
        <v>875.77573865469503</v>
      </c>
      <c r="X24" s="406">
        <v>1165.3857929097901</v>
      </c>
      <c r="Y24" s="406">
        <v>1582.7384685858201</v>
      </c>
      <c r="Z24" s="406">
        <v>2106.1338465657</v>
      </c>
      <c r="AA24" s="406">
        <v>2979.5499104994801</v>
      </c>
      <c r="AB24" s="406">
        <v>3884.7658285469802</v>
      </c>
      <c r="AC24" s="406">
        <v>4862.4345275373498</v>
      </c>
      <c r="AD24" s="406">
        <v>6470.39175354496</v>
      </c>
      <c r="AE24" s="406">
        <v>8265.7473592079605</v>
      </c>
      <c r="AF24" s="406">
        <v>10559.264725945</v>
      </c>
      <c r="AG24" s="406">
        <v>13216.6868364486</v>
      </c>
      <c r="AH24" s="406">
        <v>16883.953627073799</v>
      </c>
      <c r="AI24" s="406">
        <v>21133.093396347602</v>
      </c>
      <c r="AJ24" s="406">
        <v>22930.503417813099</v>
      </c>
      <c r="AK24" s="156">
        <v>26996.945097961401</v>
      </c>
    </row>
    <row r="25" spans="1:46" ht="14.4">
      <c r="A25" s="204">
        <v>6</v>
      </c>
      <c r="B25" s="201">
        <v>2</v>
      </c>
      <c r="C25" s="407">
        <v>1141.8448306596499</v>
      </c>
      <c r="D25" s="407">
        <v>1488.74827168309</v>
      </c>
      <c r="E25" s="407">
        <v>1752.7593975146301</v>
      </c>
      <c r="F25" s="407">
        <v>2021.9048266841801</v>
      </c>
      <c r="G25" s="407">
        <v>2063.58963701946</v>
      </c>
      <c r="H25" s="407">
        <v>2285.2645592998301</v>
      </c>
      <c r="I25" s="407">
        <v>2582.9277605298398</v>
      </c>
      <c r="J25" s="407">
        <v>2690.5280149151799</v>
      </c>
      <c r="K25" s="407">
        <v>2802.6107077646302</v>
      </c>
      <c r="L25" s="407">
        <v>2979.5499104994801</v>
      </c>
      <c r="M25" s="407">
        <v>3167.6599409835198</v>
      </c>
      <c r="N25" s="407">
        <v>3367.6460549807098</v>
      </c>
      <c r="O25" s="407">
        <v>3654.0707943431498</v>
      </c>
      <c r="P25" s="407">
        <v>4130.0254954034499</v>
      </c>
      <c r="Q25" s="407">
        <v>4573.6810867505001</v>
      </c>
      <c r="R25" s="407">
        <v>5169.4180433960801</v>
      </c>
      <c r="S25" s="407">
        <v>5963.2093873874601</v>
      </c>
      <c r="T25" s="407">
        <v>6603.7892554856398</v>
      </c>
      <c r="U25" s="407">
        <v>7165.4541648692802</v>
      </c>
      <c r="V25" s="407">
        <v>7935.18156929411</v>
      </c>
      <c r="W25" s="407">
        <v>8787.5946295741305</v>
      </c>
      <c r="X25" s="407">
        <v>10345.9660451004</v>
      </c>
      <c r="Y25" s="407">
        <v>11934.643575701901</v>
      </c>
      <c r="Z25" s="407">
        <v>13489.1700299042</v>
      </c>
      <c r="AA25" s="407">
        <v>15560.5030730975</v>
      </c>
      <c r="AB25" s="407">
        <v>18319.966182457902</v>
      </c>
      <c r="AC25" s="407">
        <v>21568.7860058109</v>
      </c>
      <c r="AD25" s="407">
        <v>24378.191097666699</v>
      </c>
      <c r="AE25" s="407">
        <v>29293.086924335799</v>
      </c>
      <c r="AF25" s="407">
        <v>35924.557943863001</v>
      </c>
      <c r="AG25" s="407">
        <v>42295.334769039102</v>
      </c>
      <c r="AH25" s="407">
        <v>46838.784144609199</v>
      </c>
      <c r="AI25" s="407">
        <v>55145.064238972402</v>
      </c>
      <c r="AJ25" s="407">
        <v>59835.257446305601</v>
      </c>
      <c r="AK25" s="157">
        <v>69023.276102883305</v>
      </c>
    </row>
    <row r="26" spans="1:46" ht="14.4">
      <c r="A26" s="204">
        <v>6</v>
      </c>
      <c r="B26" s="201">
        <v>3</v>
      </c>
      <c r="C26" s="408">
        <v>7935.18156929411</v>
      </c>
      <c r="D26" s="408">
        <v>7774.8897492742399</v>
      </c>
      <c r="E26" s="408">
        <v>7774.8897492742399</v>
      </c>
      <c r="F26" s="408">
        <v>8436.1589959974808</v>
      </c>
      <c r="G26" s="408">
        <v>8787.5946295741305</v>
      </c>
      <c r="H26" s="408">
        <v>9342.3880525087498</v>
      </c>
      <c r="I26" s="408">
        <v>9342.3880525087498</v>
      </c>
      <c r="J26" s="408">
        <v>10345.9660451004</v>
      </c>
      <c r="K26" s="408">
        <v>10999.1452320885</v>
      </c>
      <c r="L26" s="408">
        <v>12431.819959946</v>
      </c>
      <c r="M26" s="408">
        <v>14340.791335722201</v>
      </c>
      <c r="N26" s="408">
        <v>15560.5030730975</v>
      </c>
      <c r="O26" s="408">
        <v>17949.900205209</v>
      </c>
      <c r="P26" s="408">
        <v>19083.143942086401</v>
      </c>
      <c r="Q26" s="408">
        <v>21133.093396347602</v>
      </c>
      <c r="R26" s="408">
        <v>23403.252517201501</v>
      </c>
      <c r="S26" s="408">
        <v>25917.276667057002</v>
      </c>
      <c r="T26" s="408">
        <v>29293.086924335799</v>
      </c>
      <c r="U26" s="408">
        <v>32439.8088552925</v>
      </c>
      <c r="V26" s="408">
        <v>35198.876656554603</v>
      </c>
      <c r="W26" s="408">
        <v>38980.010321515198</v>
      </c>
      <c r="X26" s="408">
        <v>44057.284464267301</v>
      </c>
      <c r="Y26" s="408">
        <v>49795.890210270198</v>
      </c>
      <c r="Z26" s="408">
        <v>54031.125933366202</v>
      </c>
      <c r="AA26" s="408">
        <v>61068.857230575297</v>
      </c>
      <c r="AB26" s="408">
        <v>67628.995902279203</v>
      </c>
      <c r="AC26" s="408">
        <v>78013.784112363704</v>
      </c>
      <c r="AD26" s="408">
        <v>86394.180689119094</v>
      </c>
      <c r="AE26" s="408">
        <v>101715.12200798999</v>
      </c>
      <c r="AF26" s="408">
        <v>112641.563661587</v>
      </c>
      <c r="AG26" s="408">
        <v>127313.496630842</v>
      </c>
      <c r="AH26" s="408">
        <v>146863.15401015599</v>
      </c>
      <c r="AI26" s="408">
        <v>152981.21622343501</v>
      </c>
      <c r="AJ26" s="408">
        <v>156135.16931705899</v>
      </c>
      <c r="AK26" s="158">
        <v>162639.48747637399</v>
      </c>
    </row>
    <row r="27" spans="1:46" ht="14.4">
      <c r="A27" s="204">
        <v>6</v>
      </c>
      <c r="B27" s="201">
        <v>4</v>
      </c>
      <c r="C27" s="407">
        <v>21568.7860058109</v>
      </c>
      <c r="D27" s="407">
        <v>19083.143942086401</v>
      </c>
      <c r="E27" s="407">
        <v>20287.933556795499</v>
      </c>
      <c r="F27" s="407">
        <v>20706.201840865298</v>
      </c>
      <c r="G27" s="407">
        <v>22013.4611170963</v>
      </c>
      <c r="H27" s="407">
        <v>22930.503417813099</v>
      </c>
      <c r="I27" s="407">
        <v>24880.786600092</v>
      </c>
      <c r="J27" s="407">
        <v>26451.602886577901</v>
      </c>
      <c r="K27" s="407">
        <v>27553.530413545199</v>
      </c>
      <c r="L27" s="407">
        <v>29293.086924335799</v>
      </c>
      <c r="M27" s="407">
        <v>31142.4680858631</v>
      </c>
      <c r="N27" s="407">
        <v>35198.876656554603</v>
      </c>
      <c r="O27" s="407">
        <v>37421.112215534798</v>
      </c>
      <c r="P27" s="407">
        <v>38980.010321515198</v>
      </c>
      <c r="Q27" s="407">
        <v>40603.849396936297</v>
      </c>
      <c r="R27" s="407">
        <v>44965.596033903297</v>
      </c>
      <c r="S27" s="407">
        <v>46838.784144609199</v>
      </c>
      <c r="T27" s="407">
        <v>47804.440790577501</v>
      </c>
      <c r="U27" s="407">
        <v>56281.968169063897</v>
      </c>
      <c r="V27" s="407">
        <v>56281.968169063897</v>
      </c>
      <c r="W27" s="407">
        <v>62327.889652602396</v>
      </c>
      <c r="X27" s="407">
        <v>66262.880364199998</v>
      </c>
      <c r="Y27" s="407">
        <v>74893.837778588801</v>
      </c>
      <c r="Z27" s="407">
        <v>81263.701955335797</v>
      </c>
      <c r="AA27" s="407">
        <v>84649.005693329207</v>
      </c>
      <c r="AB27" s="407">
        <v>89993.211200780002</v>
      </c>
      <c r="AC27" s="407">
        <v>105952.396147105</v>
      </c>
      <c r="AD27" s="407">
        <v>122221.944136973</v>
      </c>
      <c r="AE27" s="407">
        <v>132617.15429928401</v>
      </c>
      <c r="AF27" s="407">
        <v>140989.76683718301</v>
      </c>
      <c r="AG27" s="407">
        <v>162639.48747637399</v>
      </c>
      <c r="AH27" s="407">
        <v>180110.54620785601</v>
      </c>
      <c r="AI27" s="407">
        <v>191481.592626064</v>
      </c>
      <c r="AJ27" s="409">
        <v>156135.16931705899</v>
      </c>
      <c r="AK27" s="157">
        <v>140989.76683718301</v>
      </c>
    </row>
    <row r="28" spans="1:46" ht="14.4">
      <c r="A28" s="203">
        <v>7</v>
      </c>
      <c r="B28" s="200">
        <v>1</v>
      </c>
      <c r="C28" s="350">
        <v>1.8968234314012899</v>
      </c>
      <c r="D28" s="350">
        <v>5.2178163493270802</v>
      </c>
      <c r="E28" s="350">
        <v>15.270614096563101</v>
      </c>
      <c r="F28" s="350">
        <v>45.623943957865997</v>
      </c>
      <c r="G28" s="350">
        <v>133.52437017712299</v>
      </c>
      <c r="H28" s="350">
        <v>345.23641004169298</v>
      </c>
      <c r="I28" s="350">
        <v>741.23370131035801</v>
      </c>
      <c r="J28" s="350">
        <v>1465.2754811771999</v>
      </c>
      <c r="K28" s="350">
        <v>2666.91373835477</v>
      </c>
      <c r="L28" s="350">
        <v>4657.5919231867401</v>
      </c>
      <c r="M28" s="350">
        <v>7645.5383619545401</v>
      </c>
      <c r="N28" s="350">
        <v>11555.274560871399</v>
      </c>
      <c r="O28" s="350">
        <v>17828.7574311975</v>
      </c>
      <c r="P28" s="350">
        <v>24809.546975007001</v>
      </c>
      <c r="Q28" s="350">
        <v>35244.000748491802</v>
      </c>
      <c r="R28" s="350">
        <v>47059.330024644398</v>
      </c>
      <c r="S28" s="350">
        <v>59060.952731354402</v>
      </c>
      <c r="T28" s="350">
        <v>75670.005723424896</v>
      </c>
      <c r="U28" s="350">
        <v>91125.779344815994</v>
      </c>
      <c r="V28" s="350">
        <v>109738.430462804</v>
      </c>
      <c r="W28" s="350">
        <v>129451.659825589</v>
      </c>
      <c r="X28" s="350">
        <v>152706.140965631</v>
      </c>
      <c r="Y28" s="410"/>
      <c r="Z28" s="257"/>
      <c r="AA28" s="257"/>
      <c r="AB28" s="257"/>
      <c r="AC28" s="257"/>
      <c r="AD28" s="257"/>
      <c r="AE28" s="257"/>
      <c r="AF28" s="257"/>
      <c r="AG28" s="257"/>
      <c r="AH28" s="257"/>
      <c r="AI28" s="257"/>
      <c r="AJ28" s="411"/>
      <c r="AK28" s="200"/>
    </row>
    <row r="29" spans="1:46" ht="14.4">
      <c r="A29" s="204">
        <v>7</v>
      </c>
      <c r="B29" s="201">
        <v>2</v>
      </c>
      <c r="C29" s="344">
        <v>8303.9076612001008</v>
      </c>
      <c r="D29" s="344">
        <v>9018.9701733587099</v>
      </c>
      <c r="E29" s="344">
        <v>12550.317376049499</v>
      </c>
      <c r="F29" s="344">
        <v>21031.485800943701</v>
      </c>
      <c r="G29" s="344">
        <v>36730.126284295096</v>
      </c>
      <c r="H29" s="344">
        <v>68246.552463745305</v>
      </c>
      <c r="I29" s="344">
        <v>129451.659825589</v>
      </c>
      <c r="J29" s="344">
        <v>195649.985760168</v>
      </c>
      <c r="K29" s="344">
        <v>314599.36923255801</v>
      </c>
      <c r="L29" s="344">
        <v>465759.19231867301</v>
      </c>
      <c r="M29" s="344">
        <v>675454.98708549002</v>
      </c>
      <c r="N29" s="395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369"/>
      <c r="Z29" s="369"/>
      <c r="AA29" s="369"/>
      <c r="AB29" s="369"/>
      <c r="AC29" s="369"/>
      <c r="AD29" s="369"/>
      <c r="AE29" s="369"/>
      <c r="AF29" s="369"/>
      <c r="AG29" s="369"/>
      <c r="AH29" s="369"/>
      <c r="AI29" s="369"/>
      <c r="AJ29" s="369"/>
      <c r="AK29" s="201"/>
    </row>
    <row r="30" spans="1:46" ht="14.4">
      <c r="A30" s="203">
        <v>8</v>
      </c>
      <c r="B30" s="200">
        <v>1</v>
      </c>
      <c r="C30" s="382">
        <v>6874.06855439642</v>
      </c>
      <c r="D30" s="382">
        <v>6236.9597615499197</v>
      </c>
      <c r="E30" s="382">
        <v>5275.7078986587103</v>
      </c>
      <c r="F30" s="382">
        <v>4359.1654247391898</v>
      </c>
      <c r="G30" s="382">
        <v>3643.8152011922498</v>
      </c>
      <c r="H30" s="382">
        <v>3163.1892697466401</v>
      </c>
      <c r="I30" s="382">
        <v>2682.5633383010399</v>
      </c>
      <c r="J30" s="382">
        <v>2201.9374068554398</v>
      </c>
      <c r="K30" s="382">
        <v>1631.89269746646</v>
      </c>
      <c r="L30" s="382">
        <v>1151.2667660208599</v>
      </c>
      <c r="M30" s="382">
        <v>815.946348733234</v>
      </c>
      <c r="N30" s="382">
        <v>558.86736214605003</v>
      </c>
      <c r="O30" s="382">
        <v>402.384500745156</v>
      </c>
      <c r="P30" s="382">
        <v>223.54694485842001</v>
      </c>
      <c r="Q30" s="340"/>
      <c r="R30" s="274"/>
      <c r="S30" s="274"/>
      <c r="T30" s="274"/>
      <c r="U30" s="274"/>
      <c r="V30" s="274"/>
      <c r="W30" s="274"/>
      <c r="X30" s="274"/>
      <c r="Y30" s="259"/>
      <c r="Z30" s="259"/>
      <c r="AA30" s="259"/>
      <c r="AB30" s="259"/>
      <c r="AC30" s="259"/>
      <c r="AD30" s="259"/>
      <c r="AE30" s="259"/>
      <c r="AF30" s="259"/>
      <c r="AG30" s="259"/>
      <c r="AH30" s="259"/>
      <c r="AI30" s="259"/>
      <c r="AJ30" s="259"/>
      <c r="AK30" s="201"/>
    </row>
    <row r="31" spans="1:46" ht="14.4">
      <c r="A31" s="204">
        <v>8</v>
      </c>
      <c r="B31" s="201">
        <v>2</v>
      </c>
      <c r="C31" s="341">
        <v>7522.3546944858399</v>
      </c>
      <c r="D31" s="341">
        <v>6762.2950819672096</v>
      </c>
      <c r="E31" s="341">
        <v>5678.0923994038703</v>
      </c>
      <c r="F31" s="341">
        <v>4817.43666169895</v>
      </c>
      <c r="G31" s="341">
        <v>4102.0864381520096</v>
      </c>
      <c r="H31" s="341">
        <v>3587.92846497764</v>
      </c>
      <c r="I31" s="341">
        <v>3040.2384500745102</v>
      </c>
      <c r="J31" s="341">
        <v>2369.59761549925</v>
      </c>
      <c r="K31" s="341">
        <v>1732.4888226527501</v>
      </c>
      <c r="L31" s="341">
        <v>1274.21758569299</v>
      </c>
      <c r="M31" s="341">
        <v>961.251862891207</v>
      </c>
      <c r="N31" s="341">
        <v>760.059612518628</v>
      </c>
      <c r="O31" s="341">
        <v>581.22205663189197</v>
      </c>
      <c r="P31" s="341">
        <v>424.73919523099801</v>
      </c>
      <c r="Q31" s="338"/>
      <c r="R31" s="326"/>
      <c r="S31" s="326"/>
      <c r="T31" s="326"/>
      <c r="U31" s="326"/>
      <c r="V31" s="326"/>
      <c r="W31" s="326"/>
      <c r="X31" s="326"/>
      <c r="Y31" s="369"/>
      <c r="Z31" s="369"/>
      <c r="AA31" s="369"/>
      <c r="AB31" s="369"/>
      <c r="AC31" s="369"/>
      <c r="AD31" s="369"/>
      <c r="AE31" s="369"/>
      <c r="AF31" s="369"/>
      <c r="AG31" s="369"/>
      <c r="AH31" s="369"/>
      <c r="AI31" s="369"/>
      <c r="AJ31" s="369"/>
      <c r="AK31" s="201"/>
    </row>
    <row r="32" spans="1:46" ht="14.4">
      <c r="A32" s="204">
        <v>8</v>
      </c>
      <c r="B32" s="201">
        <v>3</v>
      </c>
      <c r="C32" s="339">
        <v>7622.9508196721299</v>
      </c>
      <c r="D32" s="339">
        <v>7108.7928464977604</v>
      </c>
      <c r="E32" s="339">
        <v>6315.2011922503698</v>
      </c>
      <c r="F32" s="339">
        <v>5208.6438152011897</v>
      </c>
      <c r="G32" s="339">
        <v>4415.0521609538</v>
      </c>
      <c r="H32" s="339">
        <v>3856.1847988077402</v>
      </c>
      <c r="I32" s="339">
        <v>3375.5588673621401</v>
      </c>
      <c r="J32" s="339">
        <v>2894.9329359165399</v>
      </c>
      <c r="K32" s="339">
        <v>2302.5335320417198</v>
      </c>
      <c r="L32" s="339">
        <v>1643.07004470938</v>
      </c>
      <c r="M32" s="339">
        <v>1274.21758569299</v>
      </c>
      <c r="N32" s="339">
        <v>994.78390461997003</v>
      </c>
      <c r="O32" s="339">
        <v>793.59165424739194</v>
      </c>
      <c r="P32" s="339">
        <v>558.86736214605003</v>
      </c>
      <c r="Q32" s="340"/>
      <c r="R32" s="274"/>
      <c r="S32" s="274"/>
      <c r="T32" s="274"/>
      <c r="U32" s="274"/>
      <c r="V32" s="274"/>
      <c r="W32" s="274"/>
      <c r="X32" s="274"/>
      <c r="Y32" s="259"/>
      <c r="Z32" s="259"/>
      <c r="AA32" s="259"/>
      <c r="AB32" s="259"/>
      <c r="AC32" s="259"/>
      <c r="AD32" s="259"/>
      <c r="AE32" s="259"/>
      <c r="AF32" s="259"/>
      <c r="AG32" s="259"/>
      <c r="AH32" s="259"/>
      <c r="AI32" s="259"/>
      <c r="AJ32" s="259"/>
      <c r="AK32" s="201"/>
    </row>
    <row r="33" spans="1:37" ht="14.4">
      <c r="A33" s="204">
        <v>8</v>
      </c>
      <c r="B33" s="201">
        <v>4</v>
      </c>
      <c r="C33" s="341">
        <v>4046.1997019373998</v>
      </c>
      <c r="D33" s="341">
        <v>3643.8152011922498</v>
      </c>
      <c r="E33" s="341">
        <v>3084.9478390462</v>
      </c>
      <c r="F33" s="341">
        <v>2604.3219076005898</v>
      </c>
      <c r="G33" s="341">
        <v>2257.82414307004</v>
      </c>
      <c r="H33" s="341">
        <v>1967.2131147540899</v>
      </c>
      <c r="I33" s="341">
        <v>1687.77943368107</v>
      </c>
      <c r="J33" s="341">
        <v>1430.70044709388</v>
      </c>
      <c r="K33" s="341">
        <v>1117.7347242921001</v>
      </c>
      <c r="L33" s="341">
        <v>894.18777943368104</v>
      </c>
      <c r="M33" s="341">
        <v>670.64083457525999</v>
      </c>
      <c r="N33" s="341">
        <v>536.51266766020797</v>
      </c>
      <c r="O33" s="341">
        <v>357.675111773472</v>
      </c>
      <c r="P33" s="341">
        <v>212.369597615499</v>
      </c>
      <c r="Q33" s="338"/>
      <c r="R33" s="326"/>
      <c r="S33" s="326"/>
      <c r="T33" s="326"/>
      <c r="U33" s="326"/>
      <c r="V33" s="326"/>
      <c r="W33" s="326"/>
      <c r="X33" s="326"/>
      <c r="Y33" s="369"/>
      <c r="Z33" s="369"/>
      <c r="AA33" s="369"/>
      <c r="AB33" s="369"/>
      <c r="AC33" s="369"/>
      <c r="AD33" s="369"/>
      <c r="AE33" s="369"/>
      <c r="AF33" s="369"/>
      <c r="AG33" s="369"/>
      <c r="AH33" s="369"/>
      <c r="AI33" s="369"/>
      <c r="AJ33" s="369"/>
      <c r="AK33" s="201"/>
    </row>
    <row r="34" spans="1:37" ht="14.4">
      <c r="A34" s="203">
        <v>9</v>
      </c>
      <c r="B34" s="200">
        <v>1</v>
      </c>
      <c r="C34" s="349">
        <v>2779.4524142974601</v>
      </c>
      <c r="D34" s="349">
        <v>2835.9127655067</v>
      </c>
      <c r="E34" s="349">
        <v>2742.4380555099901</v>
      </c>
      <c r="F34" s="349">
        <v>2705.9166221453102</v>
      </c>
      <c r="G34" s="349">
        <v>2616.7267237088199</v>
      </c>
      <c r="H34" s="349">
        <v>2303.8033998142701</v>
      </c>
      <c r="I34" s="349">
        <v>1490.1050447023699</v>
      </c>
      <c r="J34" s="349">
        <v>944.61476736680504</v>
      </c>
      <c r="K34" s="349">
        <v>722.44768648880495</v>
      </c>
      <c r="L34" s="349">
        <v>586.89303019639397</v>
      </c>
      <c r="M34" s="349">
        <v>445.86093019935402</v>
      </c>
      <c r="N34" s="349">
        <v>321.03340000982899</v>
      </c>
      <c r="O34" s="349">
        <v>239.03255832270699</v>
      </c>
      <c r="P34" s="349">
        <v>174.43365326391699</v>
      </c>
      <c r="Q34" s="340"/>
      <c r="R34" s="274"/>
      <c r="S34" s="274"/>
      <c r="T34" s="274"/>
      <c r="U34" s="274"/>
      <c r="V34" s="274"/>
      <c r="W34" s="274"/>
      <c r="X34" s="274"/>
      <c r="Y34" s="259"/>
      <c r="Z34" s="259"/>
      <c r="AA34" s="259"/>
      <c r="AB34" s="259"/>
      <c r="AC34" s="259"/>
      <c r="AD34" s="259"/>
      <c r="AE34" s="259"/>
      <c r="AF34" s="259"/>
      <c r="AG34" s="259"/>
      <c r="AH34" s="259"/>
      <c r="AI34" s="259"/>
      <c r="AJ34" s="259"/>
      <c r="AK34" s="201"/>
    </row>
    <row r="35" spans="1:37" ht="14.4">
      <c r="A35" s="204">
        <v>9</v>
      </c>
      <c r="B35" s="201">
        <v>2</v>
      </c>
      <c r="C35" s="344">
        <v>3444.4342889310601</v>
      </c>
      <c r="D35" s="344">
        <v>3375.8588475297602</v>
      </c>
      <c r="E35" s="344">
        <v>3375.8588475297602</v>
      </c>
      <c r="F35" s="344">
        <v>3286.5439690774601</v>
      </c>
      <c r="G35" s="344">
        <v>3052.9251540622199</v>
      </c>
      <c r="H35" s="344">
        <v>2599.2446669442602</v>
      </c>
      <c r="I35" s="344">
        <v>1658.80835996527</v>
      </c>
      <c r="J35" s="344">
        <v>1016.89946858343</v>
      </c>
      <c r="K35" s="344">
        <v>757.15511695997702</v>
      </c>
      <c r="L35" s="344">
        <v>627.58280144186904</v>
      </c>
      <c r="M35" s="344">
        <v>483.20777715791002</v>
      </c>
      <c r="N35" s="344">
        <v>347.924263161689</v>
      </c>
      <c r="O35" s="344">
        <v>271.50011292193699</v>
      </c>
      <c r="P35" s="344">
        <v>207.645100667516</v>
      </c>
      <c r="Q35" s="338"/>
      <c r="R35" s="326"/>
      <c r="S35" s="326"/>
      <c r="T35" s="326"/>
      <c r="U35" s="326"/>
      <c r="V35" s="326"/>
      <c r="W35" s="326"/>
      <c r="X35" s="326"/>
      <c r="Y35" s="369"/>
      <c r="Z35" s="369"/>
      <c r="AA35" s="369"/>
      <c r="AB35" s="369"/>
      <c r="AC35" s="369"/>
      <c r="AD35" s="369"/>
      <c r="AE35" s="369"/>
      <c r="AF35" s="369"/>
      <c r="AG35" s="369"/>
      <c r="AH35" s="369"/>
      <c r="AI35" s="369"/>
      <c r="AJ35" s="369"/>
      <c r="AK35" s="201"/>
    </row>
    <row r="36" spans="1:37" ht="14.4">
      <c r="A36" s="204">
        <v>9</v>
      </c>
      <c r="B36" s="201">
        <v>3</v>
      </c>
      <c r="C36" s="343">
        <v>3242.7766007222899</v>
      </c>
      <c r="D36" s="343">
        <v>3199.5920885682799</v>
      </c>
      <c r="E36" s="343">
        <v>3114.9406883189699</v>
      </c>
      <c r="F36" s="343">
        <v>3156.9826706374001</v>
      </c>
      <c r="G36" s="343">
        <v>2932.5735169862401</v>
      </c>
      <c r="H36" s="343">
        <v>2530.4766194692402</v>
      </c>
      <c r="I36" s="343">
        <v>1625.78304842127</v>
      </c>
      <c r="J36" s="343">
        <v>1030.62443921871</v>
      </c>
      <c r="K36" s="343">
        <v>767.37434911386799</v>
      </c>
      <c r="L36" s="343">
        <v>606.89700282449996</v>
      </c>
      <c r="M36" s="343">
        <v>470.42358035547397</v>
      </c>
      <c r="N36" s="343">
        <v>329.75778020093202</v>
      </c>
      <c r="O36" s="343">
        <v>250.51602771916001</v>
      </c>
      <c r="P36" s="343">
        <v>181.59234020214899</v>
      </c>
      <c r="Q36" s="340"/>
      <c r="R36" s="274"/>
      <c r="S36" s="274"/>
      <c r="T36" s="274"/>
      <c r="U36" s="274"/>
      <c r="V36" s="274"/>
      <c r="W36" s="274"/>
      <c r="X36" s="274"/>
      <c r="Y36" s="259"/>
      <c r="Z36" s="259"/>
      <c r="AA36" s="259"/>
      <c r="AB36" s="259"/>
      <c r="AC36" s="259"/>
      <c r="AD36" s="259"/>
      <c r="AE36" s="259"/>
      <c r="AF36" s="259"/>
      <c r="AG36" s="259"/>
      <c r="AH36" s="259"/>
      <c r="AI36" s="259"/>
      <c r="AJ36" s="259"/>
      <c r="AK36" s="201"/>
    </row>
    <row r="37" spans="1:37" ht="14.4">
      <c r="A37" s="204">
        <v>9</v>
      </c>
      <c r="B37" s="201">
        <v>4</v>
      </c>
      <c r="C37" s="344">
        <v>3398.5642729759302</v>
      </c>
      <c r="D37" s="344">
        <v>3375.8588475297602</v>
      </c>
      <c r="E37" s="344">
        <v>3286.5439690774601</v>
      </c>
      <c r="F37" s="344">
        <v>3242.7766007222899</v>
      </c>
      <c r="G37" s="344">
        <v>3073.45858499314</v>
      </c>
      <c r="H37" s="344">
        <v>2652.0443716701002</v>
      </c>
      <c r="I37" s="344">
        <v>1750.19275061743</v>
      </c>
      <c r="J37" s="344">
        <v>1080.13712606794</v>
      </c>
      <c r="K37" s="344">
        <v>777.73150902321697</v>
      </c>
      <c r="L37" s="344">
        <v>644.63794573840801</v>
      </c>
      <c r="M37" s="344">
        <v>493.02340870642399</v>
      </c>
      <c r="N37" s="344">
        <v>329.75778020093202</v>
      </c>
      <c r="O37" s="344">
        <v>125.597523780369</v>
      </c>
      <c r="P37" s="352"/>
      <c r="Q37" s="326"/>
      <c r="R37" s="326"/>
      <c r="S37" s="326"/>
      <c r="T37" s="326"/>
      <c r="U37" s="326"/>
      <c r="V37" s="326"/>
      <c r="W37" s="326"/>
      <c r="X37" s="326"/>
      <c r="Y37" s="369"/>
      <c r="Z37" s="369"/>
      <c r="AA37" s="369"/>
      <c r="AB37" s="369"/>
      <c r="AC37" s="369"/>
      <c r="AD37" s="369"/>
      <c r="AE37" s="369"/>
      <c r="AF37" s="369"/>
      <c r="AG37" s="369"/>
      <c r="AH37" s="369"/>
      <c r="AI37" s="369"/>
      <c r="AJ37" s="369"/>
      <c r="AK37" s="201"/>
    </row>
    <row r="38" spans="1:37" ht="14.4">
      <c r="A38" s="203">
        <v>11</v>
      </c>
      <c r="B38" s="200" t="s">
        <v>221</v>
      </c>
      <c r="C38" s="349"/>
      <c r="D38" s="349"/>
      <c r="E38" s="349"/>
      <c r="F38" s="382"/>
      <c r="G38" s="382"/>
      <c r="H38" s="412"/>
      <c r="I38" s="382"/>
      <c r="J38" s="349"/>
      <c r="K38" s="382"/>
      <c r="L38" s="382"/>
      <c r="M38" s="244"/>
      <c r="N38" s="382"/>
      <c r="O38" s="382"/>
      <c r="P38" s="244"/>
      <c r="Q38" s="244"/>
      <c r="R38" s="274"/>
      <c r="S38" s="274"/>
      <c r="T38" s="274"/>
      <c r="U38" s="274"/>
      <c r="V38" s="274"/>
      <c r="W38" s="274"/>
      <c r="X38" s="274"/>
      <c r="Y38" s="259"/>
      <c r="Z38" s="259"/>
      <c r="AA38" s="259"/>
      <c r="AB38" s="259"/>
      <c r="AC38" s="259"/>
      <c r="AD38" s="259"/>
      <c r="AE38" s="259"/>
      <c r="AF38" s="259"/>
      <c r="AG38" s="259"/>
      <c r="AH38" s="259"/>
      <c r="AI38" s="259"/>
      <c r="AJ38" s="259"/>
      <c r="AK38" s="201"/>
    </row>
    <row r="39" spans="1:37" ht="14.4">
      <c r="A39" s="204">
        <v>11</v>
      </c>
      <c r="B39" s="201" t="s">
        <v>222</v>
      </c>
      <c r="C39" s="344"/>
      <c r="D39" s="344"/>
      <c r="E39" s="344"/>
      <c r="F39" s="341"/>
      <c r="G39" s="341"/>
      <c r="H39" s="341"/>
      <c r="I39" s="341"/>
      <c r="J39" s="344"/>
      <c r="K39" s="341"/>
      <c r="L39" s="341"/>
      <c r="M39" s="326"/>
      <c r="N39" s="341"/>
      <c r="O39" s="341"/>
      <c r="P39" s="326"/>
      <c r="Q39" s="326"/>
      <c r="R39" s="326"/>
      <c r="S39" s="326"/>
      <c r="T39" s="326"/>
      <c r="U39" s="326"/>
      <c r="V39" s="326"/>
      <c r="W39" s="326"/>
      <c r="X39" s="326"/>
      <c r="Y39" s="369"/>
      <c r="Z39" s="369"/>
      <c r="AA39" s="369"/>
      <c r="AB39" s="369"/>
      <c r="AC39" s="369"/>
      <c r="AD39" s="369"/>
      <c r="AE39" s="369"/>
      <c r="AF39" s="369"/>
      <c r="AG39" s="369"/>
      <c r="AH39" s="369"/>
      <c r="AI39" s="369"/>
      <c r="AJ39" s="369"/>
      <c r="AK39" s="201"/>
    </row>
    <row r="40" spans="1:37" ht="14.4">
      <c r="A40" s="204">
        <v>11</v>
      </c>
      <c r="B40" s="201" t="s">
        <v>223</v>
      </c>
      <c r="C40" s="343"/>
      <c r="D40" s="343"/>
      <c r="E40" s="343"/>
      <c r="F40" s="339"/>
      <c r="G40" s="339"/>
      <c r="H40" s="413"/>
      <c r="I40" s="339"/>
      <c r="J40" s="343"/>
      <c r="K40" s="339"/>
      <c r="L40" s="339"/>
      <c r="M40" s="274"/>
      <c r="N40" s="339"/>
      <c r="O40" s="339"/>
      <c r="P40" s="274"/>
      <c r="Q40" s="274"/>
      <c r="R40" s="274"/>
      <c r="S40" s="274"/>
      <c r="T40" s="274"/>
      <c r="U40" s="274"/>
      <c r="V40" s="274"/>
      <c r="W40" s="274"/>
      <c r="X40" s="274"/>
      <c r="Y40" s="259"/>
      <c r="Z40" s="259"/>
      <c r="AA40" s="259"/>
      <c r="AB40" s="259"/>
      <c r="AC40" s="259"/>
      <c r="AD40" s="259"/>
      <c r="AE40" s="259"/>
      <c r="AF40" s="259"/>
      <c r="AG40" s="259"/>
      <c r="AH40" s="259"/>
      <c r="AI40" s="259"/>
      <c r="AJ40" s="259"/>
      <c r="AK40" s="201"/>
    </row>
    <row r="41" spans="1:37" ht="14.4">
      <c r="A41" s="204">
        <v>11</v>
      </c>
      <c r="B41" s="201" t="s">
        <v>224</v>
      </c>
      <c r="C41" s="344"/>
      <c r="D41" s="344"/>
      <c r="E41" s="344"/>
      <c r="F41" s="341"/>
      <c r="G41" s="341"/>
      <c r="H41" s="341"/>
      <c r="I41" s="341"/>
      <c r="J41" s="344"/>
      <c r="K41" s="344"/>
      <c r="L41" s="344"/>
      <c r="M41" s="326"/>
      <c r="N41" s="341"/>
      <c r="O41" s="344"/>
      <c r="P41" s="344"/>
      <c r="Q41" s="326"/>
      <c r="R41" s="326"/>
      <c r="S41" s="326"/>
      <c r="T41" s="326"/>
      <c r="U41" s="326"/>
      <c r="V41" s="326"/>
      <c r="W41" s="326"/>
      <c r="X41" s="326"/>
      <c r="Y41" s="369"/>
      <c r="Z41" s="369"/>
      <c r="AA41" s="369"/>
      <c r="AB41" s="369"/>
      <c r="AC41" s="369"/>
      <c r="AD41" s="369"/>
      <c r="AE41" s="369"/>
      <c r="AF41" s="369"/>
      <c r="AG41" s="369"/>
      <c r="AH41" s="369"/>
      <c r="AI41" s="369"/>
      <c r="AJ41" s="369"/>
      <c r="AK41" s="201"/>
    </row>
    <row r="42" spans="1:37" ht="14.4">
      <c r="A42" s="203">
        <v>11</v>
      </c>
      <c r="B42" s="200" t="s">
        <v>225</v>
      </c>
      <c r="C42" s="349">
        <v>4.0447031858346199</v>
      </c>
      <c r="D42" s="349">
        <v>3.9392078369131198</v>
      </c>
      <c r="E42" s="349">
        <v>3.78610149920774</v>
      </c>
      <c r="F42" s="349">
        <v>3.5911763212109999</v>
      </c>
      <c r="G42" s="349">
        <v>3.3174427993754199</v>
      </c>
      <c r="H42" s="349">
        <v>3.06457431848309</v>
      </c>
      <c r="I42" s="349">
        <v>2.8686380405557799</v>
      </c>
      <c r="J42" s="349">
        <v>2.3373464990996902</v>
      </c>
      <c r="K42" s="349">
        <v>1.6038545953966701</v>
      </c>
      <c r="L42" s="349">
        <v>1.1450475699382801</v>
      </c>
      <c r="M42" s="349">
        <v>0.92072936468349698</v>
      </c>
      <c r="N42" s="349">
        <v>0.745263582044152</v>
      </c>
      <c r="O42" s="349">
        <v>0.64443958524174805</v>
      </c>
      <c r="P42" s="414"/>
      <c r="Q42" s="274"/>
      <c r="R42" s="274"/>
      <c r="S42" s="274"/>
      <c r="T42" s="274"/>
      <c r="U42" s="274"/>
      <c r="V42" s="274"/>
      <c r="W42" s="274"/>
      <c r="X42" s="274"/>
      <c r="Y42" s="259"/>
      <c r="Z42" s="259"/>
      <c r="AA42" s="259"/>
      <c r="AB42" s="259"/>
      <c r="AC42" s="259"/>
      <c r="AD42" s="259"/>
      <c r="AE42" s="259"/>
      <c r="AF42" s="259"/>
      <c r="AG42" s="259"/>
      <c r="AH42" s="259"/>
      <c r="AI42" s="259"/>
      <c r="AJ42" s="259"/>
      <c r="AK42" s="201"/>
    </row>
    <row r="43" spans="1:37" ht="14.4">
      <c r="A43" s="204">
        <v>11</v>
      </c>
      <c r="B43" s="201" t="s">
        <v>226</v>
      </c>
      <c r="C43" s="344">
        <v>2.73898510191361</v>
      </c>
      <c r="D43" s="344">
        <v>2.73898510191361</v>
      </c>
      <c r="E43" s="344">
        <v>2.5638656594088101</v>
      </c>
      <c r="F43" s="344">
        <v>2.4479874230030498</v>
      </c>
      <c r="G43" s="344">
        <v>2.2170096083764999</v>
      </c>
      <c r="H43" s="344">
        <v>1.9814681117435899</v>
      </c>
      <c r="I43" s="344">
        <v>1.79450833821613</v>
      </c>
      <c r="J43" s="344">
        <v>1.51126292683742</v>
      </c>
      <c r="K43" s="344">
        <v>1.06477950785697</v>
      </c>
      <c r="L43" s="344">
        <v>0.77029504081003297</v>
      </c>
      <c r="M43" s="344">
        <v>0.58750293835340095</v>
      </c>
      <c r="N43" s="344">
        <v>0.48827637332261398</v>
      </c>
      <c r="O43" s="344">
        <v>0.43640048279495802</v>
      </c>
      <c r="P43" s="415"/>
      <c r="Q43" s="326"/>
      <c r="R43" s="326"/>
      <c r="S43" s="326"/>
      <c r="T43" s="326"/>
      <c r="U43" s="326"/>
      <c r="V43" s="326"/>
      <c r="W43" s="326"/>
      <c r="X43" s="326"/>
      <c r="Y43" s="369"/>
      <c r="Z43" s="369"/>
      <c r="AA43" s="369"/>
      <c r="AB43" s="369"/>
      <c r="AC43" s="369"/>
      <c r="AD43" s="369"/>
      <c r="AE43" s="369"/>
      <c r="AF43" s="369"/>
      <c r="AG43" s="369"/>
      <c r="AH43" s="369"/>
      <c r="AI43" s="369"/>
      <c r="AJ43" s="369"/>
      <c r="AK43" s="201"/>
    </row>
    <row r="44" spans="1:37" ht="14.4">
      <c r="A44" s="204">
        <v>11</v>
      </c>
      <c r="B44" s="201" t="s">
        <v>227</v>
      </c>
      <c r="C44" s="343">
        <v>2.63252817063572</v>
      </c>
      <c r="D44" s="343">
        <v>2.5638656594088101</v>
      </c>
      <c r="E44" s="343">
        <v>2.46421514648023</v>
      </c>
      <c r="F44" s="343">
        <v>2.2914731752710802</v>
      </c>
      <c r="G44" s="343">
        <v>2.0890200640371002</v>
      </c>
      <c r="H44" s="343">
        <v>1.8794534075796101</v>
      </c>
      <c r="I44" s="343">
        <v>1.67977485553341</v>
      </c>
      <c r="J44" s="343">
        <v>1.38687494619088</v>
      </c>
      <c r="K44" s="343">
        <v>0.92683288522735496</v>
      </c>
      <c r="L44" s="343">
        <v>0.67050010812772598</v>
      </c>
      <c r="M44" s="343">
        <v>0.51819196466091999</v>
      </c>
      <c r="N44" s="343">
        <v>0.42783558209498801</v>
      </c>
      <c r="O44" s="343">
        <v>0.37986298158340698</v>
      </c>
      <c r="P44" s="414"/>
      <c r="Q44" s="274"/>
      <c r="R44" s="274"/>
      <c r="S44" s="274"/>
      <c r="T44" s="274"/>
      <c r="U44" s="274"/>
      <c r="V44" s="274"/>
      <c r="W44" s="274"/>
      <c r="X44" s="274"/>
      <c r="Y44" s="259"/>
      <c r="Z44" s="259"/>
      <c r="AA44" s="259"/>
      <c r="AB44" s="259"/>
      <c r="AC44" s="259"/>
      <c r="AD44" s="259"/>
      <c r="AE44" s="259"/>
      <c r="AF44" s="259"/>
      <c r="AG44" s="259"/>
      <c r="AH44" s="259"/>
      <c r="AI44" s="259"/>
      <c r="AJ44" s="259"/>
      <c r="AK44" s="201"/>
    </row>
    <row r="45" spans="1:37" ht="14.4">
      <c r="A45" s="204">
        <v>11</v>
      </c>
      <c r="B45" s="201" t="s">
        <v>228</v>
      </c>
      <c r="C45" s="344">
        <v>1.4914240697027601</v>
      </c>
      <c r="D45" s="344">
        <v>1.43345645623031</v>
      </c>
      <c r="E45" s="344">
        <v>1.3507019936559901</v>
      </c>
      <c r="F45" s="344">
        <v>1.23952935091955</v>
      </c>
      <c r="G45" s="344">
        <v>1.1005426727127801</v>
      </c>
      <c r="H45" s="344">
        <v>0.97714037474244797</v>
      </c>
      <c r="I45" s="344">
        <v>0.844946610828333</v>
      </c>
      <c r="J45" s="344">
        <v>0.66608462908091504</v>
      </c>
      <c r="K45" s="344">
        <v>0.50135283145998399</v>
      </c>
      <c r="L45" s="344">
        <v>0.39784422281369197</v>
      </c>
      <c r="M45" s="344">
        <v>0.326309593462553</v>
      </c>
      <c r="N45" s="344">
        <v>0.27299516150366998</v>
      </c>
      <c r="O45" s="344">
        <v>0.248875865500258</v>
      </c>
      <c r="P45" s="415"/>
      <c r="Q45" s="326"/>
      <c r="R45" s="326"/>
      <c r="S45" s="326"/>
      <c r="T45" s="326"/>
      <c r="U45" s="326"/>
      <c r="V45" s="326"/>
      <c r="W45" s="326"/>
      <c r="X45" s="326"/>
      <c r="Y45" s="369"/>
      <c r="Z45" s="369"/>
      <c r="AA45" s="369"/>
      <c r="AB45" s="369"/>
      <c r="AC45" s="369"/>
      <c r="AD45" s="369"/>
      <c r="AE45" s="369"/>
      <c r="AF45" s="369"/>
      <c r="AG45" s="369"/>
      <c r="AH45" s="369"/>
      <c r="AI45" s="369"/>
      <c r="AJ45" s="369"/>
      <c r="AK45" s="201"/>
    </row>
    <row r="46" spans="1:37" ht="14.4">
      <c r="A46" s="199">
        <v>12</v>
      </c>
      <c r="B46" s="200" t="s">
        <v>221</v>
      </c>
      <c r="C46" s="224">
        <v>22939.421957726699</v>
      </c>
      <c r="D46" s="224">
        <v>19957.771477414499</v>
      </c>
      <c r="E46" s="224">
        <v>17097.1136582484</v>
      </c>
      <c r="F46" s="224">
        <v>17363.673900707599</v>
      </c>
      <c r="G46" s="224">
        <v>17909.3375321491</v>
      </c>
      <c r="H46" s="224">
        <v>20268.932092609801</v>
      </c>
      <c r="I46" s="224">
        <v>23660.292776984599</v>
      </c>
      <c r="J46" s="224">
        <v>27195.092411435799</v>
      </c>
      <c r="K46" s="224">
        <v>31257.983924271</v>
      </c>
      <c r="L46" s="224">
        <v>37056.895460672</v>
      </c>
      <c r="M46" s="224">
        <v>43931.608145620201</v>
      </c>
      <c r="N46" s="224">
        <v>51282.164553115203</v>
      </c>
      <c r="O46" s="224">
        <v>59862.602628512403</v>
      </c>
      <c r="P46" s="224">
        <v>74339.6723319421</v>
      </c>
      <c r="Q46" s="224">
        <v>88130.976711842493</v>
      </c>
      <c r="R46" s="224">
        <v>109444.45407744699</v>
      </c>
      <c r="S46" s="224">
        <v>135912.27405086</v>
      </c>
      <c r="T46" s="224">
        <v>168781.06656221001</v>
      </c>
      <c r="U46" s="224">
        <v>200092.95399502999</v>
      </c>
      <c r="V46" s="224">
        <v>240912.140761741</v>
      </c>
      <c r="W46" s="224">
        <v>299174.01020650502</v>
      </c>
      <c r="X46" s="224">
        <v>365822.118537481</v>
      </c>
      <c r="Y46" s="224">
        <v>433688.62293511198</v>
      </c>
      <c r="Z46" s="224">
        <v>483293.05388075497</v>
      </c>
      <c r="AA46" s="304">
        <v>468568.02888429101</v>
      </c>
      <c r="AB46" s="2"/>
    </row>
    <row r="47" spans="1:37" ht="14.4">
      <c r="A47" s="196">
        <v>12</v>
      </c>
      <c r="B47" s="201" t="s">
        <v>222</v>
      </c>
      <c r="C47" s="24">
        <v>192.50161970978399</v>
      </c>
      <c r="D47" s="24">
        <v>167.48058765465899</v>
      </c>
      <c r="E47" s="24">
        <v>301.497215813602</v>
      </c>
      <c r="F47" s="24">
        <v>386.17663877917403</v>
      </c>
      <c r="G47" s="24">
        <v>487.045586196508</v>
      </c>
      <c r="H47" s="24">
        <v>568.53716379803996</v>
      </c>
      <c r="I47" s="24">
        <v>663.66376327061903</v>
      </c>
      <c r="J47" s="24">
        <v>717.038919059151</v>
      </c>
      <c r="K47" s="24">
        <v>863.31719030621105</v>
      </c>
      <c r="L47" s="24">
        <v>1213.3519226654701</v>
      </c>
      <c r="M47" s="24">
        <v>1786.32262712954</v>
      </c>
      <c r="N47" s="24">
        <v>2797.7477882470798</v>
      </c>
      <c r="O47" s="24">
        <v>4381.8497214560502</v>
      </c>
      <c r="P47" s="24">
        <v>6653.7809058603198</v>
      </c>
      <c r="Q47" s="24">
        <v>10261.2043345656</v>
      </c>
      <c r="R47" s="24">
        <v>14646.4897533205</v>
      </c>
      <c r="S47" s="24">
        <v>20905.895165882099</v>
      </c>
      <c r="T47" s="24">
        <v>28487.035820775302</v>
      </c>
      <c r="U47" s="24">
        <v>36488.012683025598</v>
      </c>
      <c r="V47" s="24">
        <v>51282.164553115203</v>
      </c>
      <c r="W47" s="24">
        <v>64677.033145754598</v>
      </c>
      <c r="X47" s="24">
        <v>81570.656920606794</v>
      </c>
      <c r="Y47" s="24">
        <v>95218.910198836005</v>
      </c>
      <c r="Z47" s="24">
        <v>125795.195872514</v>
      </c>
      <c r="AA47" s="302">
        <v>161126.46387282701</v>
      </c>
      <c r="AB47" s="2"/>
    </row>
    <row r="48" spans="1:37" ht="14.4">
      <c r="A48" s="196">
        <v>12</v>
      </c>
      <c r="B48" s="201" t="s">
        <v>223</v>
      </c>
      <c r="C48" s="24">
        <v>108.60113903145201</v>
      </c>
      <c r="D48" s="24">
        <v>103.675801424795</v>
      </c>
      <c r="E48" s="24">
        <v>95.9583513597277</v>
      </c>
      <c r="F48" s="24">
        <v>95.9583513597277</v>
      </c>
      <c r="G48" s="24">
        <v>102.084211596342</v>
      </c>
      <c r="H48" s="24">
        <v>87.451916680702297</v>
      </c>
      <c r="I48" s="24">
        <v>95.9583513597277</v>
      </c>
      <c r="J48" s="24">
        <v>95.9583513597277</v>
      </c>
      <c r="K48" s="24">
        <v>102.084211596342</v>
      </c>
      <c r="L48" s="24">
        <v>119.16475536260501</v>
      </c>
      <c r="M48" s="24">
        <v>136.96772752637</v>
      </c>
      <c r="N48" s="24">
        <v>159.884917442382</v>
      </c>
      <c r="O48" s="24">
        <v>201.646815154324</v>
      </c>
      <c r="P48" s="24">
        <v>254.31690938912701</v>
      </c>
      <c r="Q48" s="24">
        <v>325.74512831759898</v>
      </c>
      <c r="R48" s="24">
        <v>423.74048204987599</v>
      </c>
      <c r="S48" s="24">
        <v>577.40187976203595</v>
      </c>
      <c r="T48" s="24">
        <v>799.05332916465295</v>
      </c>
      <c r="U48" s="24">
        <v>1072.0997142066201</v>
      </c>
      <c r="V48" s="24">
        <v>1578.36810759677</v>
      </c>
      <c r="W48" s="24">
        <v>2323.7072541542302</v>
      </c>
      <c r="X48" s="24">
        <v>3696.1463073248301</v>
      </c>
      <c r="Y48" s="24">
        <v>6862.8758212251696</v>
      </c>
      <c r="Z48" s="24">
        <v>12547.1273328425</v>
      </c>
      <c r="AA48" s="302">
        <v>39422.560972618099</v>
      </c>
      <c r="AB48" s="2"/>
    </row>
    <row r="49" spans="1:28" ht="14.4">
      <c r="A49" s="196">
        <v>12</v>
      </c>
      <c r="B49" s="201" t="s">
        <v>224</v>
      </c>
      <c r="C49" s="24">
        <v>9.8719070212982292</v>
      </c>
      <c r="D49" s="24">
        <v>18.329813371182698</v>
      </c>
      <c r="E49" s="24">
        <v>34.0341595091529</v>
      </c>
      <c r="F49" s="24">
        <v>54.979602073089701</v>
      </c>
      <c r="G49" s="24">
        <v>79.699553220316801</v>
      </c>
      <c r="H49" s="24">
        <v>112.01392738375699</v>
      </c>
      <c r="I49" s="24">
        <v>132.79465837272701</v>
      </c>
      <c r="J49" s="24">
        <v>189.546411110668</v>
      </c>
      <c r="K49" s="24">
        <v>242.78299133822699</v>
      </c>
      <c r="L49" s="24">
        <v>335.98205822238998</v>
      </c>
      <c r="M49" s="24">
        <v>510.18401507823</v>
      </c>
      <c r="N49" s="24">
        <v>663.66376327061903</v>
      </c>
      <c r="O49" s="24">
        <v>1290.8100187059199</v>
      </c>
      <c r="P49" s="24">
        <v>2117.7172210768599</v>
      </c>
      <c r="Q49" s="24">
        <v>2885.6686526172698</v>
      </c>
      <c r="R49" s="24">
        <v>4734.2599696396301</v>
      </c>
      <c r="S49" s="24">
        <v>6969.8786877123403</v>
      </c>
      <c r="T49" s="24">
        <v>10103.6724281143</v>
      </c>
      <c r="U49" s="24">
        <v>14200.238920629499</v>
      </c>
      <c r="V49" s="24">
        <v>20584.956145942499</v>
      </c>
      <c r="W49" s="24">
        <v>27619.089734714598</v>
      </c>
      <c r="X49" s="24">
        <v>37056.895460672</v>
      </c>
      <c r="Y49" s="24">
        <v>52893.736637355498</v>
      </c>
      <c r="Z49" s="24">
        <v>70968.221180409295</v>
      </c>
      <c r="AA49" s="302">
        <v>89505.101588799094</v>
      </c>
      <c r="AB49" s="2"/>
    </row>
    <row r="50" spans="1:28" ht="14.4">
      <c r="A50" s="196">
        <v>12</v>
      </c>
      <c r="B50" s="201" t="s">
        <v>229</v>
      </c>
      <c r="C50" s="24">
        <v>132.79465837272701</v>
      </c>
      <c r="D50" s="24">
        <v>224.710638999965</v>
      </c>
      <c r="E50" s="24">
        <v>242.78299133822699</v>
      </c>
      <c r="F50" s="24">
        <v>262.308812548687</v>
      </c>
      <c r="G50" s="24">
        <v>283.40499786019598</v>
      </c>
      <c r="H50" s="24">
        <v>279.05427661446498</v>
      </c>
      <c r="I50" s="24">
        <v>296.86875000575401</v>
      </c>
      <c r="J50" s="24">
        <v>341.22033765901801</v>
      </c>
      <c r="K50" s="24">
        <v>386.17663877917403</v>
      </c>
      <c r="L50" s="24">
        <v>526.21622572523995</v>
      </c>
      <c r="M50" s="24">
        <v>674.01170731299101</v>
      </c>
      <c r="N50" s="24">
        <v>947.29192254029704</v>
      </c>
      <c r="O50" s="24">
        <v>1158.32332988908</v>
      </c>
      <c r="P50" s="24">
        <v>1602.9773117094901</v>
      </c>
      <c r="Q50" s="24">
        <v>2252.9096199995502</v>
      </c>
      <c r="R50" s="24">
        <v>3117.7485436881402</v>
      </c>
      <c r="S50" s="24">
        <v>4519.5519177258802</v>
      </c>
      <c r="T50" s="24">
        <v>5700.0576709336401</v>
      </c>
      <c r="U50" s="24">
        <v>7888.17551522339</v>
      </c>
      <c r="V50" s="24">
        <v>11434.8602132655</v>
      </c>
      <c r="W50" s="24">
        <v>15342.293085057099</v>
      </c>
      <c r="X50" s="24">
        <v>21562.875177139202</v>
      </c>
      <c r="Y50" s="24">
        <v>31745.325585570699</v>
      </c>
      <c r="Z50" s="24">
        <v>46018.6718456054</v>
      </c>
      <c r="AA50" s="302">
        <v>62706.501821059202</v>
      </c>
      <c r="AB50" s="2"/>
    </row>
    <row r="51" spans="1:28" ht="14.4">
      <c r="A51" s="196">
        <v>12</v>
      </c>
      <c r="B51" s="201" t="s">
        <v>225</v>
      </c>
      <c r="C51" s="151">
        <v>12525.235362351599</v>
      </c>
      <c r="D51" s="151">
        <v>11603.1430665387</v>
      </c>
      <c r="E51" s="151">
        <v>11456.2023544844</v>
      </c>
      <c r="F51" s="151">
        <v>11026.44056311</v>
      </c>
      <c r="G51" s="151">
        <v>5132.53610067319</v>
      </c>
      <c r="H51" s="151">
        <v>3370.3517170405898</v>
      </c>
      <c r="I51" s="151">
        <v>2713.80875605659</v>
      </c>
      <c r="J51" s="151">
        <v>1828.0673079113899</v>
      </c>
      <c r="K51" s="96"/>
      <c r="L51" s="96"/>
      <c r="M51" s="96"/>
      <c r="N51" s="2"/>
      <c r="O51" s="96"/>
      <c r="P51" s="96"/>
      <c r="Q51" s="97"/>
      <c r="R51" s="96"/>
      <c r="S51" s="2"/>
      <c r="T51" s="2"/>
      <c r="U51" s="2"/>
      <c r="V51" s="2"/>
      <c r="W51" s="2"/>
      <c r="X51" s="2"/>
      <c r="Y51" s="2"/>
      <c r="Z51" s="2"/>
      <c r="AA51" s="236"/>
      <c r="AB51" s="2"/>
    </row>
    <row r="52" spans="1:28" ht="14.4">
      <c r="A52" s="196">
        <v>12</v>
      </c>
      <c r="B52" s="201" t="s">
        <v>226</v>
      </c>
      <c r="C52" s="151">
        <v>10345.704351709601</v>
      </c>
      <c r="D52" s="151">
        <v>9831.50418168328</v>
      </c>
      <c r="E52" s="151">
        <v>9831.50418168328</v>
      </c>
      <c r="F52" s="151">
        <v>7816.0802918429799</v>
      </c>
      <c r="G52" s="151">
        <v>3732.1202299475099</v>
      </c>
      <c r="H52" s="151">
        <v>2328.94237371077</v>
      </c>
      <c r="I52" s="151">
        <v>1759.4927439568</v>
      </c>
      <c r="J52" s="151">
        <v>1155.3949921235301</v>
      </c>
      <c r="K52" s="96"/>
      <c r="L52" s="96"/>
      <c r="M52" s="96"/>
      <c r="N52" s="2"/>
      <c r="O52" s="96"/>
      <c r="P52" s="96"/>
      <c r="Q52" s="97"/>
      <c r="R52" s="96"/>
      <c r="S52" s="2"/>
      <c r="T52" s="2"/>
      <c r="U52" s="2"/>
      <c r="V52" s="2"/>
      <c r="W52" s="2"/>
      <c r="X52" s="2"/>
      <c r="Y52" s="2"/>
      <c r="Z52" s="2"/>
      <c r="AA52" s="236"/>
      <c r="AB52" s="2"/>
    </row>
    <row r="53" spans="1:28" ht="14.4">
      <c r="A53" s="196">
        <v>12</v>
      </c>
      <c r="B53" s="201" t="s">
        <v>227</v>
      </c>
      <c r="C53" s="151">
        <v>11456.2023544844</v>
      </c>
      <c r="D53" s="151">
        <v>11026.44056311</v>
      </c>
      <c r="E53" s="151">
        <v>10478.4065753226</v>
      </c>
      <c r="F53" s="151">
        <v>6793.6516649548003</v>
      </c>
      <c r="G53" s="151">
        <v>3370.3517170405898</v>
      </c>
      <c r="H53" s="151">
        <v>2514.0190760809501</v>
      </c>
      <c r="I53" s="151">
        <v>1923.68035837507</v>
      </c>
      <c r="J53" s="151">
        <v>1200.4271689822399</v>
      </c>
      <c r="K53" s="96"/>
      <c r="L53" s="96"/>
      <c r="M53" s="96"/>
      <c r="N53" s="2"/>
      <c r="O53" s="96"/>
      <c r="P53" s="96"/>
      <c r="Q53" s="97"/>
      <c r="R53" s="96"/>
      <c r="S53" s="2"/>
      <c r="T53" s="2"/>
      <c r="U53" s="2"/>
      <c r="V53" s="2"/>
      <c r="W53" s="2"/>
      <c r="X53" s="2"/>
      <c r="Y53" s="2"/>
      <c r="Z53" s="2"/>
      <c r="AA53" s="236"/>
      <c r="AB53" s="2"/>
    </row>
    <row r="54" spans="1:28" ht="14.4">
      <c r="A54" s="196">
        <v>12</v>
      </c>
      <c r="B54" s="201" t="s">
        <v>228</v>
      </c>
      <c r="C54" s="151">
        <v>13869.682137681701</v>
      </c>
      <c r="D54" s="151">
        <v>12848.6070906655</v>
      </c>
      <c r="E54" s="151">
        <v>13520.612152711499</v>
      </c>
      <c r="F54" s="151">
        <v>10478.4065753226</v>
      </c>
      <c r="G54" s="151">
        <v>6057.4230070546</v>
      </c>
      <c r="H54" s="151">
        <v>4185.7259196675004</v>
      </c>
      <c r="I54" s="151">
        <v>3501.71138937163</v>
      </c>
      <c r="J54" s="151">
        <v>2103.1881687345499</v>
      </c>
      <c r="K54" s="96"/>
      <c r="L54" s="96"/>
      <c r="M54" s="96"/>
      <c r="N54" s="2"/>
      <c r="O54" s="96"/>
      <c r="P54" s="96"/>
      <c r="Q54" s="97"/>
      <c r="R54" s="96"/>
      <c r="S54" s="2"/>
      <c r="T54" s="2"/>
      <c r="U54" s="2"/>
      <c r="V54" s="2"/>
      <c r="W54" s="2"/>
      <c r="X54" s="2"/>
      <c r="Y54" s="2"/>
      <c r="Z54" s="2"/>
      <c r="AA54" s="236"/>
      <c r="AB54" s="2"/>
    </row>
    <row r="55" spans="1:28" ht="14.4">
      <c r="A55" s="197">
        <v>12</v>
      </c>
      <c r="B55" s="202" t="s">
        <v>230</v>
      </c>
      <c r="C55" s="152">
        <v>11026.44056311</v>
      </c>
      <c r="D55" s="152">
        <v>11311.1169814679</v>
      </c>
      <c r="E55" s="152">
        <v>10478.4065753226</v>
      </c>
      <c r="F55" s="152">
        <v>6793.6516649548003</v>
      </c>
      <c r="G55" s="152">
        <v>3828.47468031266</v>
      </c>
      <c r="H55" s="152">
        <v>2929.4743440561401</v>
      </c>
      <c r="I55" s="152">
        <v>2389.06895420506</v>
      </c>
      <c r="J55" s="152">
        <v>1490.84190037802</v>
      </c>
      <c r="K55" s="103"/>
      <c r="L55" s="103"/>
      <c r="M55" s="103"/>
      <c r="N55" s="34"/>
      <c r="O55" s="103"/>
      <c r="P55" s="103"/>
      <c r="Q55" s="102"/>
      <c r="R55" s="103"/>
      <c r="S55" s="34"/>
      <c r="T55" s="34"/>
      <c r="U55" s="34"/>
      <c r="V55" s="34"/>
      <c r="W55" s="34"/>
      <c r="X55" s="34"/>
      <c r="Y55" s="34"/>
      <c r="Z55" s="34"/>
      <c r="AA55" s="237"/>
      <c r="AB55" s="2"/>
    </row>
    <row r="56" spans="1:28" ht="14.4">
      <c r="A56" s="204">
        <v>13</v>
      </c>
      <c r="B56" s="201">
        <v>1</v>
      </c>
      <c r="C56" s="96"/>
      <c r="D56" s="97"/>
      <c r="E56" s="96"/>
      <c r="F56" s="2"/>
      <c r="G56" s="96"/>
      <c r="H56" s="97"/>
      <c r="I56" s="96"/>
      <c r="J56" s="2"/>
      <c r="K56" s="96"/>
      <c r="L56" s="97"/>
      <c r="M56" s="96"/>
      <c r="N56" s="2"/>
      <c r="O56" s="96"/>
      <c r="P56" s="96"/>
      <c r="Q56" s="97"/>
      <c r="R56" s="96"/>
      <c r="S56" s="2"/>
      <c r="T56" s="2"/>
      <c r="U56" s="2"/>
      <c r="V56" s="2"/>
      <c r="W56" s="2"/>
      <c r="X56" s="2"/>
      <c r="Y56" s="2"/>
      <c r="Z56" s="2"/>
      <c r="AA56" s="2"/>
    </row>
    <row r="57" spans="1:28" ht="14.4">
      <c r="A57" s="204">
        <v>13</v>
      </c>
      <c r="B57" s="201">
        <v>2</v>
      </c>
      <c r="C57" s="96"/>
      <c r="D57" s="97"/>
      <c r="E57" s="96"/>
      <c r="F57" s="8"/>
      <c r="G57" s="96"/>
      <c r="H57" s="97"/>
      <c r="I57" s="96"/>
      <c r="J57" s="8"/>
      <c r="K57" s="96"/>
      <c r="L57" s="97"/>
      <c r="M57" s="96"/>
      <c r="N57" s="8"/>
      <c r="O57" s="96"/>
      <c r="P57" s="96"/>
      <c r="Q57" s="97"/>
      <c r="R57" s="96"/>
    </row>
    <row r="58" spans="1:28" ht="14.4">
      <c r="A58" s="204">
        <v>13</v>
      </c>
      <c r="B58" s="201">
        <v>3</v>
      </c>
      <c r="C58" s="96"/>
      <c r="D58" s="97"/>
      <c r="E58" s="96"/>
      <c r="F58" s="8"/>
      <c r="G58" s="96"/>
      <c r="H58" s="97"/>
      <c r="I58" s="96"/>
      <c r="J58" s="8"/>
      <c r="K58" s="96"/>
      <c r="L58" s="97"/>
      <c r="M58" s="96"/>
      <c r="N58" s="8"/>
      <c r="O58" s="96"/>
      <c r="P58" s="96"/>
      <c r="Q58" s="97"/>
      <c r="R58" s="96"/>
    </row>
    <row r="59" spans="1:28" ht="14.4">
      <c r="A59" s="204">
        <v>13</v>
      </c>
      <c r="B59" s="201">
        <v>4</v>
      </c>
      <c r="C59" s="96"/>
      <c r="D59" s="97"/>
      <c r="E59" s="96"/>
      <c r="F59" s="8"/>
      <c r="G59" s="96"/>
      <c r="H59" s="97"/>
      <c r="I59" s="96"/>
      <c r="J59" s="8"/>
      <c r="K59" s="96"/>
      <c r="L59" s="97"/>
      <c r="M59" s="96"/>
      <c r="N59" s="8"/>
      <c r="O59" s="96"/>
      <c r="P59" s="96"/>
      <c r="Q59" s="97"/>
      <c r="R59" s="96"/>
    </row>
    <row r="60" spans="1:28" ht="14.4">
      <c r="A60" s="204">
        <v>13</v>
      </c>
      <c r="B60" s="201">
        <v>5</v>
      </c>
      <c r="C60" s="96"/>
      <c r="D60" s="97"/>
      <c r="E60" s="96"/>
      <c r="F60" s="8"/>
      <c r="G60" s="96"/>
      <c r="H60" s="97"/>
      <c r="I60" s="96"/>
      <c r="J60" s="8"/>
      <c r="K60" s="96"/>
      <c r="L60" s="97"/>
      <c r="M60" s="96"/>
      <c r="N60" s="8"/>
      <c r="O60" s="96"/>
      <c r="P60" s="96"/>
      <c r="Q60" s="97"/>
      <c r="R60" s="96"/>
    </row>
    <row r="61" spans="1:28" ht="14.4">
      <c r="A61" s="204">
        <v>13</v>
      </c>
      <c r="B61" s="201">
        <v>6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</row>
    <row r="62" spans="1:28" ht="14.4">
      <c r="A62" s="204">
        <v>13</v>
      </c>
      <c r="B62" s="201">
        <v>7</v>
      </c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</row>
    <row r="63" spans="1:28" ht="14.4">
      <c r="A63" s="205">
        <v>13</v>
      </c>
      <c r="B63" s="202">
        <v>8</v>
      </c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</row>
    <row r="64" spans="1:28" ht="14.4">
      <c r="A64" s="203">
        <v>14</v>
      </c>
      <c r="B64" s="200">
        <v>1</v>
      </c>
      <c r="C64" s="307">
        <v>226.93415271183801</v>
      </c>
      <c r="D64" s="307">
        <v>408.52499429792101</v>
      </c>
      <c r="E64" s="307">
        <v>649.20078803039405</v>
      </c>
      <c r="F64" s="307">
        <v>1148.05204257678</v>
      </c>
      <c r="G64" s="307">
        <v>1824.40805616221</v>
      </c>
      <c r="H64" s="307">
        <v>3284.28883378622</v>
      </c>
      <c r="I64" s="307">
        <v>5312.9848148215297</v>
      </c>
      <c r="J64" s="307">
        <v>8443.0483342447606</v>
      </c>
      <c r="K64" s="307">
        <v>13658.2955582908</v>
      </c>
      <c r="L64" s="307">
        <v>19504.524666150101</v>
      </c>
      <c r="M64" s="307">
        <v>25479.418910767799</v>
      </c>
      <c r="N64" s="307">
        <v>33882.916677535002</v>
      </c>
      <c r="O64" s="416">
        <v>46692.347257163798</v>
      </c>
    </row>
    <row r="65" spans="1:30" ht="14.4">
      <c r="A65" s="204">
        <v>14</v>
      </c>
      <c r="B65" s="201">
        <v>2</v>
      </c>
      <c r="C65" s="96">
        <v>488.18908460809701</v>
      </c>
      <c r="D65" s="96">
        <v>672.74933777406102</v>
      </c>
      <c r="E65" s="96">
        <v>910.71203879779796</v>
      </c>
      <c r="F65" s="96">
        <v>1347.7029613367099</v>
      </c>
      <c r="G65" s="96">
        <v>2180.1752923835602</v>
      </c>
      <c r="H65" s="96">
        <v>2559.3166414160701</v>
      </c>
      <c r="I65" s="96">
        <v>4214.6166317928501</v>
      </c>
      <c r="J65" s="96">
        <v>6349.0391762735699</v>
      </c>
      <c r="K65" s="96">
        <v>8749.2922993980301</v>
      </c>
      <c r="L65" s="96">
        <v>14930.7362065344</v>
      </c>
      <c r="M65" s="96">
        <v>18821.824538209199</v>
      </c>
      <c r="N65" s="96">
        <v>26878.2249879347</v>
      </c>
      <c r="O65" s="390">
        <v>36385.503044893201</v>
      </c>
    </row>
    <row r="66" spans="1:30" ht="14.4">
      <c r="A66" s="204">
        <v>14</v>
      </c>
      <c r="B66" s="201">
        <v>3</v>
      </c>
      <c r="C66" s="96">
        <v>2514.1269035092901</v>
      </c>
      <c r="D66" s="96">
        <v>2848.03657224994</v>
      </c>
      <c r="E66" s="96">
        <v>3403.4156698944298</v>
      </c>
      <c r="F66" s="96">
        <v>4140.1993370016398</v>
      </c>
      <c r="G66" s="96">
        <v>5127.0154854657203</v>
      </c>
      <c r="H66" s="96">
        <v>6697.5933816468396</v>
      </c>
      <c r="I66" s="96">
        <v>8147.5180266749203</v>
      </c>
      <c r="J66" s="96">
        <v>11029.4390186</v>
      </c>
      <c r="K66" s="96">
        <v>13658.2955582908</v>
      </c>
      <c r="L66" s="96">
        <v>18821.824538209199</v>
      </c>
      <c r="M66" s="96">
        <v>23307.988924515801</v>
      </c>
      <c r="N66" s="96">
        <v>39072.956562111998</v>
      </c>
      <c r="O66" s="390">
        <v>41958.906892699102</v>
      </c>
    </row>
    <row r="67" spans="1:30" ht="14.4">
      <c r="A67" s="204">
        <v>14</v>
      </c>
      <c r="B67" s="201">
        <v>4</v>
      </c>
      <c r="C67" s="108">
        <v>6018.6161470522102</v>
      </c>
      <c r="D67" s="108">
        <v>6817.9827454797996</v>
      </c>
      <c r="E67" s="108">
        <v>7321.5577722139697</v>
      </c>
      <c r="F67" s="108">
        <v>8147.5180266749203</v>
      </c>
      <c r="G67" s="108">
        <v>9229.6236319990094</v>
      </c>
      <c r="H67" s="108">
        <v>11227.6704966139</v>
      </c>
      <c r="I67" s="108">
        <v>12494.295992985601</v>
      </c>
      <c r="J67" s="108">
        <v>13417.1134166298</v>
      </c>
      <c r="K67" s="108">
        <v>15199.1164635962</v>
      </c>
      <c r="L67" s="108">
        <v>17842.292498454499</v>
      </c>
      <c r="M67" s="108">
        <v>21704.870911799098</v>
      </c>
      <c r="N67" s="108">
        <v>23726.950452777201</v>
      </c>
      <c r="O67" s="417">
        <v>26878.2249879347</v>
      </c>
    </row>
    <row r="68" spans="1:30" ht="14.4">
      <c r="A68" s="204">
        <v>14</v>
      </c>
      <c r="B68" s="201">
        <v>5</v>
      </c>
      <c r="C68" s="108">
        <v>8147.5180266749203</v>
      </c>
      <c r="D68" s="108">
        <v>8906.5609888946692</v>
      </c>
      <c r="E68" s="108">
        <v>9395.5071307877806</v>
      </c>
      <c r="F68" s="108">
        <v>11029.4390186</v>
      </c>
      <c r="G68" s="108">
        <v>11844.071477494999</v>
      </c>
      <c r="H68" s="108">
        <v>13180.2259675316</v>
      </c>
      <c r="I68" s="108">
        <v>14667.084939105</v>
      </c>
      <c r="J68" s="108">
        <v>19504.524666150101</v>
      </c>
      <c r="K68" s="108">
        <v>23307.988924515801</v>
      </c>
      <c r="L68" s="108">
        <v>28353.805480101801</v>
      </c>
      <c r="M68" s="108">
        <v>35111.9325268147</v>
      </c>
      <c r="N68" s="108">
        <v>40490.227789086799</v>
      </c>
      <c r="O68" s="417">
        <v>45867.902598515997</v>
      </c>
    </row>
    <row r="69" spans="1:30" ht="14.4">
      <c r="A69" s="204">
        <v>14</v>
      </c>
      <c r="B69" s="201">
        <v>6</v>
      </c>
      <c r="C69" s="108">
        <v>10643.3778027392</v>
      </c>
      <c r="D69" s="108">
        <v>11029.4390186</v>
      </c>
      <c r="E69" s="108">
        <v>12273.66809302</v>
      </c>
      <c r="F69" s="108">
        <v>13180.2259675316</v>
      </c>
      <c r="G69" s="108">
        <v>14408.1284684364</v>
      </c>
      <c r="H69" s="108">
        <v>16033.5069050164</v>
      </c>
      <c r="I69" s="108">
        <v>18821.824538209199</v>
      </c>
      <c r="J69" s="108">
        <v>22492.1594032547</v>
      </c>
      <c r="K69" s="108">
        <v>24587.584690350701</v>
      </c>
      <c r="L69" s="108">
        <v>28353.805480101801</v>
      </c>
      <c r="M69" s="108">
        <v>33882.916677535002</v>
      </c>
      <c r="N69" s="108">
        <v>36385.503044893201</v>
      </c>
      <c r="O69" s="390">
        <v>41218.199999999997</v>
      </c>
    </row>
    <row r="70" spans="1:30" ht="14.4">
      <c r="A70" s="204">
        <v>14</v>
      </c>
      <c r="B70" s="201">
        <v>7</v>
      </c>
      <c r="C70" s="96">
        <v>11429.495846981799</v>
      </c>
      <c r="D70" s="96">
        <v>11844.071477494999</v>
      </c>
      <c r="E70" s="96">
        <v>12947.4945162152</v>
      </c>
      <c r="F70" s="96">
        <v>13417.1134166298</v>
      </c>
      <c r="G70" s="96">
        <v>14408.1284684364</v>
      </c>
      <c r="H70" s="96">
        <v>15750.4254080589</v>
      </c>
      <c r="I70" s="96">
        <v>16321.7205776306</v>
      </c>
      <c r="J70" s="96">
        <v>16913.749105408599</v>
      </c>
      <c r="K70" s="96">
        <v>18821.824538209199</v>
      </c>
      <c r="L70" s="96">
        <v>21321.6145002337</v>
      </c>
      <c r="M70" s="96">
        <v>22492.1594032547</v>
      </c>
      <c r="N70" s="96">
        <v>24587.584690350701</v>
      </c>
      <c r="O70" s="390">
        <v>26878.2249879347</v>
      </c>
      <c r="Z70" s="116"/>
    </row>
    <row r="71" spans="1:30" ht="14.4">
      <c r="A71" s="204">
        <v>14</v>
      </c>
      <c r="B71" s="201">
        <v>8</v>
      </c>
      <c r="C71" s="96">
        <v>21704.870911799098</v>
      </c>
      <c r="D71" s="96">
        <v>24587.584690350701</v>
      </c>
      <c r="E71" s="96">
        <v>24587.584690350701</v>
      </c>
      <c r="F71" s="96">
        <v>25479.418910767799</v>
      </c>
      <c r="G71" s="96">
        <v>26403.619444322601</v>
      </c>
      <c r="H71" s="96">
        <v>27361.305791660299</v>
      </c>
      <c r="I71" s="96">
        <v>28863.4460382285</v>
      </c>
      <c r="J71" s="96">
        <v>30448.012650415301</v>
      </c>
      <c r="K71" s="96">
        <v>32696.919820634201</v>
      </c>
      <c r="L71" s="96">
        <v>33284.624934083797</v>
      </c>
      <c r="M71" s="96">
        <v>35111.9325268147</v>
      </c>
      <c r="N71" s="96">
        <v>36385.503044893201</v>
      </c>
      <c r="O71" s="390">
        <v>45057.9845009895</v>
      </c>
      <c r="Z71" s="32"/>
      <c r="AA71" s="32"/>
    </row>
    <row r="72" spans="1:30" ht="14.4">
      <c r="A72" s="204">
        <v>14</v>
      </c>
      <c r="B72" s="201">
        <v>9</v>
      </c>
      <c r="C72" s="96">
        <v>27853.144693558199</v>
      </c>
      <c r="D72" s="96">
        <v>29910.3934714561</v>
      </c>
      <c r="E72" s="96">
        <v>32119.5917897283</v>
      </c>
      <c r="F72" s="96">
        <v>33882.916677535002</v>
      </c>
      <c r="G72" s="96">
        <v>37039.5331292396</v>
      </c>
      <c r="H72" s="96">
        <v>35743.045867224297</v>
      </c>
      <c r="I72" s="96">
        <v>37705.293792300603</v>
      </c>
      <c r="J72" s="96">
        <v>39775.266641933398</v>
      </c>
      <c r="K72" s="96">
        <v>41218.012364726499</v>
      </c>
      <c r="L72" s="96">
        <v>45867.902598515997</v>
      </c>
      <c r="M72" s="96">
        <v>48385.992328078602</v>
      </c>
      <c r="N72" s="96">
        <v>54812.336319704002</v>
      </c>
      <c r="O72" s="390">
        <v>58860.766003081699</v>
      </c>
      <c r="Z72" s="32"/>
      <c r="AA72" s="32"/>
      <c r="AC72" s="32"/>
    </row>
    <row r="73" spans="1:30" ht="14.4">
      <c r="A73" s="204">
        <v>14</v>
      </c>
      <c r="B73" s="201">
        <v>10</v>
      </c>
      <c r="C73" s="103">
        <v>53844.480790280497</v>
      </c>
      <c r="D73" s="103">
        <v>55797.551150701001</v>
      </c>
      <c r="E73" s="103">
        <v>56800.474554774599</v>
      </c>
      <c r="F73" s="103">
        <v>60995.789236382501</v>
      </c>
      <c r="G73" s="103">
        <v>62092.147469199597</v>
      </c>
      <c r="H73" s="103">
        <v>67876.805740749594</v>
      </c>
      <c r="I73" s="103">
        <v>72890.224411930001</v>
      </c>
      <c r="J73" s="103">
        <v>74200.377106507207</v>
      </c>
      <c r="K73" s="103">
        <v>74200.377106507207</v>
      </c>
      <c r="L73" s="103">
        <v>85566.130845401902</v>
      </c>
      <c r="M73" s="103">
        <v>88669.762395944505</v>
      </c>
      <c r="N73" s="103">
        <v>91886.030475036503</v>
      </c>
      <c r="O73" s="418">
        <v>95218.960424838806</v>
      </c>
      <c r="Z73" s="32"/>
      <c r="AA73" s="32"/>
      <c r="AC73" s="32"/>
    </row>
    <row r="74" spans="1:30" ht="14.4">
      <c r="A74" s="203">
        <v>15</v>
      </c>
      <c r="B74" s="200">
        <v>1</v>
      </c>
      <c r="C74" s="2"/>
      <c r="D74" s="96"/>
      <c r="E74" s="159"/>
      <c r="F74" s="159"/>
      <c r="G74" s="2"/>
      <c r="H74" s="159"/>
      <c r="I74" s="159"/>
      <c r="J74" s="2"/>
      <c r="K74" s="96"/>
      <c r="L74" s="96"/>
      <c r="M74" s="2"/>
      <c r="N74" s="2"/>
      <c r="O74" s="2"/>
      <c r="Z74" s="32"/>
      <c r="AB74" s="96"/>
      <c r="AC74" s="32"/>
      <c r="AD74" s="160"/>
    </row>
    <row r="75" spans="1:30" ht="14.4">
      <c r="A75" s="204">
        <v>15</v>
      </c>
      <c r="B75" s="201">
        <v>2</v>
      </c>
      <c r="C75" s="2"/>
      <c r="D75" s="96"/>
      <c r="E75" s="159"/>
      <c r="F75" s="159"/>
      <c r="G75" s="2"/>
      <c r="H75" s="159"/>
      <c r="I75" s="159"/>
      <c r="J75" s="2"/>
      <c r="K75" s="96"/>
      <c r="L75" s="96"/>
      <c r="M75" s="2"/>
      <c r="N75" s="2"/>
      <c r="O75" s="2"/>
      <c r="Z75" s="32"/>
      <c r="AB75" s="96"/>
      <c r="AC75" s="32"/>
    </row>
    <row r="76" spans="1:30" ht="14.4">
      <c r="A76" s="204">
        <v>15</v>
      </c>
      <c r="B76" s="201">
        <v>3</v>
      </c>
      <c r="C76" s="2"/>
      <c r="D76" s="96"/>
      <c r="E76" s="159"/>
      <c r="F76" s="159"/>
      <c r="G76" s="2"/>
      <c r="H76" s="96"/>
      <c r="I76" s="96"/>
      <c r="J76" s="2"/>
      <c r="K76" s="96"/>
      <c r="L76" s="96"/>
      <c r="M76" s="2"/>
      <c r="N76" s="2"/>
      <c r="O76" s="2"/>
      <c r="Z76" s="32"/>
      <c r="AB76" s="96"/>
      <c r="AC76" s="32"/>
    </row>
    <row r="77" spans="1:30" ht="14.4">
      <c r="A77" s="204">
        <v>15</v>
      </c>
      <c r="B77" s="201">
        <v>4</v>
      </c>
      <c r="C77" s="2"/>
      <c r="D77" s="96"/>
      <c r="E77" s="159"/>
      <c r="F77" s="159"/>
      <c r="G77" s="96"/>
      <c r="H77" s="96"/>
      <c r="I77" s="96"/>
      <c r="J77" s="2"/>
      <c r="K77" s="96"/>
      <c r="L77" s="96"/>
      <c r="M77" s="2"/>
      <c r="N77" s="2"/>
      <c r="O77" s="2"/>
      <c r="Z77" s="32"/>
      <c r="AB77" s="96"/>
      <c r="AC77" s="32"/>
    </row>
    <row r="78" spans="1:30" ht="14.4">
      <c r="A78" s="204">
        <v>15</v>
      </c>
      <c r="B78" s="201">
        <v>5</v>
      </c>
      <c r="C78" s="2"/>
      <c r="D78" s="108"/>
      <c r="E78" s="108"/>
      <c r="F78" s="159"/>
      <c r="G78" s="96"/>
      <c r="H78" s="96"/>
      <c r="I78" s="96"/>
      <c r="J78" s="2"/>
      <c r="K78" s="96"/>
      <c r="L78" s="96"/>
      <c r="M78" s="2"/>
      <c r="N78" s="2"/>
      <c r="O78" s="2"/>
      <c r="Z78" s="32"/>
      <c r="AB78" s="96"/>
      <c r="AC78" s="32"/>
    </row>
    <row r="79" spans="1:30" ht="14.4">
      <c r="A79" s="204">
        <v>15</v>
      </c>
      <c r="B79" s="201">
        <v>6</v>
      </c>
      <c r="C79" s="2"/>
      <c r="D79" s="108"/>
      <c r="E79" s="108"/>
      <c r="F79" s="108"/>
      <c r="G79" s="108"/>
      <c r="H79" s="96"/>
      <c r="I79" s="96"/>
      <c r="J79" s="96"/>
      <c r="K79" s="96"/>
      <c r="L79" s="96"/>
      <c r="M79" s="2"/>
      <c r="N79" s="2"/>
      <c r="O79" s="2"/>
      <c r="Z79" s="32"/>
      <c r="AB79" s="96"/>
      <c r="AC79" s="32"/>
    </row>
    <row r="80" spans="1:30" ht="14.4">
      <c r="A80" s="463">
        <v>16</v>
      </c>
      <c r="B80" s="464">
        <v>1</v>
      </c>
      <c r="C80" s="465">
        <v>1.62301521157984</v>
      </c>
      <c r="D80" s="465">
        <v>1.7955329515848599</v>
      </c>
      <c r="E80" s="465">
        <v>1.7955329515848599</v>
      </c>
      <c r="F80" s="465">
        <v>1.59433829515085</v>
      </c>
      <c r="G80" s="465">
        <v>1.3499653814621999</v>
      </c>
      <c r="H80" s="465">
        <v>1.0707237436165</v>
      </c>
      <c r="I80" s="465">
        <v>0.85939662445975296</v>
      </c>
      <c r="J80" s="465">
        <v>0.66167575233533604</v>
      </c>
      <c r="K80" s="465">
        <v>0.491601234671461</v>
      </c>
      <c r="L80" s="466">
        <v>0.38302379303282102</v>
      </c>
      <c r="M80" s="2"/>
      <c r="N80" s="2"/>
      <c r="O80" s="2"/>
      <c r="Z80" s="32"/>
      <c r="AB80" s="96"/>
      <c r="AC80" s="32"/>
    </row>
    <row r="81" spans="1:29" ht="14.4">
      <c r="A81" s="467">
        <v>16</v>
      </c>
      <c r="B81" s="468">
        <v>2</v>
      </c>
      <c r="C81" s="469">
        <v>2.4167171914950898</v>
      </c>
      <c r="D81" s="469">
        <v>2.2503914576947199</v>
      </c>
      <c r="E81" s="469">
        <v>2.2503914576947199</v>
      </c>
      <c r="F81" s="469">
        <v>2.19753372744298</v>
      </c>
      <c r="G81" s="469">
        <v>2.0221179229069</v>
      </c>
      <c r="H81" s="469">
        <v>1.74297097167879</v>
      </c>
      <c r="I81" s="469">
        <v>1.3989637551795999</v>
      </c>
      <c r="J81" s="469">
        <v>1.1030130707546999</v>
      </c>
      <c r="K81" s="469">
        <v>0.82929608555885403</v>
      </c>
      <c r="L81" s="470">
        <v>0.714814721224863</v>
      </c>
      <c r="M81" s="2"/>
      <c r="N81" s="2"/>
      <c r="O81" s="2"/>
      <c r="Z81" s="32"/>
      <c r="AB81" s="96"/>
      <c r="AC81" s="32"/>
    </row>
    <row r="82" spans="1:29" ht="14.4">
      <c r="A82" s="471">
        <v>16</v>
      </c>
      <c r="B82" s="472">
        <v>3</v>
      </c>
      <c r="C82" s="473">
        <v>2.88831918134222</v>
      </c>
      <c r="D82" s="473">
        <v>2.67360237184044</v>
      </c>
      <c r="E82" s="473">
        <v>2.7216904750948698</v>
      </c>
      <c r="F82" s="473">
        <v>2.68953638252031</v>
      </c>
      <c r="G82" s="473">
        <v>2.4748475476276899</v>
      </c>
      <c r="H82" s="473">
        <v>2.0955127603211299</v>
      </c>
      <c r="I82" s="473">
        <v>1.6719597403898301</v>
      </c>
      <c r="J82" s="473">
        <v>1.3824363761465599</v>
      </c>
      <c r="K82" s="473">
        <v>1.1161993669630299</v>
      </c>
      <c r="L82" s="474">
        <v>0.96784663731124299</v>
      </c>
      <c r="M82" s="2"/>
      <c r="N82" s="2"/>
      <c r="O82" s="2"/>
      <c r="Z82" s="32"/>
      <c r="AB82" s="96"/>
      <c r="AC82" s="32"/>
    </row>
    <row r="83" spans="1:29" ht="14.4">
      <c r="A83" s="228">
        <v>17</v>
      </c>
      <c r="B83" s="75">
        <v>1</v>
      </c>
      <c r="C83" s="22">
        <v>26366.51</v>
      </c>
      <c r="D83" s="22">
        <v>32267.99</v>
      </c>
      <c r="E83" s="22">
        <v>39490.370000000003</v>
      </c>
      <c r="F83" s="22">
        <v>50321.59</v>
      </c>
      <c r="G83" s="22">
        <v>59146.61</v>
      </c>
      <c r="H83" s="22">
        <v>80077.179999999993</v>
      </c>
      <c r="I83" s="22">
        <v>106246.78</v>
      </c>
      <c r="J83" s="22">
        <v>146779.93</v>
      </c>
      <c r="K83" s="22">
        <v>187037.99</v>
      </c>
      <c r="L83" s="22">
        <v>243200.75</v>
      </c>
      <c r="M83" s="225">
        <v>316227.77</v>
      </c>
      <c r="N83" s="2"/>
      <c r="O83" s="8"/>
      <c r="Z83" s="32"/>
      <c r="AB83" s="96"/>
      <c r="AC83" s="32"/>
    </row>
    <row r="84" spans="1:29" ht="15" customHeight="1">
      <c r="A84" s="228">
        <v>17</v>
      </c>
      <c r="B84" s="75">
        <v>2</v>
      </c>
      <c r="C84" s="22">
        <v>3099.05</v>
      </c>
      <c r="D84" s="22">
        <v>3716.85</v>
      </c>
      <c r="E84" s="22">
        <v>4931.54</v>
      </c>
      <c r="F84" s="22">
        <v>6158.48</v>
      </c>
      <c r="G84" s="22">
        <v>8507.94</v>
      </c>
      <c r="H84" s="22">
        <v>9604.09</v>
      </c>
      <c r="I84" s="22">
        <v>13815</v>
      </c>
      <c r="J84" s="22">
        <v>19474.830000000002</v>
      </c>
      <c r="K84" s="22">
        <v>28585.14</v>
      </c>
      <c r="L84" s="22">
        <v>41957.25</v>
      </c>
      <c r="M84" s="226">
        <v>61584.82</v>
      </c>
      <c r="N84" s="2"/>
      <c r="O84" s="8"/>
      <c r="Z84" s="32"/>
      <c r="AB84" s="96"/>
      <c r="AC84" s="32"/>
    </row>
    <row r="85" spans="1:29" ht="15" customHeight="1">
      <c r="A85" s="228">
        <v>17</v>
      </c>
      <c r="B85" s="75">
        <v>3</v>
      </c>
      <c r="C85" s="22">
        <v>1760.41</v>
      </c>
      <c r="D85" s="22">
        <v>2432.0100000000002</v>
      </c>
      <c r="E85" s="22">
        <v>3428.37</v>
      </c>
      <c r="F85" s="22">
        <v>4736.29</v>
      </c>
      <c r="G85" s="22">
        <v>6951.93</v>
      </c>
      <c r="H85" s="22">
        <v>11518.7</v>
      </c>
      <c r="I85" s="22">
        <v>17252.11</v>
      </c>
      <c r="J85" s="22">
        <v>27453.42</v>
      </c>
      <c r="K85" s="22">
        <v>42813.32</v>
      </c>
      <c r="L85" s="22">
        <v>94120.5</v>
      </c>
      <c r="M85" s="226">
        <v>140968.74</v>
      </c>
      <c r="N85" s="2"/>
      <c r="O85" s="8"/>
      <c r="Z85" s="32"/>
      <c r="AB85" s="32"/>
      <c r="AC85" s="32"/>
    </row>
    <row r="86" spans="1:29" ht="15" customHeight="1">
      <c r="A86" s="228">
        <v>17</v>
      </c>
      <c r="B86" s="75">
        <v>4</v>
      </c>
      <c r="C86" s="22">
        <v>4195.7299999999996</v>
      </c>
      <c r="D86" s="22">
        <v>5032.16</v>
      </c>
      <c r="E86" s="22">
        <v>6284.14</v>
      </c>
      <c r="F86" s="22">
        <v>8507.94</v>
      </c>
      <c r="G86" s="22">
        <v>11753.72</v>
      </c>
      <c r="H86" s="22">
        <v>16237.77</v>
      </c>
      <c r="I86" s="22">
        <v>23833.78</v>
      </c>
      <c r="J86" s="22">
        <v>35696.99</v>
      </c>
      <c r="K86" s="22">
        <v>53465.07</v>
      </c>
      <c r="L86" s="22">
        <v>76906.83</v>
      </c>
      <c r="M86" s="226">
        <v>108414.59</v>
      </c>
      <c r="N86" s="2"/>
      <c r="O86" s="2"/>
      <c r="P86" s="2"/>
      <c r="Q86" s="2"/>
      <c r="R86" s="2"/>
      <c r="S86" s="2"/>
      <c r="T86" s="2"/>
      <c r="U86" s="2"/>
      <c r="V86" s="2"/>
      <c r="Z86" s="32"/>
      <c r="AB86" s="32"/>
      <c r="AC86" s="32"/>
    </row>
    <row r="87" spans="1:29" ht="15" customHeight="1">
      <c r="A87" s="229">
        <v>18</v>
      </c>
      <c r="B87" s="74">
        <v>1</v>
      </c>
      <c r="C87" s="222">
        <v>2130.3200000000002</v>
      </c>
      <c r="D87" s="222">
        <v>2310.13</v>
      </c>
      <c r="E87" s="222">
        <v>2556.38</v>
      </c>
      <c r="F87" s="222">
        <v>2716.55</v>
      </c>
      <c r="G87" s="222">
        <v>3006.12</v>
      </c>
      <c r="H87" s="222">
        <v>3130.41</v>
      </c>
      <c r="I87" s="222">
        <v>3464.09</v>
      </c>
      <c r="J87" s="222">
        <v>3681.14</v>
      </c>
      <c r="K87" s="222">
        <v>3911.79</v>
      </c>
      <c r="L87" s="222">
        <v>3911.79</v>
      </c>
      <c r="M87" s="222">
        <v>4328.76</v>
      </c>
      <c r="N87" s="222">
        <v>4790.18</v>
      </c>
      <c r="O87" s="222">
        <v>4888.21</v>
      </c>
      <c r="P87" s="222">
        <v>4888.21</v>
      </c>
      <c r="Q87" s="222">
        <v>4988.24</v>
      </c>
      <c r="R87" s="222">
        <v>5632.91</v>
      </c>
      <c r="S87" s="222">
        <v>5985.85</v>
      </c>
      <c r="T87" s="222">
        <v>6233.35</v>
      </c>
      <c r="U87" s="222">
        <v>6491.08</v>
      </c>
      <c r="V87" s="225">
        <v>6492.12</v>
      </c>
      <c r="W87" s="2"/>
      <c r="Y87" s="116"/>
      <c r="Z87" s="32"/>
      <c r="AB87" s="32"/>
      <c r="AC87" s="32"/>
    </row>
    <row r="88" spans="1:29" ht="15" customHeight="1">
      <c r="A88" s="228">
        <v>18</v>
      </c>
      <c r="B88" s="75">
        <v>2</v>
      </c>
      <c r="C88" s="22">
        <v>160.01</v>
      </c>
      <c r="D88" s="22">
        <v>226.48</v>
      </c>
      <c r="E88" s="22">
        <v>327.18</v>
      </c>
      <c r="F88" s="22">
        <v>482.43</v>
      </c>
      <c r="G88" s="22">
        <v>711.33</v>
      </c>
      <c r="H88" s="22">
        <v>1048.8399999999999</v>
      </c>
      <c r="I88" s="22">
        <v>1611.02</v>
      </c>
      <c r="J88" s="22">
        <v>2234.15</v>
      </c>
      <c r="K88" s="22">
        <v>3502.5</v>
      </c>
      <c r="L88" s="22">
        <v>4857.25</v>
      </c>
      <c r="M88" s="22">
        <v>6875.09</v>
      </c>
      <c r="N88" s="22">
        <v>9731.18</v>
      </c>
      <c r="O88" s="30">
        <v>13773.78</v>
      </c>
      <c r="P88" s="30">
        <v>17965.439999999999</v>
      </c>
      <c r="Q88" s="30">
        <v>22494.22</v>
      </c>
      <c r="R88" s="30">
        <v>25428.78</v>
      </c>
      <c r="S88" s="30">
        <v>25953.81</v>
      </c>
      <c r="T88" s="30"/>
      <c r="U88" s="30"/>
      <c r="V88" s="232"/>
      <c r="W88" s="2"/>
      <c r="Y88" s="116"/>
      <c r="Z88" s="32"/>
      <c r="AB88" s="32"/>
      <c r="AC88" s="32"/>
    </row>
    <row r="89" spans="1:29" ht="15" customHeight="1">
      <c r="A89" s="229">
        <v>19</v>
      </c>
      <c r="B89" s="74">
        <v>1</v>
      </c>
      <c r="C89" s="222">
        <v>5420.22</v>
      </c>
      <c r="D89" s="222">
        <v>5042.7</v>
      </c>
      <c r="E89" s="222">
        <v>4746.07</v>
      </c>
      <c r="F89" s="222">
        <v>4112.3599999999997</v>
      </c>
      <c r="G89" s="222">
        <v>3573.03</v>
      </c>
      <c r="H89" s="222">
        <v>3155.06</v>
      </c>
      <c r="I89" s="222">
        <v>2750.56</v>
      </c>
      <c r="J89" s="222">
        <v>2305.62</v>
      </c>
      <c r="K89" s="222">
        <v>1901.12</v>
      </c>
      <c r="L89" s="222">
        <v>1617.98</v>
      </c>
      <c r="M89" s="222">
        <v>1348.31</v>
      </c>
      <c r="N89" s="225">
        <v>1132.58</v>
      </c>
      <c r="O89" s="2"/>
      <c r="Y89" s="116"/>
      <c r="Z89" s="32"/>
      <c r="AB89" s="32"/>
      <c r="AC89" s="32"/>
    </row>
    <row r="90" spans="1:29" ht="15" customHeight="1">
      <c r="A90" s="228">
        <v>19</v>
      </c>
      <c r="B90" s="75">
        <v>2</v>
      </c>
      <c r="C90" s="22">
        <v>4489.8900000000003</v>
      </c>
      <c r="D90" s="22">
        <v>4314.6099999999997</v>
      </c>
      <c r="E90" s="22">
        <v>3950.56</v>
      </c>
      <c r="F90" s="22">
        <v>3303.37</v>
      </c>
      <c r="G90" s="22">
        <v>2723.6</v>
      </c>
      <c r="H90" s="22">
        <v>2386.52</v>
      </c>
      <c r="I90" s="22">
        <v>1995.51</v>
      </c>
      <c r="J90" s="22">
        <v>1671.91</v>
      </c>
      <c r="K90" s="22">
        <v>1294.3800000000001</v>
      </c>
      <c r="L90" s="22">
        <v>1051.69</v>
      </c>
      <c r="M90" s="22">
        <v>862.92</v>
      </c>
      <c r="N90" s="226">
        <v>728.09</v>
      </c>
      <c r="O90" s="2"/>
      <c r="Y90" s="116"/>
      <c r="Z90" s="32"/>
      <c r="AB90" s="32"/>
      <c r="AC90" s="32"/>
    </row>
    <row r="91" spans="1:29" ht="15" customHeight="1">
      <c r="A91" s="228">
        <v>19</v>
      </c>
      <c r="B91" s="75">
        <v>3</v>
      </c>
      <c r="C91" s="22">
        <v>4058.43</v>
      </c>
      <c r="D91" s="22">
        <v>3883.15</v>
      </c>
      <c r="E91" s="22">
        <v>3573.03</v>
      </c>
      <c r="F91" s="22">
        <v>2831.46</v>
      </c>
      <c r="G91" s="22">
        <v>2332.58</v>
      </c>
      <c r="H91" s="22">
        <v>1968.54</v>
      </c>
      <c r="I91" s="22">
        <v>1685.39</v>
      </c>
      <c r="J91" s="22">
        <v>1334.83</v>
      </c>
      <c r="K91" s="22">
        <v>1078.6500000000001</v>
      </c>
      <c r="L91" s="22">
        <v>822.47</v>
      </c>
      <c r="M91" s="22">
        <v>701.12</v>
      </c>
      <c r="N91" s="226">
        <v>552.80999999999995</v>
      </c>
      <c r="O91" s="2"/>
      <c r="Y91" s="116"/>
      <c r="Z91" s="32"/>
      <c r="AB91" s="32"/>
      <c r="AC91" s="32"/>
    </row>
    <row r="92" spans="1:29" ht="15" customHeight="1">
      <c r="A92" s="228">
        <v>19</v>
      </c>
      <c r="B92" s="75">
        <v>4</v>
      </c>
      <c r="C92" s="22">
        <v>3802.25</v>
      </c>
      <c r="D92" s="22">
        <v>3559.55</v>
      </c>
      <c r="E92" s="22">
        <v>3114.61</v>
      </c>
      <c r="F92" s="22">
        <v>2238.1999999999998</v>
      </c>
      <c r="G92" s="22">
        <v>1698.88</v>
      </c>
      <c r="H92" s="22">
        <v>1456.18</v>
      </c>
      <c r="I92" s="22">
        <v>1186.52</v>
      </c>
      <c r="J92" s="22">
        <v>943.82</v>
      </c>
      <c r="K92" s="22">
        <v>728.09</v>
      </c>
      <c r="L92" s="22">
        <v>633.71</v>
      </c>
      <c r="M92" s="22">
        <v>539.33000000000004</v>
      </c>
      <c r="N92" s="226">
        <v>417.98</v>
      </c>
      <c r="O92" s="2"/>
      <c r="Y92" s="116"/>
      <c r="Z92" s="32"/>
      <c r="AB92" s="32"/>
      <c r="AC92" s="32"/>
    </row>
    <row r="93" spans="1:29" ht="15" customHeight="1">
      <c r="A93" s="230">
        <v>19</v>
      </c>
      <c r="B93" s="231">
        <v>5</v>
      </c>
      <c r="C93" s="30">
        <v>2575.2800000000002</v>
      </c>
      <c r="D93" s="30">
        <v>2507.87</v>
      </c>
      <c r="E93" s="30">
        <v>2332.58</v>
      </c>
      <c r="F93" s="30">
        <v>1766.29</v>
      </c>
      <c r="G93" s="30">
        <v>1361.8</v>
      </c>
      <c r="H93" s="30">
        <v>1146.07</v>
      </c>
      <c r="I93" s="30">
        <v>903.37</v>
      </c>
      <c r="J93" s="30">
        <v>714.61</v>
      </c>
      <c r="K93" s="30">
        <v>539.33000000000004</v>
      </c>
      <c r="L93" s="30">
        <v>431.46</v>
      </c>
      <c r="M93" s="30">
        <v>296.63</v>
      </c>
      <c r="N93" s="232">
        <v>215.73</v>
      </c>
      <c r="O93" s="2"/>
      <c r="Y93" s="116"/>
      <c r="Z93" s="32"/>
      <c r="AB93" s="32"/>
      <c r="AC93" s="32"/>
    </row>
    <row r="94" spans="1:29" ht="15" customHeight="1">
      <c r="A94" s="272">
        <v>20</v>
      </c>
      <c r="B94" s="200" t="s">
        <v>221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Y94" s="116"/>
      <c r="Z94" s="32"/>
      <c r="AB94" s="32"/>
      <c r="AC94" s="32"/>
    </row>
    <row r="95" spans="1:29" ht="15" customHeight="1">
      <c r="A95" s="233">
        <v>20</v>
      </c>
      <c r="B95" s="201" t="s">
        <v>222</v>
      </c>
      <c r="Y95" s="116"/>
      <c r="Z95" s="32"/>
      <c r="AB95" s="32"/>
      <c r="AC95" s="32"/>
    </row>
    <row r="96" spans="1:29" ht="15" customHeight="1">
      <c r="A96" s="233">
        <v>20</v>
      </c>
      <c r="B96" s="201" t="s">
        <v>223</v>
      </c>
      <c r="Y96" s="116"/>
      <c r="Z96" s="32"/>
      <c r="AB96" s="32"/>
    </row>
    <row r="97" spans="1:29" ht="15" customHeight="1">
      <c r="A97" s="233">
        <v>20</v>
      </c>
      <c r="B97" s="201" t="s">
        <v>224</v>
      </c>
      <c r="Y97" s="116"/>
      <c r="Z97" s="32"/>
      <c r="AB97" s="32"/>
      <c r="AC97" s="32"/>
    </row>
    <row r="98" spans="1:29" ht="15" customHeight="1">
      <c r="A98" s="233">
        <v>20</v>
      </c>
      <c r="B98" s="201" t="s">
        <v>225</v>
      </c>
      <c r="Y98" s="116"/>
      <c r="Z98" s="32"/>
      <c r="AB98" s="32"/>
      <c r="AC98" s="32"/>
    </row>
    <row r="99" spans="1:29" ht="15" customHeight="1">
      <c r="A99" s="233">
        <v>20</v>
      </c>
      <c r="B99" s="201" t="s">
        <v>226</v>
      </c>
      <c r="Y99" s="116"/>
      <c r="Z99" s="32"/>
      <c r="AB99" s="32"/>
      <c r="AC99" s="32"/>
    </row>
    <row r="100" spans="1:29" ht="15" customHeight="1">
      <c r="A100" s="233">
        <v>20</v>
      </c>
      <c r="B100" s="201" t="s">
        <v>227</v>
      </c>
      <c r="Y100" s="116"/>
      <c r="Z100" s="32"/>
      <c r="AB100" s="32"/>
      <c r="AC100" s="32"/>
    </row>
    <row r="101" spans="1:29" ht="15" customHeight="1">
      <c r="A101" s="233">
        <v>20</v>
      </c>
      <c r="B101" s="201" t="s">
        <v>228</v>
      </c>
      <c r="Y101" s="116"/>
      <c r="Z101" s="32"/>
      <c r="AB101" s="32"/>
      <c r="AC101" s="32"/>
    </row>
    <row r="102" spans="1:29" ht="15" customHeight="1">
      <c r="A102" s="233">
        <v>20</v>
      </c>
      <c r="B102" s="201" t="s">
        <v>231</v>
      </c>
      <c r="Y102" s="116"/>
      <c r="Z102" s="32"/>
      <c r="AB102" s="32"/>
      <c r="AC102" s="32"/>
    </row>
    <row r="103" spans="1:29" ht="15" customHeight="1">
      <c r="A103" s="233">
        <v>20</v>
      </c>
      <c r="B103" s="201" t="s">
        <v>232</v>
      </c>
      <c r="Y103" s="116"/>
      <c r="Z103" s="32"/>
      <c r="AB103" s="32"/>
      <c r="AC103" s="32"/>
    </row>
    <row r="104" spans="1:29" ht="15" customHeight="1">
      <c r="A104" s="233">
        <v>20</v>
      </c>
      <c r="B104" s="201" t="s">
        <v>233</v>
      </c>
      <c r="Y104" s="116"/>
      <c r="Z104" s="32"/>
      <c r="AB104" s="32"/>
      <c r="AC104" s="32"/>
    </row>
    <row r="105" spans="1:29" ht="15" customHeight="1">
      <c r="A105" s="233">
        <v>20</v>
      </c>
      <c r="B105" s="201" t="s">
        <v>234</v>
      </c>
      <c r="Y105" s="116"/>
      <c r="Z105" s="32"/>
      <c r="AB105" s="32"/>
      <c r="AC105" s="32"/>
    </row>
    <row r="106" spans="1:29" ht="15" customHeight="1">
      <c r="A106" s="228">
        <v>20</v>
      </c>
      <c r="B106" s="75" t="s">
        <v>235</v>
      </c>
      <c r="C106" s="8">
        <v>2564.8851719364202</v>
      </c>
      <c r="D106" s="8">
        <v>2402.6983010860099</v>
      </c>
      <c r="E106" s="8">
        <v>1850.22169360921</v>
      </c>
      <c r="F106" s="8">
        <v>1313.06940633011</v>
      </c>
      <c r="G106" s="8">
        <v>916.76795677089399</v>
      </c>
      <c r="H106" s="8">
        <v>750.55062513448297</v>
      </c>
      <c r="I106" s="8">
        <v>599.95052727083305</v>
      </c>
      <c r="J106" s="8">
        <v>489.74430416069703</v>
      </c>
      <c r="K106" s="8">
        <v>312.92537215781101</v>
      </c>
      <c r="L106" s="8">
        <v>208.52058261559199</v>
      </c>
      <c r="M106" s="8">
        <v>100.702326026476</v>
      </c>
      <c r="Y106" s="116"/>
      <c r="Z106" s="32"/>
      <c r="AB106" s="32"/>
      <c r="AC106" s="32"/>
    </row>
    <row r="107" spans="1:29" ht="15" customHeight="1">
      <c r="A107" s="228">
        <v>20</v>
      </c>
      <c r="B107" s="75" t="s">
        <v>236</v>
      </c>
      <c r="C107" s="8">
        <v>1459.26288005383</v>
      </c>
      <c r="D107" s="8">
        <v>1418.9779567524199</v>
      </c>
      <c r="E107" s="8">
        <v>1304.67284932078</v>
      </c>
      <c r="F107" s="8">
        <v>1035.6131848166499</v>
      </c>
      <c r="G107" s="8">
        <v>827.81448109253097</v>
      </c>
      <c r="H107" s="8">
        <v>714.66618463477198</v>
      </c>
      <c r="I107" s="8">
        <v>657.09621507635995</v>
      </c>
      <c r="J107" s="8">
        <v>440.93732536599902</v>
      </c>
      <c r="Y107" s="116"/>
      <c r="Z107" s="32"/>
      <c r="AB107" s="32"/>
    </row>
    <row r="108" spans="1:29" ht="15" customHeight="1">
      <c r="A108" s="228">
        <v>20</v>
      </c>
      <c r="B108" s="75" t="s">
        <v>237</v>
      </c>
      <c r="C108" s="8">
        <v>875.48614787682698</v>
      </c>
      <c r="D108" s="8">
        <v>680.497790171779</v>
      </c>
      <c r="E108" s="8">
        <v>507.185871846547</v>
      </c>
      <c r="F108" s="8">
        <v>347.56301122262602</v>
      </c>
      <c r="G108" s="8">
        <v>306.42364288973801</v>
      </c>
      <c r="H108" s="8">
        <v>279.77474048838297</v>
      </c>
      <c r="I108" s="8">
        <v>251.89278479235099</v>
      </c>
      <c r="J108" s="8">
        <v>155.41372068988201</v>
      </c>
      <c r="Y108" s="116"/>
      <c r="Z108" s="32"/>
      <c r="AB108" s="32"/>
      <c r="AC108" s="32"/>
    </row>
    <row r="109" spans="1:29" ht="15" customHeight="1">
      <c r="A109" s="228">
        <v>20</v>
      </c>
      <c r="B109" s="75" t="s">
        <v>238</v>
      </c>
      <c r="C109" s="8">
        <v>755.82193751668501</v>
      </c>
      <c r="D109" s="8">
        <v>709.68230180834405</v>
      </c>
      <c r="E109" s="8">
        <v>571.26672115994802</v>
      </c>
      <c r="F109" s="8">
        <v>503.64861653066401</v>
      </c>
      <c r="G109" s="8">
        <v>347.56301122262602</v>
      </c>
      <c r="Y109" s="116"/>
      <c r="Z109" s="32"/>
      <c r="AB109" s="32"/>
      <c r="AC109" s="32"/>
    </row>
    <row r="110" spans="1:29" ht="15" customHeight="1">
      <c r="A110" s="233">
        <v>20</v>
      </c>
      <c r="B110" s="75" t="s">
        <v>239</v>
      </c>
      <c r="C110" s="2"/>
      <c r="Y110" s="116"/>
      <c r="Z110" s="32"/>
      <c r="AB110" s="32"/>
      <c r="AC110" s="32"/>
    </row>
    <row r="111" spans="1:29" ht="15" customHeight="1">
      <c r="A111" s="228">
        <v>20</v>
      </c>
      <c r="B111" s="75" t="s">
        <v>240</v>
      </c>
      <c r="Y111" s="116"/>
      <c r="Z111" s="32"/>
      <c r="AB111" s="32"/>
      <c r="AC111" s="32"/>
    </row>
    <row r="112" spans="1:29" ht="15" customHeight="1">
      <c r="A112" s="228">
        <v>20</v>
      </c>
      <c r="B112" s="75" t="s">
        <v>241</v>
      </c>
      <c r="Y112" s="116"/>
      <c r="Z112" s="32"/>
      <c r="AB112" s="32"/>
      <c r="AC112" s="32"/>
    </row>
    <row r="113" spans="1:29" ht="15" customHeight="1">
      <c r="A113" s="228">
        <v>20</v>
      </c>
      <c r="B113" s="75" t="s">
        <v>242</v>
      </c>
      <c r="C113" s="2"/>
      <c r="D113" s="2"/>
      <c r="E113" s="2"/>
      <c r="F113" s="2"/>
      <c r="G113" s="2"/>
      <c r="H113" s="2"/>
      <c r="I113" s="2"/>
      <c r="J113" s="2"/>
      <c r="Y113" s="116"/>
      <c r="Z113" s="32"/>
      <c r="AB113" s="32"/>
      <c r="AC113" s="32"/>
    </row>
    <row r="114" spans="1:29" ht="15" customHeight="1">
      <c r="A114" s="229">
        <v>21</v>
      </c>
      <c r="B114" s="74" t="s">
        <v>221</v>
      </c>
      <c r="C114" s="234">
        <v>3307.34</v>
      </c>
      <c r="D114" s="234">
        <v>3285.93</v>
      </c>
      <c r="E114" s="234">
        <v>3243.12</v>
      </c>
      <c r="F114" s="234">
        <v>3071.87</v>
      </c>
      <c r="G114" s="234">
        <v>2568.81</v>
      </c>
      <c r="H114" s="234">
        <v>2065.75</v>
      </c>
      <c r="I114" s="234">
        <v>1530.58</v>
      </c>
      <c r="J114" s="235">
        <v>1081.04</v>
      </c>
      <c r="K114" s="2"/>
      <c r="Y114" s="116"/>
      <c r="AC114" s="32"/>
    </row>
    <row r="115" spans="1:29" ht="15" customHeight="1">
      <c r="A115" s="228">
        <v>21</v>
      </c>
      <c r="B115" s="75" t="s">
        <v>222</v>
      </c>
      <c r="C115" s="2">
        <v>3050.46</v>
      </c>
      <c r="D115" s="2">
        <v>2964.83</v>
      </c>
      <c r="E115" s="2">
        <v>2814.98</v>
      </c>
      <c r="F115" s="2">
        <v>2579.5100000000002</v>
      </c>
      <c r="G115" s="2">
        <v>2162.08</v>
      </c>
      <c r="H115" s="2">
        <v>1691.13</v>
      </c>
      <c r="I115" s="2">
        <v>1166.67</v>
      </c>
      <c r="J115" s="236">
        <v>781.35</v>
      </c>
      <c r="K115" s="2"/>
      <c r="Y115" s="116"/>
      <c r="AC115" s="32"/>
    </row>
    <row r="116" spans="1:29" ht="15" customHeight="1">
      <c r="A116" s="228">
        <v>21</v>
      </c>
      <c r="B116" s="75" t="s">
        <v>223</v>
      </c>
      <c r="C116" s="2">
        <v>2868.5</v>
      </c>
      <c r="D116" s="2">
        <v>2707.95</v>
      </c>
      <c r="E116" s="2">
        <v>2440.37</v>
      </c>
      <c r="F116" s="2">
        <v>2172.7800000000002</v>
      </c>
      <c r="G116" s="2">
        <v>1840.98</v>
      </c>
      <c r="H116" s="2">
        <v>1466.36</v>
      </c>
      <c r="I116" s="2">
        <v>974.01</v>
      </c>
      <c r="J116" s="236">
        <v>642.20000000000005</v>
      </c>
      <c r="K116" s="2"/>
      <c r="Y116" s="116"/>
      <c r="AC116" s="32"/>
    </row>
    <row r="117" spans="1:29" ht="15" customHeight="1">
      <c r="A117" s="228">
        <v>21</v>
      </c>
      <c r="B117" s="75" t="s">
        <v>224</v>
      </c>
      <c r="C117" s="2">
        <v>2707.95</v>
      </c>
      <c r="D117" s="2">
        <v>2504.59</v>
      </c>
      <c r="E117" s="2">
        <v>2076.4499999999998</v>
      </c>
      <c r="F117" s="2">
        <v>1755.35</v>
      </c>
      <c r="G117" s="2">
        <v>1477.06</v>
      </c>
      <c r="H117" s="2">
        <v>1188.07</v>
      </c>
      <c r="I117" s="2">
        <v>856.27</v>
      </c>
      <c r="J117" s="236">
        <v>545.87</v>
      </c>
      <c r="K117" s="2"/>
      <c r="Y117" s="116"/>
      <c r="AC117" s="32"/>
    </row>
    <row r="118" spans="1:29" ht="15" customHeight="1">
      <c r="A118" s="228">
        <v>21</v>
      </c>
      <c r="B118" s="75" t="s">
        <v>229</v>
      </c>
      <c r="C118" s="2">
        <v>3000</v>
      </c>
      <c r="D118" s="2">
        <v>3000</v>
      </c>
      <c r="E118" s="2">
        <v>2964.29</v>
      </c>
      <c r="F118" s="2">
        <v>2797.62</v>
      </c>
      <c r="G118" s="2">
        <v>2380.9499999999998</v>
      </c>
      <c r="H118" s="2">
        <v>1964.29</v>
      </c>
      <c r="I118" s="2">
        <v>1392.86</v>
      </c>
      <c r="J118" s="236">
        <v>892.86</v>
      </c>
      <c r="K118" s="2"/>
      <c r="Y118" s="116"/>
      <c r="AC118" s="32"/>
    </row>
    <row r="119" spans="1:29" ht="15" customHeight="1">
      <c r="A119" s="228">
        <v>21</v>
      </c>
      <c r="B119" s="75" t="s">
        <v>243</v>
      </c>
      <c r="C119" s="2">
        <v>3702.38</v>
      </c>
      <c r="D119" s="2">
        <v>3619.05</v>
      </c>
      <c r="E119" s="2">
        <v>3380.95</v>
      </c>
      <c r="F119" s="2">
        <v>3095.24</v>
      </c>
      <c r="G119" s="2">
        <v>2583.33</v>
      </c>
      <c r="H119" s="2">
        <v>2154.7600000000002</v>
      </c>
      <c r="I119" s="2">
        <v>1511.9</v>
      </c>
      <c r="J119" s="236">
        <v>1000</v>
      </c>
      <c r="K119" s="2"/>
      <c r="Y119" s="116"/>
      <c r="AC119" s="32"/>
    </row>
    <row r="120" spans="1:29" ht="15" customHeight="1">
      <c r="A120" s="228">
        <v>21</v>
      </c>
      <c r="B120" s="75" t="s">
        <v>244</v>
      </c>
      <c r="C120" s="2">
        <v>3130.95</v>
      </c>
      <c r="D120" s="2">
        <v>2940.48</v>
      </c>
      <c r="E120" s="2">
        <v>2559.52</v>
      </c>
      <c r="F120" s="2">
        <v>2333.33</v>
      </c>
      <c r="G120" s="2">
        <v>1952.38</v>
      </c>
      <c r="H120" s="2">
        <v>1619.05</v>
      </c>
      <c r="I120" s="2">
        <v>1130.95</v>
      </c>
      <c r="J120" s="236">
        <v>738.1</v>
      </c>
      <c r="K120" s="2"/>
      <c r="Y120" s="116"/>
      <c r="AC120" s="32"/>
    </row>
    <row r="121" spans="1:29" ht="15" customHeight="1">
      <c r="A121" s="230">
        <v>21</v>
      </c>
      <c r="B121" s="231" t="s">
        <v>245</v>
      </c>
      <c r="C121" s="34">
        <v>2642.86</v>
      </c>
      <c r="D121" s="34">
        <v>2440.48</v>
      </c>
      <c r="E121" s="34">
        <v>1940.48</v>
      </c>
      <c r="F121" s="34">
        <v>1666.67</v>
      </c>
      <c r="G121" s="34">
        <v>1476.19</v>
      </c>
      <c r="H121" s="34">
        <v>1297.6199999999999</v>
      </c>
      <c r="I121" s="34">
        <v>964.29</v>
      </c>
      <c r="J121" s="237">
        <v>642.86</v>
      </c>
      <c r="K121" s="2"/>
      <c r="Y121" s="116"/>
      <c r="AC121" s="32"/>
    </row>
    <row r="122" spans="1:29" ht="15" customHeight="1">
      <c r="A122" s="228">
        <v>21</v>
      </c>
      <c r="B122" s="75" t="s">
        <v>225</v>
      </c>
      <c r="C122" s="2"/>
      <c r="D122" s="2"/>
      <c r="E122" s="2"/>
      <c r="F122" s="2"/>
      <c r="G122" s="2"/>
      <c r="H122" s="2"/>
      <c r="I122" s="2"/>
      <c r="J122" s="2"/>
      <c r="Y122" s="116"/>
      <c r="AC122" s="32"/>
    </row>
    <row r="123" spans="1:29" ht="15" customHeight="1">
      <c r="A123" s="228">
        <v>21</v>
      </c>
      <c r="B123" s="75" t="s">
        <v>226</v>
      </c>
    </row>
    <row r="124" spans="1:29" ht="15" customHeight="1">
      <c r="A124" s="228">
        <v>21</v>
      </c>
      <c r="B124" s="75" t="s">
        <v>227</v>
      </c>
      <c r="AC124" s="32"/>
    </row>
    <row r="125" spans="1:29" ht="15" customHeight="1">
      <c r="A125" s="228">
        <v>21</v>
      </c>
      <c r="B125" s="75" t="s">
        <v>228</v>
      </c>
      <c r="AC125" s="32"/>
    </row>
    <row r="126" spans="1:29" ht="15" customHeight="1">
      <c r="A126" s="228">
        <v>21</v>
      </c>
      <c r="B126" s="75" t="s">
        <v>230</v>
      </c>
      <c r="AC126" s="32"/>
    </row>
    <row r="127" spans="1:29" ht="15" customHeight="1">
      <c r="A127" s="228">
        <v>21</v>
      </c>
      <c r="B127" s="75" t="s">
        <v>246</v>
      </c>
      <c r="AC127" s="32"/>
    </row>
    <row r="128" spans="1:29" ht="15" customHeight="1">
      <c r="A128" s="228">
        <v>21</v>
      </c>
      <c r="B128" s="75" t="s">
        <v>247</v>
      </c>
      <c r="AC128" s="32"/>
    </row>
    <row r="129" spans="1:65" ht="15" customHeight="1">
      <c r="A129" s="230">
        <v>21</v>
      </c>
      <c r="B129" s="231" t="s">
        <v>248</v>
      </c>
      <c r="AC129" s="32"/>
    </row>
    <row r="130" spans="1:65" ht="15" customHeight="1">
      <c r="A130" s="228">
        <v>22</v>
      </c>
      <c r="B130" s="75">
        <v>1</v>
      </c>
      <c r="AC130" s="32"/>
    </row>
    <row r="131" spans="1:65" ht="15" customHeight="1">
      <c r="A131" s="228">
        <v>22</v>
      </c>
      <c r="B131" s="75">
        <v>2</v>
      </c>
      <c r="AC131" s="32"/>
    </row>
    <row r="132" spans="1:65" ht="15" customHeight="1">
      <c r="A132" s="228">
        <v>22</v>
      </c>
      <c r="B132" s="75">
        <v>3</v>
      </c>
    </row>
    <row r="133" spans="1:65" ht="15" customHeight="1">
      <c r="A133" s="228">
        <v>22</v>
      </c>
      <c r="B133" s="75">
        <v>4</v>
      </c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Y133" s="32"/>
      <c r="AZ133" s="32"/>
      <c r="BA133" s="32"/>
      <c r="BB133" s="32"/>
      <c r="BC133" s="32"/>
      <c r="BD133" s="32"/>
      <c r="BE133" s="32"/>
      <c r="BF133" s="32"/>
      <c r="BG133" s="32"/>
      <c r="BH133" s="32"/>
      <c r="BJ133" s="32"/>
      <c r="BK133" s="32"/>
      <c r="BL133" s="32"/>
      <c r="BM133" s="32"/>
    </row>
    <row r="134" spans="1:65" ht="15" customHeight="1">
      <c r="A134" s="228">
        <v>22</v>
      </c>
      <c r="B134" s="75">
        <v>5</v>
      </c>
      <c r="AB134" s="160"/>
    </row>
    <row r="135" spans="1:65" ht="15" customHeight="1">
      <c r="A135" s="228">
        <v>22</v>
      </c>
      <c r="B135" s="75">
        <v>6</v>
      </c>
    </row>
    <row r="136" spans="1:65" ht="15" customHeight="1">
      <c r="A136" s="228">
        <v>22</v>
      </c>
      <c r="B136" s="75">
        <v>7</v>
      </c>
    </row>
    <row r="137" spans="1:65" ht="15" customHeight="1">
      <c r="A137" s="228">
        <v>22</v>
      </c>
      <c r="B137" s="75">
        <v>8</v>
      </c>
      <c r="C137" s="2"/>
      <c r="D137" s="2"/>
      <c r="E137" s="2"/>
      <c r="F137" s="2"/>
      <c r="G137" s="2"/>
      <c r="H137" s="2"/>
      <c r="I137" s="2"/>
      <c r="J137" s="2"/>
      <c r="K137" s="2"/>
    </row>
    <row r="138" spans="1:65" ht="15" customHeight="1">
      <c r="A138" s="229">
        <v>23</v>
      </c>
      <c r="B138" s="74">
        <v>1</v>
      </c>
      <c r="C138" s="234">
        <v>3.99</v>
      </c>
      <c r="D138" s="234">
        <v>3.78</v>
      </c>
      <c r="E138" s="234">
        <v>3.24</v>
      </c>
      <c r="F138" s="234">
        <v>2.77</v>
      </c>
      <c r="G138" s="234">
        <v>2.06</v>
      </c>
      <c r="H138" s="234">
        <v>1.37</v>
      </c>
      <c r="I138" s="234">
        <v>1</v>
      </c>
      <c r="J138" s="234">
        <v>0.56999999999999995</v>
      </c>
      <c r="K138" s="235">
        <v>0.34</v>
      </c>
      <c r="L138" s="2"/>
    </row>
    <row r="139" spans="1:65" ht="15" customHeight="1">
      <c r="A139" s="228">
        <v>23</v>
      </c>
      <c r="B139" s="75">
        <v>2</v>
      </c>
      <c r="C139" s="2">
        <v>5.05</v>
      </c>
      <c r="D139" s="2">
        <v>4.6100000000000003</v>
      </c>
      <c r="E139" s="2">
        <v>3.82</v>
      </c>
      <c r="F139" s="2">
        <v>3.26</v>
      </c>
      <c r="G139" s="2">
        <v>2.5</v>
      </c>
      <c r="H139" s="2">
        <v>1.81</v>
      </c>
      <c r="I139" s="2">
        <v>1.28</v>
      </c>
      <c r="J139" s="2">
        <v>0.84</v>
      </c>
      <c r="K139" s="236">
        <v>0.59</v>
      </c>
      <c r="L139" s="2"/>
    </row>
    <row r="140" spans="1:65" ht="15" customHeight="1">
      <c r="A140" s="228">
        <v>23</v>
      </c>
      <c r="B140" s="75">
        <v>3</v>
      </c>
      <c r="C140" s="2">
        <v>7.45</v>
      </c>
      <c r="D140" s="2">
        <v>6.79</v>
      </c>
      <c r="E140" s="2">
        <v>5.32</v>
      </c>
      <c r="F140" s="2">
        <v>4.16</v>
      </c>
      <c r="G140" s="2">
        <v>3.13</v>
      </c>
      <c r="H140" s="2">
        <v>2.09</v>
      </c>
      <c r="I140" s="2">
        <v>1.64</v>
      </c>
      <c r="J140" s="2">
        <v>1.18</v>
      </c>
      <c r="K140" s="236">
        <v>0.86</v>
      </c>
      <c r="L140" s="2"/>
    </row>
    <row r="141" spans="1:65" ht="15" customHeight="1">
      <c r="A141" s="228">
        <v>23</v>
      </c>
      <c r="B141" s="75">
        <v>4</v>
      </c>
      <c r="C141" s="2">
        <v>8.4</v>
      </c>
      <c r="D141" s="2">
        <v>7.75</v>
      </c>
      <c r="E141" s="2">
        <v>6.28</v>
      </c>
      <c r="F141" s="2">
        <v>5.07</v>
      </c>
      <c r="G141" s="2">
        <v>3.51</v>
      </c>
      <c r="H141" s="2">
        <v>2.4500000000000002</v>
      </c>
      <c r="I141" s="2">
        <v>1.98</v>
      </c>
      <c r="J141" s="2">
        <v>1.4</v>
      </c>
      <c r="K141" s="236">
        <v>1.03</v>
      </c>
      <c r="L141" s="2"/>
    </row>
    <row r="142" spans="1:65" ht="15" customHeight="1">
      <c r="A142" s="228">
        <v>23</v>
      </c>
      <c r="B142" s="75">
        <v>5</v>
      </c>
      <c r="C142" s="2">
        <v>5.95</v>
      </c>
      <c r="D142" s="2">
        <v>5.63</v>
      </c>
      <c r="E142" s="2">
        <v>4.66</v>
      </c>
      <c r="F142" s="2">
        <v>3.85</v>
      </c>
      <c r="G142" s="2">
        <v>2.94</v>
      </c>
      <c r="H142" s="2">
        <v>1.96</v>
      </c>
      <c r="I142" s="2">
        <v>1.47</v>
      </c>
      <c r="J142" s="2">
        <v>1.03</v>
      </c>
      <c r="K142" s="236">
        <v>0.73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65" ht="15" customHeight="1">
      <c r="A143" s="309">
        <v>24</v>
      </c>
      <c r="B143" s="310">
        <v>1</v>
      </c>
      <c r="C143" s="234">
        <v>0.09</v>
      </c>
      <c r="D143" s="234">
        <v>0.11</v>
      </c>
      <c r="E143" s="234">
        <v>0.12</v>
      </c>
      <c r="F143" s="234">
        <v>0.14000000000000001</v>
      </c>
      <c r="G143" s="234">
        <v>0.15</v>
      </c>
      <c r="H143" s="234">
        <v>0.16</v>
      </c>
      <c r="I143" s="234">
        <v>0.19</v>
      </c>
      <c r="J143" s="234">
        <v>0.24</v>
      </c>
      <c r="K143" s="234">
        <v>0.28000000000000003</v>
      </c>
      <c r="L143" s="234">
        <v>0.34</v>
      </c>
      <c r="M143" s="234">
        <v>0.41</v>
      </c>
      <c r="N143" s="234">
        <v>0.53</v>
      </c>
      <c r="O143" s="234">
        <v>0.55000000000000004</v>
      </c>
      <c r="P143" s="234">
        <v>0.67</v>
      </c>
      <c r="Q143" s="234">
        <v>0.89</v>
      </c>
      <c r="R143" s="234">
        <v>1.22</v>
      </c>
      <c r="S143" s="234">
        <v>1.55</v>
      </c>
      <c r="T143" s="234">
        <v>2.5099999999999998</v>
      </c>
      <c r="U143" s="234">
        <v>3.75</v>
      </c>
      <c r="V143" s="234">
        <v>5.38</v>
      </c>
      <c r="W143" s="234">
        <v>8.02</v>
      </c>
      <c r="X143" s="234">
        <v>12.46</v>
      </c>
      <c r="Y143" s="234">
        <v>17.170000000000002</v>
      </c>
      <c r="Z143" s="234">
        <v>25.63</v>
      </c>
      <c r="AA143" s="234">
        <v>36.75</v>
      </c>
      <c r="AB143" s="234">
        <v>54.84</v>
      </c>
      <c r="AC143" s="234">
        <v>75.55</v>
      </c>
      <c r="AD143" s="234">
        <v>92.3</v>
      </c>
      <c r="AE143" s="234">
        <v>137.76</v>
      </c>
      <c r="AF143" s="234">
        <v>189.78</v>
      </c>
      <c r="AG143" s="234">
        <v>251.19</v>
      </c>
      <c r="AH143" s="234">
        <v>306.87</v>
      </c>
      <c r="AI143" s="234">
        <v>422.75</v>
      </c>
      <c r="AJ143" s="235">
        <v>537.57000000000005</v>
      </c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</row>
    <row r="144" spans="1:65" ht="15" customHeight="1">
      <c r="A144" s="238">
        <v>24</v>
      </c>
      <c r="B144" s="239">
        <v>2</v>
      </c>
      <c r="C144" s="2">
        <v>9.42</v>
      </c>
      <c r="D144" s="2">
        <v>10.199999999999999</v>
      </c>
      <c r="E144" s="2">
        <v>11.05</v>
      </c>
      <c r="F144" s="2">
        <v>11.5</v>
      </c>
      <c r="G144" s="2">
        <v>11.97</v>
      </c>
      <c r="H144" s="2">
        <v>12.97</v>
      </c>
      <c r="I144" s="2">
        <v>14.05</v>
      </c>
      <c r="J144" s="2">
        <v>14.63</v>
      </c>
      <c r="K144" s="2">
        <v>17.170000000000002</v>
      </c>
      <c r="L144" s="2">
        <v>20.149999999999999</v>
      </c>
      <c r="M144" s="2">
        <v>20.98</v>
      </c>
      <c r="N144" s="2">
        <v>23.65</v>
      </c>
      <c r="O144" s="2">
        <v>26.67</v>
      </c>
      <c r="P144" s="2">
        <v>27.76</v>
      </c>
      <c r="Q144" s="2">
        <v>31.31</v>
      </c>
      <c r="R144" s="2">
        <v>33.92</v>
      </c>
      <c r="S144" s="2">
        <v>38.25</v>
      </c>
      <c r="T144" s="2">
        <v>41.44</v>
      </c>
      <c r="U144" s="2">
        <v>48.64</v>
      </c>
      <c r="V144" s="2">
        <v>52.69</v>
      </c>
      <c r="W144" s="2">
        <v>61.84</v>
      </c>
      <c r="X144" s="2">
        <v>64.37</v>
      </c>
      <c r="Y144" s="2">
        <v>75.55</v>
      </c>
      <c r="Z144" s="2">
        <v>100</v>
      </c>
      <c r="AA144" s="2">
        <v>108.34</v>
      </c>
      <c r="AB144" s="2">
        <v>117.37</v>
      </c>
      <c r="AC144" s="2">
        <v>137.76</v>
      </c>
      <c r="AD144" s="2">
        <v>168.3</v>
      </c>
      <c r="AE144" s="2">
        <v>189.78</v>
      </c>
      <c r="AF144" s="2">
        <v>261.45</v>
      </c>
      <c r="AG144" s="2">
        <v>319.41000000000003</v>
      </c>
      <c r="AH144" s="2">
        <v>374.9</v>
      </c>
      <c r="AI144" s="2">
        <v>537.57000000000005</v>
      </c>
      <c r="AJ144" s="236">
        <v>683.57</v>
      </c>
      <c r="AK144" s="2"/>
    </row>
    <row r="145" spans="1:65" ht="15" customHeight="1">
      <c r="A145" s="238">
        <v>24</v>
      </c>
      <c r="B145" s="239">
        <v>3</v>
      </c>
      <c r="C145" s="2">
        <v>78.64</v>
      </c>
      <c r="D145" s="2">
        <v>75.55</v>
      </c>
      <c r="E145" s="2">
        <v>75.55</v>
      </c>
      <c r="F145" s="2">
        <v>72.59</v>
      </c>
      <c r="G145" s="2">
        <v>75.55</v>
      </c>
      <c r="H145" s="2">
        <v>81.849999999999994</v>
      </c>
      <c r="I145" s="2">
        <v>78.64</v>
      </c>
      <c r="J145" s="2">
        <v>75.55</v>
      </c>
      <c r="K145" s="2">
        <v>85.2</v>
      </c>
      <c r="L145" s="2">
        <v>88.68</v>
      </c>
      <c r="M145" s="2">
        <v>92.3</v>
      </c>
      <c r="N145" s="2">
        <v>92.3</v>
      </c>
      <c r="O145" s="2">
        <v>88.68</v>
      </c>
      <c r="P145" s="2">
        <v>92.3</v>
      </c>
      <c r="Q145" s="2">
        <v>104.09</v>
      </c>
      <c r="R145" s="2">
        <v>108.34</v>
      </c>
      <c r="S145" s="2">
        <v>112.76</v>
      </c>
      <c r="T145" s="2">
        <v>122.17</v>
      </c>
      <c r="U145" s="2">
        <v>127.16</v>
      </c>
      <c r="V145" s="2">
        <v>137.76</v>
      </c>
      <c r="W145" s="2">
        <v>143.38999999999999</v>
      </c>
      <c r="X145" s="2">
        <v>149.25</v>
      </c>
      <c r="Y145" s="2">
        <v>168.3</v>
      </c>
      <c r="Z145" s="2">
        <v>189.78</v>
      </c>
      <c r="AA145" s="2">
        <v>205.61</v>
      </c>
      <c r="AB145" s="2">
        <v>214.01</v>
      </c>
      <c r="AC145" s="2">
        <v>251.19</v>
      </c>
      <c r="AD145" s="2">
        <v>294.83</v>
      </c>
      <c r="AE145" s="2">
        <v>332.46</v>
      </c>
      <c r="AF145" s="2">
        <v>390.22</v>
      </c>
      <c r="AG145" s="2">
        <v>440.03</v>
      </c>
      <c r="AH145" s="2">
        <v>476.72</v>
      </c>
      <c r="AI145" s="2">
        <v>683.57</v>
      </c>
      <c r="AJ145" s="236">
        <v>941.7</v>
      </c>
      <c r="AK145" s="2"/>
    </row>
    <row r="146" spans="1:65" ht="15" customHeight="1">
      <c r="A146" s="238">
        <v>24</v>
      </c>
      <c r="B146" s="239">
        <v>4</v>
      </c>
      <c r="C146" s="2">
        <v>205.61</v>
      </c>
      <c r="D146" s="2">
        <v>205.61</v>
      </c>
      <c r="E146" s="2">
        <v>197.54</v>
      </c>
      <c r="F146" s="2">
        <v>197.54</v>
      </c>
      <c r="G146" s="2">
        <v>214.01</v>
      </c>
      <c r="H146" s="2">
        <v>214.01</v>
      </c>
      <c r="I146" s="2">
        <v>214.01</v>
      </c>
      <c r="J146" s="2">
        <v>205.61</v>
      </c>
      <c r="K146" s="2">
        <v>222.75</v>
      </c>
      <c r="L146" s="2">
        <v>222.75</v>
      </c>
      <c r="M146" s="2">
        <v>241.33</v>
      </c>
      <c r="N146" s="2">
        <v>241.33</v>
      </c>
      <c r="O146" s="2">
        <v>261.45</v>
      </c>
      <c r="P146" s="2">
        <v>261.45</v>
      </c>
      <c r="Q146" s="2">
        <v>283.25</v>
      </c>
      <c r="R146" s="2">
        <v>294.83</v>
      </c>
      <c r="S146" s="2">
        <v>332.46</v>
      </c>
      <c r="T146" s="2">
        <v>360.18</v>
      </c>
      <c r="U146" s="2">
        <v>360.18</v>
      </c>
      <c r="V146" s="2">
        <v>406.16</v>
      </c>
      <c r="W146" s="2">
        <v>476.72</v>
      </c>
      <c r="X146" s="2">
        <v>516.47</v>
      </c>
      <c r="Y146" s="2">
        <v>537.57000000000005</v>
      </c>
      <c r="Z146" s="2">
        <v>582.39</v>
      </c>
      <c r="AA146" s="2">
        <v>683.57</v>
      </c>
      <c r="AB146" s="2">
        <v>740.57</v>
      </c>
      <c r="AC146" s="2">
        <v>835.1</v>
      </c>
      <c r="AD146" s="2">
        <v>941.7</v>
      </c>
      <c r="AE146" s="2">
        <v>1061.9100000000001</v>
      </c>
      <c r="AF146" s="2">
        <v>1246.3800000000001</v>
      </c>
      <c r="AG146" s="2">
        <v>1405.48</v>
      </c>
      <c r="AH146" s="2">
        <v>1860.22</v>
      </c>
      <c r="AI146" s="2">
        <v>2015.34</v>
      </c>
      <c r="AJ146" s="236">
        <v>2272.59</v>
      </c>
      <c r="AK146" s="2"/>
    </row>
    <row r="147" spans="1:65" ht="15" customHeight="1">
      <c r="A147" s="238">
        <v>24</v>
      </c>
      <c r="B147" s="239">
        <v>5</v>
      </c>
      <c r="C147" s="2">
        <v>802.32</v>
      </c>
      <c r="D147" s="2">
        <v>869.22</v>
      </c>
      <c r="E147" s="2">
        <v>869.22</v>
      </c>
      <c r="F147" s="2">
        <v>869.22</v>
      </c>
      <c r="G147" s="2">
        <v>802.32</v>
      </c>
      <c r="H147" s="2">
        <v>835.1</v>
      </c>
      <c r="I147" s="2">
        <v>869.22</v>
      </c>
      <c r="J147" s="2">
        <v>869.22</v>
      </c>
      <c r="K147" s="2">
        <v>869.22</v>
      </c>
      <c r="L147" s="2">
        <v>802.32</v>
      </c>
      <c r="M147" s="2">
        <v>869.22</v>
      </c>
      <c r="N147" s="2">
        <v>904.74</v>
      </c>
      <c r="O147" s="2">
        <v>941.7</v>
      </c>
      <c r="P147" s="2">
        <v>941.7</v>
      </c>
      <c r="Q147" s="2">
        <v>941.7</v>
      </c>
      <c r="R147" s="2">
        <v>904.74</v>
      </c>
      <c r="S147" s="2">
        <v>904.74</v>
      </c>
      <c r="T147" s="2">
        <v>980.18</v>
      </c>
      <c r="U147" s="2">
        <v>980.18</v>
      </c>
      <c r="V147" s="2">
        <v>1061.9100000000001</v>
      </c>
      <c r="W147" s="2">
        <v>1105.3</v>
      </c>
      <c r="X147" s="2">
        <v>1105.3</v>
      </c>
      <c r="Y147" s="2">
        <v>1197.46</v>
      </c>
      <c r="Z147" s="2">
        <v>1246.3800000000001</v>
      </c>
      <c r="AA147" s="2">
        <v>1405.48</v>
      </c>
      <c r="AB147" s="2">
        <v>1462.91</v>
      </c>
      <c r="AC147" s="2">
        <v>1584.89</v>
      </c>
      <c r="AD147" s="2">
        <v>1787.2</v>
      </c>
      <c r="AE147" s="2">
        <v>2015.34</v>
      </c>
      <c r="AF147" s="2">
        <v>2365.4499999999998</v>
      </c>
      <c r="AG147" s="2">
        <v>2365.4499999999998</v>
      </c>
      <c r="AH147" s="2">
        <v>2889.81</v>
      </c>
      <c r="AI147" s="2">
        <v>2889.81</v>
      </c>
      <c r="AJ147" s="236">
        <v>3391.84</v>
      </c>
      <c r="AK147" s="2"/>
    </row>
    <row r="148" spans="1:65" ht="15" customHeight="1">
      <c r="A148" s="238">
        <v>24</v>
      </c>
      <c r="B148" s="239">
        <v>6</v>
      </c>
      <c r="C148" s="2">
        <v>2097.6799999999998</v>
      </c>
      <c r="D148" s="2">
        <v>2183.39</v>
      </c>
      <c r="E148" s="2">
        <v>2183.39</v>
      </c>
      <c r="F148" s="2">
        <v>2272.59</v>
      </c>
      <c r="G148" s="2">
        <v>2183.39</v>
      </c>
      <c r="H148" s="2">
        <v>2183.39</v>
      </c>
      <c r="I148" s="2">
        <v>2097.6799999999998</v>
      </c>
      <c r="J148" s="2">
        <v>2183.39</v>
      </c>
      <c r="K148" s="2">
        <v>2183.39</v>
      </c>
      <c r="L148" s="2">
        <v>2015.34</v>
      </c>
      <c r="M148" s="2">
        <v>2015.34</v>
      </c>
      <c r="N148" s="2">
        <v>2015.34</v>
      </c>
      <c r="O148" s="2">
        <v>2015.34</v>
      </c>
      <c r="P148" s="2">
        <v>2183.39</v>
      </c>
      <c r="Q148" s="2">
        <v>2183.39</v>
      </c>
      <c r="R148" s="2">
        <v>2365.4499999999998</v>
      </c>
      <c r="S148" s="2">
        <v>2272.59</v>
      </c>
      <c r="T148" s="2">
        <v>2272.59</v>
      </c>
      <c r="U148" s="2">
        <v>2015.34</v>
      </c>
      <c r="V148" s="2">
        <v>2365.4499999999998</v>
      </c>
      <c r="W148" s="2">
        <v>2365.4499999999998</v>
      </c>
      <c r="X148" s="2">
        <v>2462.09</v>
      </c>
      <c r="Y148" s="2">
        <v>2462.09</v>
      </c>
      <c r="Z148" s="2">
        <v>2462.09</v>
      </c>
      <c r="AA148" s="2">
        <v>2667.39</v>
      </c>
      <c r="AB148" s="2">
        <v>2889.81</v>
      </c>
      <c r="AC148" s="2">
        <v>3130.78</v>
      </c>
      <c r="AD148" s="2">
        <v>3130.78</v>
      </c>
      <c r="AE148" s="2">
        <v>3130.78</v>
      </c>
      <c r="AF148" s="2">
        <v>3530.42</v>
      </c>
      <c r="AG148" s="2">
        <v>3824.8</v>
      </c>
      <c r="AH148" s="2">
        <v>4313.03</v>
      </c>
      <c r="AI148" s="2">
        <v>4672.67</v>
      </c>
      <c r="AJ148" s="236">
        <v>4863.59</v>
      </c>
      <c r="AK148" s="2"/>
    </row>
    <row r="149" spans="1:65" ht="15" customHeight="1">
      <c r="A149" s="311">
        <v>24</v>
      </c>
      <c r="B149" s="312">
        <v>7</v>
      </c>
      <c r="C149" s="34">
        <v>9607.4599999999991</v>
      </c>
      <c r="D149" s="34">
        <v>9607.4599999999991</v>
      </c>
      <c r="E149" s="34">
        <v>9230.33</v>
      </c>
      <c r="F149" s="34">
        <v>9230.33</v>
      </c>
      <c r="G149" s="34">
        <v>8519.91</v>
      </c>
      <c r="H149" s="34">
        <v>9607.4599999999991</v>
      </c>
      <c r="I149" s="34">
        <v>9230.33</v>
      </c>
      <c r="J149" s="34">
        <v>9230.33</v>
      </c>
      <c r="K149" s="34">
        <v>8868.01</v>
      </c>
      <c r="L149" s="34">
        <v>9230.33</v>
      </c>
      <c r="M149" s="34">
        <v>9230.33</v>
      </c>
      <c r="N149" s="34">
        <v>9607.4599999999991</v>
      </c>
      <c r="O149" s="34">
        <v>9607.4599999999991</v>
      </c>
      <c r="P149" s="34">
        <v>9607.4599999999991</v>
      </c>
      <c r="Q149" s="34">
        <v>9607.4599999999991</v>
      </c>
      <c r="R149" s="34">
        <v>10000</v>
      </c>
      <c r="S149" s="34">
        <v>10000</v>
      </c>
      <c r="T149" s="34">
        <v>9607.4599999999991</v>
      </c>
      <c r="U149" s="34">
        <v>9607.4599999999991</v>
      </c>
      <c r="V149" s="34">
        <v>9607.4599999999991</v>
      </c>
      <c r="W149" s="34">
        <v>10000</v>
      </c>
      <c r="X149" s="34">
        <v>10000</v>
      </c>
      <c r="Y149" s="34">
        <v>10000</v>
      </c>
      <c r="Z149" s="34">
        <v>10408.58</v>
      </c>
      <c r="AA149" s="34">
        <v>10408.58</v>
      </c>
      <c r="AB149" s="34">
        <v>10408.58</v>
      </c>
      <c r="AC149" s="34">
        <v>10833.84</v>
      </c>
      <c r="AD149" s="34">
        <v>10833.84</v>
      </c>
      <c r="AE149" s="34">
        <v>10833.84</v>
      </c>
      <c r="AF149" s="34">
        <v>11276.49</v>
      </c>
      <c r="AG149" s="34">
        <v>11737.22</v>
      </c>
      <c r="AH149" s="34">
        <v>12715.92</v>
      </c>
      <c r="AI149" s="34">
        <v>12715.92</v>
      </c>
      <c r="AJ149" s="237">
        <v>12715.92</v>
      </c>
      <c r="AK149" s="2"/>
    </row>
    <row r="150" spans="1:65" ht="15" customHeight="1">
      <c r="A150" s="228">
        <v>25</v>
      </c>
      <c r="B150" s="75">
        <v>1</v>
      </c>
      <c r="C150" s="22">
        <v>1365.74</v>
      </c>
      <c r="D150" s="22">
        <v>1333.33</v>
      </c>
      <c r="E150" s="22">
        <v>1194.44</v>
      </c>
      <c r="F150" s="22">
        <v>708.33</v>
      </c>
      <c r="G150" s="22">
        <v>532.41</v>
      </c>
      <c r="H150" s="22">
        <v>263.89</v>
      </c>
      <c r="I150" s="226">
        <v>120.37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65" ht="15" customHeight="1">
      <c r="A151" s="228">
        <v>25</v>
      </c>
      <c r="B151" s="75">
        <v>2</v>
      </c>
      <c r="C151" s="22">
        <v>1722.22</v>
      </c>
      <c r="D151" s="22">
        <v>1694.44</v>
      </c>
      <c r="E151" s="22">
        <v>1518.52</v>
      </c>
      <c r="F151" s="22">
        <v>907.41</v>
      </c>
      <c r="G151" s="22">
        <v>675.93</v>
      </c>
      <c r="H151" s="22">
        <v>342.59</v>
      </c>
      <c r="I151" s="226">
        <v>162.04</v>
      </c>
      <c r="J151" s="2"/>
    </row>
    <row r="152" spans="1:65" ht="15" customHeight="1">
      <c r="A152" s="228">
        <v>25</v>
      </c>
      <c r="B152" s="75">
        <v>3</v>
      </c>
      <c r="C152" s="22">
        <v>2518.52</v>
      </c>
      <c r="D152" s="22">
        <v>2375</v>
      </c>
      <c r="E152" s="22">
        <v>1962.96</v>
      </c>
      <c r="F152" s="22">
        <v>1189.81</v>
      </c>
      <c r="G152" s="22">
        <v>847.22</v>
      </c>
      <c r="H152" s="22">
        <v>407.41</v>
      </c>
      <c r="I152" s="226">
        <v>189.81</v>
      </c>
      <c r="J152" s="2"/>
    </row>
    <row r="153" spans="1:65" ht="15" customHeight="1">
      <c r="A153" s="230">
        <v>25</v>
      </c>
      <c r="B153" s="231">
        <v>4</v>
      </c>
      <c r="C153" s="30">
        <v>2634.26</v>
      </c>
      <c r="D153" s="30">
        <v>2518.52</v>
      </c>
      <c r="E153" s="30">
        <v>2092.59</v>
      </c>
      <c r="F153" s="30">
        <v>1259.26</v>
      </c>
      <c r="G153" s="30">
        <v>939.81</v>
      </c>
      <c r="H153" s="30">
        <v>472.22</v>
      </c>
      <c r="I153" s="232">
        <v>236.11</v>
      </c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</row>
    <row r="154" spans="1:65" ht="15" customHeight="1">
      <c r="A154" s="228">
        <v>26</v>
      </c>
      <c r="B154" s="200" t="s">
        <v>221</v>
      </c>
      <c r="C154" s="2">
        <v>0.8</v>
      </c>
      <c r="D154" s="8">
        <v>1.264</v>
      </c>
      <c r="E154" s="8">
        <v>2.9220000000000002</v>
      </c>
      <c r="F154" s="8">
        <v>2.9220000000000002</v>
      </c>
      <c r="G154" s="8">
        <v>4.6159999999999997</v>
      </c>
      <c r="H154" s="8">
        <v>7.2930000000000001</v>
      </c>
      <c r="I154" s="8">
        <v>12.433</v>
      </c>
      <c r="J154" s="8">
        <v>20.402999999999999</v>
      </c>
      <c r="K154" s="8">
        <v>42.084000000000003</v>
      </c>
      <c r="L154" s="8">
        <v>66.480999999999995</v>
      </c>
      <c r="M154" s="8">
        <v>117.739</v>
      </c>
      <c r="N154" s="8">
        <v>225.03299999999999</v>
      </c>
      <c r="O154" s="8">
        <v>430.1</v>
      </c>
      <c r="P154" s="8">
        <v>733.24400000000003</v>
      </c>
      <c r="Q154" s="8">
        <v>1298.5989999999999</v>
      </c>
      <c r="R154" s="8">
        <v>2051.4299999999998</v>
      </c>
      <c r="S154" s="8">
        <v>3366.5630000000001</v>
      </c>
      <c r="T154" s="8">
        <v>5524.8029999999999</v>
      </c>
      <c r="U154" s="8">
        <v>2299.864</v>
      </c>
      <c r="V154" s="161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</row>
    <row r="155" spans="1:65" ht="15" customHeight="1">
      <c r="A155" s="228">
        <v>26</v>
      </c>
      <c r="B155" s="201" t="s">
        <v>222</v>
      </c>
      <c r="C155" s="8">
        <v>12.914999999999999</v>
      </c>
      <c r="D155" s="8">
        <v>18.199000000000002</v>
      </c>
      <c r="E155" s="8">
        <v>26.64</v>
      </c>
      <c r="F155" s="8">
        <v>38.996000000000002</v>
      </c>
      <c r="G155" s="8">
        <v>49.012999999999998</v>
      </c>
      <c r="H155" s="8">
        <v>69.063000000000002</v>
      </c>
      <c r="I155" s="8">
        <v>90.174000000000007</v>
      </c>
      <c r="J155" s="8">
        <v>127.063</v>
      </c>
      <c r="K155" s="8">
        <v>179.042</v>
      </c>
      <c r="L155" s="8">
        <v>293.82299999999998</v>
      </c>
      <c r="M155" s="8">
        <v>446.80500000000001</v>
      </c>
      <c r="N155" s="8">
        <v>705.82899999999995</v>
      </c>
      <c r="O155" s="8">
        <v>1203.3119999999999</v>
      </c>
      <c r="P155" s="8">
        <v>1900.902</v>
      </c>
      <c r="Q155" s="8">
        <v>3240.6959999999999</v>
      </c>
      <c r="R155" s="8">
        <v>4743.7619999999997</v>
      </c>
      <c r="S155" s="8">
        <v>7493.8410000000003</v>
      </c>
      <c r="T155" s="8">
        <v>11838.21</v>
      </c>
      <c r="U155" s="8">
        <v>16681.005000000001</v>
      </c>
      <c r="V155" s="64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 spans="1:65" ht="15" customHeight="1">
      <c r="A156" s="228">
        <v>26</v>
      </c>
      <c r="B156" s="201" t="s">
        <v>223</v>
      </c>
      <c r="C156" s="8">
        <v>262.084</v>
      </c>
      <c r="D156" s="8">
        <v>329.40499999999997</v>
      </c>
      <c r="E156" s="8">
        <v>355.49</v>
      </c>
      <c r="F156" s="8">
        <v>430.1</v>
      </c>
      <c r="G156" s="8">
        <v>540.58100000000002</v>
      </c>
      <c r="H156" s="8">
        <v>654.03800000000001</v>
      </c>
      <c r="I156" s="8">
        <v>733.24400000000003</v>
      </c>
      <c r="J156" s="8">
        <v>853.96900000000005</v>
      </c>
      <c r="K156" s="8">
        <v>1203.3119999999999</v>
      </c>
      <c r="L156" s="8">
        <v>1571.1489999999999</v>
      </c>
      <c r="M156" s="8">
        <v>2131.107</v>
      </c>
      <c r="N156" s="8">
        <v>2782.5590000000002</v>
      </c>
      <c r="O156" s="8">
        <v>4073.1379999999999</v>
      </c>
      <c r="P156" s="8">
        <v>5318.2449999999999</v>
      </c>
      <c r="Q156" s="8">
        <v>7784.8990000000003</v>
      </c>
      <c r="R156" s="8">
        <v>10969.558000000001</v>
      </c>
      <c r="S156" s="8">
        <v>16057.346</v>
      </c>
      <c r="T156" s="8">
        <v>20965.875</v>
      </c>
      <c r="U156" s="8">
        <v>29542.631000000001</v>
      </c>
      <c r="V156" s="64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 spans="1:65" ht="15" customHeight="1">
      <c r="A157" s="228">
        <v>26</v>
      </c>
      <c r="B157" s="201" t="s">
        <v>224</v>
      </c>
      <c r="C157" s="8">
        <v>1829.8330000000001</v>
      </c>
      <c r="D157" s="8">
        <v>1974.7329999999999</v>
      </c>
      <c r="E157" s="8">
        <v>2051.4299999999998</v>
      </c>
      <c r="F157" s="8">
        <v>2213.8780000000002</v>
      </c>
      <c r="G157" s="8">
        <v>2890.6329999999998</v>
      </c>
      <c r="H157" s="8">
        <v>3497.319</v>
      </c>
      <c r="I157" s="8">
        <v>4231.3360000000002</v>
      </c>
      <c r="J157" s="8">
        <v>4928.0079999999998</v>
      </c>
      <c r="K157" s="8">
        <v>5962.2979999999998</v>
      </c>
      <c r="L157" s="8">
        <v>7493.8410000000003</v>
      </c>
      <c r="M157" s="8">
        <v>9066.6489999999994</v>
      </c>
      <c r="N157" s="8">
        <v>11395.61</v>
      </c>
      <c r="O157" s="8">
        <v>14879.106</v>
      </c>
      <c r="P157" s="8">
        <v>20965.875</v>
      </c>
      <c r="Q157" s="8">
        <v>25366.195</v>
      </c>
      <c r="R157" s="8">
        <v>34406.699999999997</v>
      </c>
      <c r="S157" s="8">
        <v>41627.981</v>
      </c>
      <c r="T157" s="8">
        <v>63302.146999999997</v>
      </c>
      <c r="U157" s="8">
        <v>125687.122</v>
      </c>
      <c r="V157" s="64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 spans="1:65" ht="15" customHeight="1">
      <c r="A158" s="228">
        <v>26</v>
      </c>
      <c r="B158" s="201" t="s">
        <v>229</v>
      </c>
      <c r="C158" s="8">
        <v>7213.6660000000002</v>
      </c>
      <c r="D158" s="8">
        <v>7213.6660000000002</v>
      </c>
      <c r="E158" s="8">
        <v>7213.6660000000002</v>
      </c>
      <c r="F158" s="8">
        <v>7213.6660000000002</v>
      </c>
      <c r="G158" s="8">
        <v>7784.8990000000003</v>
      </c>
      <c r="H158" s="8">
        <v>8401.366</v>
      </c>
      <c r="I158" s="8">
        <v>9418.7929999999997</v>
      </c>
      <c r="J158" s="8">
        <v>11395.61</v>
      </c>
      <c r="K158" s="8">
        <v>12775.648999999999</v>
      </c>
      <c r="L158" s="8">
        <v>13787.322</v>
      </c>
      <c r="M158" s="8">
        <v>18001.933000000001</v>
      </c>
      <c r="N158" s="8">
        <v>20965.875</v>
      </c>
      <c r="O158" s="8">
        <v>25366.195</v>
      </c>
      <c r="P158" s="8">
        <v>31882.04</v>
      </c>
      <c r="Q158" s="8">
        <v>40071.618000000002</v>
      </c>
      <c r="R158" s="8">
        <v>46669.24</v>
      </c>
      <c r="S158" s="8">
        <v>60935.444000000003</v>
      </c>
      <c r="T158" s="8">
        <v>76588.005000000005</v>
      </c>
      <c r="U158" s="8">
        <v>85863.017000000007</v>
      </c>
      <c r="V158" s="64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 spans="1:65" ht="15" customHeight="1">
      <c r="A159" s="228">
        <v>26</v>
      </c>
      <c r="B159" s="201" t="s">
        <v>225</v>
      </c>
      <c r="C159" s="2">
        <v>9816.4716526543798</v>
      </c>
      <c r="D159" s="2">
        <v>9520.0011309452893</v>
      </c>
      <c r="E159" s="8">
        <v>9058.8242611998903</v>
      </c>
      <c r="F159" s="8">
        <v>8037.6485223997797</v>
      </c>
      <c r="G159" s="8">
        <v>7115.2925210184103</v>
      </c>
      <c r="H159" s="8">
        <v>6028.2346953818997</v>
      </c>
      <c r="I159" s="8">
        <v>5534.1179131635899</v>
      </c>
      <c r="J159" s="8">
        <v>4743.5283473456102</v>
      </c>
      <c r="K159" s="8">
        <v>3920.0011309452798</v>
      </c>
      <c r="L159" s="8">
        <v>3195.2959138542801</v>
      </c>
      <c r="M159" s="8">
        <v>2569.4126960725898</v>
      </c>
      <c r="N159" s="8">
        <v>2075.2936519637001</v>
      </c>
      <c r="O159" s="2"/>
      <c r="P159" s="2"/>
      <c r="Q159" s="2"/>
      <c r="R159" s="2"/>
      <c r="S159" s="2"/>
      <c r="T159" s="2"/>
      <c r="U159" s="2"/>
      <c r="V159" s="64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65" ht="15" customHeight="1">
      <c r="A160" s="228">
        <v>26</v>
      </c>
      <c r="B160" s="201" t="s">
        <v>226</v>
      </c>
      <c r="C160" s="2">
        <v>13209.4115651273</v>
      </c>
      <c r="D160" s="2">
        <v>12748.2346953819</v>
      </c>
      <c r="E160" s="8">
        <v>12188.2358263271</v>
      </c>
      <c r="F160" s="8">
        <v>10705.8832177816</v>
      </c>
      <c r="G160" s="8">
        <v>8828.2358263271908</v>
      </c>
      <c r="H160" s="8">
        <v>7214.1167822182997</v>
      </c>
      <c r="I160" s="8">
        <v>6061.1768697453899</v>
      </c>
      <c r="J160" s="8">
        <v>5105.8832177816903</v>
      </c>
      <c r="K160" s="8">
        <v>4414.1201750541704</v>
      </c>
      <c r="L160" s="8">
        <v>3920.0011309452798</v>
      </c>
      <c r="M160" s="8">
        <v>3623.5306092361802</v>
      </c>
      <c r="N160" s="8">
        <v>3360</v>
      </c>
      <c r="O160" s="2"/>
      <c r="P160" s="2"/>
      <c r="Q160" s="2"/>
      <c r="R160" s="2"/>
      <c r="S160" s="2"/>
      <c r="T160" s="2"/>
      <c r="U160" s="2"/>
      <c r="V160" s="64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ht="15" customHeight="1">
      <c r="A161" s="228">
        <v>26</v>
      </c>
      <c r="B161" s="201" t="s">
        <v>227</v>
      </c>
      <c r="C161" s="8">
        <v>11754.718000000001</v>
      </c>
      <c r="D161" s="8">
        <v>11391.511</v>
      </c>
      <c r="E161" s="8">
        <v>11061.321</v>
      </c>
      <c r="F161" s="8">
        <v>10301.887000000001</v>
      </c>
      <c r="G161" s="87">
        <v>9179.2469999999994</v>
      </c>
      <c r="H161" s="8">
        <v>7825.4709999999995</v>
      </c>
      <c r="I161" s="8">
        <v>6669.8119999999999</v>
      </c>
      <c r="J161" s="8">
        <v>5910.38</v>
      </c>
      <c r="K161" s="8">
        <v>4952.8310000000001</v>
      </c>
      <c r="L161" s="8">
        <v>3962.2640000000001</v>
      </c>
      <c r="M161" s="8">
        <v>3070.7550000000001</v>
      </c>
      <c r="N161" s="8">
        <v>2641.5129999999999</v>
      </c>
      <c r="O161" s="2"/>
      <c r="P161" s="2"/>
      <c r="Q161" s="2"/>
      <c r="R161" s="2"/>
      <c r="S161" s="2"/>
      <c r="T161" s="2"/>
      <c r="U161" s="2"/>
      <c r="V161" s="64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ht="15" customHeight="1">
      <c r="A162" s="228">
        <v>26</v>
      </c>
      <c r="B162" s="201" t="s">
        <v>228</v>
      </c>
      <c r="C162" s="8">
        <v>12712.264999999999</v>
      </c>
      <c r="D162" s="8">
        <v>12448.115</v>
      </c>
      <c r="E162" s="8">
        <v>11985.85</v>
      </c>
      <c r="F162" s="8">
        <v>10896.226000000001</v>
      </c>
      <c r="G162" s="8">
        <v>9707.5470000000005</v>
      </c>
      <c r="H162" s="8">
        <v>8419.8109999999997</v>
      </c>
      <c r="I162" s="8">
        <v>7594.3410000000003</v>
      </c>
      <c r="J162" s="8">
        <v>6702.8320000000003</v>
      </c>
      <c r="K162" s="8">
        <v>5745.2830000000004</v>
      </c>
      <c r="L162" s="8">
        <v>4655.6610000000001</v>
      </c>
      <c r="M162" s="8">
        <v>3929.2469999999998</v>
      </c>
      <c r="N162" s="8">
        <v>3433.9650000000001</v>
      </c>
      <c r="O162" s="2"/>
      <c r="P162" s="2"/>
      <c r="Q162" s="2"/>
      <c r="R162" s="2"/>
      <c r="S162" s="2"/>
      <c r="T162" s="2"/>
      <c r="U162" s="2"/>
      <c r="V162" s="64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 ht="15" customHeight="1">
      <c r="A163" s="228">
        <v>26</v>
      </c>
      <c r="B163" s="75" t="s">
        <v>230</v>
      </c>
      <c r="C163" s="2">
        <v>12051.888000000001</v>
      </c>
      <c r="D163" s="2">
        <v>11820.754999999999</v>
      </c>
      <c r="E163" s="2">
        <v>11358.491</v>
      </c>
      <c r="F163" s="2">
        <v>10500.001</v>
      </c>
      <c r="G163" s="2">
        <v>8915.0930000000008</v>
      </c>
      <c r="H163" s="2">
        <v>7396.2290000000003</v>
      </c>
      <c r="I163" s="2">
        <v>6372.6419999999998</v>
      </c>
      <c r="J163" s="2">
        <v>5712.2650000000003</v>
      </c>
      <c r="K163" s="2">
        <v>4919.8130000000001</v>
      </c>
      <c r="L163" s="2">
        <v>3962.2640000000001</v>
      </c>
      <c r="M163" s="2">
        <v>3367.9250000000002</v>
      </c>
      <c r="N163" s="2">
        <v>2938.6819999999998</v>
      </c>
      <c r="O163" s="34"/>
      <c r="P163" s="34"/>
      <c r="Q163" s="34"/>
      <c r="R163" s="34"/>
      <c r="S163" s="34"/>
      <c r="T163" s="34"/>
      <c r="U163" s="34"/>
      <c r="V163" s="64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ht="15" customHeight="1">
      <c r="A164" s="199">
        <v>27</v>
      </c>
      <c r="B164" s="200">
        <v>1</v>
      </c>
      <c r="C164" s="234">
        <v>1638.655</v>
      </c>
      <c r="D164" s="234">
        <v>1550.42</v>
      </c>
      <c r="E164" s="234">
        <v>1424.37</v>
      </c>
      <c r="F164" s="234">
        <v>1323.529</v>
      </c>
      <c r="G164" s="234">
        <v>1222.6890000000001</v>
      </c>
      <c r="H164" s="234">
        <v>1172.269</v>
      </c>
      <c r="I164" s="234">
        <v>1071.4290000000001</v>
      </c>
      <c r="J164" s="234">
        <v>957.98299999999995</v>
      </c>
      <c r="K164" s="234">
        <v>857.14300000000003</v>
      </c>
      <c r="L164" s="234">
        <v>768.90800000000002</v>
      </c>
      <c r="M164" s="234">
        <v>705.88199999999995</v>
      </c>
      <c r="N164" s="235">
        <v>668.06700000000001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8" ht="15" customHeight="1">
      <c r="A165" s="196">
        <v>27</v>
      </c>
      <c r="B165" s="201">
        <v>2</v>
      </c>
      <c r="C165" s="2">
        <v>4172.2690000000002</v>
      </c>
      <c r="D165" s="2">
        <v>3844.538</v>
      </c>
      <c r="E165" s="2">
        <v>3478.9920000000002</v>
      </c>
      <c r="F165" s="2">
        <v>3176.471</v>
      </c>
      <c r="G165" s="2">
        <v>2861.3449999999998</v>
      </c>
      <c r="H165" s="2">
        <v>2621.8490000000002</v>
      </c>
      <c r="I165" s="2">
        <v>2432.7730000000001</v>
      </c>
      <c r="J165" s="2">
        <v>2180.672</v>
      </c>
      <c r="K165" s="2">
        <v>1815.126</v>
      </c>
      <c r="L165" s="2">
        <v>1525.21</v>
      </c>
      <c r="M165" s="2">
        <v>1348.739</v>
      </c>
      <c r="N165" s="236">
        <v>1184.874</v>
      </c>
      <c r="O165" s="2"/>
    </row>
    <row r="166" spans="1:38" ht="15" customHeight="1">
      <c r="A166" s="196">
        <v>27</v>
      </c>
      <c r="B166" s="201">
        <v>3</v>
      </c>
      <c r="C166" s="2">
        <v>5130.2520000000004</v>
      </c>
      <c r="D166" s="2">
        <v>4726.8909999999996</v>
      </c>
      <c r="E166" s="2">
        <v>4159.6639999999998</v>
      </c>
      <c r="F166" s="2">
        <v>3617.6469999999999</v>
      </c>
      <c r="G166" s="2">
        <v>3264.7060000000001</v>
      </c>
      <c r="H166" s="2">
        <v>2974.79</v>
      </c>
      <c r="I166" s="2">
        <v>2747.8989999999999</v>
      </c>
      <c r="J166" s="2">
        <v>2369.748</v>
      </c>
      <c r="K166" s="2">
        <v>1978.992</v>
      </c>
      <c r="L166" s="2">
        <v>1651.261</v>
      </c>
      <c r="M166" s="2">
        <v>1348.739</v>
      </c>
      <c r="N166" s="236">
        <v>1184.874</v>
      </c>
      <c r="O166" s="2"/>
    </row>
    <row r="167" spans="1:38" ht="15" customHeight="1">
      <c r="A167" s="196">
        <v>27</v>
      </c>
      <c r="B167" s="201">
        <v>4</v>
      </c>
      <c r="C167" s="2">
        <v>5369.7479999999996</v>
      </c>
      <c r="D167" s="2">
        <v>5067.2269999999999</v>
      </c>
      <c r="E167" s="2">
        <v>4537.8149999999996</v>
      </c>
      <c r="F167" s="2">
        <v>3932.7730000000001</v>
      </c>
      <c r="G167" s="2">
        <v>3491.5970000000002</v>
      </c>
      <c r="H167" s="2">
        <v>3176.471</v>
      </c>
      <c r="I167" s="2">
        <v>2899.16</v>
      </c>
      <c r="J167" s="2">
        <v>2508.4029999999998</v>
      </c>
      <c r="K167" s="2">
        <v>2117.6469999999999</v>
      </c>
      <c r="L167" s="2">
        <v>1764.7059999999999</v>
      </c>
      <c r="M167" s="2">
        <v>1512.605</v>
      </c>
      <c r="N167" s="236">
        <v>1298.319</v>
      </c>
      <c r="O167" s="2"/>
      <c r="P167" s="2"/>
      <c r="Q167" s="2"/>
      <c r="R167" s="2"/>
      <c r="S167" s="2"/>
      <c r="T167" s="2"/>
      <c r="U167" s="2"/>
    </row>
    <row r="168" spans="1:38" ht="15" customHeight="1">
      <c r="A168" s="229">
        <v>28</v>
      </c>
      <c r="B168" s="74">
        <v>1</v>
      </c>
      <c r="C168" s="234">
        <v>11.87</v>
      </c>
      <c r="D168" s="234">
        <v>12.51</v>
      </c>
      <c r="E168" s="234">
        <v>14.85</v>
      </c>
      <c r="F168" s="234">
        <v>15.05</v>
      </c>
      <c r="G168" s="234">
        <v>16.29</v>
      </c>
      <c r="H168" s="234">
        <v>16.29</v>
      </c>
      <c r="I168" s="234">
        <v>16.5</v>
      </c>
      <c r="J168" s="234">
        <v>17.399999999999999</v>
      </c>
      <c r="K168" s="234">
        <v>18.34</v>
      </c>
      <c r="L168" s="234">
        <v>19.850000000000001</v>
      </c>
      <c r="M168" s="234">
        <v>19.850000000000001</v>
      </c>
      <c r="N168" s="234">
        <v>21.48</v>
      </c>
      <c r="O168" s="234">
        <v>23.25</v>
      </c>
      <c r="P168" s="234">
        <v>27.23</v>
      </c>
      <c r="Q168" s="234">
        <v>36.880000000000003</v>
      </c>
      <c r="R168" s="234">
        <v>58.5</v>
      </c>
      <c r="S168" s="234">
        <v>71.290000000000006</v>
      </c>
      <c r="T168" s="234">
        <v>136.02000000000001</v>
      </c>
      <c r="U168" s="235">
        <v>233.52</v>
      </c>
      <c r="V168" s="2"/>
    </row>
    <row r="169" spans="1:38" ht="15" customHeight="1">
      <c r="A169" s="228">
        <v>28</v>
      </c>
      <c r="B169" s="75">
        <v>2</v>
      </c>
      <c r="C169" s="2">
        <v>11560.51</v>
      </c>
      <c r="D169" s="2">
        <v>12026.87</v>
      </c>
      <c r="E169" s="2">
        <v>12186.47</v>
      </c>
      <c r="F169" s="2">
        <v>12348.18</v>
      </c>
      <c r="G169" s="2">
        <v>12512.04</v>
      </c>
      <c r="H169" s="2">
        <v>13016.79</v>
      </c>
      <c r="I169" s="2">
        <v>12846.32</v>
      </c>
      <c r="J169" s="2">
        <v>13016.79</v>
      </c>
      <c r="K169" s="2">
        <v>13189.52</v>
      </c>
      <c r="L169" s="2">
        <v>13541.89</v>
      </c>
      <c r="M169" s="2">
        <v>14088.18</v>
      </c>
      <c r="N169" s="2">
        <v>13721.59</v>
      </c>
      <c r="O169" s="2">
        <v>14464.56</v>
      </c>
      <c r="P169" s="2">
        <v>14464.56</v>
      </c>
      <c r="Q169" s="2">
        <v>14851</v>
      </c>
      <c r="R169" s="2">
        <v>15450.1</v>
      </c>
      <c r="S169" s="2">
        <v>16286.66</v>
      </c>
      <c r="T169" s="2">
        <v>16721.78</v>
      </c>
      <c r="U169" s="236">
        <v>17168.52</v>
      </c>
      <c r="V169" s="2"/>
    </row>
    <row r="170" spans="1:38" ht="15" customHeight="1">
      <c r="A170" s="228">
        <v>28</v>
      </c>
      <c r="B170" s="75">
        <v>3</v>
      </c>
      <c r="C170" s="2">
        <v>2606.34</v>
      </c>
      <c r="D170" s="2">
        <v>3134.61</v>
      </c>
      <c r="E170" s="2">
        <v>3261.06</v>
      </c>
      <c r="F170" s="2">
        <v>3348.18</v>
      </c>
      <c r="G170" s="2">
        <v>3529.47</v>
      </c>
      <c r="H170" s="2">
        <v>3623.77</v>
      </c>
      <c r="I170" s="2">
        <v>3671.85</v>
      </c>
      <c r="J170" s="2">
        <v>3720.58</v>
      </c>
      <c r="K170" s="2">
        <v>3720.58</v>
      </c>
      <c r="L170" s="2">
        <v>3870.67</v>
      </c>
      <c r="M170" s="2">
        <v>4080.25</v>
      </c>
      <c r="N170" s="2">
        <v>4474.6899999999996</v>
      </c>
      <c r="O170" s="2">
        <v>4972.3900000000003</v>
      </c>
      <c r="P170" s="2">
        <v>5453.07</v>
      </c>
      <c r="Q170" s="2">
        <v>6059.58</v>
      </c>
      <c r="R170" s="2">
        <v>6472.45</v>
      </c>
      <c r="S170" s="2">
        <v>7581.78</v>
      </c>
      <c r="T170" s="2">
        <v>8650.14</v>
      </c>
      <c r="U170" s="236">
        <v>9869.0400000000009</v>
      </c>
      <c r="V170" s="2"/>
    </row>
    <row r="171" spans="1:38" ht="15" customHeight="1">
      <c r="A171" s="228">
        <v>28</v>
      </c>
      <c r="B171" s="75">
        <v>4</v>
      </c>
      <c r="C171" s="2">
        <v>13189.52</v>
      </c>
      <c r="D171" s="2">
        <v>14088.18</v>
      </c>
      <c r="E171" s="2">
        <v>14464.56</v>
      </c>
      <c r="F171" s="2">
        <v>14656.51</v>
      </c>
      <c r="G171" s="2">
        <v>14656.51</v>
      </c>
      <c r="H171" s="2">
        <v>15247.76</v>
      </c>
      <c r="I171" s="2">
        <v>14851</v>
      </c>
      <c r="J171" s="2">
        <v>15048.07</v>
      </c>
      <c r="K171" s="2">
        <v>15450.1</v>
      </c>
      <c r="L171" s="2">
        <v>15450.1</v>
      </c>
      <c r="M171" s="2">
        <v>15862.87</v>
      </c>
      <c r="N171" s="2">
        <v>16073.37</v>
      </c>
      <c r="O171" s="2">
        <v>16502.79</v>
      </c>
      <c r="P171" s="2">
        <v>16943.68</v>
      </c>
      <c r="Q171" s="2">
        <v>17168.52</v>
      </c>
      <c r="R171" s="2">
        <v>18098.13</v>
      </c>
      <c r="S171" s="2">
        <v>18828.22</v>
      </c>
      <c r="T171" s="2">
        <v>19587.759999999998</v>
      </c>
      <c r="U171" s="236">
        <v>20648.36</v>
      </c>
      <c r="V171" s="2"/>
    </row>
    <row r="172" spans="1:38" ht="15" customHeight="1">
      <c r="A172" s="228">
        <v>28</v>
      </c>
      <c r="B172" s="75">
        <v>5</v>
      </c>
      <c r="C172" s="2">
        <v>16943.68</v>
      </c>
      <c r="D172" s="2">
        <v>17627.189999999999</v>
      </c>
      <c r="E172" s="2">
        <v>17861.11</v>
      </c>
      <c r="F172" s="2">
        <v>18338.29</v>
      </c>
      <c r="G172" s="2">
        <v>18581.64</v>
      </c>
      <c r="H172" s="2">
        <v>19078.07</v>
      </c>
      <c r="I172" s="2">
        <v>18581.64</v>
      </c>
      <c r="J172" s="2">
        <v>18828.22</v>
      </c>
      <c r="K172" s="2">
        <v>19078.07</v>
      </c>
      <c r="L172" s="2">
        <v>19331.23</v>
      </c>
      <c r="M172" s="2">
        <v>19587.759999999998</v>
      </c>
      <c r="N172" s="2">
        <v>19847.689999999999</v>
      </c>
      <c r="O172" s="2">
        <v>20377.939999999999</v>
      </c>
      <c r="P172" s="2">
        <v>20648.36</v>
      </c>
      <c r="Q172" s="2">
        <v>20648.36</v>
      </c>
      <c r="R172" s="2">
        <v>22055.22</v>
      </c>
      <c r="S172" s="2">
        <v>23249.42</v>
      </c>
      <c r="T172" s="2">
        <v>24508.29</v>
      </c>
      <c r="U172" s="236">
        <v>25496.97</v>
      </c>
      <c r="V172" s="2"/>
    </row>
    <row r="173" spans="1:38" ht="15" customHeight="1">
      <c r="A173" s="228">
        <v>28</v>
      </c>
      <c r="B173" s="75">
        <v>6</v>
      </c>
      <c r="C173" s="2">
        <v>8764.92</v>
      </c>
      <c r="D173" s="2">
        <v>8999.09</v>
      </c>
      <c r="E173" s="2">
        <v>9486.35</v>
      </c>
      <c r="F173" s="2">
        <v>9739.7900000000009</v>
      </c>
      <c r="G173" s="2">
        <v>9612.24</v>
      </c>
      <c r="H173" s="2">
        <v>9486.35</v>
      </c>
      <c r="I173" s="2">
        <v>9739.7900000000009</v>
      </c>
      <c r="J173" s="2">
        <v>10000</v>
      </c>
      <c r="K173" s="2">
        <v>10000</v>
      </c>
      <c r="L173" s="2">
        <v>10000</v>
      </c>
      <c r="M173" s="2">
        <v>10132.700000000001</v>
      </c>
      <c r="N173" s="2">
        <v>10681.35</v>
      </c>
      <c r="O173" s="2">
        <v>10681.35</v>
      </c>
      <c r="P173" s="2">
        <v>11112.24</v>
      </c>
      <c r="Q173" s="2">
        <v>11713.92</v>
      </c>
      <c r="R173" s="2">
        <v>12348.18</v>
      </c>
      <c r="S173" s="2">
        <v>12678.08</v>
      </c>
      <c r="T173" s="2">
        <v>13903.68</v>
      </c>
      <c r="U173" s="237">
        <v>13903.68</v>
      </c>
      <c r="V173" s="2"/>
    </row>
    <row r="174" spans="1:38" ht="15" customHeight="1">
      <c r="A174" s="229">
        <v>29</v>
      </c>
      <c r="B174" s="74">
        <v>1</v>
      </c>
      <c r="C174" s="234">
        <v>559.53</v>
      </c>
      <c r="D174" s="234">
        <v>1197.46</v>
      </c>
      <c r="E174" s="234">
        <v>2069.87</v>
      </c>
      <c r="F174" s="234">
        <v>3625.94</v>
      </c>
      <c r="G174" s="234">
        <v>6351.83</v>
      </c>
      <c r="H174" s="234">
        <v>10408.58</v>
      </c>
      <c r="I174" s="234">
        <v>16386.75</v>
      </c>
      <c r="J174" s="234">
        <v>24457.15</v>
      </c>
      <c r="K174" s="234">
        <v>40615.86</v>
      </c>
      <c r="L174" s="234">
        <v>59815.199999999997</v>
      </c>
      <c r="M174" s="234">
        <v>82402.81</v>
      </c>
      <c r="N174" s="234">
        <v>115045.48</v>
      </c>
      <c r="O174" s="234">
        <v>160619.07</v>
      </c>
      <c r="P174" s="234">
        <v>206986.5</v>
      </c>
      <c r="Q174" s="234">
        <v>259712.44</v>
      </c>
      <c r="R174" s="234">
        <v>313077.73</v>
      </c>
      <c r="S174" s="234">
        <v>367466.19</v>
      </c>
      <c r="T174" s="235">
        <v>431303.13</v>
      </c>
      <c r="U174" s="2"/>
    </row>
    <row r="175" spans="1:38" ht="15" customHeight="1">
      <c r="A175" s="228">
        <v>29</v>
      </c>
      <c r="B175" s="75">
        <v>2</v>
      </c>
      <c r="C175" s="2">
        <v>10134.379999999999</v>
      </c>
      <c r="D175" s="2">
        <v>11737.22</v>
      </c>
      <c r="E175" s="2">
        <v>15534.75</v>
      </c>
      <c r="F175" s="2">
        <v>18726.810000000001</v>
      </c>
      <c r="G175" s="2">
        <v>25456.41</v>
      </c>
      <c r="H175" s="2">
        <v>35540.589999999997</v>
      </c>
      <c r="I175" s="2">
        <v>44593.89</v>
      </c>
      <c r="J175" s="2">
        <v>57467.23</v>
      </c>
      <c r="K175" s="2">
        <v>75052.009999999995</v>
      </c>
      <c r="L175" s="2">
        <v>98017.66</v>
      </c>
      <c r="M175" s="2">
        <v>122985.83</v>
      </c>
      <c r="N175" s="2">
        <v>150249</v>
      </c>
      <c r="O175" s="2">
        <v>196224.68</v>
      </c>
      <c r="P175" s="2">
        <v>246209.24</v>
      </c>
      <c r="Q175" s="2">
        <v>288981.18</v>
      </c>
      <c r="R175" s="2">
        <v>325869.32</v>
      </c>
      <c r="S175" s="2">
        <v>382479.97</v>
      </c>
      <c r="T175" s="236">
        <v>454957.69</v>
      </c>
      <c r="U175" s="2"/>
    </row>
    <row r="176" spans="1:38" ht="15" customHeight="1">
      <c r="A176" s="228">
        <v>29</v>
      </c>
      <c r="B176" s="75">
        <v>3</v>
      </c>
      <c r="C176" s="2">
        <v>28325.26</v>
      </c>
      <c r="D176" s="2">
        <v>31517.42</v>
      </c>
      <c r="E176" s="2">
        <v>35540.589999999997</v>
      </c>
      <c r="F176" s="2">
        <v>44002.59</v>
      </c>
      <c r="G176" s="2">
        <v>53044.17</v>
      </c>
      <c r="H176" s="2">
        <v>62259.11</v>
      </c>
      <c r="I176" s="2">
        <v>79168.19</v>
      </c>
      <c r="J176" s="2">
        <v>91689.34</v>
      </c>
      <c r="K176" s="2">
        <v>115045.48</v>
      </c>
      <c r="L176" s="2">
        <v>135031.4</v>
      </c>
      <c r="M176" s="2">
        <v>174012.2</v>
      </c>
      <c r="N176" s="2">
        <v>206986.5</v>
      </c>
      <c r="O176" s="2">
        <v>233408.11</v>
      </c>
      <c r="P176" s="2">
        <v>285149.40000000002</v>
      </c>
      <c r="Q176" s="2">
        <v>325869.32</v>
      </c>
      <c r="R176" s="2">
        <v>367466.19</v>
      </c>
      <c r="S176" s="2">
        <v>425584.21</v>
      </c>
      <c r="T176" s="236">
        <v>492894.1</v>
      </c>
      <c r="U176" s="2"/>
    </row>
    <row r="177" spans="1:28" ht="15" customHeight="1">
      <c r="A177" s="228">
        <v>29</v>
      </c>
      <c r="B177" s="75">
        <v>4</v>
      </c>
      <c r="C177" s="2">
        <v>198861.51</v>
      </c>
      <c r="D177" s="2">
        <v>212586.77</v>
      </c>
      <c r="E177" s="2">
        <v>212586.77</v>
      </c>
      <c r="F177" s="2">
        <v>233408.11</v>
      </c>
      <c r="G177" s="2">
        <v>246209.24</v>
      </c>
      <c r="H177" s="2">
        <v>259712.44</v>
      </c>
      <c r="I177" s="2">
        <v>273956.21999999997</v>
      </c>
      <c r="J177" s="2">
        <v>288981.18</v>
      </c>
      <c r="K177" s="2">
        <v>288981.18</v>
      </c>
      <c r="L177" s="2">
        <v>304830.19</v>
      </c>
      <c r="M177" s="2">
        <v>325869.32</v>
      </c>
      <c r="N177" s="2">
        <v>343741.43</v>
      </c>
      <c r="O177" s="2">
        <v>367466.19</v>
      </c>
      <c r="P177" s="2">
        <v>403456.86</v>
      </c>
      <c r="Q177" s="2">
        <v>442972.55</v>
      </c>
      <c r="R177" s="2">
        <v>461071.33</v>
      </c>
      <c r="S177" s="2">
        <v>513032.56</v>
      </c>
      <c r="T177" s="236">
        <v>570849.65</v>
      </c>
      <c r="U177" s="2"/>
    </row>
    <row r="178" spans="1:28" ht="15" customHeight="1">
      <c r="A178" s="230">
        <v>29</v>
      </c>
      <c r="B178" s="231">
        <v>5</v>
      </c>
      <c r="C178" s="34">
        <v>72105.94</v>
      </c>
      <c r="D178" s="34">
        <v>76060.539999999994</v>
      </c>
      <c r="E178" s="34">
        <v>79168.19</v>
      </c>
      <c r="F178" s="34">
        <v>85769.59</v>
      </c>
      <c r="G178" s="34">
        <v>96717.99</v>
      </c>
      <c r="H178" s="34">
        <v>104782.77</v>
      </c>
      <c r="I178" s="34">
        <v>119745.96</v>
      </c>
      <c r="J178" s="34">
        <v>133240.94</v>
      </c>
      <c r="K178" s="34">
        <v>162777.44</v>
      </c>
      <c r="L178" s="34">
        <v>188522.12</v>
      </c>
      <c r="M178" s="34">
        <v>209767.95</v>
      </c>
      <c r="N178" s="34">
        <v>252870.72</v>
      </c>
      <c r="O178" s="34">
        <v>285149.40000000002</v>
      </c>
      <c r="P178" s="34">
        <v>348360.56</v>
      </c>
      <c r="Q178" s="34">
        <v>398107.17</v>
      </c>
      <c r="R178" s="34">
        <v>425584.21</v>
      </c>
      <c r="S178" s="34">
        <v>479909.58</v>
      </c>
      <c r="T178" s="237">
        <v>548441.66</v>
      </c>
      <c r="U178" s="2"/>
    </row>
    <row r="179" spans="1:28" ht="15" customHeight="1">
      <c r="A179" s="228">
        <v>30</v>
      </c>
      <c r="B179" s="75">
        <v>1</v>
      </c>
      <c r="C179" s="2">
        <v>2511.9</v>
      </c>
      <c r="D179" s="2">
        <v>2523.81</v>
      </c>
      <c r="E179" s="2">
        <v>2178.5700000000002</v>
      </c>
      <c r="F179" s="2">
        <v>1702.38</v>
      </c>
      <c r="G179" s="2">
        <v>1333.33</v>
      </c>
      <c r="H179" s="2">
        <v>1095.24</v>
      </c>
      <c r="I179" s="2">
        <v>916.67</v>
      </c>
      <c r="J179" s="2">
        <v>702.38</v>
      </c>
      <c r="K179" s="2">
        <v>547.62</v>
      </c>
      <c r="L179" s="2">
        <v>416.67</v>
      </c>
      <c r="M179" s="2">
        <v>333.33</v>
      </c>
      <c r="N179" s="2">
        <v>250</v>
      </c>
      <c r="O179" s="236">
        <v>202.38</v>
      </c>
      <c r="P179" s="2"/>
      <c r="Q179" s="2"/>
      <c r="R179" s="2"/>
      <c r="S179" s="2"/>
      <c r="T179" s="2"/>
    </row>
    <row r="180" spans="1:28" ht="15" customHeight="1">
      <c r="A180" s="228">
        <v>30</v>
      </c>
      <c r="B180" s="75">
        <v>2</v>
      </c>
      <c r="C180" s="2">
        <v>5595.24</v>
      </c>
      <c r="D180" s="2">
        <v>5357.14</v>
      </c>
      <c r="E180" s="2">
        <v>4738.1000000000004</v>
      </c>
      <c r="F180" s="2">
        <v>4035.71</v>
      </c>
      <c r="G180" s="2">
        <v>3416.67</v>
      </c>
      <c r="H180" s="2">
        <v>3000</v>
      </c>
      <c r="I180" s="2">
        <v>2464.29</v>
      </c>
      <c r="J180" s="2">
        <v>1964.29</v>
      </c>
      <c r="K180" s="2">
        <v>1547.62</v>
      </c>
      <c r="L180" s="2">
        <v>1261.9000000000001</v>
      </c>
      <c r="M180" s="2">
        <v>1023.81</v>
      </c>
      <c r="N180" s="2">
        <v>785.71</v>
      </c>
      <c r="O180" s="236">
        <v>559.52</v>
      </c>
      <c r="P180" s="2"/>
    </row>
    <row r="181" spans="1:28" ht="15" customHeight="1">
      <c r="A181" s="230">
        <v>30</v>
      </c>
      <c r="B181" s="231">
        <v>3</v>
      </c>
      <c r="C181" s="34">
        <v>5738.1</v>
      </c>
      <c r="D181" s="34">
        <v>5511.9</v>
      </c>
      <c r="E181" s="34">
        <v>4916.67</v>
      </c>
      <c r="F181" s="34">
        <v>4226.1899999999996</v>
      </c>
      <c r="G181" s="34">
        <v>3642.86</v>
      </c>
      <c r="H181" s="34">
        <v>3214.29</v>
      </c>
      <c r="I181" s="34">
        <v>2726.19</v>
      </c>
      <c r="J181" s="34">
        <v>2130.9499999999998</v>
      </c>
      <c r="K181" s="34">
        <v>1773.81</v>
      </c>
      <c r="L181" s="34">
        <v>1452.38</v>
      </c>
      <c r="M181" s="34">
        <v>1178.57</v>
      </c>
      <c r="N181" s="34">
        <v>904.76</v>
      </c>
      <c r="O181" s="237">
        <v>690.48</v>
      </c>
      <c r="P181" s="2"/>
    </row>
    <row r="182" spans="1:28" ht="15" customHeight="1">
      <c r="A182" s="228">
        <v>31</v>
      </c>
      <c r="B182" s="75">
        <v>1</v>
      </c>
      <c r="C182" s="22">
        <v>1190.48</v>
      </c>
      <c r="D182" s="22">
        <v>1150.79</v>
      </c>
      <c r="E182" s="22">
        <v>1051.5899999999999</v>
      </c>
      <c r="F182" s="22">
        <v>1001.98</v>
      </c>
      <c r="G182" s="22">
        <v>873.02</v>
      </c>
      <c r="H182" s="22">
        <v>803.57</v>
      </c>
      <c r="I182" s="22">
        <v>694.44</v>
      </c>
      <c r="J182" s="22">
        <v>625</v>
      </c>
      <c r="K182" s="22">
        <v>515.87</v>
      </c>
      <c r="L182" s="226">
        <v>476.19</v>
      </c>
      <c r="M182" s="2"/>
      <c r="N182" s="2"/>
      <c r="O182" s="2"/>
    </row>
    <row r="183" spans="1:28" ht="15" customHeight="1">
      <c r="A183" s="228">
        <v>31</v>
      </c>
      <c r="B183" s="75">
        <v>2</v>
      </c>
      <c r="C183" s="22">
        <v>1587.3</v>
      </c>
      <c r="D183" s="22">
        <v>1527.78</v>
      </c>
      <c r="E183" s="22">
        <v>1408.73</v>
      </c>
      <c r="F183" s="22">
        <v>1309.52</v>
      </c>
      <c r="G183" s="22">
        <v>1160.71</v>
      </c>
      <c r="H183" s="22">
        <v>1081.3499999999999</v>
      </c>
      <c r="I183" s="22">
        <v>972.22</v>
      </c>
      <c r="J183" s="22">
        <v>863.1</v>
      </c>
      <c r="K183" s="22">
        <v>833.33</v>
      </c>
      <c r="L183" s="226">
        <v>753.97</v>
      </c>
      <c r="M183" s="2"/>
    </row>
    <row r="184" spans="1:28" ht="15" customHeight="1">
      <c r="A184" s="228">
        <v>31</v>
      </c>
      <c r="B184" s="75">
        <v>3</v>
      </c>
      <c r="C184" s="22">
        <v>2371.0300000000002</v>
      </c>
      <c r="D184" s="22">
        <v>2281.75</v>
      </c>
      <c r="E184" s="22">
        <v>2172.62</v>
      </c>
      <c r="F184" s="22">
        <v>2073.41</v>
      </c>
      <c r="G184" s="22">
        <v>1855.16</v>
      </c>
      <c r="H184" s="22">
        <v>1716.27</v>
      </c>
      <c r="I184" s="22">
        <v>1527.78</v>
      </c>
      <c r="J184" s="22">
        <v>1359.13</v>
      </c>
      <c r="K184" s="22">
        <v>1220.24</v>
      </c>
      <c r="L184" s="226">
        <v>1140.8699999999999</v>
      </c>
      <c r="M184" s="2"/>
    </row>
    <row r="185" spans="1:28" ht="15" customHeight="1">
      <c r="A185" s="228">
        <v>31</v>
      </c>
      <c r="B185" s="75">
        <v>4</v>
      </c>
      <c r="C185" s="22">
        <v>3541.67</v>
      </c>
      <c r="D185" s="22">
        <v>3353.17</v>
      </c>
      <c r="E185" s="22">
        <v>3115.08</v>
      </c>
      <c r="F185" s="22">
        <v>2867.06</v>
      </c>
      <c r="G185" s="22">
        <v>2609.13</v>
      </c>
      <c r="H185" s="22">
        <v>2311.5100000000002</v>
      </c>
      <c r="I185" s="22">
        <v>2083.33</v>
      </c>
      <c r="J185" s="22">
        <v>1865.08</v>
      </c>
      <c r="K185" s="22">
        <v>1696.43</v>
      </c>
      <c r="L185" s="226">
        <v>1547.62</v>
      </c>
      <c r="M185" s="2"/>
    </row>
    <row r="186" spans="1:28" ht="15" customHeight="1">
      <c r="A186" s="228">
        <v>31</v>
      </c>
      <c r="B186" s="75">
        <v>5</v>
      </c>
      <c r="C186" s="22">
        <v>4186.51</v>
      </c>
      <c r="D186" s="22">
        <v>4017.86</v>
      </c>
      <c r="E186" s="22">
        <v>3759.92</v>
      </c>
      <c r="F186" s="22">
        <v>3472.22</v>
      </c>
      <c r="G186" s="22">
        <v>3184.52</v>
      </c>
      <c r="H186" s="22">
        <v>2867.06</v>
      </c>
      <c r="I186" s="22">
        <v>2619.0500000000002</v>
      </c>
      <c r="J186" s="22">
        <v>2380.9499999999998</v>
      </c>
      <c r="K186" s="30">
        <v>2162.6999999999998</v>
      </c>
      <c r="L186" s="232">
        <v>2013.89</v>
      </c>
      <c r="M186" s="2"/>
    </row>
    <row r="187" spans="1:28" ht="15" customHeight="1">
      <c r="A187" s="199">
        <v>32</v>
      </c>
      <c r="B187" s="200">
        <v>1</v>
      </c>
      <c r="C187" s="234"/>
      <c r="D187" s="234"/>
      <c r="E187" s="234"/>
      <c r="F187" s="234"/>
      <c r="G187" s="222">
        <v>2054</v>
      </c>
      <c r="H187" s="234"/>
      <c r="I187" s="234"/>
      <c r="J187" s="235"/>
      <c r="K187" s="2"/>
      <c r="L187" s="2"/>
    </row>
    <row r="188" spans="1:28" ht="15" customHeight="1">
      <c r="A188" s="196">
        <v>32</v>
      </c>
      <c r="B188" s="201">
        <v>2</v>
      </c>
      <c r="C188" s="2">
        <v>4652.4059999999999</v>
      </c>
      <c r="D188" s="2">
        <v>4625.6679999999997</v>
      </c>
      <c r="E188" s="2">
        <v>4318.1819999999998</v>
      </c>
      <c r="F188" s="2">
        <v>3910.4279999999999</v>
      </c>
      <c r="G188" s="2">
        <v>2627.0050000000001</v>
      </c>
      <c r="H188" s="2">
        <v>1664.4390000000001</v>
      </c>
      <c r="I188" s="2">
        <v>1076.203</v>
      </c>
      <c r="J188" s="236">
        <v>755.34799999999996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8" ht="15" customHeight="1">
      <c r="A189" s="229">
        <v>33</v>
      </c>
      <c r="B189" s="200">
        <v>1</v>
      </c>
      <c r="C189" s="234">
        <v>0.16500000000000001</v>
      </c>
      <c r="D189" s="234">
        <v>0.44700000000000001</v>
      </c>
      <c r="E189" s="234">
        <v>1.099</v>
      </c>
      <c r="F189" s="234">
        <v>1.9350000000000001</v>
      </c>
      <c r="G189" s="234">
        <v>4.4480000000000004</v>
      </c>
      <c r="H189" s="234">
        <v>6.8570000000000002</v>
      </c>
      <c r="I189" s="234">
        <v>10.928000000000001</v>
      </c>
      <c r="J189" s="234">
        <v>14.746</v>
      </c>
      <c r="K189" s="234">
        <v>20.571000000000002</v>
      </c>
      <c r="L189" s="234">
        <v>25.969000000000001</v>
      </c>
      <c r="M189" s="234">
        <v>32.783999999999999</v>
      </c>
      <c r="N189" s="234">
        <v>50.537999999999997</v>
      </c>
      <c r="O189" s="234">
        <v>92.013999999999996</v>
      </c>
      <c r="P189" s="234">
        <v>156.74</v>
      </c>
      <c r="Q189" s="234">
        <v>315.35199999999998</v>
      </c>
      <c r="R189" s="234">
        <v>724.83799999999997</v>
      </c>
      <c r="S189" s="234">
        <v>1155.183</v>
      </c>
      <c r="T189" s="234">
        <v>2484.1669999999999</v>
      </c>
      <c r="U189" s="234">
        <v>4231.6139999999996</v>
      </c>
      <c r="V189" s="234">
        <v>6309.5730000000003</v>
      </c>
      <c r="W189" s="234">
        <v>10055.638000000001</v>
      </c>
      <c r="X189" s="234">
        <v>15501.062</v>
      </c>
      <c r="Y189" s="234">
        <v>36835.372000000003</v>
      </c>
      <c r="Z189" s="234">
        <v>71683.91</v>
      </c>
      <c r="AA189" s="235">
        <v>245675.272</v>
      </c>
      <c r="AB189" s="2"/>
    </row>
    <row r="190" spans="1:28" ht="15" customHeight="1">
      <c r="A190" s="228">
        <v>33</v>
      </c>
      <c r="B190" s="201">
        <v>2</v>
      </c>
      <c r="C190" s="2">
        <v>1.028</v>
      </c>
      <c r="D190" s="2">
        <v>2.4430000000000001</v>
      </c>
      <c r="E190" s="2">
        <v>4.5990000000000002</v>
      </c>
      <c r="F190" s="2">
        <v>8.657</v>
      </c>
      <c r="G190" s="2">
        <v>14.746</v>
      </c>
      <c r="H190" s="2">
        <v>28.696999999999999</v>
      </c>
      <c r="I190" s="2">
        <v>54.017000000000003</v>
      </c>
      <c r="J190" s="2">
        <v>101.678</v>
      </c>
      <c r="K190" s="2">
        <v>226.05600000000001</v>
      </c>
      <c r="L190" s="2">
        <v>398.10700000000003</v>
      </c>
      <c r="M190" s="2">
        <v>655.94500000000005</v>
      </c>
      <c r="N190" s="2">
        <v>1117.3589999999999</v>
      </c>
      <c r="O190" s="2">
        <v>2174.4499999999998</v>
      </c>
      <c r="P190" s="2">
        <v>3829.4160000000002</v>
      </c>
      <c r="Q190" s="2">
        <v>5342.0860000000002</v>
      </c>
      <c r="R190" s="2">
        <v>7452.28</v>
      </c>
      <c r="S190" s="2">
        <v>10396.029</v>
      </c>
      <c r="T190" s="2">
        <v>16025.784</v>
      </c>
      <c r="U190" s="2">
        <v>24704.216</v>
      </c>
      <c r="V190" s="2">
        <v>31187.165000000001</v>
      </c>
      <c r="W190" s="2">
        <v>103385.071</v>
      </c>
      <c r="X190" s="2">
        <v>114243.454</v>
      </c>
      <c r="Y190" s="2">
        <v>130515.66800000001</v>
      </c>
      <c r="Z190" s="2">
        <v>139501.31899999999</v>
      </c>
      <c r="AA190" s="236">
        <v>188234.31400000001</v>
      </c>
      <c r="AB190" s="2"/>
    </row>
    <row r="191" spans="1:28" ht="15" customHeight="1">
      <c r="A191" s="228">
        <v>33</v>
      </c>
      <c r="B191" s="201">
        <v>3</v>
      </c>
      <c r="C191" s="2">
        <v>1.4830000000000001</v>
      </c>
      <c r="D191" s="2">
        <v>3.2970000000000002</v>
      </c>
      <c r="E191" s="2">
        <v>6.415</v>
      </c>
      <c r="F191" s="2">
        <v>12.907999999999999</v>
      </c>
      <c r="G191" s="2">
        <v>21.986999999999998</v>
      </c>
      <c r="H191" s="2">
        <v>44.237000000000002</v>
      </c>
      <c r="I191" s="2">
        <v>77.905000000000001</v>
      </c>
      <c r="J191" s="2">
        <v>146.64400000000001</v>
      </c>
      <c r="K191" s="2">
        <v>218.655</v>
      </c>
      <c r="L191" s="2">
        <v>385.072</v>
      </c>
      <c r="M191" s="2">
        <v>634.46799999999996</v>
      </c>
      <c r="N191" s="2">
        <v>1319.72</v>
      </c>
      <c r="O191" s="2">
        <v>2103.2530000000002</v>
      </c>
      <c r="P191" s="2">
        <v>3465.4450000000002</v>
      </c>
      <c r="Q191" s="2">
        <v>6743.9709999999995</v>
      </c>
      <c r="R191" s="2">
        <v>9726.393</v>
      </c>
      <c r="S191" s="2">
        <v>15501.062</v>
      </c>
      <c r="T191" s="2">
        <v>25540.472000000002</v>
      </c>
      <c r="U191" s="2">
        <v>34462.707999999999</v>
      </c>
      <c r="V191" s="2">
        <v>46501.811999999998</v>
      </c>
      <c r="W191" s="2">
        <v>118110.67600000001</v>
      </c>
      <c r="X191" s="2">
        <v>134933.71599999999</v>
      </c>
      <c r="Y191" s="2">
        <v>176109.641</v>
      </c>
      <c r="Z191" s="2">
        <v>194606.179</v>
      </c>
      <c r="AA191" s="236">
        <v>237631.28400000001</v>
      </c>
      <c r="AB191" s="2"/>
    </row>
    <row r="192" spans="1:28" ht="15" customHeight="1">
      <c r="A192" s="228">
        <v>33</v>
      </c>
      <c r="B192" s="201">
        <v>4</v>
      </c>
      <c r="C192" s="2">
        <v>1234.7139999999999</v>
      </c>
      <c r="D192" s="2">
        <v>1117.3589999999999</v>
      </c>
      <c r="E192" s="2">
        <v>1364.394</v>
      </c>
      <c r="F192" s="2">
        <v>1458.329</v>
      </c>
      <c r="G192" s="2">
        <v>1611.4949999999999</v>
      </c>
      <c r="H192" s="2">
        <v>1780.748</v>
      </c>
      <c r="I192" s="2">
        <v>1967.777</v>
      </c>
      <c r="J192" s="2">
        <v>2484.1669999999999</v>
      </c>
      <c r="K192" s="2">
        <v>3033.386</v>
      </c>
      <c r="L192" s="2">
        <v>3465.4450000000002</v>
      </c>
      <c r="M192" s="2">
        <v>4522.9489999999996</v>
      </c>
      <c r="N192" s="2">
        <v>5522.9189999999999</v>
      </c>
      <c r="O192" s="2">
        <v>8234.982</v>
      </c>
      <c r="P192" s="2">
        <v>10396.029</v>
      </c>
      <c r="Q192" s="2">
        <v>13568.446</v>
      </c>
      <c r="R192" s="2">
        <v>21624.186000000002</v>
      </c>
      <c r="S192" s="2">
        <v>28222.95</v>
      </c>
      <c r="T192" s="2">
        <v>39371.387999999999</v>
      </c>
      <c r="U192" s="2">
        <v>53125.277000000002</v>
      </c>
      <c r="V192" s="2">
        <v>64870.642</v>
      </c>
      <c r="W192" s="2">
        <v>93558.733999999997</v>
      </c>
      <c r="X192" s="34">
        <v>106884.73</v>
      </c>
      <c r="Y192" s="34">
        <v>130515.66800000001</v>
      </c>
      <c r="Z192" s="34">
        <v>144223.538</v>
      </c>
      <c r="AA192" s="237">
        <v>144223.538</v>
      </c>
      <c r="AB192" s="2"/>
    </row>
    <row r="193" spans="1:35" ht="15" customHeight="1">
      <c r="A193" s="199">
        <v>34</v>
      </c>
      <c r="B193" s="200">
        <v>1</v>
      </c>
      <c r="C193" s="234">
        <v>12.914999999999999</v>
      </c>
      <c r="D193" s="234">
        <v>16.238</v>
      </c>
      <c r="E193" s="234">
        <v>23.045000000000002</v>
      </c>
      <c r="F193" s="234">
        <v>34.515000000000001</v>
      </c>
      <c r="G193" s="234">
        <v>50.322000000000003</v>
      </c>
      <c r="H193" s="234">
        <v>79.540000000000006</v>
      </c>
      <c r="I193" s="234">
        <v>130.90600000000001</v>
      </c>
      <c r="J193" s="234">
        <v>224.32499999999999</v>
      </c>
      <c r="K193" s="234">
        <v>394.904</v>
      </c>
      <c r="L193" s="234">
        <v>676.721</v>
      </c>
      <c r="M193" s="234">
        <v>1191.306</v>
      </c>
      <c r="N193" s="234">
        <v>2125.6190000000001</v>
      </c>
      <c r="O193" s="234">
        <v>3593.8139999999999</v>
      </c>
      <c r="P193" s="234">
        <v>6076.1109999999999</v>
      </c>
      <c r="Q193" s="234">
        <v>10135.565000000001</v>
      </c>
      <c r="R193" s="234">
        <v>15386.311</v>
      </c>
      <c r="S193" s="234">
        <v>23994.79</v>
      </c>
      <c r="T193" s="234">
        <v>34515.303</v>
      </c>
      <c r="U193" s="234">
        <v>54555.947999999997</v>
      </c>
      <c r="V193" s="235">
        <v>78475.997000000003</v>
      </c>
      <c r="W193" s="234"/>
      <c r="X193" s="2"/>
      <c r="Y193" s="2"/>
      <c r="Z193" s="2"/>
      <c r="AA193" s="2"/>
    </row>
    <row r="194" spans="1:35" ht="15" customHeight="1">
      <c r="A194" s="196">
        <v>34</v>
      </c>
      <c r="B194" s="201">
        <v>2</v>
      </c>
      <c r="C194" s="2">
        <v>35.314</v>
      </c>
      <c r="D194" s="2">
        <v>46.612000000000002</v>
      </c>
      <c r="E194" s="2">
        <v>60.752000000000002</v>
      </c>
      <c r="F194" s="2">
        <v>83.281000000000006</v>
      </c>
      <c r="G194" s="2">
        <v>120.075</v>
      </c>
      <c r="H194" s="2">
        <v>173.124</v>
      </c>
      <c r="I194" s="2">
        <v>272.65699999999998</v>
      </c>
      <c r="J194" s="2">
        <v>440.38799999999998</v>
      </c>
      <c r="K194" s="2">
        <v>702.38499999999999</v>
      </c>
      <c r="L194" s="2">
        <v>1134.4739999999999</v>
      </c>
      <c r="M194" s="2">
        <v>1764.3119999999999</v>
      </c>
      <c r="N194" s="2">
        <v>2709.422</v>
      </c>
      <c r="O194" s="2">
        <v>3487.1109999999999</v>
      </c>
      <c r="P194" s="2">
        <v>4488.0200000000004</v>
      </c>
      <c r="Q194" s="2">
        <v>5423.0870000000004</v>
      </c>
      <c r="R194" s="2">
        <v>7248.9309999999996</v>
      </c>
      <c r="S194" s="2">
        <v>9448.0560000000005</v>
      </c>
      <c r="T194" s="2">
        <v>13116.206</v>
      </c>
      <c r="U194" s="2">
        <v>22564.445</v>
      </c>
      <c r="V194" s="236">
        <v>44597.968000000001</v>
      </c>
      <c r="W194" s="2"/>
      <c r="X194" s="2"/>
    </row>
    <row r="195" spans="1:35" ht="15" customHeight="1">
      <c r="A195" s="196">
        <v>34</v>
      </c>
      <c r="B195" s="201">
        <v>3</v>
      </c>
      <c r="C195" s="2">
        <v>90.447999999999993</v>
      </c>
      <c r="D195" s="2">
        <v>112.73</v>
      </c>
      <c r="E195" s="2">
        <v>151.857</v>
      </c>
      <c r="F195" s="2">
        <v>212.67099999999999</v>
      </c>
      <c r="G195" s="2">
        <v>290.221</v>
      </c>
      <c r="H195" s="2">
        <v>417.11200000000002</v>
      </c>
      <c r="I195" s="2">
        <v>599.48400000000004</v>
      </c>
      <c r="J195" s="2">
        <v>872.827</v>
      </c>
      <c r="K195" s="2">
        <v>1321.163</v>
      </c>
      <c r="L195" s="2">
        <v>2025.865</v>
      </c>
      <c r="M195" s="2">
        <v>3027.002</v>
      </c>
      <c r="N195" s="2">
        <v>4641.5889999999999</v>
      </c>
      <c r="O195" s="2">
        <v>6935.3590000000004</v>
      </c>
      <c r="P195" s="2">
        <v>10634.643</v>
      </c>
      <c r="Q195" s="2">
        <v>15284.37</v>
      </c>
      <c r="R195" s="2">
        <v>20857.807000000001</v>
      </c>
      <c r="S195" s="2">
        <v>28097.252</v>
      </c>
      <c r="T195" s="2">
        <v>36406.71</v>
      </c>
      <c r="U195" s="2">
        <v>40908.574000000001</v>
      </c>
      <c r="V195" s="236"/>
      <c r="W195" s="2"/>
      <c r="X195" s="2"/>
    </row>
    <row r="196" spans="1:35" ht="15" customHeight="1">
      <c r="A196" s="196">
        <v>34</v>
      </c>
      <c r="B196" s="201">
        <v>4</v>
      </c>
      <c r="C196" s="2">
        <v>3445.652</v>
      </c>
      <c r="D196" s="2">
        <v>4025.1489999999999</v>
      </c>
      <c r="E196" s="2">
        <v>4825.5219999999999</v>
      </c>
      <c r="F196" s="2">
        <v>5422.2209999999995</v>
      </c>
      <c r="G196" s="2">
        <v>6252.6180000000004</v>
      </c>
      <c r="H196" s="2">
        <v>6935.3590000000004</v>
      </c>
      <c r="I196" s="2">
        <v>7894.5559999999996</v>
      </c>
      <c r="J196" s="2">
        <v>9103.5830000000005</v>
      </c>
      <c r="K196" s="2">
        <v>10097.629000000001</v>
      </c>
      <c r="L196" s="2">
        <v>11494.184999999999</v>
      </c>
      <c r="M196" s="2">
        <v>13254.485000000001</v>
      </c>
      <c r="N196" s="2">
        <v>14893.466</v>
      </c>
      <c r="O196" s="2">
        <v>17625.125</v>
      </c>
      <c r="P196" s="2">
        <v>19804.556</v>
      </c>
      <c r="Q196" s="2">
        <v>22837.564999999999</v>
      </c>
      <c r="R196" s="2">
        <v>25661.539000000001</v>
      </c>
      <c r="S196" s="2">
        <v>29591.526999999998</v>
      </c>
      <c r="T196" s="2">
        <v>31165.269</v>
      </c>
      <c r="U196" s="2">
        <v>31571.613000000001</v>
      </c>
      <c r="V196" s="236">
        <v>30368.205000000002</v>
      </c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5" ht="15" customHeight="1">
      <c r="A197" s="229">
        <v>35</v>
      </c>
      <c r="B197" s="74">
        <v>1</v>
      </c>
      <c r="C197" s="222">
        <v>0.45</v>
      </c>
      <c r="D197" s="222">
        <v>0.42</v>
      </c>
      <c r="E197" s="222">
        <v>0.41</v>
      </c>
      <c r="F197" s="222">
        <v>0.42</v>
      </c>
      <c r="G197" s="222">
        <v>0.41</v>
      </c>
      <c r="H197" s="222">
        <v>0.46</v>
      </c>
      <c r="I197" s="222">
        <v>0.44</v>
      </c>
      <c r="J197" s="222">
        <v>0.46</v>
      </c>
      <c r="K197" s="222">
        <v>0.5</v>
      </c>
      <c r="L197" s="222">
        <v>0.45</v>
      </c>
      <c r="M197" s="222">
        <v>0.45</v>
      </c>
      <c r="N197" s="222">
        <v>0.55000000000000004</v>
      </c>
      <c r="O197" s="222">
        <v>0.5</v>
      </c>
      <c r="P197" s="222">
        <v>0.45</v>
      </c>
      <c r="Q197" s="222">
        <v>0.44</v>
      </c>
      <c r="R197" s="222">
        <v>0.44</v>
      </c>
      <c r="S197" s="222">
        <v>0.49</v>
      </c>
      <c r="T197" s="222">
        <v>0.49</v>
      </c>
      <c r="U197" s="222">
        <v>0.52</v>
      </c>
      <c r="V197" s="222">
        <v>0.56999999999999995</v>
      </c>
      <c r="W197" s="222">
        <v>0.63</v>
      </c>
      <c r="X197" s="222">
        <v>0.68</v>
      </c>
      <c r="Y197" s="222">
        <v>0.75</v>
      </c>
      <c r="Z197" s="222">
        <v>0.83</v>
      </c>
      <c r="AA197" s="222">
        <v>0.82</v>
      </c>
      <c r="AB197" s="222">
        <v>0.95</v>
      </c>
      <c r="AC197" s="222">
        <v>0.97</v>
      </c>
      <c r="AD197" s="222">
        <v>0.98</v>
      </c>
      <c r="AE197" s="222">
        <v>0.97</v>
      </c>
      <c r="AF197" s="222">
        <v>1.36</v>
      </c>
      <c r="AG197" s="222">
        <v>1.33</v>
      </c>
      <c r="AH197" s="225">
        <v>2.4900000000000002</v>
      </c>
      <c r="AI197" s="2"/>
    </row>
    <row r="198" spans="1:35" ht="15" customHeight="1">
      <c r="A198" s="228">
        <v>35</v>
      </c>
      <c r="B198" s="75">
        <v>2</v>
      </c>
      <c r="C198" s="22">
        <v>0.49</v>
      </c>
      <c r="D198" s="22">
        <v>0.48</v>
      </c>
      <c r="E198" s="22">
        <v>0.48</v>
      </c>
      <c r="F198" s="22">
        <v>0.46</v>
      </c>
      <c r="G198" s="22">
        <v>0.46</v>
      </c>
      <c r="H198" s="22">
        <v>0.43</v>
      </c>
      <c r="I198" s="22">
        <v>0.43</v>
      </c>
      <c r="J198" s="22">
        <v>0.43</v>
      </c>
      <c r="K198" s="22">
        <v>0.47</v>
      </c>
      <c r="L198" s="22">
        <v>0.44</v>
      </c>
      <c r="M198" s="22">
        <v>0.42</v>
      </c>
      <c r="N198" s="22">
        <v>0.43</v>
      </c>
      <c r="O198" s="22">
        <v>0.43</v>
      </c>
      <c r="P198" s="22">
        <v>0.43</v>
      </c>
      <c r="Q198" s="22">
        <v>0.42</v>
      </c>
      <c r="R198" s="22">
        <v>0.48</v>
      </c>
      <c r="S198" s="22">
        <v>0.53</v>
      </c>
      <c r="T198" s="22">
        <v>0.62</v>
      </c>
      <c r="U198" s="22">
        <v>0.56000000000000005</v>
      </c>
      <c r="V198" s="22">
        <v>0.52</v>
      </c>
      <c r="W198" s="22">
        <v>0.49</v>
      </c>
      <c r="X198" s="22">
        <v>0.59</v>
      </c>
      <c r="Y198" s="22">
        <v>0.57999999999999996</v>
      </c>
      <c r="Z198" s="22">
        <v>0.7</v>
      </c>
      <c r="AA198" s="22">
        <v>0.76</v>
      </c>
      <c r="AB198" s="22">
        <v>0.89</v>
      </c>
      <c r="AC198" s="22">
        <v>0.93</v>
      </c>
      <c r="AD198" s="22">
        <v>0.98</v>
      </c>
      <c r="AE198" s="22">
        <v>0.92</v>
      </c>
      <c r="AF198" s="22">
        <v>1.3</v>
      </c>
      <c r="AG198" s="22">
        <v>1.44</v>
      </c>
      <c r="AH198" s="226">
        <v>2.58</v>
      </c>
      <c r="AI198" s="2"/>
    </row>
    <row r="199" spans="1:35" ht="15" customHeight="1">
      <c r="A199" s="228">
        <v>35</v>
      </c>
      <c r="B199" s="75">
        <v>3</v>
      </c>
      <c r="C199" s="22">
        <v>0.16</v>
      </c>
      <c r="D199" s="22">
        <v>0.16</v>
      </c>
      <c r="E199" s="22">
        <v>0.16</v>
      </c>
      <c r="F199" s="22">
        <v>0.16</v>
      </c>
      <c r="G199" s="22">
        <v>0.16</v>
      </c>
      <c r="H199" s="22">
        <v>0.17</v>
      </c>
      <c r="I199" s="22">
        <v>0.17</v>
      </c>
      <c r="J199" s="22">
        <v>0.18</v>
      </c>
      <c r="K199" s="22">
        <v>0.19</v>
      </c>
      <c r="L199" s="22">
        <v>0.2</v>
      </c>
      <c r="M199" s="22">
        <v>0.21</v>
      </c>
      <c r="N199" s="22">
        <v>0.21</v>
      </c>
      <c r="O199" s="22">
        <v>0.22</v>
      </c>
      <c r="P199" s="22">
        <v>0.23</v>
      </c>
      <c r="Q199" s="22">
        <v>0.25</v>
      </c>
      <c r="R199" s="22">
        <v>0.25</v>
      </c>
      <c r="S199" s="22">
        <v>0.24</v>
      </c>
      <c r="T199" s="22">
        <v>0.24</v>
      </c>
      <c r="U199" s="22">
        <v>0.28000000000000003</v>
      </c>
      <c r="V199" s="22">
        <v>0.28000000000000003</v>
      </c>
      <c r="W199" s="22">
        <v>0.31</v>
      </c>
      <c r="X199" s="22">
        <v>0.31</v>
      </c>
      <c r="Y199" s="22">
        <v>0.32</v>
      </c>
      <c r="Z199" s="22">
        <v>0.35</v>
      </c>
      <c r="AA199" s="22">
        <v>0.34</v>
      </c>
      <c r="AB199" s="22">
        <v>0.38</v>
      </c>
      <c r="AC199" s="22">
        <v>0.39</v>
      </c>
      <c r="AD199" s="22">
        <v>0.43</v>
      </c>
      <c r="AE199" s="22">
        <v>0.47</v>
      </c>
      <c r="AF199" s="22">
        <v>0.53</v>
      </c>
      <c r="AG199" s="22">
        <v>0.56999999999999995</v>
      </c>
      <c r="AH199" s="226">
        <v>0.8</v>
      </c>
      <c r="AI199" s="2"/>
    </row>
    <row r="200" spans="1:35" ht="15" customHeight="1">
      <c r="A200" s="230">
        <v>35</v>
      </c>
      <c r="B200" s="231">
        <v>4</v>
      </c>
      <c r="C200" s="30">
        <v>1.04</v>
      </c>
      <c r="D200" s="30">
        <v>1.06</v>
      </c>
      <c r="E200" s="30">
        <v>0.98</v>
      </c>
      <c r="F200" s="30">
        <v>0.98</v>
      </c>
      <c r="G200" s="30">
        <v>1.19</v>
      </c>
      <c r="H200" s="30">
        <v>1.25</v>
      </c>
      <c r="I200" s="30">
        <v>1.1299999999999999</v>
      </c>
      <c r="J200" s="30">
        <v>1.22</v>
      </c>
      <c r="K200" s="30">
        <v>1.38</v>
      </c>
      <c r="L200" s="30">
        <v>1.36</v>
      </c>
      <c r="M200" s="30">
        <v>1.38</v>
      </c>
      <c r="N200" s="30">
        <v>1.53</v>
      </c>
      <c r="O200" s="30">
        <v>1.44</v>
      </c>
      <c r="P200" s="30">
        <v>1.53</v>
      </c>
      <c r="Q200" s="30">
        <v>1.67</v>
      </c>
      <c r="R200" s="30">
        <v>1.66</v>
      </c>
      <c r="S200" s="30">
        <v>1.7</v>
      </c>
      <c r="T200" s="30">
        <v>1.66</v>
      </c>
      <c r="U200" s="30">
        <v>1.81</v>
      </c>
      <c r="V200" s="30">
        <v>1.61</v>
      </c>
      <c r="W200" s="30">
        <v>1.7</v>
      </c>
      <c r="X200" s="30">
        <v>1.83</v>
      </c>
      <c r="Y200" s="30">
        <v>1.72</v>
      </c>
      <c r="Z200" s="30">
        <v>1.67</v>
      </c>
      <c r="AA200" s="30">
        <v>1.88</v>
      </c>
      <c r="AB200" s="30">
        <v>2.0099999999999998</v>
      </c>
      <c r="AC200" s="30">
        <v>2.2599999999999998</v>
      </c>
      <c r="AD200" s="30">
        <v>2.74</v>
      </c>
      <c r="AE200" s="30">
        <v>2.84</v>
      </c>
      <c r="AF200" s="30">
        <v>3.25</v>
      </c>
      <c r="AG200" s="30">
        <v>4.2</v>
      </c>
      <c r="AH200" s="232">
        <v>5.38</v>
      </c>
      <c r="AI200" s="2"/>
    </row>
    <row r="201" spans="1:35" ht="15" customHeight="1">
      <c r="A201" s="228">
        <v>36</v>
      </c>
      <c r="B201" s="75">
        <v>1</v>
      </c>
      <c r="C201" s="162">
        <v>4.0170000000000003</v>
      </c>
      <c r="D201" s="162">
        <v>3.4380000000000002</v>
      </c>
      <c r="E201" s="162">
        <v>2.5880000000000001</v>
      </c>
      <c r="F201" s="162">
        <v>1.9830000000000001</v>
      </c>
      <c r="G201" s="162">
        <v>1.5449999999999999</v>
      </c>
      <c r="H201" s="162">
        <v>1.3260000000000001</v>
      </c>
      <c r="I201" s="22">
        <v>0.96599999999999997</v>
      </c>
      <c r="J201" s="22">
        <v>0.60499999999999998</v>
      </c>
      <c r="K201" s="22">
        <v>0.38600000000000001</v>
      </c>
      <c r="L201" s="22">
        <v>0.309</v>
      </c>
      <c r="M201" s="22">
        <v>0.219</v>
      </c>
      <c r="N201" s="226">
        <v>0.14199999999999999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spans="1:35" ht="15" customHeight="1">
      <c r="A202" s="228">
        <v>36</v>
      </c>
      <c r="B202" s="75">
        <v>2</v>
      </c>
      <c r="C202" s="162">
        <v>8.343</v>
      </c>
      <c r="D202" s="162">
        <v>8.0730000000000004</v>
      </c>
      <c r="E202" s="162">
        <v>7.532</v>
      </c>
      <c r="F202" s="162">
        <v>6.1159999999999997</v>
      </c>
      <c r="G202" s="162">
        <v>4.9180000000000001</v>
      </c>
      <c r="H202" s="162">
        <v>4.1970000000000001</v>
      </c>
      <c r="I202" s="22">
        <v>3.27</v>
      </c>
      <c r="J202" s="162">
        <v>2.2919999999999998</v>
      </c>
      <c r="K202" s="162">
        <v>1.7769999999999999</v>
      </c>
      <c r="L202" s="162">
        <v>1.3779999999999999</v>
      </c>
      <c r="M202" s="162">
        <v>1.0169999999999999</v>
      </c>
      <c r="N202" s="226">
        <v>0.502</v>
      </c>
      <c r="O202" s="2"/>
    </row>
    <row r="203" spans="1:35" ht="15" customHeight="1">
      <c r="A203" s="228">
        <v>36</v>
      </c>
      <c r="B203" s="75">
        <v>3</v>
      </c>
      <c r="C203" s="162">
        <v>5.3819999999999997</v>
      </c>
      <c r="D203" s="162">
        <v>4.8029999999999999</v>
      </c>
      <c r="E203" s="22">
        <v>3.85</v>
      </c>
      <c r="F203" s="162">
        <v>3.258</v>
      </c>
      <c r="G203" s="162">
        <v>2.742</v>
      </c>
      <c r="H203" s="162">
        <v>2.2269999999999999</v>
      </c>
      <c r="I203" s="162">
        <v>1.609</v>
      </c>
      <c r="J203" s="162">
        <v>1.1970000000000001</v>
      </c>
      <c r="K203" s="22">
        <v>0.94</v>
      </c>
      <c r="L203" s="22">
        <v>0.72099999999999997</v>
      </c>
      <c r="M203" s="22">
        <v>0.51500000000000001</v>
      </c>
      <c r="N203" s="226">
        <v>0.33500000000000002</v>
      </c>
      <c r="O203" s="2"/>
    </row>
    <row r="204" spans="1:35" ht="15" customHeight="1">
      <c r="A204" s="228">
        <v>36</v>
      </c>
      <c r="B204" s="75">
        <v>4</v>
      </c>
      <c r="C204" s="162">
        <v>7.4029999999999996</v>
      </c>
      <c r="D204" s="162">
        <v>7.1970000000000001</v>
      </c>
      <c r="E204" s="162">
        <v>6.6950000000000003</v>
      </c>
      <c r="F204" s="162">
        <v>5.524</v>
      </c>
      <c r="G204" s="162">
        <v>4.4160000000000004</v>
      </c>
      <c r="H204" s="162">
        <v>3.7730000000000001</v>
      </c>
      <c r="I204" s="22">
        <v>2.82</v>
      </c>
      <c r="J204" s="162">
        <v>2112</v>
      </c>
      <c r="K204" s="162">
        <v>1.6479999999999999</v>
      </c>
      <c r="L204" s="162">
        <v>1.236</v>
      </c>
      <c r="M204" s="22">
        <v>0.88800000000000001</v>
      </c>
      <c r="N204" s="226">
        <v>0.45100000000000001</v>
      </c>
      <c r="O204" s="2"/>
    </row>
    <row r="205" spans="1:35" ht="15" customHeight="1">
      <c r="A205" s="229">
        <v>37</v>
      </c>
      <c r="B205" s="200">
        <v>1</v>
      </c>
      <c r="C205" s="234">
        <v>3774.82</v>
      </c>
      <c r="D205" s="234">
        <v>3498.5610000000001</v>
      </c>
      <c r="E205" s="234">
        <v>3135.971</v>
      </c>
      <c r="F205" s="234">
        <v>2796.4029999999998</v>
      </c>
      <c r="G205" s="234">
        <v>2537.41</v>
      </c>
      <c r="H205" s="234">
        <v>2261.1509999999998</v>
      </c>
      <c r="I205" s="234">
        <v>1921.5830000000001</v>
      </c>
      <c r="J205" s="234">
        <v>1570.5039999999999</v>
      </c>
      <c r="K205" s="234">
        <v>1288.489</v>
      </c>
      <c r="L205" s="234">
        <v>1023.741</v>
      </c>
      <c r="M205" s="234">
        <v>799.28099999999995</v>
      </c>
      <c r="N205" s="234">
        <v>551.79899999999998</v>
      </c>
      <c r="O205" s="235">
        <v>402.15800000000002</v>
      </c>
      <c r="P205" s="2"/>
    </row>
    <row r="206" spans="1:35" ht="15" customHeight="1">
      <c r="A206" s="228">
        <v>37</v>
      </c>
      <c r="B206" s="201">
        <v>2</v>
      </c>
      <c r="C206" s="2">
        <v>3820.8629999999998</v>
      </c>
      <c r="D206" s="2">
        <v>3579.1370000000002</v>
      </c>
      <c r="E206" s="2">
        <v>3245.3240000000001</v>
      </c>
      <c r="F206" s="2">
        <v>2934.5320000000002</v>
      </c>
      <c r="G206" s="2">
        <v>2664.029</v>
      </c>
      <c r="H206" s="2">
        <v>2416.547</v>
      </c>
      <c r="I206" s="2">
        <v>2094.2449999999999</v>
      </c>
      <c r="J206" s="2">
        <v>1714.3879999999999</v>
      </c>
      <c r="K206" s="2">
        <v>1403.597</v>
      </c>
      <c r="L206" s="2">
        <v>1138.8489999999999</v>
      </c>
      <c r="M206" s="2">
        <v>885.61199999999997</v>
      </c>
      <c r="N206" s="2">
        <v>592.08600000000001</v>
      </c>
      <c r="O206" s="236"/>
      <c r="P206" s="2"/>
    </row>
    <row r="207" spans="1:35" ht="15" customHeight="1">
      <c r="A207" s="228">
        <v>37</v>
      </c>
      <c r="B207" s="201">
        <v>3</v>
      </c>
      <c r="C207" s="2">
        <v>3475.54</v>
      </c>
      <c r="D207" s="2">
        <v>3302.8780000000002</v>
      </c>
      <c r="E207" s="2">
        <v>2974.82</v>
      </c>
      <c r="F207" s="2">
        <v>2652.518</v>
      </c>
      <c r="G207" s="2">
        <v>2376.259</v>
      </c>
      <c r="H207" s="2">
        <v>2140.288</v>
      </c>
      <c r="I207" s="2">
        <v>1829.4960000000001</v>
      </c>
      <c r="J207" s="2">
        <v>1478.4169999999999</v>
      </c>
      <c r="K207" s="2">
        <v>1173.3810000000001</v>
      </c>
      <c r="L207" s="2">
        <v>879.85599999999999</v>
      </c>
      <c r="M207" s="2">
        <v>563.30899999999997</v>
      </c>
      <c r="N207" s="2">
        <v>356.11500000000001</v>
      </c>
      <c r="O207" s="236"/>
      <c r="P207" s="2"/>
    </row>
    <row r="208" spans="1:35" ht="15" customHeight="1">
      <c r="A208" s="228">
        <v>37</v>
      </c>
      <c r="B208" s="201">
        <v>4</v>
      </c>
      <c r="C208" s="2">
        <v>3999.2809999999999</v>
      </c>
      <c r="D208" s="2">
        <v>3820.8629999999998</v>
      </c>
      <c r="E208" s="2">
        <v>3481.2950000000001</v>
      </c>
      <c r="F208" s="2">
        <v>3124.46</v>
      </c>
      <c r="G208" s="2">
        <v>2836.6909999999998</v>
      </c>
      <c r="H208" s="2">
        <v>2589.2089999999998</v>
      </c>
      <c r="I208" s="2">
        <v>2232.3739999999998</v>
      </c>
      <c r="J208" s="2">
        <v>1846.7629999999999</v>
      </c>
      <c r="K208" s="2">
        <v>1564.748</v>
      </c>
      <c r="L208" s="2">
        <v>1265.4680000000001</v>
      </c>
      <c r="M208" s="2">
        <v>1052.518</v>
      </c>
      <c r="N208" s="2">
        <v>822.30200000000002</v>
      </c>
      <c r="O208" s="236">
        <v>523.02200000000005</v>
      </c>
      <c r="P208" s="2"/>
    </row>
    <row r="209" spans="1:16" ht="15" customHeight="1">
      <c r="A209" s="228">
        <v>37</v>
      </c>
      <c r="B209" s="201">
        <v>5</v>
      </c>
      <c r="C209" s="2">
        <v>3653.9569999999999</v>
      </c>
      <c r="D209" s="2">
        <v>3510.0720000000001</v>
      </c>
      <c r="E209" s="2">
        <v>3205.0360000000001</v>
      </c>
      <c r="F209" s="2">
        <v>2894.2449999999999</v>
      </c>
      <c r="G209" s="2">
        <v>2612.23</v>
      </c>
      <c r="H209" s="2">
        <v>2393.5250000000001</v>
      </c>
      <c r="I209" s="2">
        <v>2082.7339999999999</v>
      </c>
      <c r="J209" s="2">
        <v>1708.633</v>
      </c>
      <c r="K209" s="2">
        <v>1426.6189999999999</v>
      </c>
      <c r="L209" s="2">
        <v>1069.7840000000001</v>
      </c>
      <c r="M209" s="2">
        <v>701.43899999999996</v>
      </c>
      <c r="N209" s="2">
        <v>448.20100000000002</v>
      </c>
      <c r="O209" s="236">
        <v>287.05</v>
      </c>
      <c r="P209" s="2"/>
    </row>
    <row r="210" spans="1:16" ht="15" customHeight="1">
      <c r="A210" s="228">
        <v>37</v>
      </c>
      <c r="B210" s="201">
        <v>6</v>
      </c>
      <c r="C210" s="2">
        <v>4315.8270000000002</v>
      </c>
      <c r="D210" s="2">
        <v>4171.942</v>
      </c>
      <c r="E210" s="2">
        <v>3838.1289999999999</v>
      </c>
      <c r="F210" s="2">
        <v>3475.54</v>
      </c>
      <c r="G210" s="2">
        <v>3130.2159999999999</v>
      </c>
      <c r="H210" s="2">
        <v>2848.201</v>
      </c>
      <c r="I210" s="2">
        <v>2479.8560000000002</v>
      </c>
      <c r="J210" s="2">
        <v>2036.691</v>
      </c>
      <c r="K210" s="2">
        <v>1593.5250000000001</v>
      </c>
      <c r="L210" s="2">
        <v>1017.986</v>
      </c>
      <c r="M210" s="2">
        <v>626.61900000000003</v>
      </c>
      <c r="N210" s="2">
        <v>384.892</v>
      </c>
      <c r="O210" s="236"/>
      <c r="P210" s="2"/>
    </row>
    <row r="211" spans="1:16" ht="15" customHeight="1">
      <c r="A211" s="230">
        <v>37</v>
      </c>
      <c r="B211" s="202">
        <v>7</v>
      </c>
      <c r="C211" s="34">
        <v>3918.7049999999999</v>
      </c>
      <c r="D211" s="34">
        <v>3746.0430000000001</v>
      </c>
      <c r="E211" s="34">
        <v>3458.2730000000001</v>
      </c>
      <c r="F211" s="34">
        <v>3158.9929999999999</v>
      </c>
      <c r="G211" s="34">
        <v>2923.0219999999999</v>
      </c>
      <c r="H211" s="34">
        <v>2692.806</v>
      </c>
      <c r="I211" s="34">
        <v>2428.058</v>
      </c>
      <c r="J211" s="34">
        <v>2030.9349999999999</v>
      </c>
      <c r="K211" s="34">
        <v>1668.345</v>
      </c>
      <c r="L211" s="34">
        <v>1305.7550000000001</v>
      </c>
      <c r="M211" s="34">
        <v>1029.4960000000001</v>
      </c>
      <c r="N211" s="34">
        <v>810.79100000000005</v>
      </c>
      <c r="O211" s="237">
        <v>643.88499999999999</v>
      </c>
      <c r="P211" s="2"/>
    </row>
    <row r="212" spans="1:16" ht="15" customHeight="1">
      <c r="A212" s="229">
        <v>38</v>
      </c>
      <c r="B212" s="74">
        <v>1</v>
      </c>
      <c r="C212" s="2"/>
      <c r="D212" s="2"/>
      <c r="E212" s="116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6" ht="15" customHeight="1">
      <c r="A213" s="228">
        <v>38</v>
      </c>
      <c r="B213" s="75">
        <v>2</v>
      </c>
      <c r="E213" s="116"/>
    </row>
    <row r="214" spans="1:16" ht="15" customHeight="1">
      <c r="A214" s="228">
        <v>38</v>
      </c>
      <c r="B214" s="75">
        <v>3</v>
      </c>
      <c r="E214" s="116"/>
    </row>
    <row r="215" spans="1:16" ht="15" customHeight="1">
      <c r="A215" s="228">
        <v>38</v>
      </c>
      <c r="B215" s="75">
        <v>4</v>
      </c>
    </row>
    <row r="216" spans="1:16" ht="15" customHeight="1">
      <c r="A216" s="228">
        <v>38</v>
      </c>
      <c r="B216" s="75">
        <v>5</v>
      </c>
    </row>
    <row r="217" spans="1:16" ht="15" customHeight="1">
      <c r="A217" s="228">
        <v>38</v>
      </c>
      <c r="B217" s="75">
        <v>6</v>
      </c>
    </row>
    <row r="218" spans="1:16" ht="15" customHeight="1">
      <c r="A218" s="229">
        <v>39</v>
      </c>
      <c r="B218" s="74">
        <v>1</v>
      </c>
    </row>
    <row r="219" spans="1:16" ht="15" customHeight="1">
      <c r="A219" s="228">
        <v>39</v>
      </c>
      <c r="B219" s="75">
        <v>2</v>
      </c>
    </row>
    <row r="220" spans="1:16" ht="15" customHeight="1">
      <c r="A220" s="228">
        <v>39</v>
      </c>
      <c r="B220" s="75">
        <v>3</v>
      </c>
    </row>
    <row r="221" spans="1:16" ht="15" customHeight="1">
      <c r="A221" s="228">
        <v>39</v>
      </c>
      <c r="B221" s="75">
        <v>4</v>
      </c>
    </row>
    <row r="222" spans="1:16" ht="15" customHeight="1">
      <c r="A222" s="228">
        <v>39</v>
      </c>
      <c r="B222" s="75">
        <v>5</v>
      </c>
      <c r="E222" s="116"/>
    </row>
    <row r="223" spans="1:16" ht="15" customHeight="1">
      <c r="A223" s="228">
        <v>39</v>
      </c>
      <c r="B223" s="75">
        <v>6</v>
      </c>
      <c r="E223" s="116"/>
    </row>
    <row r="224" spans="1:16" ht="15" customHeight="1">
      <c r="A224" s="228">
        <v>39</v>
      </c>
      <c r="B224" s="75">
        <v>7</v>
      </c>
      <c r="E224" s="116"/>
    </row>
    <row r="225" spans="1:27" ht="15" customHeight="1">
      <c r="A225" s="228">
        <v>39</v>
      </c>
      <c r="B225" s="75">
        <v>8</v>
      </c>
      <c r="C225" s="2"/>
      <c r="D225" s="2"/>
      <c r="E225" s="116"/>
      <c r="F225" s="2"/>
      <c r="G225" s="2"/>
      <c r="H225" s="2"/>
    </row>
    <row r="226" spans="1:27" ht="15" customHeight="1">
      <c r="A226" s="229">
        <v>40</v>
      </c>
      <c r="B226" s="74">
        <v>1</v>
      </c>
      <c r="C226" s="376">
        <v>1953.087</v>
      </c>
      <c r="D226" s="376">
        <v>1622.9649999999999</v>
      </c>
      <c r="E226" s="376">
        <v>7.45</v>
      </c>
      <c r="F226" s="376">
        <v>2.2519999999999998</v>
      </c>
      <c r="G226" s="376">
        <v>1.3879999999999999</v>
      </c>
      <c r="H226" s="386">
        <v>0.95799999999999996</v>
      </c>
      <c r="I226" s="2"/>
    </row>
    <row r="227" spans="1:27" ht="15" customHeight="1">
      <c r="A227" s="228">
        <v>40</v>
      </c>
      <c r="B227" s="75">
        <v>2</v>
      </c>
      <c r="C227" s="97">
        <v>2127.3310000000001</v>
      </c>
      <c r="D227" s="97">
        <v>1818.837</v>
      </c>
      <c r="E227" s="97">
        <v>13.942</v>
      </c>
      <c r="F227" s="97">
        <v>3.7069999999999999</v>
      </c>
      <c r="G227" s="97">
        <v>2.35</v>
      </c>
      <c r="H227" s="387">
        <v>1.49</v>
      </c>
      <c r="I227" s="2"/>
    </row>
    <row r="228" spans="1:27" ht="15" customHeight="1">
      <c r="A228" s="228">
        <v>40</v>
      </c>
      <c r="B228" s="75">
        <v>3</v>
      </c>
      <c r="C228" s="97">
        <v>2384.0729999999999</v>
      </c>
      <c r="D228" s="97">
        <v>1981.104</v>
      </c>
      <c r="E228" s="97">
        <v>31.398</v>
      </c>
      <c r="F228" s="97">
        <v>11.101000000000001</v>
      </c>
      <c r="G228" s="97">
        <v>6.84</v>
      </c>
      <c r="H228" s="387">
        <v>4.59</v>
      </c>
      <c r="I228" s="2"/>
      <c r="L228" s="116"/>
    </row>
    <row r="229" spans="1:27" ht="15" customHeight="1">
      <c r="A229" s="228">
        <v>40</v>
      </c>
      <c r="B229" s="75">
        <v>4</v>
      </c>
      <c r="C229" s="97">
        <v>2523.84</v>
      </c>
      <c r="D229" s="97">
        <v>2252.0459999999998</v>
      </c>
      <c r="E229" s="97">
        <v>74.855999999999995</v>
      </c>
      <c r="F229" s="97">
        <v>22.952000000000002</v>
      </c>
      <c r="G229" s="97">
        <v>15.186</v>
      </c>
      <c r="H229" s="387">
        <v>10.048</v>
      </c>
      <c r="I229" s="2"/>
      <c r="L229" s="116"/>
    </row>
    <row r="230" spans="1:27" ht="15" customHeight="1">
      <c r="A230" s="230">
        <v>40</v>
      </c>
      <c r="B230" s="231">
        <v>5</v>
      </c>
      <c r="C230" s="102">
        <v>2560.0439999999999</v>
      </c>
      <c r="D230" s="102">
        <v>2220.1979999999999</v>
      </c>
      <c r="E230" s="102">
        <v>163.845</v>
      </c>
      <c r="F230" s="102">
        <v>67.753</v>
      </c>
      <c r="G230" s="102">
        <v>44.828000000000003</v>
      </c>
      <c r="H230" s="388">
        <v>31.398</v>
      </c>
      <c r="I230" s="97"/>
      <c r="J230" s="2"/>
      <c r="K230" s="2"/>
      <c r="L230" s="116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7" ht="15" customHeight="1">
      <c r="A231" s="196">
        <v>41</v>
      </c>
      <c r="B231" s="201">
        <v>1</v>
      </c>
      <c r="C231" s="2">
        <v>0.43099999999999999</v>
      </c>
      <c r="D231" s="2">
        <v>0.82899999999999996</v>
      </c>
      <c r="E231" s="2">
        <v>1.4950000000000001</v>
      </c>
      <c r="F231" s="2">
        <v>2.8140000000000001</v>
      </c>
      <c r="G231" s="2">
        <v>4.8540000000000001</v>
      </c>
      <c r="H231" s="2">
        <v>9.1359999999999992</v>
      </c>
      <c r="I231" s="234">
        <v>15.087999999999999</v>
      </c>
      <c r="J231" s="234">
        <v>27.187999999999999</v>
      </c>
      <c r="K231" s="234">
        <v>45.889000000000003</v>
      </c>
      <c r="L231" s="234">
        <v>79.161000000000001</v>
      </c>
      <c r="M231" s="234">
        <v>152.29300000000001</v>
      </c>
      <c r="N231" s="234">
        <v>257.048</v>
      </c>
      <c r="O231" s="234">
        <v>463.19600000000003</v>
      </c>
      <c r="P231" s="234">
        <v>764.93899999999996</v>
      </c>
      <c r="Q231" s="234">
        <v>1263.248</v>
      </c>
      <c r="R231" s="234">
        <v>1997.1279999999999</v>
      </c>
      <c r="S231" s="234">
        <v>3022.5880000000002</v>
      </c>
      <c r="T231" s="234">
        <v>4475.8919999999998</v>
      </c>
      <c r="U231" s="234">
        <v>7076.15</v>
      </c>
      <c r="V231" s="234">
        <v>10031.207</v>
      </c>
      <c r="W231" s="234">
        <v>14533.880999999999</v>
      </c>
      <c r="X231" s="234">
        <v>21521.982</v>
      </c>
      <c r="Y231" s="234">
        <v>29207.468000000001</v>
      </c>
      <c r="Z231" s="235">
        <v>36325.911</v>
      </c>
      <c r="AA231" s="2"/>
    </row>
    <row r="232" spans="1:27" ht="15" customHeight="1">
      <c r="A232" s="196">
        <v>41</v>
      </c>
      <c r="B232" s="201">
        <v>2</v>
      </c>
      <c r="C232" s="2">
        <v>98.453999999999994</v>
      </c>
      <c r="D232" s="2">
        <v>112.21899999999999</v>
      </c>
      <c r="E232" s="2">
        <v>145.792</v>
      </c>
      <c r="F232" s="2">
        <v>189.41</v>
      </c>
      <c r="G232" s="2">
        <v>230.49</v>
      </c>
      <c r="H232" s="2">
        <v>312.798</v>
      </c>
      <c r="I232" s="2">
        <v>406.37900000000002</v>
      </c>
      <c r="J232" s="2">
        <v>527.95600000000002</v>
      </c>
      <c r="K232" s="2">
        <v>685.90700000000004</v>
      </c>
      <c r="L232" s="2">
        <v>853.07600000000002</v>
      </c>
      <c r="M232" s="2">
        <v>1060.9880000000001</v>
      </c>
      <c r="N232" s="2">
        <v>1471.615</v>
      </c>
      <c r="O232" s="2">
        <v>1830.277</v>
      </c>
      <c r="P232" s="2">
        <v>2326.547</v>
      </c>
      <c r="Q232" s="2">
        <v>3298.1309999999999</v>
      </c>
      <c r="R232" s="2">
        <v>4675.4570000000003</v>
      </c>
      <c r="S232" s="2">
        <v>6208.1679999999997</v>
      </c>
      <c r="T232" s="2">
        <v>7891.4769999999999</v>
      </c>
      <c r="U232" s="2">
        <v>11187.022000000001</v>
      </c>
      <c r="V232" s="2">
        <v>15181.9</v>
      </c>
      <c r="W232" s="2">
        <v>21057.654999999999</v>
      </c>
      <c r="X232" s="2">
        <v>29207.468000000001</v>
      </c>
      <c r="Y232" s="2">
        <v>39637.434999999998</v>
      </c>
      <c r="Z232" s="236">
        <v>47193.656000000003</v>
      </c>
      <c r="AA232" s="2"/>
    </row>
    <row r="233" spans="1:27" ht="15" customHeight="1">
      <c r="A233" s="196">
        <v>41</v>
      </c>
      <c r="B233" s="201">
        <v>3</v>
      </c>
      <c r="C233" s="2">
        <v>1408.8009999999999</v>
      </c>
      <c r="D233" s="2">
        <v>1471.615</v>
      </c>
      <c r="E233" s="2">
        <v>1537.23</v>
      </c>
      <c r="F233" s="2">
        <v>1677.366</v>
      </c>
      <c r="G233" s="2">
        <v>1870.636</v>
      </c>
      <c r="H233" s="2">
        <v>2377.848</v>
      </c>
      <c r="I233" s="2">
        <v>2770.0639999999999</v>
      </c>
      <c r="J233" s="2">
        <v>3521.1509999999998</v>
      </c>
      <c r="K233" s="2">
        <v>4574.5860000000002</v>
      </c>
      <c r="L233" s="2">
        <v>5566.7560000000003</v>
      </c>
      <c r="M233" s="2">
        <v>6774.1139999999996</v>
      </c>
      <c r="N233" s="2">
        <v>8610.8770000000004</v>
      </c>
      <c r="O233" s="2">
        <v>10478.466</v>
      </c>
      <c r="P233" s="2">
        <v>13319.642</v>
      </c>
      <c r="Q233" s="2">
        <v>16931.187000000002</v>
      </c>
      <c r="R233" s="2">
        <v>22481.578000000001</v>
      </c>
      <c r="S233" s="2">
        <v>29207.468000000001</v>
      </c>
      <c r="T233" s="2">
        <v>37126.906999999999</v>
      </c>
      <c r="U233" s="2">
        <v>51495.902000000002</v>
      </c>
      <c r="V233" s="2">
        <v>71426.038</v>
      </c>
      <c r="W233" s="2">
        <v>92794.808999999994</v>
      </c>
      <c r="X233" s="2">
        <v>128708.603</v>
      </c>
      <c r="Y233" s="2">
        <v>163607.209</v>
      </c>
      <c r="Z233" s="236">
        <v>217241.01</v>
      </c>
      <c r="AA233" s="2"/>
    </row>
    <row r="234" spans="1:27" ht="15" customHeight="1">
      <c r="A234" s="196">
        <v>41</v>
      </c>
      <c r="B234" s="201">
        <v>4</v>
      </c>
      <c r="C234" s="2">
        <v>15181.9</v>
      </c>
      <c r="D234" s="2">
        <v>14220.319</v>
      </c>
      <c r="E234" s="2">
        <v>13032.277</v>
      </c>
      <c r="F234" s="2">
        <v>11685.815000000001</v>
      </c>
      <c r="G234" s="2">
        <v>11187.022000000001</v>
      </c>
      <c r="H234" s="2">
        <v>11187.022000000001</v>
      </c>
      <c r="I234" s="2">
        <v>10945.666999999999</v>
      </c>
      <c r="J234" s="2">
        <v>11433.699000000001</v>
      </c>
      <c r="K234" s="2">
        <v>11433.699000000001</v>
      </c>
      <c r="L234" s="2">
        <v>12476.012000000001</v>
      </c>
      <c r="M234" s="2">
        <v>13913.522000000001</v>
      </c>
      <c r="N234" s="2">
        <v>15181.9</v>
      </c>
      <c r="O234" s="2">
        <v>16931.187000000002</v>
      </c>
      <c r="P234" s="2">
        <v>18882.030999999999</v>
      </c>
      <c r="Q234" s="2">
        <v>21521.982</v>
      </c>
      <c r="R234" s="2">
        <v>24001.787</v>
      </c>
      <c r="S234" s="2">
        <v>26189.826000000001</v>
      </c>
      <c r="T234" s="2">
        <v>32572.809000000001</v>
      </c>
      <c r="U234" s="2">
        <v>37126.906999999999</v>
      </c>
      <c r="V234" s="2">
        <v>42317.726999999999</v>
      </c>
      <c r="W234" s="2">
        <v>52631.4</v>
      </c>
      <c r="X234" s="2">
        <v>65458.722000000002</v>
      </c>
      <c r="Y234" s="2">
        <v>101254.124</v>
      </c>
      <c r="Z234" s="236">
        <v>194796.215</v>
      </c>
      <c r="AA234" s="2"/>
    </row>
    <row r="235" spans="1:27" ht="15" customHeight="1">
      <c r="A235" s="196">
        <v>41</v>
      </c>
      <c r="B235" s="201">
        <v>5</v>
      </c>
      <c r="C235" s="2">
        <v>48234.29</v>
      </c>
      <c r="D235" s="2">
        <v>45179.258999999998</v>
      </c>
      <c r="E235" s="2">
        <v>45179.258999999998</v>
      </c>
      <c r="F235" s="2">
        <v>43250.843999999997</v>
      </c>
      <c r="G235" s="2">
        <v>41404.741000000002</v>
      </c>
      <c r="H235" s="2">
        <v>40511.451999999997</v>
      </c>
      <c r="I235" s="2">
        <v>37945.565000000002</v>
      </c>
      <c r="J235" s="2">
        <v>37945.565000000002</v>
      </c>
      <c r="K235" s="2">
        <v>38782.275999999998</v>
      </c>
      <c r="L235" s="2">
        <v>39637.434999999998</v>
      </c>
      <c r="M235" s="2">
        <v>38782.275999999998</v>
      </c>
      <c r="N235" s="2">
        <v>40511.451999999997</v>
      </c>
      <c r="O235" s="2">
        <v>40511.451999999997</v>
      </c>
      <c r="P235" s="2">
        <v>43250.843999999997</v>
      </c>
      <c r="Q235" s="2">
        <v>46175.474000000002</v>
      </c>
      <c r="R235" s="2">
        <v>45179.258999999998</v>
      </c>
      <c r="S235" s="2">
        <v>49297.868999999999</v>
      </c>
      <c r="T235" s="2">
        <v>52631.4</v>
      </c>
      <c r="U235" s="2">
        <v>54978.063999999998</v>
      </c>
      <c r="V235" s="2">
        <v>65458.722000000002</v>
      </c>
      <c r="W235" s="2">
        <v>76255.880999999994</v>
      </c>
      <c r="X235" s="2">
        <v>83207.482000000004</v>
      </c>
      <c r="Y235" s="2">
        <v>203481.54800000001</v>
      </c>
      <c r="Z235" s="236">
        <v>307962.59499999997</v>
      </c>
      <c r="AA235" s="2"/>
    </row>
    <row r="236" spans="1:27" ht="15" customHeight="1">
      <c r="A236" s="196">
        <v>41</v>
      </c>
      <c r="B236" s="201">
        <v>6</v>
      </c>
      <c r="C236" s="2">
        <v>222031.234</v>
      </c>
      <c r="D236" s="2">
        <v>222031.234</v>
      </c>
      <c r="E236" s="2">
        <v>203481.54800000001</v>
      </c>
      <c r="F236" s="2">
        <v>194796.215</v>
      </c>
      <c r="G236" s="2">
        <v>182458.34599999999</v>
      </c>
      <c r="H236" s="2">
        <v>170901.92499999999</v>
      </c>
      <c r="I236" s="2">
        <v>163607.209</v>
      </c>
      <c r="J236" s="2">
        <v>156623.85800000001</v>
      </c>
      <c r="K236" s="2">
        <v>149938.58100000001</v>
      </c>
      <c r="L236" s="2">
        <v>146703.723</v>
      </c>
      <c r="M236" s="2">
        <v>137411.90400000001</v>
      </c>
      <c r="N236" s="2">
        <v>134447.304</v>
      </c>
      <c r="O236" s="2">
        <v>134447.304</v>
      </c>
      <c r="P236" s="2">
        <v>125931.773</v>
      </c>
      <c r="Q236" s="2">
        <v>120556.546</v>
      </c>
      <c r="R236" s="2">
        <v>117955.59299999999</v>
      </c>
      <c r="S236" s="2">
        <v>112920.819</v>
      </c>
      <c r="T236" s="2">
        <v>110484.603</v>
      </c>
      <c r="U236" s="2">
        <v>103486.80499999999</v>
      </c>
      <c r="V236" s="2">
        <v>105768.71799999999</v>
      </c>
      <c r="W236" s="2">
        <v>103486.80499999999</v>
      </c>
      <c r="X236" s="34">
        <v>108100.947</v>
      </c>
      <c r="Y236" s="34">
        <v>237045.02900000001</v>
      </c>
      <c r="Z236" s="237">
        <v>417935.83199999999</v>
      </c>
      <c r="AA236" s="2"/>
    </row>
    <row r="237" spans="1:27" ht="15" customHeight="1">
      <c r="A237" s="199">
        <v>42</v>
      </c>
      <c r="B237" s="200" t="s">
        <v>221</v>
      </c>
      <c r="C237" s="234">
        <v>0.36699999999999999</v>
      </c>
      <c r="D237" s="234">
        <v>0.53600000000000003</v>
      </c>
      <c r="E237" s="234">
        <v>1.1759999999999999</v>
      </c>
      <c r="F237" s="234">
        <v>2.3159999999999998</v>
      </c>
      <c r="G237" s="234">
        <v>3.67</v>
      </c>
      <c r="H237" s="234">
        <v>5.08</v>
      </c>
      <c r="I237" s="234">
        <v>10.557</v>
      </c>
      <c r="J237" s="234">
        <v>21.350999999999999</v>
      </c>
      <c r="K237" s="234">
        <v>45.585000000000001</v>
      </c>
      <c r="L237" s="234">
        <v>108.46599999999999</v>
      </c>
      <c r="M237" s="234">
        <v>251.18899999999999</v>
      </c>
      <c r="N237" s="234">
        <v>521.97199999999998</v>
      </c>
      <c r="O237" s="234">
        <v>1208.796</v>
      </c>
      <c r="P237" s="234">
        <v>2315.826</v>
      </c>
      <c r="Q237" s="234">
        <v>4683.6909999999998</v>
      </c>
      <c r="R237" s="234">
        <v>8973.0720000000001</v>
      </c>
      <c r="S237" s="234">
        <v>15848.932000000001</v>
      </c>
      <c r="T237" s="234">
        <v>28762.294999999998</v>
      </c>
      <c r="U237" s="234">
        <v>46836.91</v>
      </c>
      <c r="V237" s="234">
        <v>100000</v>
      </c>
      <c r="W237" s="235">
        <v>102745.94899999999</v>
      </c>
      <c r="X237" s="2"/>
      <c r="Y237" s="2"/>
      <c r="Z237" s="2"/>
    </row>
    <row r="238" spans="1:27" ht="15" customHeight="1">
      <c r="A238" s="196">
        <v>42</v>
      </c>
      <c r="B238" s="201" t="s">
        <v>222</v>
      </c>
      <c r="C238" s="2">
        <v>1.4610000000000001</v>
      </c>
      <c r="D238" s="2">
        <v>3.67</v>
      </c>
      <c r="E238" s="2">
        <v>6.8440000000000003</v>
      </c>
      <c r="F238" s="2">
        <v>16.283999999999999</v>
      </c>
      <c r="G238" s="2">
        <v>34.768000000000001</v>
      </c>
      <c r="H238" s="2">
        <v>59.768000000000001</v>
      </c>
      <c r="I238" s="2">
        <v>117.649</v>
      </c>
      <c r="J238" s="2">
        <v>191.58099999999999</v>
      </c>
      <c r="K238" s="2">
        <v>303.63600000000002</v>
      </c>
      <c r="L238" s="2">
        <v>431.81099999999998</v>
      </c>
      <c r="M238" s="2">
        <v>703.16800000000001</v>
      </c>
      <c r="N238" s="2">
        <v>1114.4449999999999</v>
      </c>
      <c r="O238" s="2">
        <v>1915.8119999999999</v>
      </c>
      <c r="P238" s="2">
        <v>3572.2449999999999</v>
      </c>
      <c r="Q238" s="2">
        <v>6482.8310000000001</v>
      </c>
      <c r="R238" s="2">
        <v>11764.9</v>
      </c>
      <c r="S238" s="2">
        <v>20780.073</v>
      </c>
      <c r="T238" s="2">
        <v>36703.364999999998</v>
      </c>
      <c r="U238" s="2">
        <v>56616.26</v>
      </c>
      <c r="V238" s="2">
        <v>102745.94899999999</v>
      </c>
      <c r="W238" s="236">
        <v>114504.757</v>
      </c>
      <c r="X238" s="2"/>
    </row>
    <row r="239" spans="1:27" ht="15" customHeight="1">
      <c r="A239" s="196">
        <v>42</v>
      </c>
      <c r="B239" s="201" t="s">
        <v>223</v>
      </c>
      <c r="C239" s="2">
        <v>1241.989</v>
      </c>
      <c r="D239" s="2">
        <v>849.98599999999999</v>
      </c>
      <c r="E239" s="2">
        <v>536.30499999999995</v>
      </c>
      <c r="F239" s="2">
        <v>420.27100000000002</v>
      </c>
      <c r="G239" s="2">
        <v>431.81099999999998</v>
      </c>
      <c r="H239" s="2">
        <v>566.16300000000001</v>
      </c>
      <c r="I239" s="2">
        <v>614.09500000000003</v>
      </c>
      <c r="J239" s="2">
        <v>947.26300000000003</v>
      </c>
      <c r="K239" s="2">
        <v>1208.796</v>
      </c>
      <c r="L239" s="2">
        <v>1719.0719999999999</v>
      </c>
      <c r="M239" s="2">
        <v>2651.7310000000002</v>
      </c>
      <c r="N239" s="2">
        <v>3981.0720000000001</v>
      </c>
      <c r="O239" s="2">
        <v>6843.75</v>
      </c>
      <c r="P239" s="2">
        <v>11144.455</v>
      </c>
      <c r="Q239" s="2">
        <v>18646.11</v>
      </c>
      <c r="R239" s="2">
        <v>27245.457999999999</v>
      </c>
      <c r="S239" s="2">
        <v>46836.91</v>
      </c>
      <c r="T239" s="2">
        <v>61409.462</v>
      </c>
      <c r="U239" s="2">
        <v>42027.099000000002</v>
      </c>
      <c r="V239" s="2">
        <v>105567.299</v>
      </c>
      <c r="W239" s="236">
        <v>114504.757</v>
      </c>
      <c r="X239" s="2"/>
    </row>
    <row r="240" spans="1:27" ht="15" customHeight="1">
      <c r="A240" s="196">
        <v>42</v>
      </c>
      <c r="B240" s="201" t="s">
        <v>225</v>
      </c>
      <c r="C240" s="2">
        <v>172565.29399999999</v>
      </c>
      <c r="D240" s="2">
        <v>177107.5</v>
      </c>
      <c r="E240" s="2">
        <v>192711.80600000001</v>
      </c>
      <c r="F240" s="2">
        <v>241901.704</v>
      </c>
      <c r="G240" s="2">
        <v>332553.69500000001</v>
      </c>
      <c r="H240" s="2">
        <v>309622.24699999997</v>
      </c>
      <c r="I240" s="2">
        <v>249886.791</v>
      </c>
      <c r="J240" s="2">
        <v>237233.658</v>
      </c>
      <c r="K240" s="2">
        <v>256464.228</v>
      </c>
      <c r="L240" s="2">
        <v>313670.66700000002</v>
      </c>
      <c r="M240" s="2">
        <v>436856.201</v>
      </c>
      <c r="N240" s="2">
        <v>688334.78599999996</v>
      </c>
      <c r="O240" s="2">
        <v>1063648.93</v>
      </c>
      <c r="P240" s="2">
        <v>1811798.9939999999</v>
      </c>
      <c r="Q240" s="2">
        <v>3229742.0809999998</v>
      </c>
      <c r="R240" s="2"/>
      <c r="S240" s="2"/>
      <c r="T240" s="2"/>
      <c r="U240" s="2"/>
      <c r="V240" s="2"/>
      <c r="W240" s="236"/>
      <c r="X240" s="2"/>
    </row>
    <row r="241" spans="1:24" ht="15" customHeight="1">
      <c r="A241" s="196">
        <v>42</v>
      </c>
      <c r="B241" s="201" t="s">
        <v>226</v>
      </c>
      <c r="C241" s="2">
        <v>324024.821</v>
      </c>
      <c r="D241" s="2">
        <v>352573.484</v>
      </c>
      <c r="E241" s="2">
        <v>336901.951</v>
      </c>
      <c r="F241" s="2">
        <v>401482.978</v>
      </c>
      <c r="G241" s="2">
        <v>463155.02</v>
      </c>
      <c r="H241" s="2">
        <v>409382.95899999997</v>
      </c>
      <c r="I241" s="2">
        <v>313670.66700000002</v>
      </c>
      <c r="J241" s="2">
        <v>282709.18300000002</v>
      </c>
      <c r="K241" s="2">
        <v>301681.48700000002</v>
      </c>
      <c r="L241" s="2">
        <v>396301.2</v>
      </c>
      <c r="M241" s="2">
        <v>573872.26100000006</v>
      </c>
      <c r="N241" s="2">
        <v>940159.83299999998</v>
      </c>
      <c r="O241" s="2">
        <v>1697857.625</v>
      </c>
      <c r="P241" s="2">
        <v>2873373.6290000002</v>
      </c>
      <c r="Q241" s="2">
        <v>5189095.6780000003</v>
      </c>
      <c r="R241" s="2"/>
      <c r="S241" s="2"/>
      <c r="T241" s="2"/>
      <c r="U241" s="2"/>
      <c r="V241" s="2"/>
      <c r="W241" s="236"/>
      <c r="X241" s="2"/>
    </row>
    <row r="242" spans="1:24" ht="15" customHeight="1">
      <c r="A242" s="196">
        <v>42</v>
      </c>
      <c r="B242" s="201" t="s">
        <v>227</v>
      </c>
      <c r="C242" s="2">
        <v>324024.821</v>
      </c>
      <c r="D242" s="2">
        <v>352573.484</v>
      </c>
      <c r="E242" s="2">
        <v>336901.951</v>
      </c>
      <c r="F242" s="2">
        <v>401482.978</v>
      </c>
      <c r="G242" s="2">
        <v>548364.22199999995</v>
      </c>
      <c r="H242" s="2">
        <v>472268.52100000001</v>
      </c>
      <c r="I242" s="2">
        <v>313670.66700000002</v>
      </c>
      <c r="J242" s="2">
        <v>282709.18300000002</v>
      </c>
      <c r="K242" s="2">
        <v>301681.48700000002</v>
      </c>
      <c r="L242" s="2">
        <v>396301.2</v>
      </c>
      <c r="M242" s="2">
        <v>573872.26100000006</v>
      </c>
      <c r="N242" s="2">
        <v>940159.83299999998</v>
      </c>
      <c r="O242" s="2">
        <v>1697857.625</v>
      </c>
      <c r="P242" s="2">
        <v>2873373.6290000002</v>
      </c>
      <c r="Q242" s="2">
        <v>10065164.437000001</v>
      </c>
      <c r="R242" s="2"/>
      <c r="S242" s="34"/>
      <c r="T242" s="34"/>
      <c r="U242" s="34"/>
      <c r="V242" s="34"/>
      <c r="W242" s="237"/>
      <c r="X242" s="2"/>
    </row>
    <row r="243" spans="1:24" ht="15" customHeight="1">
      <c r="A243" s="229">
        <v>43</v>
      </c>
      <c r="B243" s="74">
        <v>1</v>
      </c>
      <c r="C243" s="234">
        <v>0.36</v>
      </c>
      <c r="D243" s="234">
        <v>0.65</v>
      </c>
      <c r="E243" s="234">
        <v>1.085</v>
      </c>
      <c r="F243" s="234">
        <v>1.8580000000000001</v>
      </c>
      <c r="G243" s="234">
        <v>3.2650000000000001</v>
      </c>
      <c r="H243" s="234">
        <v>6.1970000000000001</v>
      </c>
      <c r="I243" s="234">
        <v>11.763</v>
      </c>
      <c r="J243" s="234">
        <v>24.11</v>
      </c>
      <c r="K243" s="234">
        <v>42.372999999999998</v>
      </c>
      <c r="L243" s="234">
        <v>98.727000000000004</v>
      </c>
      <c r="M243" s="234">
        <v>202.35900000000001</v>
      </c>
      <c r="N243" s="234">
        <v>394.04599999999999</v>
      </c>
      <c r="O243" s="234">
        <v>850.15700000000004</v>
      </c>
      <c r="P243" s="234">
        <v>1742.559</v>
      </c>
      <c r="Q243" s="234">
        <v>2835.895</v>
      </c>
      <c r="R243" s="235">
        <v>4735.0510000000004</v>
      </c>
      <c r="S243" s="2"/>
      <c r="T243" s="2"/>
      <c r="U243" s="2"/>
      <c r="V243" s="2"/>
      <c r="W243" s="2"/>
    </row>
    <row r="244" spans="1:24" ht="15" customHeight="1">
      <c r="A244" s="228">
        <v>43</v>
      </c>
      <c r="B244" s="75">
        <v>2</v>
      </c>
      <c r="C244" s="2">
        <v>0.159</v>
      </c>
      <c r="D244" s="2">
        <v>0.317</v>
      </c>
      <c r="E244" s="2">
        <v>0.57099999999999995</v>
      </c>
      <c r="F244" s="2">
        <v>0.93</v>
      </c>
      <c r="G244" s="2">
        <v>1.593</v>
      </c>
      <c r="H244" s="2">
        <v>2.66</v>
      </c>
      <c r="I244" s="2">
        <v>4.4409999999999998</v>
      </c>
      <c r="J244" s="2">
        <v>8.0079999999999991</v>
      </c>
      <c r="K244" s="2">
        <v>12.381</v>
      </c>
      <c r="L244" s="2">
        <v>24.736000000000001</v>
      </c>
      <c r="M244" s="2">
        <v>42.372999999999998</v>
      </c>
      <c r="N244" s="2">
        <v>86.850999999999999</v>
      </c>
      <c r="O244" s="2">
        <v>156.60499999999999</v>
      </c>
      <c r="P244" s="2">
        <v>337.87599999999998</v>
      </c>
      <c r="Q244" s="2">
        <v>710.52099999999996</v>
      </c>
      <c r="R244" s="236">
        <v>1281.17</v>
      </c>
      <c r="S244" s="2"/>
    </row>
    <row r="245" spans="1:24" ht="15" customHeight="1">
      <c r="A245" s="230">
        <v>43</v>
      </c>
      <c r="B245" s="231">
        <v>3</v>
      </c>
      <c r="C245" s="34">
        <v>414.77300000000002</v>
      </c>
      <c r="D245" s="34">
        <v>447.92599999999999</v>
      </c>
      <c r="E245" s="34">
        <v>549.87</v>
      </c>
      <c r="F245" s="34">
        <v>641.28399999999999</v>
      </c>
      <c r="G245" s="34">
        <v>675.01499999999999</v>
      </c>
      <c r="H245" s="34">
        <v>787.23400000000004</v>
      </c>
      <c r="I245" s="34">
        <v>941.94600000000003</v>
      </c>
      <c r="J245" s="34">
        <v>1070.741</v>
      </c>
      <c r="K245" s="34">
        <v>1127.0630000000001</v>
      </c>
      <c r="L245" s="34">
        <v>1348.56</v>
      </c>
      <c r="M245" s="34">
        <v>1532.953</v>
      </c>
      <c r="N245" s="34">
        <v>2032.2529999999999</v>
      </c>
      <c r="O245" s="34">
        <v>2370.1080000000002</v>
      </c>
      <c r="P245" s="34">
        <v>2985.0639999999999</v>
      </c>
      <c r="Q245" s="34">
        <v>3857.1889999999999</v>
      </c>
      <c r="R245" s="237">
        <v>4984.116</v>
      </c>
      <c r="S245" s="2"/>
    </row>
    <row r="246" spans="1:24" ht="15" customHeight="1">
      <c r="A246" s="228">
        <v>44</v>
      </c>
      <c r="B246" s="75" t="s">
        <v>221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24" ht="15" customHeight="1">
      <c r="A247" s="228">
        <v>44</v>
      </c>
      <c r="B247" s="75" t="s">
        <v>222</v>
      </c>
    </row>
    <row r="248" spans="1:24" ht="15" customHeight="1">
      <c r="A248" s="228">
        <v>44</v>
      </c>
      <c r="B248" s="75" t="s">
        <v>223</v>
      </c>
    </row>
    <row r="249" spans="1:24" ht="15" customHeight="1">
      <c r="A249" s="228">
        <v>44</v>
      </c>
      <c r="B249" s="75" t="s">
        <v>224</v>
      </c>
    </row>
    <row r="250" spans="1:24" ht="15" customHeight="1">
      <c r="A250" s="228">
        <v>44</v>
      </c>
      <c r="B250" s="75" t="s">
        <v>229</v>
      </c>
    </row>
    <row r="251" spans="1:24" ht="15" customHeight="1">
      <c r="A251" s="228">
        <v>44</v>
      </c>
      <c r="B251" s="75" t="s">
        <v>225</v>
      </c>
    </row>
    <row r="252" spans="1:24" ht="15" customHeight="1">
      <c r="A252" s="228">
        <v>44</v>
      </c>
      <c r="B252" s="75" t="s">
        <v>226</v>
      </c>
    </row>
    <row r="253" spans="1:24" ht="15" customHeight="1">
      <c r="A253" s="228">
        <v>44</v>
      </c>
      <c r="B253" s="75" t="s">
        <v>227</v>
      </c>
    </row>
    <row r="254" spans="1:24" ht="15" customHeight="1">
      <c r="A254" s="228">
        <v>44</v>
      </c>
      <c r="B254" s="75" t="s">
        <v>228</v>
      </c>
    </row>
    <row r="255" spans="1:24" ht="15" customHeight="1">
      <c r="A255" s="228">
        <v>44</v>
      </c>
      <c r="B255" s="75" t="s">
        <v>230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24" ht="15" customHeight="1">
      <c r="A256" s="199">
        <v>45</v>
      </c>
      <c r="B256" s="200" t="s">
        <v>221</v>
      </c>
      <c r="C256" s="234">
        <v>1.137</v>
      </c>
      <c r="D256" s="234">
        <v>2.3740000000000001</v>
      </c>
      <c r="E256" s="234">
        <v>4.88</v>
      </c>
      <c r="F256" s="234">
        <v>10.526</v>
      </c>
      <c r="G256" s="234">
        <v>21.986000000000001</v>
      </c>
      <c r="H256" s="234">
        <v>46.664000000000001</v>
      </c>
      <c r="I256" s="234">
        <v>109.032</v>
      </c>
      <c r="J256" s="234">
        <v>263.04399999999998</v>
      </c>
      <c r="K256" s="234">
        <v>962.29899999999998</v>
      </c>
      <c r="L256" s="235">
        <v>1555.7260000000001</v>
      </c>
      <c r="M256" s="2"/>
    </row>
    <row r="257" spans="1:28" ht="15" customHeight="1">
      <c r="A257" s="196">
        <v>45</v>
      </c>
      <c r="B257" s="201" t="s">
        <v>222</v>
      </c>
      <c r="C257" s="2">
        <v>4.0919999999999996</v>
      </c>
      <c r="D257" s="2">
        <v>8.548</v>
      </c>
      <c r="E257" s="2">
        <v>19.035</v>
      </c>
      <c r="F257" s="2">
        <v>39.128</v>
      </c>
      <c r="G257" s="2">
        <v>89.971000000000004</v>
      </c>
      <c r="H257" s="2">
        <v>203.59299999999999</v>
      </c>
      <c r="I257" s="2">
        <v>460.70299999999997</v>
      </c>
      <c r="J257" s="2">
        <v>1283.76</v>
      </c>
      <c r="K257" s="2">
        <v>2555.703</v>
      </c>
      <c r="L257" s="236">
        <v>4405.0410000000002</v>
      </c>
      <c r="M257" s="2"/>
    </row>
    <row r="258" spans="1:28" ht="15" customHeight="1">
      <c r="A258" s="196">
        <v>45</v>
      </c>
      <c r="B258" s="201" t="s">
        <v>223</v>
      </c>
      <c r="C258" s="2">
        <v>10.359</v>
      </c>
      <c r="D258" s="2">
        <v>22.701000000000001</v>
      </c>
      <c r="E258" s="2">
        <v>48.183</v>
      </c>
      <c r="F258" s="2">
        <v>107.3</v>
      </c>
      <c r="G258" s="2">
        <v>254.75299999999999</v>
      </c>
      <c r="H258" s="2">
        <v>567.31600000000003</v>
      </c>
      <c r="I258" s="2">
        <v>1204.114</v>
      </c>
      <c r="J258" s="2">
        <v>2813.4229999999998</v>
      </c>
      <c r="K258" s="2">
        <v>6067.81</v>
      </c>
      <c r="L258" s="236">
        <v>10798.904</v>
      </c>
      <c r="M258" s="2"/>
    </row>
    <row r="259" spans="1:28" ht="15" customHeight="1">
      <c r="A259" s="196">
        <v>45</v>
      </c>
      <c r="B259" s="201" t="s">
        <v>224</v>
      </c>
      <c r="C259" s="2">
        <v>44.475999999999999</v>
      </c>
      <c r="D259" s="2">
        <v>80.430999999999997</v>
      </c>
      <c r="E259" s="2">
        <v>176.26900000000001</v>
      </c>
      <c r="F259" s="2">
        <v>345.34100000000001</v>
      </c>
      <c r="G259" s="2">
        <v>698.59900000000005</v>
      </c>
      <c r="H259" s="2">
        <v>1390.7670000000001</v>
      </c>
      <c r="I259" s="2">
        <v>3753.2620000000002</v>
      </c>
      <c r="J259" s="2">
        <v>6897.0730000000003</v>
      </c>
      <c r="K259" s="2">
        <v>12878.782999999999</v>
      </c>
      <c r="L259" s="236">
        <v>24830.933000000001</v>
      </c>
      <c r="M259" s="2"/>
    </row>
    <row r="260" spans="1:28" ht="15" customHeight="1">
      <c r="A260" s="196">
        <v>45</v>
      </c>
      <c r="B260" s="201" t="s">
        <v>225</v>
      </c>
      <c r="C260" s="2"/>
      <c r="D260" s="2"/>
      <c r="E260" s="2"/>
      <c r="F260" s="2"/>
      <c r="G260" s="2"/>
      <c r="H260" s="2"/>
      <c r="I260" s="2"/>
      <c r="J260" s="2"/>
      <c r="K260" s="2"/>
      <c r="L260" s="236"/>
      <c r="M260" s="2"/>
    </row>
    <row r="261" spans="1:28" ht="15" customHeight="1">
      <c r="A261" s="196">
        <v>45</v>
      </c>
      <c r="B261" s="201" t="s">
        <v>226</v>
      </c>
      <c r="C261" s="2"/>
      <c r="D261" s="2"/>
      <c r="E261" s="2"/>
      <c r="F261" s="2"/>
      <c r="G261" s="2"/>
      <c r="H261" s="2"/>
      <c r="I261" s="2"/>
      <c r="J261" s="2"/>
      <c r="K261" s="2"/>
      <c r="L261" s="236"/>
      <c r="M261" s="2"/>
    </row>
    <row r="262" spans="1:28" ht="15" customHeight="1">
      <c r="A262" s="196">
        <v>45</v>
      </c>
      <c r="B262" s="201" t="s">
        <v>227</v>
      </c>
      <c r="C262" s="2"/>
      <c r="D262" s="2"/>
      <c r="E262" s="2"/>
      <c r="F262" s="2"/>
      <c r="G262" s="2"/>
      <c r="H262" s="2"/>
      <c r="I262" s="2"/>
      <c r="J262" s="2"/>
      <c r="K262" s="2"/>
      <c r="L262" s="236"/>
      <c r="M262" s="2"/>
    </row>
    <row r="263" spans="1:28" ht="15" customHeight="1">
      <c r="A263" s="196">
        <v>45</v>
      </c>
      <c r="B263" s="201" t="s">
        <v>228</v>
      </c>
      <c r="C263" s="2"/>
      <c r="D263" s="2"/>
      <c r="E263" s="2"/>
      <c r="F263" s="2"/>
      <c r="G263" s="2"/>
      <c r="H263" s="2"/>
      <c r="I263" s="2"/>
      <c r="J263" s="2"/>
      <c r="K263" s="2"/>
      <c r="L263" s="236"/>
      <c r="M263" s="2"/>
      <c r="N263" s="2"/>
      <c r="O263" s="2"/>
      <c r="P263" s="2"/>
      <c r="Q263" s="2"/>
      <c r="R263" s="2"/>
      <c r="S263" s="2"/>
      <c r="T263" s="2"/>
      <c r="U263" s="2"/>
    </row>
    <row r="264" spans="1:28" ht="15" customHeight="1">
      <c r="A264" s="199">
        <v>46</v>
      </c>
      <c r="B264" s="200">
        <v>1</v>
      </c>
      <c r="C264" s="234">
        <v>11.877000000000001</v>
      </c>
      <c r="D264" s="234">
        <v>12.69</v>
      </c>
      <c r="E264" s="234">
        <v>14.484999999999999</v>
      </c>
      <c r="F264" s="234">
        <v>15.476000000000001</v>
      </c>
      <c r="G264" s="234">
        <v>16.754999999999999</v>
      </c>
      <c r="H264" s="234">
        <v>16.533999999999999</v>
      </c>
      <c r="I264" s="234">
        <v>17.433</v>
      </c>
      <c r="J264" s="234">
        <v>17.433</v>
      </c>
      <c r="K264" s="234">
        <v>18.626000000000001</v>
      </c>
      <c r="L264" s="234">
        <v>20.164999999999999</v>
      </c>
      <c r="M264" s="234">
        <v>20.434000000000001</v>
      </c>
      <c r="N264" s="234">
        <v>21.260999999999999</v>
      </c>
      <c r="O264" s="234">
        <v>24.268999999999998</v>
      </c>
      <c r="P264" s="234">
        <v>28.071999999999999</v>
      </c>
      <c r="Q264" s="234">
        <v>36.578000000000003</v>
      </c>
      <c r="R264" s="234">
        <v>60.48</v>
      </c>
      <c r="S264" s="234">
        <v>71.832999999999998</v>
      </c>
      <c r="T264" s="234">
        <v>135.57599999999999</v>
      </c>
      <c r="U264" s="235">
        <v>230.18100000000001</v>
      </c>
      <c r="V264" s="2"/>
    </row>
    <row r="265" spans="1:28" ht="15" customHeight="1">
      <c r="A265" s="196">
        <v>46</v>
      </c>
      <c r="B265" s="201">
        <v>2</v>
      </c>
      <c r="C265" s="2">
        <v>12358.165999999999</v>
      </c>
      <c r="D265" s="2">
        <v>12858.651</v>
      </c>
      <c r="E265" s="2">
        <v>13203.518</v>
      </c>
      <c r="F265" s="2">
        <v>13203.518</v>
      </c>
      <c r="G265" s="2">
        <v>13029.942999999999</v>
      </c>
      <c r="H265" s="2">
        <v>13557.634</v>
      </c>
      <c r="I265" s="2">
        <v>13557.634</v>
      </c>
      <c r="J265" s="2">
        <v>14873.521000000001</v>
      </c>
      <c r="K265" s="2">
        <v>14294.612999999999</v>
      </c>
      <c r="L265" s="2">
        <v>14294.612999999999</v>
      </c>
      <c r="M265" s="2">
        <v>14677.993</v>
      </c>
      <c r="N265" s="2">
        <v>14677.993</v>
      </c>
      <c r="O265" s="2">
        <v>14873.521000000001</v>
      </c>
      <c r="P265" s="2">
        <v>15272.427</v>
      </c>
      <c r="Q265" s="2">
        <v>15475.874</v>
      </c>
      <c r="R265" s="2">
        <v>15890.933999999999</v>
      </c>
      <c r="S265" s="2">
        <v>16977.941999999999</v>
      </c>
      <c r="T265" s="2">
        <v>17900.846000000001</v>
      </c>
      <c r="U265" s="236">
        <v>19125.341</v>
      </c>
      <c r="V265" s="2"/>
    </row>
    <row r="266" spans="1:28" ht="15" customHeight="1">
      <c r="A266" s="196">
        <v>46</v>
      </c>
      <c r="B266" s="201">
        <v>3</v>
      </c>
      <c r="C266" s="2">
        <v>13921.248</v>
      </c>
      <c r="D266" s="2">
        <v>14485.035</v>
      </c>
      <c r="E266" s="2">
        <v>14485.035</v>
      </c>
      <c r="F266" s="2">
        <v>14677.993</v>
      </c>
      <c r="G266" s="2">
        <v>15071.654</v>
      </c>
      <c r="H266" s="2">
        <v>15071.654</v>
      </c>
      <c r="I266" s="2">
        <v>15272.427</v>
      </c>
      <c r="J266" s="2">
        <v>13921.248</v>
      </c>
      <c r="K266" s="2">
        <v>15682.031000000001</v>
      </c>
      <c r="L266" s="2">
        <v>15890.933999999999</v>
      </c>
      <c r="M266" s="2">
        <v>16534.490000000002</v>
      </c>
      <c r="N266" s="2">
        <v>16317.126</v>
      </c>
      <c r="O266" s="2">
        <v>16977.941999999999</v>
      </c>
      <c r="P266" s="2">
        <v>16977.941999999999</v>
      </c>
      <c r="Q266" s="2">
        <v>17433.288</v>
      </c>
      <c r="R266" s="2">
        <v>18380.944</v>
      </c>
      <c r="S266" s="2">
        <v>19380.114000000001</v>
      </c>
      <c r="T266" s="2">
        <v>20433.597000000002</v>
      </c>
      <c r="U266" s="236">
        <v>21831.343000000001</v>
      </c>
      <c r="V266" s="2"/>
    </row>
    <row r="267" spans="1:28" ht="15" customHeight="1">
      <c r="A267" s="196">
        <v>46</v>
      </c>
      <c r="B267" s="201">
        <v>4</v>
      </c>
      <c r="C267" s="2">
        <v>17433.288</v>
      </c>
      <c r="D267" s="2">
        <v>18380.944</v>
      </c>
      <c r="E267" s="2">
        <v>18625.8</v>
      </c>
      <c r="F267" s="2">
        <v>19125.341</v>
      </c>
      <c r="G267" s="2">
        <v>19638.28</v>
      </c>
      <c r="H267" s="2">
        <v>19380.114000000001</v>
      </c>
      <c r="I267" s="2">
        <v>20164.975999999999</v>
      </c>
      <c r="J267" s="2">
        <v>19899.884999999998</v>
      </c>
      <c r="K267" s="2">
        <v>20433.597000000002</v>
      </c>
      <c r="L267" s="2">
        <v>20433.597000000002</v>
      </c>
      <c r="M267" s="2">
        <v>20705.796999999999</v>
      </c>
      <c r="N267" s="2">
        <v>20981.623</v>
      </c>
      <c r="O267" s="2">
        <v>21544.347000000002</v>
      </c>
      <c r="P267" s="2">
        <v>21544.347000000002</v>
      </c>
      <c r="Q267" s="2">
        <v>22416.857</v>
      </c>
      <c r="R267" s="2">
        <v>22715.475999999999</v>
      </c>
      <c r="S267" s="2">
        <v>24269.312000000002</v>
      </c>
      <c r="T267" s="2">
        <v>25929.437999999998</v>
      </c>
      <c r="U267" s="236">
        <v>27338.936000000002</v>
      </c>
      <c r="V267" s="2"/>
    </row>
    <row r="268" spans="1:28" ht="15" customHeight="1">
      <c r="A268" s="196">
        <v>46</v>
      </c>
      <c r="B268" s="201">
        <v>5</v>
      </c>
      <c r="C268" s="2">
        <v>8877.1970000000001</v>
      </c>
      <c r="D268" s="2">
        <v>9868.5390000000007</v>
      </c>
      <c r="E268" s="2">
        <v>10000</v>
      </c>
      <c r="F268" s="2">
        <v>9738.8070000000007</v>
      </c>
      <c r="G268" s="2">
        <v>10133.212</v>
      </c>
      <c r="H268" s="2">
        <v>10000</v>
      </c>
      <c r="I268" s="2">
        <v>9868.5390000000007</v>
      </c>
      <c r="J268" s="2">
        <v>10133.212</v>
      </c>
      <c r="K268" s="2">
        <v>10543.59</v>
      </c>
      <c r="L268" s="2">
        <v>10543.59</v>
      </c>
      <c r="M268" s="2">
        <v>10826.367</v>
      </c>
      <c r="N268" s="2">
        <v>10970.587</v>
      </c>
      <c r="O268" s="2">
        <v>11116.728999999999</v>
      </c>
      <c r="P268" s="2">
        <v>11721.022999999999</v>
      </c>
      <c r="Q268" s="2">
        <v>12035.379000000001</v>
      </c>
      <c r="R268" s="2">
        <v>12358.165999999999</v>
      </c>
      <c r="S268" s="2">
        <v>12858.651</v>
      </c>
      <c r="T268" s="2">
        <v>13738.237999999999</v>
      </c>
      <c r="U268" s="236">
        <v>14873.521000000001</v>
      </c>
      <c r="V268" s="2"/>
    </row>
    <row r="269" spans="1:28" ht="15" customHeight="1">
      <c r="A269" s="197">
        <v>46</v>
      </c>
      <c r="B269" s="202">
        <v>6</v>
      </c>
      <c r="C269" s="34">
        <v>2662.4859999999999</v>
      </c>
      <c r="D269" s="34">
        <v>3204.4029999999998</v>
      </c>
      <c r="E269" s="34">
        <v>3378.5909999999999</v>
      </c>
      <c r="F269" s="34">
        <v>3378.5909999999999</v>
      </c>
      <c r="G269" s="34">
        <v>3423.598</v>
      </c>
      <c r="H269" s="34">
        <v>3562.248</v>
      </c>
      <c r="I269" s="34">
        <v>3755.8879999999999</v>
      </c>
      <c r="J269" s="34">
        <v>3755.8879999999999</v>
      </c>
      <c r="K269" s="34">
        <v>3755.8879999999999</v>
      </c>
      <c r="L269" s="34">
        <v>4066.2620000000002</v>
      </c>
      <c r="M269" s="34">
        <v>4287.3</v>
      </c>
      <c r="N269" s="34">
        <v>4641.5889999999999</v>
      </c>
      <c r="O269" s="34">
        <v>5228.665</v>
      </c>
      <c r="P269" s="34">
        <v>5586.3280000000004</v>
      </c>
      <c r="Q269" s="34">
        <v>6210.1689999999999</v>
      </c>
      <c r="R269" s="34">
        <v>6547.7479999999996</v>
      </c>
      <c r="S269" s="34">
        <v>7880.4629999999997</v>
      </c>
      <c r="T269" s="34">
        <v>9236.7090000000007</v>
      </c>
      <c r="U269" s="237">
        <v>10000</v>
      </c>
      <c r="V269" s="2"/>
      <c r="W269" s="2"/>
      <c r="X269" s="2"/>
      <c r="Y269" s="2"/>
      <c r="Z269" s="2"/>
      <c r="AA269" s="2"/>
    </row>
    <row r="270" spans="1:28" ht="15" customHeight="1">
      <c r="A270" s="196">
        <v>47</v>
      </c>
      <c r="B270" s="201" t="s">
        <v>221</v>
      </c>
      <c r="C270" s="2">
        <v>0.48399999999999999</v>
      </c>
      <c r="D270" s="2">
        <v>0.66</v>
      </c>
      <c r="E270" s="2">
        <v>0.70299999999999996</v>
      </c>
      <c r="F270" s="2">
        <v>0.504</v>
      </c>
      <c r="G270" s="2">
        <v>0.377</v>
      </c>
      <c r="H270" s="2">
        <v>0.66</v>
      </c>
      <c r="I270" s="2">
        <v>0.79600000000000004</v>
      </c>
      <c r="J270" s="2">
        <v>0.40100000000000002</v>
      </c>
      <c r="K270" s="2">
        <v>1.133</v>
      </c>
      <c r="L270" s="2">
        <v>1.087</v>
      </c>
      <c r="M270" s="2">
        <v>2.246</v>
      </c>
      <c r="N270" s="2">
        <v>2.597</v>
      </c>
      <c r="O270" s="2">
        <v>5.367</v>
      </c>
      <c r="P270" s="2">
        <v>8.1270000000000007</v>
      </c>
      <c r="Q270" s="2">
        <v>14.228</v>
      </c>
      <c r="R270" s="2">
        <v>23.899000000000001</v>
      </c>
      <c r="S270" s="2">
        <v>43.615000000000002</v>
      </c>
      <c r="T270" s="2">
        <v>73.260000000000005</v>
      </c>
      <c r="U270" s="2">
        <v>139.36199999999999</v>
      </c>
      <c r="V270" s="234">
        <v>270.66500000000002</v>
      </c>
      <c r="W270" s="234">
        <v>436.154</v>
      </c>
      <c r="X270" s="234">
        <v>779.63599999999997</v>
      </c>
      <c r="Y270" s="234"/>
      <c r="Z270" s="234"/>
      <c r="AA270" s="235"/>
      <c r="AB270" s="2"/>
    </row>
    <row r="271" spans="1:28" ht="15" customHeight="1">
      <c r="A271" s="196">
        <v>47</v>
      </c>
      <c r="B271" s="201">
        <v>2</v>
      </c>
      <c r="C271" s="2">
        <v>3.6190000000000002</v>
      </c>
      <c r="D271" s="2">
        <v>2.5430000000000001</v>
      </c>
      <c r="E271" s="2">
        <v>3.6949999999999998</v>
      </c>
      <c r="F271" s="2">
        <v>5.4790000000000001</v>
      </c>
      <c r="G271" s="2">
        <v>3.9319999999999999</v>
      </c>
      <c r="H271" s="2">
        <v>5.9539999999999997</v>
      </c>
      <c r="I271" s="2">
        <v>7.96</v>
      </c>
      <c r="J271" s="2">
        <v>9.2040000000000006</v>
      </c>
      <c r="K271" s="2">
        <v>13.37</v>
      </c>
      <c r="L271" s="2">
        <v>17.149000000000001</v>
      </c>
      <c r="M271" s="2">
        <v>19.829000000000001</v>
      </c>
      <c r="N271" s="2">
        <v>26.510999999999999</v>
      </c>
      <c r="O271" s="2">
        <v>34.003999999999998</v>
      </c>
      <c r="P271" s="2">
        <v>40.984000000000002</v>
      </c>
      <c r="Q271" s="2">
        <v>51.488999999999997</v>
      </c>
      <c r="R271" s="2">
        <v>79.597999999999999</v>
      </c>
      <c r="S271" s="2">
        <v>102.096</v>
      </c>
      <c r="T271" s="2">
        <v>145.26499999999999</v>
      </c>
      <c r="U271" s="2">
        <v>224.57</v>
      </c>
      <c r="V271" s="2">
        <v>361.875</v>
      </c>
      <c r="W271" s="2">
        <v>571.15899999999999</v>
      </c>
      <c r="X271" s="2">
        <v>979.47</v>
      </c>
      <c r="Y271" s="2">
        <v>1787.5260000000001</v>
      </c>
      <c r="Z271" s="2">
        <v>3471.6869999999999</v>
      </c>
      <c r="AA271" s="236">
        <v>7325.9650000000001</v>
      </c>
      <c r="AB271" s="2"/>
    </row>
    <row r="272" spans="1:28" ht="15" customHeight="1">
      <c r="A272" s="196">
        <v>47</v>
      </c>
      <c r="B272" s="201">
        <v>3</v>
      </c>
      <c r="C272" s="2">
        <v>23.408000000000001</v>
      </c>
      <c r="D272" s="2">
        <v>24.4</v>
      </c>
      <c r="E272" s="2">
        <v>30.024999999999999</v>
      </c>
      <c r="F272" s="2">
        <v>30.024999999999999</v>
      </c>
      <c r="G272" s="2">
        <v>33.305999999999997</v>
      </c>
      <c r="H272" s="2">
        <v>37.72</v>
      </c>
      <c r="I272" s="2">
        <v>33.305999999999997</v>
      </c>
      <c r="J272" s="2">
        <v>36.186999999999998</v>
      </c>
      <c r="K272" s="2">
        <v>40.984000000000002</v>
      </c>
      <c r="L272" s="2">
        <v>40.984000000000002</v>
      </c>
      <c r="M272" s="2">
        <v>40.984000000000002</v>
      </c>
      <c r="N272" s="2">
        <v>48.381999999999998</v>
      </c>
      <c r="O272" s="2">
        <v>54.795000000000002</v>
      </c>
      <c r="P272" s="2">
        <v>59.534999999999997</v>
      </c>
      <c r="Q272" s="2">
        <v>68.84</v>
      </c>
      <c r="R272" s="2">
        <v>73.260000000000005</v>
      </c>
      <c r="S272" s="2">
        <v>86.483999999999995</v>
      </c>
      <c r="T272" s="2">
        <v>110.929</v>
      </c>
      <c r="U272" s="2">
        <v>164.51900000000001</v>
      </c>
      <c r="V272" s="2">
        <v>219.959</v>
      </c>
      <c r="W272" s="2">
        <v>340.041</v>
      </c>
      <c r="X272" s="2">
        <v>583.13099999999997</v>
      </c>
      <c r="Y272" s="2">
        <v>1109.29</v>
      </c>
      <c r="Z272" s="2">
        <v>2199.5929999999998</v>
      </c>
      <c r="AA272" s="236">
        <v>4641.5889999999999</v>
      </c>
      <c r="AB272" s="2"/>
    </row>
    <row r="273" spans="1:28" ht="15" customHeight="1">
      <c r="A273" s="196">
        <v>47</v>
      </c>
      <c r="B273" s="201" t="s">
        <v>224</v>
      </c>
      <c r="C273" s="2">
        <v>102.096</v>
      </c>
      <c r="D273" s="2">
        <v>161.14099999999999</v>
      </c>
      <c r="E273" s="2">
        <v>161.14099999999999</v>
      </c>
      <c r="F273" s="2">
        <v>215.44300000000001</v>
      </c>
      <c r="G273" s="2">
        <v>259.666</v>
      </c>
      <c r="H273" s="2">
        <v>306.54000000000002</v>
      </c>
      <c r="I273" s="2">
        <v>401.42399999999998</v>
      </c>
      <c r="J273" s="2">
        <v>473.88799999999998</v>
      </c>
      <c r="K273" s="2">
        <v>583.13099999999997</v>
      </c>
      <c r="L273" s="2">
        <v>747.952</v>
      </c>
      <c r="M273" s="2">
        <v>959.36099999999999</v>
      </c>
      <c r="N273" s="2">
        <v>1180.5170000000001</v>
      </c>
      <c r="O273" s="2">
        <v>1483.1030000000001</v>
      </c>
      <c r="P273" s="2">
        <v>1824.9929999999999</v>
      </c>
      <c r="Q273" s="2">
        <v>2154.4349999999999</v>
      </c>
      <c r="R273" s="2">
        <v>2596.6559999999999</v>
      </c>
      <c r="S273" s="2">
        <v>3129.6480000000001</v>
      </c>
      <c r="T273" s="2">
        <v>3772.0419999999999</v>
      </c>
      <c r="U273" s="2">
        <v>4271.9939999999997</v>
      </c>
      <c r="V273" s="2">
        <v>5148.8670000000002</v>
      </c>
      <c r="W273" s="2">
        <v>6078.3230000000003</v>
      </c>
      <c r="X273" s="2">
        <v>7959.777</v>
      </c>
      <c r="Y273" s="2"/>
      <c r="Z273" s="2"/>
      <c r="AA273" s="236"/>
      <c r="AB273" s="2"/>
    </row>
    <row r="274" spans="1:28" ht="15" customHeight="1">
      <c r="A274" s="196">
        <v>47</v>
      </c>
      <c r="B274" s="201">
        <v>5</v>
      </c>
      <c r="C274" s="2">
        <v>1365.008</v>
      </c>
      <c r="D274" s="2">
        <v>901.47799999999995</v>
      </c>
      <c r="E274" s="2">
        <v>882.97</v>
      </c>
      <c r="F274" s="2">
        <v>1180.5170000000001</v>
      </c>
      <c r="G274" s="2">
        <v>1230.5239999999999</v>
      </c>
      <c r="H274" s="2">
        <v>1256.317</v>
      </c>
      <c r="I274" s="2">
        <v>1483.1030000000001</v>
      </c>
      <c r="J274" s="2">
        <v>1750.827</v>
      </c>
      <c r="K274" s="2">
        <v>1902.3009999999999</v>
      </c>
      <c r="L274" s="2">
        <v>2199.5929999999998</v>
      </c>
      <c r="M274" s="2">
        <v>2439.9859999999999</v>
      </c>
      <c r="N274" s="2">
        <v>2940.82</v>
      </c>
      <c r="O274" s="2">
        <v>3065.395</v>
      </c>
      <c r="P274" s="2">
        <v>3400.4119999999998</v>
      </c>
      <c r="Q274" s="2">
        <v>3851.107</v>
      </c>
      <c r="R274" s="2">
        <v>4271.9939999999997</v>
      </c>
      <c r="S274" s="2">
        <v>4738.88</v>
      </c>
      <c r="T274" s="2">
        <v>5043.1589999999997</v>
      </c>
      <c r="U274" s="2">
        <v>5711.5860000000002</v>
      </c>
      <c r="V274" s="2">
        <v>5711.5860000000002</v>
      </c>
      <c r="W274" s="2">
        <v>6205.7290000000003</v>
      </c>
      <c r="X274" s="2">
        <v>7796.36</v>
      </c>
      <c r="Y274" s="2">
        <v>9794.6970000000001</v>
      </c>
      <c r="Z274" s="2">
        <v>13095.35</v>
      </c>
      <c r="AA274" s="236">
        <v>21102.034</v>
      </c>
      <c r="AB274" s="2"/>
    </row>
    <row r="275" spans="1:28" ht="15" customHeight="1">
      <c r="A275" s="196">
        <v>47</v>
      </c>
      <c r="B275" s="201" t="s">
        <v>225</v>
      </c>
      <c r="C275" s="2">
        <v>1.131</v>
      </c>
      <c r="D275" s="2">
        <v>1.105</v>
      </c>
      <c r="E275" s="2">
        <v>1.0820000000000001</v>
      </c>
      <c r="F275" s="2">
        <v>1.0589999999999999</v>
      </c>
      <c r="G275" s="2">
        <v>1.026</v>
      </c>
      <c r="H275" s="2">
        <v>0.95699999999999996</v>
      </c>
      <c r="I275" s="2">
        <v>0.85199999999999998</v>
      </c>
      <c r="J275" s="2">
        <v>0.78</v>
      </c>
      <c r="K275" s="2">
        <v>0.70099999999999996</v>
      </c>
      <c r="L275" s="2">
        <v>0.68500000000000005</v>
      </c>
      <c r="M275" s="2">
        <v>0.63400000000000001</v>
      </c>
      <c r="N275" s="2">
        <v>0.53900000000000003</v>
      </c>
      <c r="O275" s="2">
        <v>0.436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36"/>
      <c r="AB275" s="2"/>
    </row>
    <row r="276" spans="1:28" ht="15" customHeight="1">
      <c r="A276" s="197">
        <v>47</v>
      </c>
      <c r="B276" s="202" t="s">
        <v>228</v>
      </c>
      <c r="C276" s="34">
        <v>1.395</v>
      </c>
      <c r="D276" s="34">
        <v>1.37</v>
      </c>
      <c r="E276" s="34">
        <v>1.349</v>
      </c>
      <c r="F276" s="34">
        <v>1.3280000000000001</v>
      </c>
      <c r="G276" s="34">
        <v>1.3069999999999999</v>
      </c>
      <c r="H276" s="34">
        <v>1.254</v>
      </c>
      <c r="I276" s="34">
        <v>1.1679999999999999</v>
      </c>
      <c r="J276" s="34">
        <v>1.121</v>
      </c>
      <c r="K276" s="34">
        <v>1.077</v>
      </c>
      <c r="L276" s="34">
        <v>0.98199999999999998</v>
      </c>
      <c r="M276" s="34">
        <v>0.82399999999999995</v>
      </c>
      <c r="N276" s="34">
        <v>0.68</v>
      </c>
      <c r="O276" s="34">
        <v>0.57999999999999996</v>
      </c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237"/>
      <c r="AB276" s="2"/>
    </row>
    <row r="277" spans="1:28" ht="15" customHeight="1">
      <c r="A277" s="199">
        <v>48</v>
      </c>
      <c r="B277" s="200">
        <v>1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8" ht="15" customHeight="1">
      <c r="A278" s="196">
        <v>48</v>
      </c>
      <c r="B278" s="201">
        <v>2</v>
      </c>
    </row>
    <row r="279" spans="1:28" ht="15" customHeight="1">
      <c r="A279" s="196">
        <v>48</v>
      </c>
      <c r="B279" s="201">
        <v>3</v>
      </c>
    </row>
    <row r="280" spans="1:28" ht="15" customHeight="1">
      <c r="A280" s="196">
        <v>48</v>
      </c>
      <c r="B280" s="201">
        <v>4</v>
      </c>
    </row>
    <row r="281" spans="1:28" ht="15" customHeight="1">
      <c r="A281" s="196">
        <v>48</v>
      </c>
      <c r="B281" s="201">
        <v>5</v>
      </c>
    </row>
    <row r="282" spans="1:28" ht="15" customHeight="1">
      <c r="A282" s="196">
        <v>48</v>
      </c>
      <c r="B282" s="201">
        <v>6</v>
      </c>
    </row>
    <row r="283" spans="1:28" ht="15" customHeight="1">
      <c r="A283" s="196">
        <v>48</v>
      </c>
      <c r="B283" s="201">
        <v>7</v>
      </c>
    </row>
    <row r="284" spans="1:28" ht="15" customHeight="1">
      <c r="A284" s="196">
        <v>48</v>
      </c>
      <c r="B284" s="201">
        <v>8</v>
      </c>
    </row>
    <row r="285" spans="1:28" ht="15" customHeight="1">
      <c r="A285" s="196">
        <v>48</v>
      </c>
      <c r="B285" s="201">
        <v>9</v>
      </c>
    </row>
    <row r="286" spans="1:28" ht="15" customHeight="1">
      <c r="A286" s="196">
        <v>48</v>
      </c>
      <c r="B286" s="201">
        <v>10</v>
      </c>
    </row>
    <row r="287" spans="1:28" ht="15" customHeight="1">
      <c r="A287" s="196">
        <v>48</v>
      </c>
      <c r="B287" s="201">
        <v>11</v>
      </c>
    </row>
    <row r="288" spans="1:28" ht="15" customHeight="1">
      <c r="A288" s="196">
        <v>48</v>
      </c>
      <c r="B288" s="201">
        <v>12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9" ht="15" customHeight="1">
      <c r="A289" s="309">
        <v>49</v>
      </c>
      <c r="B289" s="74">
        <v>1</v>
      </c>
      <c r="C289" s="234"/>
      <c r="D289" s="234"/>
      <c r="E289" s="234"/>
      <c r="F289" s="234"/>
      <c r="G289" s="234"/>
      <c r="H289" s="234"/>
      <c r="I289" s="234"/>
      <c r="J289" s="234"/>
      <c r="K289" s="234"/>
      <c r="L289" s="234"/>
      <c r="M289" s="234"/>
      <c r="N289" s="234"/>
      <c r="O289" s="234"/>
      <c r="P289" s="234"/>
      <c r="Q289" s="234"/>
      <c r="R289" s="235"/>
      <c r="S289" s="2"/>
    </row>
    <row r="290" spans="1:19" ht="15" customHeight="1">
      <c r="A290" s="238">
        <v>49</v>
      </c>
      <c r="B290" s="75">
        <v>2</v>
      </c>
      <c r="C290" s="2">
        <v>3.173</v>
      </c>
      <c r="D290" s="2">
        <v>3.11</v>
      </c>
      <c r="E290" s="2">
        <v>3.0489999999999999</v>
      </c>
      <c r="F290" s="2">
        <v>2.3069999999999999</v>
      </c>
      <c r="G290" s="2">
        <v>13.302</v>
      </c>
      <c r="H290" s="2">
        <v>17.577000000000002</v>
      </c>
      <c r="I290" s="2">
        <v>26.7</v>
      </c>
      <c r="J290" s="2">
        <v>79.802999999999997</v>
      </c>
      <c r="K290" s="2">
        <v>99.338999999999999</v>
      </c>
      <c r="L290" s="2">
        <v>191.61099999999999</v>
      </c>
      <c r="M290" s="2">
        <v>377.024</v>
      </c>
      <c r="N290" s="2">
        <v>771.98400000000004</v>
      </c>
      <c r="O290" s="2">
        <v>1549.5360000000001</v>
      </c>
      <c r="P290" s="2">
        <v>3172.7869999999998</v>
      </c>
      <c r="Q290" s="2">
        <v>5651.4690000000001</v>
      </c>
      <c r="R290" s="236">
        <v>8584.5509999999995</v>
      </c>
      <c r="S290" s="2"/>
    </row>
    <row r="291" spans="1:19" ht="15" customHeight="1">
      <c r="A291" s="238">
        <v>49</v>
      </c>
      <c r="B291" s="75">
        <v>3</v>
      </c>
      <c r="C291" s="2">
        <v>14.694000000000001</v>
      </c>
      <c r="D291" s="2">
        <v>17.931000000000001</v>
      </c>
      <c r="E291" s="2">
        <v>32.581000000000003</v>
      </c>
      <c r="F291" s="2">
        <v>46.622</v>
      </c>
      <c r="G291" s="2">
        <v>76.688000000000002</v>
      </c>
      <c r="H291" s="2">
        <v>163.40199999999999</v>
      </c>
      <c r="I291" s="2">
        <v>341.30399999999997</v>
      </c>
      <c r="J291" s="2">
        <v>658.33</v>
      </c>
      <c r="K291" s="2">
        <v>1295.364</v>
      </c>
      <c r="L291" s="2">
        <v>2449.34</v>
      </c>
      <c r="M291" s="2">
        <v>4362.8419999999996</v>
      </c>
      <c r="N291" s="2">
        <v>7618.06</v>
      </c>
      <c r="O291" s="2">
        <v>13842.367</v>
      </c>
      <c r="P291" s="2">
        <v>22320.462</v>
      </c>
      <c r="Q291" s="2">
        <v>33904.658000000003</v>
      </c>
      <c r="R291" s="236">
        <v>54670.389000000003</v>
      </c>
      <c r="S291" s="2"/>
    </row>
    <row r="292" spans="1:19" ht="15" customHeight="1">
      <c r="A292" s="311">
        <v>49</v>
      </c>
      <c r="B292" s="231">
        <v>4</v>
      </c>
      <c r="C292" s="34">
        <v>55.77</v>
      </c>
      <c r="D292" s="34">
        <v>93.58</v>
      </c>
      <c r="E292" s="34">
        <v>136.59899999999999</v>
      </c>
      <c r="F292" s="34">
        <v>243.31399999999999</v>
      </c>
      <c r="G292" s="34">
        <v>408.27300000000002</v>
      </c>
      <c r="H292" s="34">
        <v>741.85199999999998</v>
      </c>
      <c r="I292" s="34">
        <v>1269.8320000000001</v>
      </c>
      <c r="J292" s="34">
        <v>2130.739</v>
      </c>
      <c r="K292" s="34">
        <v>3504.8429999999998</v>
      </c>
      <c r="L292" s="34">
        <v>5116.0370000000003</v>
      </c>
      <c r="M292" s="34">
        <v>8086.88</v>
      </c>
      <c r="N292" s="34">
        <v>12041.806</v>
      </c>
      <c r="O292" s="34">
        <v>19034.386999999999</v>
      </c>
      <c r="P292" s="34">
        <v>30087.504000000001</v>
      </c>
      <c r="Q292" s="34">
        <v>44801.940999999999</v>
      </c>
      <c r="R292" s="237">
        <v>68053.900999999998</v>
      </c>
      <c r="S292" s="2"/>
    </row>
    <row r="293" spans="1:19" ht="15" customHeight="1">
      <c r="A293" s="228">
        <v>50</v>
      </c>
      <c r="B293" s="75">
        <v>1</v>
      </c>
      <c r="C293" s="2">
        <v>3950.7959999999998</v>
      </c>
      <c r="D293" s="2">
        <v>3933.43</v>
      </c>
      <c r="E293" s="2">
        <v>3916.0639999999999</v>
      </c>
      <c r="F293" s="2">
        <v>3855.2820000000002</v>
      </c>
      <c r="G293" s="2">
        <v>3768.4520000000002</v>
      </c>
      <c r="H293" s="2">
        <v>3612.1559999999999</v>
      </c>
      <c r="I293" s="2">
        <v>3455.8609999999999</v>
      </c>
      <c r="J293" s="2">
        <v>3195.3690000000001</v>
      </c>
      <c r="K293" s="2">
        <v>2943.56</v>
      </c>
      <c r="L293" s="2">
        <v>2709.1170000000002</v>
      </c>
      <c r="M293" s="2">
        <v>2483.357</v>
      </c>
      <c r="N293" s="2">
        <v>2301.0129999999999</v>
      </c>
      <c r="O293" s="2">
        <v>2092.6190000000001</v>
      </c>
      <c r="P293" s="2">
        <v>1892.9090000000001</v>
      </c>
      <c r="Q293" s="2">
        <v>1727.931</v>
      </c>
      <c r="R293" s="236">
        <v>1554.269</v>
      </c>
      <c r="S293" s="2"/>
    </row>
    <row r="294" spans="1:19" ht="15" customHeight="1">
      <c r="A294" s="228">
        <v>50</v>
      </c>
      <c r="B294" s="75">
        <v>2</v>
      </c>
      <c r="C294" s="2">
        <v>4619.3919999999998</v>
      </c>
      <c r="D294" s="2">
        <v>4602.0259999999998</v>
      </c>
      <c r="E294" s="2">
        <v>4567.2939999999999</v>
      </c>
      <c r="F294" s="2">
        <v>4497.8289999999997</v>
      </c>
      <c r="G294" s="2">
        <v>4350.2169999999996</v>
      </c>
      <c r="H294" s="2">
        <v>4202.6049999999996</v>
      </c>
      <c r="I294" s="2">
        <v>4028.944</v>
      </c>
      <c r="J294" s="2">
        <v>3785.8180000000002</v>
      </c>
      <c r="K294" s="2">
        <v>3455.8609999999999</v>
      </c>
      <c r="L294" s="2">
        <v>3186.6860000000001</v>
      </c>
      <c r="M294" s="2">
        <v>2978.2919999999999</v>
      </c>
      <c r="N294" s="2">
        <v>2795.9479999999999</v>
      </c>
      <c r="O294" s="2">
        <v>2604.92</v>
      </c>
      <c r="P294" s="2">
        <v>2422.576</v>
      </c>
      <c r="Q294" s="2">
        <v>2179.4499999999998</v>
      </c>
      <c r="R294" s="236">
        <v>1918.9580000000001</v>
      </c>
      <c r="S294" s="2"/>
    </row>
    <row r="295" spans="1:19" ht="15" customHeight="1">
      <c r="A295" s="228">
        <v>50</v>
      </c>
      <c r="B295" s="75">
        <v>3</v>
      </c>
      <c r="C295" s="2">
        <v>4489.1459999999997</v>
      </c>
      <c r="D295" s="2">
        <v>4497.8289999999997</v>
      </c>
      <c r="E295" s="2">
        <v>4419.6819999999998</v>
      </c>
      <c r="F295" s="2">
        <v>4358.8999999999996</v>
      </c>
      <c r="G295" s="2">
        <v>4228.6540000000005</v>
      </c>
      <c r="H295" s="2">
        <v>4107.0910000000003</v>
      </c>
      <c r="I295" s="2">
        <v>3924.7469999999998</v>
      </c>
      <c r="J295" s="2">
        <v>3672.9380000000001</v>
      </c>
      <c r="K295" s="2">
        <v>3316.9319999999998</v>
      </c>
      <c r="L295" s="2">
        <v>3021.7080000000001</v>
      </c>
      <c r="M295" s="2">
        <v>2787.2649999999999</v>
      </c>
      <c r="N295" s="2">
        <v>2587.5540000000001</v>
      </c>
      <c r="O295" s="2">
        <v>2361.7950000000001</v>
      </c>
      <c r="P295" s="2">
        <v>2179.4499999999998</v>
      </c>
      <c r="Q295" s="2">
        <v>1971.056</v>
      </c>
      <c r="R295" s="236">
        <v>1745.297</v>
      </c>
      <c r="S295" s="2"/>
    </row>
    <row r="296" spans="1:19" ht="15" customHeight="1">
      <c r="A296" s="228">
        <v>50</v>
      </c>
      <c r="B296" s="75">
        <v>4</v>
      </c>
      <c r="C296" s="2">
        <v>5253.2560000000003</v>
      </c>
      <c r="D296" s="2">
        <v>5227.2070000000003</v>
      </c>
      <c r="E296" s="2">
        <v>5201.1580000000004</v>
      </c>
      <c r="F296" s="2">
        <v>5157.7420000000002</v>
      </c>
      <c r="G296" s="2">
        <v>5027.4960000000001</v>
      </c>
      <c r="H296" s="2">
        <v>4897.25</v>
      </c>
      <c r="I296" s="2">
        <v>4723.5889999999999</v>
      </c>
      <c r="J296" s="34">
        <v>4419.6819999999998</v>
      </c>
      <c r="K296" s="34">
        <v>3959.4789999999998</v>
      </c>
      <c r="L296" s="34">
        <v>3707.67</v>
      </c>
      <c r="M296" s="34">
        <v>3386.3969999999999</v>
      </c>
      <c r="N296" s="34">
        <v>3151.9540000000002</v>
      </c>
      <c r="O296" s="34">
        <v>2926.194</v>
      </c>
      <c r="P296" s="34">
        <v>2648.3359999999998</v>
      </c>
      <c r="Q296" s="34">
        <v>2405.21</v>
      </c>
      <c r="R296" s="237">
        <v>2127.3519999999999</v>
      </c>
      <c r="S296" s="2"/>
    </row>
    <row r="297" spans="1:19" ht="15" customHeight="1">
      <c r="A297" s="229">
        <v>51</v>
      </c>
      <c r="B297" s="74">
        <v>1</v>
      </c>
      <c r="C297" s="234">
        <v>4591.2049999999999</v>
      </c>
      <c r="D297" s="234">
        <v>4281.759</v>
      </c>
      <c r="E297" s="234">
        <v>3410.4229999999998</v>
      </c>
      <c r="F297" s="234">
        <v>1757.329</v>
      </c>
      <c r="G297" s="234">
        <v>1203.5830000000001</v>
      </c>
      <c r="H297" s="234">
        <v>674.26700000000005</v>
      </c>
      <c r="I297" s="235">
        <v>454.39699999999999</v>
      </c>
      <c r="J297" s="2"/>
      <c r="K297" s="2"/>
      <c r="L297" s="2"/>
      <c r="M297" s="2"/>
      <c r="N297" s="2"/>
      <c r="O297" s="2"/>
      <c r="P297" s="2"/>
      <c r="Q297" s="2"/>
      <c r="R297" s="2"/>
    </row>
    <row r="298" spans="1:19" ht="15" customHeight="1">
      <c r="A298" s="228">
        <v>51</v>
      </c>
      <c r="B298" s="75">
        <v>2</v>
      </c>
      <c r="C298" s="2">
        <v>6228.0129999999999</v>
      </c>
      <c r="D298" s="2">
        <v>5983.7129999999997</v>
      </c>
      <c r="E298" s="2">
        <v>5169.3810000000003</v>
      </c>
      <c r="F298" s="2">
        <v>3809.4459999999999</v>
      </c>
      <c r="G298" s="2">
        <v>3019.5439999999999</v>
      </c>
      <c r="H298" s="2">
        <v>2099.3490000000002</v>
      </c>
      <c r="I298" s="236">
        <v>1504.886</v>
      </c>
      <c r="J298" s="2"/>
    </row>
    <row r="299" spans="1:19" ht="15" customHeight="1">
      <c r="A299" s="228">
        <v>51</v>
      </c>
      <c r="B299" s="75">
        <v>3</v>
      </c>
      <c r="C299" s="2">
        <v>6081.433</v>
      </c>
      <c r="D299" s="2">
        <v>5837.134</v>
      </c>
      <c r="E299" s="2">
        <v>4973.9409999999998</v>
      </c>
      <c r="F299" s="2">
        <v>3459.2829999999999</v>
      </c>
      <c r="G299" s="2">
        <v>2775.2440000000001</v>
      </c>
      <c r="H299" s="2">
        <v>1887.6220000000001</v>
      </c>
      <c r="I299" s="236">
        <v>1342.02</v>
      </c>
      <c r="J299" s="2"/>
    </row>
    <row r="300" spans="1:19" ht="15" customHeight="1">
      <c r="A300" s="228">
        <v>51</v>
      </c>
      <c r="B300" s="75">
        <v>4</v>
      </c>
      <c r="C300" s="2">
        <v>5902.28</v>
      </c>
      <c r="D300" s="2">
        <v>5657.98</v>
      </c>
      <c r="E300" s="2">
        <v>4794.7879999999996</v>
      </c>
      <c r="F300" s="2">
        <v>3296.4169999999999</v>
      </c>
      <c r="G300" s="2">
        <v>2522.8009999999999</v>
      </c>
      <c r="H300" s="2">
        <v>1773.616</v>
      </c>
      <c r="I300" s="236">
        <v>1244.3</v>
      </c>
      <c r="J300" s="2"/>
    </row>
    <row r="301" spans="1:19" ht="15" customHeight="1">
      <c r="A301" s="228">
        <v>51</v>
      </c>
      <c r="B301" s="75">
        <v>5</v>
      </c>
      <c r="C301" s="2">
        <v>6089.5770000000002</v>
      </c>
      <c r="D301" s="2">
        <v>5771.9870000000001</v>
      </c>
      <c r="E301" s="2">
        <v>4876.2209999999995</v>
      </c>
      <c r="F301" s="2">
        <v>3565.1469999999999</v>
      </c>
      <c r="G301" s="2">
        <v>2889.2510000000002</v>
      </c>
      <c r="H301" s="2">
        <v>1952.769</v>
      </c>
      <c r="I301" s="236">
        <v>1325.7329999999999</v>
      </c>
      <c r="J301" s="2"/>
    </row>
    <row r="302" spans="1:19" ht="15" customHeight="1">
      <c r="A302" s="228">
        <v>51</v>
      </c>
      <c r="B302" s="75">
        <v>6</v>
      </c>
      <c r="C302" s="2">
        <v>6016.2870000000003</v>
      </c>
      <c r="D302" s="2">
        <v>5739.4139999999998</v>
      </c>
      <c r="E302" s="2">
        <v>4436.482</v>
      </c>
      <c r="F302" s="2">
        <v>3060.261</v>
      </c>
      <c r="G302" s="2">
        <v>2522.8009999999999</v>
      </c>
      <c r="H302" s="2">
        <v>1757.329</v>
      </c>
      <c r="I302" s="236">
        <v>1154.723</v>
      </c>
      <c r="J302" s="2"/>
    </row>
    <row r="303" spans="1:19" ht="15" customHeight="1">
      <c r="A303" s="230">
        <v>51</v>
      </c>
      <c r="B303" s="231">
        <v>7</v>
      </c>
      <c r="C303" s="34">
        <v>5723.1270000000004</v>
      </c>
      <c r="D303" s="34">
        <v>5478.8270000000002</v>
      </c>
      <c r="E303" s="34">
        <v>4697.0680000000002</v>
      </c>
      <c r="F303" s="34">
        <v>3141.694</v>
      </c>
      <c r="G303" s="34">
        <v>2408.7950000000001</v>
      </c>
      <c r="H303" s="34">
        <v>1578.4559999999999</v>
      </c>
      <c r="I303" s="237">
        <v>1138.4359999999999</v>
      </c>
      <c r="J303" s="2"/>
    </row>
    <row r="304" spans="1:19" ht="15" customHeight="1">
      <c r="A304" s="233">
        <v>52</v>
      </c>
      <c r="B304" s="201">
        <v>1</v>
      </c>
      <c r="C304" s="2"/>
      <c r="D304" s="2"/>
      <c r="E304" s="2"/>
      <c r="F304" s="2"/>
      <c r="G304" s="2"/>
      <c r="H304" s="2"/>
      <c r="I304" s="2"/>
    </row>
    <row r="305" spans="1:11" ht="15" customHeight="1">
      <c r="A305" s="233">
        <v>52</v>
      </c>
      <c r="B305" s="201">
        <v>2</v>
      </c>
    </row>
    <row r="306" spans="1:11" ht="15" customHeight="1">
      <c r="A306" s="233">
        <v>52</v>
      </c>
      <c r="B306" s="201">
        <v>3</v>
      </c>
    </row>
    <row r="307" spans="1:11" ht="15" customHeight="1">
      <c r="A307" s="241">
        <v>52</v>
      </c>
      <c r="B307" s="202">
        <v>4</v>
      </c>
    </row>
    <row r="308" spans="1:11" ht="15" customHeight="1">
      <c r="A308" s="233">
        <v>53</v>
      </c>
      <c r="B308" s="201">
        <v>1</v>
      </c>
    </row>
    <row r="309" spans="1:11" ht="15" customHeight="1">
      <c r="A309" s="233">
        <v>53</v>
      </c>
      <c r="B309" s="201">
        <v>2</v>
      </c>
    </row>
    <row r="310" spans="1:11" ht="15" customHeight="1">
      <c r="A310" s="233">
        <v>53</v>
      </c>
      <c r="B310" s="201">
        <v>3</v>
      </c>
    </row>
    <row r="311" spans="1:11" ht="15" customHeight="1">
      <c r="A311" s="233">
        <v>53</v>
      </c>
      <c r="B311" s="201">
        <v>4</v>
      </c>
    </row>
    <row r="312" spans="1:11" ht="15" customHeight="1">
      <c r="A312" s="233">
        <v>53</v>
      </c>
      <c r="B312" s="201">
        <v>5</v>
      </c>
      <c r="C312" s="2"/>
      <c r="D312" s="2"/>
      <c r="E312" s="2"/>
      <c r="F312" s="2"/>
      <c r="G312" s="2"/>
      <c r="H312" s="2"/>
      <c r="I312" s="2"/>
      <c r="J312" s="2"/>
    </row>
    <row r="313" spans="1:11" ht="15" customHeight="1">
      <c r="A313" s="229">
        <v>54</v>
      </c>
      <c r="B313" s="200">
        <v>1</v>
      </c>
      <c r="C313" s="234">
        <v>355.04300000000001</v>
      </c>
      <c r="D313" s="234">
        <v>335.15899999999999</v>
      </c>
      <c r="E313" s="234">
        <v>297.11799999999999</v>
      </c>
      <c r="F313" s="234">
        <v>276.36900000000003</v>
      </c>
      <c r="G313" s="234">
        <v>210.66300000000001</v>
      </c>
      <c r="H313" s="234">
        <v>142.363</v>
      </c>
      <c r="I313" s="234">
        <v>108.646</v>
      </c>
      <c r="J313" s="235">
        <v>87.031999999999996</v>
      </c>
      <c r="K313" s="2"/>
    </row>
    <row r="314" spans="1:11" ht="15" customHeight="1">
      <c r="A314" s="228">
        <v>54</v>
      </c>
      <c r="B314" s="201">
        <v>2</v>
      </c>
      <c r="C314" s="2">
        <v>662.82399999999996</v>
      </c>
      <c r="D314" s="2">
        <v>632.56500000000005</v>
      </c>
      <c r="E314" s="2">
        <v>559.07799999999997</v>
      </c>
      <c r="F314" s="2">
        <v>389.625</v>
      </c>
      <c r="G314" s="2">
        <v>302.30500000000001</v>
      </c>
      <c r="H314" s="2">
        <v>248.703</v>
      </c>
      <c r="I314" s="2">
        <v>198.559</v>
      </c>
      <c r="J314" s="236">
        <v>150.14400000000001</v>
      </c>
      <c r="K314" s="2"/>
    </row>
    <row r="315" spans="1:11" ht="15" customHeight="1">
      <c r="A315" s="228">
        <v>54</v>
      </c>
      <c r="B315" s="201">
        <v>3</v>
      </c>
      <c r="C315" s="2">
        <v>523.63099999999997</v>
      </c>
      <c r="D315" s="2">
        <v>495.101</v>
      </c>
      <c r="E315" s="2">
        <v>418.15600000000001</v>
      </c>
      <c r="F315" s="2">
        <v>340.346</v>
      </c>
      <c r="G315" s="2">
        <v>265.99400000000003</v>
      </c>
      <c r="H315" s="2">
        <v>208.06899999999999</v>
      </c>
      <c r="I315" s="2">
        <v>168.3</v>
      </c>
      <c r="J315" s="236">
        <v>141.499</v>
      </c>
      <c r="K315" s="2"/>
    </row>
    <row r="316" spans="1:11" ht="15" customHeight="1">
      <c r="A316" s="230">
        <v>54</v>
      </c>
      <c r="B316" s="202">
        <v>4</v>
      </c>
      <c r="C316" s="34">
        <v>292.79500000000002</v>
      </c>
      <c r="D316" s="34">
        <v>284.14999999999998</v>
      </c>
      <c r="E316" s="34">
        <v>260.80700000000002</v>
      </c>
      <c r="F316" s="34">
        <v>256.48399999999998</v>
      </c>
      <c r="G316" s="34">
        <v>164.84100000000001</v>
      </c>
      <c r="H316" s="34">
        <v>109.51</v>
      </c>
      <c r="I316" s="34">
        <v>87.896000000000001</v>
      </c>
      <c r="J316" s="237">
        <v>76.656999999999996</v>
      </c>
      <c r="K316" s="2"/>
    </row>
    <row r="317" spans="1:11" ht="15" customHeight="1">
      <c r="A317" s="228">
        <v>55</v>
      </c>
      <c r="B317" s="201" t="s">
        <v>221</v>
      </c>
      <c r="C317" s="2"/>
      <c r="D317" s="2"/>
      <c r="E317" s="2"/>
      <c r="F317" s="2"/>
      <c r="G317" s="2"/>
      <c r="H317" s="2"/>
      <c r="I317" s="2"/>
      <c r="J317" s="2"/>
    </row>
    <row r="318" spans="1:11" ht="15" customHeight="1">
      <c r="A318" s="228">
        <v>55</v>
      </c>
      <c r="B318" s="201" t="s">
        <v>222</v>
      </c>
    </row>
    <row r="319" spans="1:11" ht="15" customHeight="1">
      <c r="A319" s="228">
        <v>55</v>
      </c>
      <c r="B319" s="201" t="s">
        <v>223</v>
      </c>
    </row>
    <row r="320" spans="1:11" ht="15" customHeight="1">
      <c r="A320" s="228">
        <v>55</v>
      </c>
      <c r="B320" s="201" t="s">
        <v>225</v>
      </c>
    </row>
    <row r="321" spans="1:20" ht="15" customHeight="1">
      <c r="A321" s="228">
        <v>55</v>
      </c>
      <c r="B321" s="201" t="s">
        <v>226</v>
      </c>
    </row>
    <row r="322" spans="1:20" ht="15" customHeight="1">
      <c r="A322" s="228">
        <v>55</v>
      </c>
      <c r="B322" s="201" t="s">
        <v>227</v>
      </c>
    </row>
    <row r="323" spans="1:20" ht="15" customHeight="1">
      <c r="A323" s="228">
        <v>55</v>
      </c>
      <c r="B323" s="201" t="s">
        <v>231</v>
      </c>
    </row>
    <row r="324" spans="1:20" ht="15" customHeight="1">
      <c r="A324" s="228">
        <v>55</v>
      </c>
      <c r="B324" s="201" t="s">
        <v>232</v>
      </c>
    </row>
    <row r="325" spans="1:20" ht="15" customHeight="1">
      <c r="A325" s="228">
        <v>55</v>
      </c>
      <c r="B325" s="201" t="s">
        <v>233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20" ht="15" customHeight="1">
      <c r="A326" s="199">
        <v>56</v>
      </c>
      <c r="B326" s="200" t="s">
        <v>221</v>
      </c>
      <c r="C326" s="234">
        <v>895279196.13399994</v>
      </c>
      <c r="D326" s="234">
        <v>929148434.91199994</v>
      </c>
      <c r="E326" s="234">
        <v>774315798.45200002</v>
      </c>
      <c r="F326" s="234">
        <v>654056643.97599995</v>
      </c>
      <c r="G326" s="234">
        <v>579211765.89300001</v>
      </c>
      <c r="H326" s="234">
        <v>539573008.81299996</v>
      </c>
      <c r="I326" s="234">
        <v>490908635.60100001</v>
      </c>
      <c r="J326" s="234">
        <v>428902388.64200002</v>
      </c>
      <c r="K326" s="234">
        <v>375995210.76700002</v>
      </c>
      <c r="L326" s="234">
        <v>331847287.21100003</v>
      </c>
      <c r="M326" s="234">
        <v>293873405.31199998</v>
      </c>
      <c r="N326" s="234">
        <v>265569765.59799999</v>
      </c>
      <c r="O326" s="234">
        <v>244077221.56999999</v>
      </c>
      <c r="P326" s="234">
        <v>221315408.13800001</v>
      </c>
      <c r="Q326" s="235">
        <v>204092162.19299999</v>
      </c>
      <c r="R326" s="2"/>
    </row>
    <row r="327" spans="1:20" ht="15" customHeight="1">
      <c r="A327" s="196">
        <v>56</v>
      </c>
      <c r="B327" s="201" t="s">
        <v>225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34"/>
      <c r="N327" s="34"/>
      <c r="O327" s="34"/>
      <c r="P327" s="34"/>
      <c r="Q327" s="237"/>
      <c r="R327" s="2"/>
    </row>
    <row r="328" spans="1:20" ht="15" customHeight="1">
      <c r="A328" s="199">
        <v>57</v>
      </c>
      <c r="B328" s="200">
        <v>1</v>
      </c>
      <c r="C328" s="234">
        <v>928105386.37800002</v>
      </c>
      <c r="D328" s="234">
        <v>903340775.10399997</v>
      </c>
      <c r="E328" s="234">
        <v>852888081.50899994</v>
      </c>
      <c r="F328" s="234">
        <v>783766682.38</v>
      </c>
      <c r="G328" s="234">
        <v>691612814.23800004</v>
      </c>
      <c r="H328" s="234">
        <v>578159819.69200003</v>
      </c>
      <c r="I328" s="234">
        <v>470421434.57099998</v>
      </c>
      <c r="J328" s="234">
        <v>354125719.44300002</v>
      </c>
      <c r="K328" s="234">
        <v>281396827.09100002</v>
      </c>
      <c r="L328" s="235">
        <v>224361912.04800001</v>
      </c>
      <c r="M328" s="2"/>
      <c r="N328" s="2"/>
      <c r="O328" s="2"/>
      <c r="P328" s="2"/>
      <c r="Q328" s="2"/>
    </row>
    <row r="329" spans="1:20" ht="15" customHeight="1">
      <c r="A329" s="196">
        <v>57</v>
      </c>
      <c r="B329" s="201">
        <v>2</v>
      </c>
      <c r="C329" s="2">
        <v>818980434.62699997</v>
      </c>
      <c r="D329" s="2">
        <v>773239369.829</v>
      </c>
      <c r="E329" s="2">
        <v>708174852.30799997</v>
      </c>
      <c r="F329" s="2">
        <v>578159819.69200003</v>
      </c>
      <c r="G329" s="2">
        <v>453248935.73400003</v>
      </c>
      <c r="H329" s="2">
        <v>354125719.44300002</v>
      </c>
      <c r="I329" s="2">
        <v>288135431.21600002</v>
      </c>
      <c r="J329" s="2">
        <v>240869349.91499999</v>
      </c>
      <c r="K329" s="2">
        <v>208985774.22099999</v>
      </c>
      <c r="L329" s="236">
        <v>190110825.248</v>
      </c>
      <c r="M329" s="2"/>
    </row>
    <row r="330" spans="1:20" ht="15" customHeight="1">
      <c r="A330" s="229">
        <v>58</v>
      </c>
      <c r="B330" s="74">
        <v>1</v>
      </c>
      <c r="C330" s="234">
        <v>26465.519</v>
      </c>
      <c r="D330" s="234">
        <v>30828.637999999999</v>
      </c>
      <c r="E330" s="234">
        <v>39756.752</v>
      </c>
      <c r="F330" s="234">
        <v>49560.983</v>
      </c>
      <c r="G330" s="234">
        <v>62839.495999999999</v>
      </c>
      <c r="H330" s="234">
        <v>83833.343999999997</v>
      </c>
      <c r="I330" s="234">
        <v>109960.603</v>
      </c>
      <c r="J330" s="234">
        <v>146696.992</v>
      </c>
      <c r="K330" s="234">
        <v>195706.52299999999</v>
      </c>
      <c r="L330" s="234">
        <v>256699.85699999999</v>
      </c>
      <c r="M330" s="235">
        <v>325475.58</v>
      </c>
      <c r="N330" s="2"/>
    </row>
    <row r="331" spans="1:20" ht="15" customHeight="1">
      <c r="A331" s="228">
        <v>58</v>
      </c>
      <c r="B331" s="75">
        <v>2</v>
      </c>
      <c r="C331" s="2">
        <v>13661.342000000001</v>
      </c>
      <c r="D331" s="2">
        <v>17918.996999999999</v>
      </c>
      <c r="E331" s="2">
        <v>24314.288</v>
      </c>
      <c r="F331" s="2">
        <v>33556.233</v>
      </c>
      <c r="G331" s="2">
        <v>41831.381999999998</v>
      </c>
      <c r="H331" s="2">
        <v>54868.43</v>
      </c>
      <c r="I331" s="2">
        <v>68399.282999999996</v>
      </c>
      <c r="J331" s="2">
        <v>91250.581000000006</v>
      </c>
      <c r="K331" s="2">
        <v>115698.685</v>
      </c>
      <c r="L331" s="2">
        <v>151757.005</v>
      </c>
      <c r="M331" s="236">
        <v>189181.10699999999</v>
      </c>
      <c r="N331" s="2"/>
    </row>
    <row r="332" spans="1:20" ht="15" customHeight="1">
      <c r="A332" s="228">
        <v>58</v>
      </c>
      <c r="B332" s="75">
        <v>3</v>
      </c>
      <c r="C332" s="2">
        <v>210.86600000000001</v>
      </c>
      <c r="D332" s="2">
        <v>262.86599999999999</v>
      </c>
      <c r="E332" s="2">
        <v>362.78300000000002</v>
      </c>
      <c r="F332" s="2">
        <v>492.26</v>
      </c>
      <c r="G332" s="2">
        <v>690.98699999999997</v>
      </c>
      <c r="H332" s="2">
        <v>1361.509</v>
      </c>
      <c r="I332" s="2">
        <v>2010.885</v>
      </c>
      <c r="J332" s="2">
        <v>3401.451</v>
      </c>
      <c r="K332" s="2">
        <v>5468.268</v>
      </c>
      <c r="L332" s="2">
        <v>9407.8510000000006</v>
      </c>
      <c r="M332" s="236">
        <v>14870.043</v>
      </c>
      <c r="N332" s="2"/>
    </row>
    <row r="333" spans="1:20" ht="15" customHeight="1">
      <c r="A333" s="228">
        <v>58</v>
      </c>
      <c r="B333" s="75">
        <v>4</v>
      </c>
      <c r="C333" s="2">
        <v>338.99400000000003</v>
      </c>
      <c r="D333" s="2">
        <v>381.714</v>
      </c>
      <c r="E333" s="2">
        <v>475.846</v>
      </c>
      <c r="F333" s="2">
        <v>613.654</v>
      </c>
      <c r="G333" s="2">
        <v>818.66700000000003</v>
      </c>
      <c r="H333" s="2">
        <v>1038.0070000000001</v>
      </c>
      <c r="I333" s="2">
        <v>1533.088</v>
      </c>
      <c r="J333" s="2">
        <v>2303.0189999999998</v>
      </c>
      <c r="K333" s="2">
        <v>3459.6170000000002</v>
      </c>
      <c r="L333" s="2">
        <v>5109.692</v>
      </c>
      <c r="M333" s="236">
        <v>7940.5889999999999</v>
      </c>
      <c r="N333" s="2"/>
    </row>
    <row r="334" spans="1:20" ht="15" customHeight="1">
      <c r="A334" s="228">
        <v>58</v>
      </c>
      <c r="B334" s="75">
        <v>5</v>
      </c>
      <c r="C334" s="2">
        <v>128.96</v>
      </c>
      <c r="D334" s="2">
        <v>138.01</v>
      </c>
      <c r="E334" s="2">
        <v>152.79</v>
      </c>
      <c r="F334" s="2">
        <v>193.726</v>
      </c>
      <c r="G334" s="2">
        <v>187.26599999999999</v>
      </c>
      <c r="H334" s="2">
        <v>267.36099999999999</v>
      </c>
      <c r="I334" s="2">
        <v>286.12400000000002</v>
      </c>
      <c r="J334" s="2">
        <v>350.68599999999998</v>
      </c>
      <c r="K334" s="2">
        <v>467.846</v>
      </c>
      <c r="L334" s="2">
        <v>573.41399999999999</v>
      </c>
      <c r="M334" s="236">
        <v>818.66700000000003</v>
      </c>
      <c r="N334" s="2"/>
      <c r="O334" s="2"/>
      <c r="P334" s="2"/>
      <c r="Q334" s="2"/>
      <c r="R334" s="2"/>
      <c r="S334" s="2"/>
    </row>
    <row r="335" spans="1:20" ht="15" customHeight="1">
      <c r="A335" s="229">
        <v>59</v>
      </c>
      <c r="B335" s="74">
        <v>1</v>
      </c>
      <c r="C335" s="234">
        <v>6256.3739999999998</v>
      </c>
      <c r="D335" s="234">
        <v>5889.518</v>
      </c>
      <c r="E335" s="234">
        <v>5433.4279999999999</v>
      </c>
      <c r="F335" s="234">
        <v>4808.7820000000002</v>
      </c>
      <c r="G335" s="234">
        <v>4174.2209999999995</v>
      </c>
      <c r="H335" s="234">
        <v>3618.98</v>
      </c>
      <c r="I335" s="234">
        <v>3133.1439999999998</v>
      </c>
      <c r="J335" s="234">
        <v>2736.5439999999999</v>
      </c>
      <c r="K335" s="234">
        <v>2439.0929999999998</v>
      </c>
      <c r="L335" s="234">
        <v>2191.2179999999998</v>
      </c>
      <c r="M335" s="234">
        <v>1883.8530000000001</v>
      </c>
      <c r="N335" s="234">
        <v>1507.0820000000001</v>
      </c>
      <c r="O335" s="234">
        <v>1279.037</v>
      </c>
      <c r="P335" s="234">
        <v>1100.567</v>
      </c>
      <c r="Q335" s="234">
        <v>961.75599999999997</v>
      </c>
      <c r="R335" s="234">
        <v>832.86099999999999</v>
      </c>
      <c r="S335" s="235">
        <v>713.88099999999997</v>
      </c>
      <c r="T335" s="2"/>
    </row>
    <row r="336" spans="1:20" ht="15" customHeight="1">
      <c r="A336" s="228">
        <v>59</v>
      </c>
      <c r="B336" s="75">
        <v>2</v>
      </c>
      <c r="C336" s="2">
        <v>6603.3990000000003</v>
      </c>
      <c r="D336" s="2">
        <v>6266.2889999999998</v>
      </c>
      <c r="E336" s="2">
        <v>5790.3680000000004</v>
      </c>
      <c r="F336" s="2">
        <v>5235.1270000000004</v>
      </c>
      <c r="G336" s="2">
        <v>4541.076</v>
      </c>
      <c r="H336" s="2">
        <v>3946.1759999999999</v>
      </c>
      <c r="I336" s="2">
        <v>3420.68</v>
      </c>
      <c r="J336" s="2">
        <v>2984.4189999999999</v>
      </c>
      <c r="K336" s="2">
        <v>2667.1390000000001</v>
      </c>
      <c r="L336" s="2">
        <v>2379.6030000000001</v>
      </c>
      <c r="M336" s="2">
        <v>2082.1529999999998</v>
      </c>
      <c r="N336" s="2">
        <v>1665.722</v>
      </c>
      <c r="O336" s="2">
        <v>1437.6769999999999</v>
      </c>
      <c r="P336" s="2">
        <v>1259.2070000000001</v>
      </c>
      <c r="Q336" s="2">
        <v>1090.652</v>
      </c>
      <c r="R336" s="2">
        <v>932.01099999999997</v>
      </c>
      <c r="S336" s="236">
        <v>753.54100000000005</v>
      </c>
      <c r="T336" s="2"/>
    </row>
    <row r="337" spans="1:20" ht="15" customHeight="1">
      <c r="A337" s="228">
        <v>59</v>
      </c>
      <c r="B337" s="75">
        <v>3</v>
      </c>
      <c r="C337" s="2">
        <v>5611.8980000000001</v>
      </c>
      <c r="D337" s="2">
        <v>5145.8919999999998</v>
      </c>
      <c r="E337" s="2">
        <v>4610.482</v>
      </c>
      <c r="F337" s="2">
        <v>4104.8159999999998</v>
      </c>
      <c r="G337" s="2">
        <v>3609.0650000000001</v>
      </c>
      <c r="H337" s="2">
        <v>3143.0590000000002</v>
      </c>
      <c r="I337" s="2">
        <v>2686.9690000000001</v>
      </c>
      <c r="J337" s="2">
        <v>2330.0279999999998</v>
      </c>
      <c r="K337" s="2">
        <v>2042.4929999999999</v>
      </c>
      <c r="L337" s="2">
        <v>1794.6179999999999</v>
      </c>
      <c r="M337" s="2">
        <v>1546.742</v>
      </c>
      <c r="N337" s="2">
        <v>1259.2070000000001</v>
      </c>
      <c r="O337" s="2">
        <v>1120.3969999999999</v>
      </c>
      <c r="P337" s="2">
        <v>991.50099999999998</v>
      </c>
      <c r="Q337" s="2">
        <v>852.69100000000003</v>
      </c>
      <c r="R337" s="2">
        <v>723.79600000000005</v>
      </c>
      <c r="S337" s="236">
        <v>634.56100000000004</v>
      </c>
      <c r="T337" s="2"/>
    </row>
    <row r="338" spans="1:20" ht="15" customHeight="1">
      <c r="A338" s="228">
        <v>59</v>
      </c>
      <c r="B338" s="75">
        <v>4</v>
      </c>
      <c r="C338" s="2">
        <v>5175.6369999999997</v>
      </c>
      <c r="D338" s="2">
        <v>4600.567</v>
      </c>
      <c r="E338" s="2">
        <v>3926.346</v>
      </c>
      <c r="F338" s="2">
        <v>3420.68</v>
      </c>
      <c r="G338" s="2">
        <v>2984.4189999999999</v>
      </c>
      <c r="H338" s="2">
        <v>2577.904</v>
      </c>
      <c r="I338" s="2">
        <v>2230.8780000000002</v>
      </c>
      <c r="J338" s="2">
        <v>1923.5129999999999</v>
      </c>
      <c r="K338" s="2">
        <v>1645.8920000000001</v>
      </c>
      <c r="L338" s="2">
        <v>1447.5920000000001</v>
      </c>
      <c r="M338" s="2">
        <v>1199.7170000000001</v>
      </c>
      <c r="N338" s="2">
        <v>961.75599999999997</v>
      </c>
      <c r="O338" s="2">
        <v>793.20100000000002</v>
      </c>
      <c r="P338" s="2">
        <v>694.05100000000004</v>
      </c>
      <c r="Q338" s="2">
        <v>624.64599999999996</v>
      </c>
      <c r="R338" s="2">
        <v>545.32600000000002</v>
      </c>
      <c r="S338" s="236">
        <v>456.09100000000001</v>
      </c>
      <c r="T338" s="2"/>
    </row>
    <row r="339" spans="1:20" ht="15" customHeight="1">
      <c r="A339" s="228">
        <v>59</v>
      </c>
      <c r="B339" s="75">
        <v>5</v>
      </c>
      <c r="C339" s="2">
        <v>4630.3119999999999</v>
      </c>
      <c r="D339" s="2">
        <v>4342.7759999999998</v>
      </c>
      <c r="E339" s="2">
        <v>4055.241</v>
      </c>
      <c r="F339" s="2">
        <v>3668.5549999999998</v>
      </c>
      <c r="G339" s="2">
        <v>3172.8049999999998</v>
      </c>
      <c r="H339" s="2">
        <v>2667.1390000000001</v>
      </c>
      <c r="I339" s="2">
        <v>2201.1329999999998</v>
      </c>
      <c r="J339" s="2">
        <v>1745.0419999999999</v>
      </c>
      <c r="K339" s="2">
        <v>1477.337</v>
      </c>
      <c r="L339" s="2">
        <v>1259.2070000000001</v>
      </c>
      <c r="M339" s="2">
        <v>1050.992</v>
      </c>
      <c r="N339" s="2">
        <v>793.20100000000002</v>
      </c>
      <c r="O339" s="2">
        <v>644.476</v>
      </c>
      <c r="P339" s="2">
        <v>555.24099999999999</v>
      </c>
      <c r="Q339" s="2">
        <v>495.75099999999998</v>
      </c>
      <c r="R339" s="2">
        <v>446.17599999999999</v>
      </c>
      <c r="S339" s="236">
        <v>376.77100000000002</v>
      </c>
      <c r="T339" s="2"/>
    </row>
    <row r="340" spans="1:20" ht="15" customHeight="1">
      <c r="A340" s="228">
        <v>59</v>
      </c>
      <c r="B340" s="75">
        <v>6</v>
      </c>
      <c r="C340" s="2">
        <v>5046.7420000000002</v>
      </c>
      <c r="D340" s="2">
        <v>4590.652</v>
      </c>
      <c r="E340" s="2">
        <v>4233.7110000000002</v>
      </c>
      <c r="F340" s="2">
        <v>3807.3649999999998</v>
      </c>
      <c r="G340" s="2">
        <v>3281.87</v>
      </c>
      <c r="H340" s="2">
        <v>2558.0740000000001</v>
      </c>
      <c r="I340" s="2">
        <v>2111.8980000000001</v>
      </c>
      <c r="J340" s="2">
        <v>1695.4670000000001</v>
      </c>
      <c r="K340" s="2">
        <v>1388.1020000000001</v>
      </c>
      <c r="L340" s="2">
        <v>1120.3969999999999</v>
      </c>
      <c r="M340" s="2">
        <v>912.18100000000004</v>
      </c>
      <c r="N340" s="34">
        <v>654.39099999999996</v>
      </c>
      <c r="O340" s="34">
        <v>466.00599999999997</v>
      </c>
      <c r="P340" s="34">
        <v>406.51600000000002</v>
      </c>
      <c r="Q340" s="34">
        <v>366.85599999999999</v>
      </c>
      <c r="R340" s="34">
        <v>327.19499999999999</v>
      </c>
      <c r="S340" s="237">
        <v>277.62</v>
      </c>
      <c r="T340" s="2"/>
    </row>
    <row r="341" spans="1:20" ht="15" customHeight="1">
      <c r="A341" s="229">
        <v>60</v>
      </c>
      <c r="B341" s="74">
        <v>1</v>
      </c>
      <c r="C341" s="234">
        <v>2.00909281260874E+16</v>
      </c>
      <c r="D341" s="234">
        <v>1.9364219639466112E+16</v>
      </c>
      <c r="E341" s="234">
        <v>1.8030177408595784E+16</v>
      </c>
      <c r="F341" s="234">
        <v>1.6180800376430728E+16</v>
      </c>
      <c r="G341" s="234">
        <v>1.4521116175877472E+16</v>
      </c>
      <c r="H341" s="234">
        <v>1.2560299636948816E+16</v>
      </c>
      <c r="I341" s="234">
        <v>9397233105646400</v>
      </c>
      <c r="J341" s="234">
        <v>7568328950209747</v>
      </c>
      <c r="K341" s="234">
        <v>4560369159512973</v>
      </c>
      <c r="L341" s="234">
        <v>2382319469358699</v>
      </c>
      <c r="M341" s="235">
        <v>303389118419426.5</v>
      </c>
      <c r="N341" s="2"/>
      <c r="O341" s="2"/>
      <c r="P341" s="2"/>
      <c r="Q341" s="2"/>
      <c r="R341" s="2"/>
      <c r="S341" s="2"/>
    </row>
    <row r="342" spans="1:20" ht="15" customHeight="1">
      <c r="A342" s="228">
        <v>60</v>
      </c>
      <c r="B342" s="75">
        <v>2</v>
      </c>
      <c r="C342" s="2">
        <v>1336595516546444.8</v>
      </c>
      <c r="D342" s="2">
        <v>1241652307592412</v>
      </c>
      <c r="E342" s="2">
        <v>1156112242192103.3</v>
      </c>
      <c r="F342" s="2">
        <v>1037528415818015.6</v>
      </c>
      <c r="G342" s="2">
        <v>671428852925953.63</v>
      </c>
      <c r="H342" s="2">
        <v>561047976032472.75</v>
      </c>
      <c r="I342" s="2">
        <v>435511873685570.81</v>
      </c>
      <c r="J342" s="2">
        <v>314774831410132.25</v>
      </c>
      <c r="K342" s="2">
        <v>152756605823807.63</v>
      </c>
      <c r="L342" s="2">
        <v>68865229634427.703</v>
      </c>
      <c r="M342" s="236">
        <v>6109420249055.7383</v>
      </c>
      <c r="N342" s="2"/>
    </row>
    <row r="343" spans="1:20" ht="15" customHeight="1">
      <c r="A343" s="228">
        <v>60</v>
      </c>
      <c r="B343" s="75">
        <v>3</v>
      </c>
      <c r="C343" s="2">
        <v>92044957175317.547</v>
      </c>
      <c r="D343" s="2">
        <v>95499258602143.734</v>
      </c>
      <c r="E343" s="2">
        <v>92044957175317.547</v>
      </c>
      <c r="F343" s="2">
        <v>71449632607551.469</v>
      </c>
      <c r="G343" s="2">
        <v>57543993733715.898</v>
      </c>
      <c r="H343" s="2">
        <v>59703528658383.93</v>
      </c>
      <c r="I343" s="2">
        <v>47973344863668.984</v>
      </c>
      <c r="J343" s="2">
        <v>38636697705407.039</v>
      </c>
      <c r="K343" s="2">
        <v>27925438412373.484</v>
      </c>
      <c r="L343" s="2">
        <v>13061708881318.459</v>
      </c>
      <c r="M343" s="236">
        <v>1853531623414.822</v>
      </c>
      <c r="N343" s="2"/>
    </row>
    <row r="344" spans="1:20" ht="15" customHeight="1">
      <c r="A344" s="228">
        <v>60</v>
      </c>
      <c r="B344" s="75">
        <v>4</v>
      </c>
      <c r="C344" s="2">
        <v>11297959146728</v>
      </c>
      <c r="D344" s="2">
        <v>10914403364487.586</v>
      </c>
      <c r="E344" s="2">
        <v>9440608762859.2383</v>
      </c>
      <c r="F344" s="2">
        <v>6576578373554.208</v>
      </c>
      <c r="G344" s="2">
        <v>4111497211045.2354</v>
      </c>
      <c r="H344" s="2">
        <v>2660725059798.8247</v>
      </c>
      <c r="I344" s="2">
        <v>1995262314968.8862</v>
      </c>
      <c r="J344" s="2">
        <v>1606941253012.8794</v>
      </c>
      <c r="K344" s="2">
        <v>1158777356155.1274</v>
      </c>
      <c r="L344" s="2">
        <v>751622894018.20618</v>
      </c>
      <c r="M344" s="236">
        <v>74301913789.670395</v>
      </c>
      <c r="N344" s="2"/>
    </row>
    <row r="345" spans="1:20" ht="15" customHeight="1">
      <c r="A345" s="228">
        <v>60</v>
      </c>
      <c r="B345" s="75">
        <v>5</v>
      </c>
      <c r="C345" s="2">
        <v>1492794409578.9966</v>
      </c>
      <c r="D345" s="2">
        <v>1492794409578.9966</v>
      </c>
      <c r="E345" s="2">
        <v>1247383514242.946</v>
      </c>
      <c r="F345" s="2">
        <v>779830110523.25989</v>
      </c>
      <c r="G345" s="2">
        <v>293764965196.15387</v>
      </c>
      <c r="H345" s="2">
        <v>164816239152.55154</v>
      </c>
      <c r="I345" s="2">
        <v>118850222743.70193</v>
      </c>
      <c r="J345" s="2">
        <v>79983425500.703201</v>
      </c>
      <c r="K345" s="2">
        <v>69183097091.89386</v>
      </c>
      <c r="L345" s="2">
        <v>50003453497.698036</v>
      </c>
      <c r="M345" s="236">
        <v>8491804750.3631716</v>
      </c>
      <c r="N345" s="2"/>
    </row>
    <row r="346" spans="1:20" ht="15" customHeight="1">
      <c r="A346" s="228">
        <v>60</v>
      </c>
      <c r="B346" s="75">
        <v>6</v>
      </c>
      <c r="C346" s="2">
        <v>137404197501.25185</v>
      </c>
      <c r="D346" s="2">
        <v>114815362149.6888</v>
      </c>
      <c r="E346" s="2">
        <v>103038612044.16197</v>
      </c>
      <c r="F346" s="2">
        <v>40179081084.894035</v>
      </c>
      <c r="G346" s="2">
        <v>1610645635.1782742</v>
      </c>
      <c r="H346" s="2">
        <v>781627804.58833158</v>
      </c>
      <c r="I346" s="2">
        <v>153815464.03030369</v>
      </c>
      <c r="J346" s="2"/>
      <c r="K346" s="2"/>
      <c r="L346" s="2"/>
      <c r="M346" s="236"/>
      <c r="N346" s="2"/>
    </row>
    <row r="347" spans="1:20" ht="15" customHeight="1">
      <c r="A347" s="228">
        <v>60</v>
      </c>
      <c r="B347" s="75">
        <v>7</v>
      </c>
      <c r="C347" s="2">
        <v>27989813196.343655</v>
      </c>
      <c r="D347" s="2">
        <v>24266100950.824162</v>
      </c>
      <c r="E347" s="2">
        <v>22542392121.524353</v>
      </c>
      <c r="F347" s="2">
        <v>4275628861.5158668</v>
      </c>
      <c r="G347" s="2">
        <v>506990708.27470541</v>
      </c>
      <c r="H347" s="2">
        <v>316956746.30434948</v>
      </c>
      <c r="I347" s="2">
        <v>26181830.082189914</v>
      </c>
      <c r="J347" s="2"/>
      <c r="K347" s="2"/>
      <c r="L347" s="2"/>
      <c r="M347" s="236"/>
      <c r="N347" s="2"/>
    </row>
    <row r="348" spans="1:20" ht="15" customHeight="1">
      <c r="A348" s="228">
        <v>60</v>
      </c>
      <c r="B348" s="75">
        <v>8</v>
      </c>
      <c r="C348" s="2">
        <v>2398832919.0194969</v>
      </c>
      <c r="D348" s="2">
        <v>2152781734.7243767</v>
      </c>
      <c r="E348" s="2">
        <v>1862087136.662868</v>
      </c>
      <c r="F348" s="2">
        <v>438530697.77498597</v>
      </c>
      <c r="G348" s="2">
        <v>37583740.428844504</v>
      </c>
      <c r="H348" s="2">
        <v>18238957.023196422</v>
      </c>
      <c r="I348" s="2">
        <v>1503141.9660900238</v>
      </c>
      <c r="J348" s="2"/>
      <c r="K348" s="2"/>
      <c r="L348" s="2"/>
      <c r="M348" s="236"/>
      <c r="N348" s="2"/>
    </row>
    <row r="349" spans="1:20" ht="15" customHeight="1">
      <c r="A349" s="124">
        <v>61</v>
      </c>
      <c r="B349" s="281">
        <v>1</v>
      </c>
      <c r="C349" s="127">
        <v>16503.866000000002</v>
      </c>
      <c r="D349" s="127">
        <v>15675.846</v>
      </c>
      <c r="E349" s="127">
        <v>12758.87</v>
      </c>
      <c r="F349" s="127">
        <v>5051.5860000000002</v>
      </c>
      <c r="G349" s="127">
        <v>1116.066</v>
      </c>
      <c r="H349" s="127">
        <v>506.89499999999998</v>
      </c>
      <c r="I349" s="127">
        <v>80.834999999999994</v>
      </c>
      <c r="J349" s="127">
        <v>2.6589999999999998</v>
      </c>
      <c r="K349" s="127">
        <v>1.9530000000000001</v>
      </c>
      <c r="L349" s="127">
        <v>1.409</v>
      </c>
      <c r="M349" s="154">
        <v>1.1279999999999999</v>
      </c>
      <c r="N349" s="2"/>
    </row>
    <row r="350" spans="1:20" ht="1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3" spans="12:12" ht="15" customHeight="1">
      <c r="L353" s="153"/>
    </row>
    <row r="354" spans="12:12" ht="15" customHeight="1">
      <c r="L354" s="153"/>
    </row>
    <row r="355" spans="12:12" ht="15" customHeight="1">
      <c r="L355" s="153"/>
    </row>
    <row r="356" spans="12:12" ht="15" customHeight="1">
      <c r="L356" s="153"/>
    </row>
    <row r="357" spans="12:12" ht="15" customHeight="1">
      <c r="L357" s="153"/>
    </row>
    <row r="358" spans="12:12" ht="15" customHeight="1">
      <c r="L358" s="153"/>
    </row>
    <row r="359" spans="12:12" ht="15" customHeight="1">
      <c r="L359" s="153"/>
    </row>
    <row r="360" spans="12:12" ht="15" customHeight="1">
      <c r="L360" s="153"/>
    </row>
    <row r="361" spans="12:12" ht="15" customHeight="1">
      <c r="L361" s="153"/>
    </row>
    <row r="362" spans="12:12" ht="15" customHeight="1">
      <c r="L362" s="153"/>
    </row>
    <row r="363" spans="12:12" ht="15" customHeight="1">
      <c r="L363" s="153"/>
    </row>
    <row r="364" spans="12:12" ht="15" customHeight="1">
      <c r="L364" s="153"/>
    </row>
    <row r="365" spans="12:12" ht="15" customHeight="1">
      <c r="L365" s="153"/>
    </row>
    <row r="366" spans="12:12" ht="15" customHeight="1">
      <c r="L366" s="153"/>
    </row>
    <row r="367" spans="12:12" ht="15" customHeight="1">
      <c r="L367" s="153"/>
    </row>
    <row r="368" spans="12:12" ht="15" customHeight="1">
      <c r="L368" s="153"/>
    </row>
    <row r="369" spans="12:12" ht="15" customHeight="1">
      <c r="L369" s="153"/>
    </row>
    <row r="370" spans="12:12" ht="15" customHeight="1">
      <c r="L370" s="153"/>
    </row>
    <row r="371" spans="12:12" ht="15" customHeight="1">
      <c r="L371" s="153"/>
    </row>
    <row r="372" spans="12:12" ht="15" customHeight="1">
      <c r="L372" s="153"/>
    </row>
    <row r="373" spans="12:12" ht="15" customHeight="1">
      <c r="L373" s="153"/>
    </row>
    <row r="374" spans="12:12" ht="15" customHeight="1">
      <c r="L374" s="153"/>
    </row>
    <row r="375" spans="12:12" ht="15" customHeight="1">
      <c r="L375" s="153"/>
    </row>
    <row r="376" spans="12:12" ht="15" customHeight="1">
      <c r="L376" s="153"/>
    </row>
    <row r="377" spans="12:12" ht="15" customHeight="1">
      <c r="L377" s="153"/>
    </row>
    <row r="378" spans="12:12" ht="15" customHeight="1">
      <c r="L378" s="153"/>
    </row>
    <row r="379" spans="12:12" ht="15" customHeight="1">
      <c r="L379" s="153"/>
    </row>
    <row r="380" spans="12:12" ht="15" customHeight="1">
      <c r="L380" s="153"/>
    </row>
    <row r="381" spans="12:12" ht="15" customHeight="1">
      <c r="L381" s="153"/>
    </row>
    <row r="382" spans="12:12" ht="15" customHeight="1">
      <c r="L382" s="153"/>
    </row>
    <row r="383" spans="12:12" ht="15" customHeight="1">
      <c r="L383" s="153"/>
    </row>
    <row r="384" spans="12:12" ht="15" customHeight="1">
      <c r="L384" s="153"/>
    </row>
    <row r="385" spans="12:12" ht="15" customHeight="1">
      <c r="L385" s="153"/>
    </row>
    <row r="386" spans="12:12" ht="15" customHeight="1">
      <c r="L386" s="153"/>
    </row>
    <row r="387" spans="12:12" ht="15" customHeight="1">
      <c r="L387" s="153"/>
    </row>
    <row r="388" spans="12:12" ht="15" customHeight="1">
      <c r="L388" s="153"/>
    </row>
    <row r="389" spans="12:12" ht="15" customHeight="1">
      <c r="L389" s="153"/>
    </row>
    <row r="390" spans="12:12" ht="15" customHeight="1">
      <c r="L390" s="153"/>
    </row>
    <row r="391" spans="12:12" ht="15" customHeight="1">
      <c r="L391" s="153"/>
    </row>
    <row r="392" spans="12:12" ht="15" customHeight="1">
      <c r="L392" s="153"/>
    </row>
    <row r="393" spans="12:12" ht="15" customHeight="1">
      <c r="L393" s="153"/>
    </row>
    <row r="394" spans="12:12" ht="15" customHeight="1">
      <c r="L394" s="153"/>
    </row>
    <row r="395" spans="12:12" ht="15" customHeight="1">
      <c r="L395" s="153"/>
    </row>
    <row r="396" spans="12:12" ht="15" customHeight="1">
      <c r="L396" s="153"/>
    </row>
    <row r="397" spans="12:12" ht="15" customHeight="1">
      <c r="L397" s="153"/>
    </row>
    <row r="398" spans="12:12" ht="15" customHeight="1">
      <c r="L398" s="153"/>
    </row>
    <row r="399" spans="12:12" ht="15" customHeight="1">
      <c r="L399" s="153"/>
    </row>
    <row r="400" spans="12:12" ht="15" customHeight="1">
      <c r="L400" s="153"/>
    </row>
    <row r="401" spans="12:12" ht="15" customHeight="1">
      <c r="L401" s="153"/>
    </row>
    <row r="402" spans="12:12" ht="15" customHeight="1">
      <c r="L402" s="153"/>
    </row>
    <row r="403" spans="12:12" ht="15" customHeight="1">
      <c r="L403" s="153"/>
    </row>
    <row r="404" spans="12:12" ht="15" customHeight="1">
      <c r="L404" s="153"/>
    </row>
    <row r="405" spans="12:12" ht="15" customHeight="1">
      <c r="L405" s="153"/>
    </row>
    <row r="406" spans="12:12" ht="15" customHeight="1">
      <c r="L406" s="153"/>
    </row>
    <row r="407" spans="12:12" ht="15" customHeight="1">
      <c r="L407" s="153"/>
    </row>
    <row r="408" spans="12:12" ht="15" customHeight="1">
      <c r="L408" s="153"/>
    </row>
    <row r="409" spans="12:12" ht="15" customHeight="1">
      <c r="L409" s="153"/>
    </row>
    <row r="410" spans="12:12" ht="15" customHeight="1">
      <c r="L410" s="153"/>
    </row>
    <row r="411" spans="12:12" ht="15" customHeight="1">
      <c r="L411" s="153"/>
    </row>
    <row r="412" spans="12:12" ht="15" customHeight="1">
      <c r="L412" s="153"/>
    </row>
    <row r="413" spans="12:12" ht="15" customHeight="1">
      <c r="L413" s="153"/>
    </row>
    <row r="414" spans="12:12" ht="15" customHeight="1">
      <c r="L414" s="153"/>
    </row>
    <row r="415" spans="12:12" ht="15" customHeight="1">
      <c r="L415" s="153"/>
    </row>
    <row r="416" spans="12:12" ht="15" customHeight="1">
      <c r="L416" s="153"/>
    </row>
    <row r="417" spans="12:12" ht="15" customHeight="1">
      <c r="L417" s="153"/>
    </row>
    <row r="418" spans="12:12" ht="15" customHeight="1">
      <c r="L418" s="153"/>
    </row>
    <row r="419" spans="12:12" ht="15" customHeight="1">
      <c r="L419" s="153"/>
    </row>
    <row r="420" spans="12:12" ht="15" customHeight="1">
      <c r="L420" s="153"/>
    </row>
    <row r="421" spans="12:12" ht="15" customHeight="1">
      <c r="L421" s="153"/>
    </row>
    <row r="422" spans="12:12" ht="15" customHeight="1">
      <c r="L422" s="153"/>
    </row>
    <row r="423" spans="12:12" ht="15" customHeight="1">
      <c r="L423" s="153"/>
    </row>
    <row r="424" spans="12:12" ht="15" customHeight="1">
      <c r="L424" s="153"/>
    </row>
    <row r="425" spans="12:12" ht="15" customHeight="1">
      <c r="L425" s="153"/>
    </row>
    <row r="426" spans="12:12" ht="15" customHeight="1">
      <c r="L426" s="153"/>
    </row>
    <row r="427" spans="12:12" ht="15" customHeight="1">
      <c r="L427" s="153"/>
    </row>
    <row r="428" spans="12:12" ht="15" customHeight="1">
      <c r="L428" s="153"/>
    </row>
  </sheetData>
  <pageMargins left="0.7" right="0.7" top="0.75" bottom="0.75" header="0" footer="0"/>
  <pageSetup orientation="landscape"/>
  <legacyDrawing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T1000"/>
  <sheetViews>
    <sheetView topLeftCell="A21" workbookViewId="0">
      <selection activeCell="E61" sqref="E61"/>
    </sheetView>
  </sheetViews>
  <sheetFormatPr defaultColWidth="12.5546875" defaultRowHeight="15" customHeight="1"/>
  <cols>
    <col min="1" max="2" width="8.5546875" customWidth="1"/>
    <col min="3" max="3" width="18.33203125" customWidth="1"/>
    <col min="4" max="6" width="16" customWidth="1"/>
    <col min="7" max="11" width="14.88671875" customWidth="1"/>
    <col min="12" max="12" width="13.88671875" customWidth="1"/>
    <col min="13" max="13" width="12" bestFit="1" customWidth="1"/>
    <col min="14" max="15" width="8.5546875" customWidth="1"/>
    <col min="16" max="16" width="8.6640625" customWidth="1"/>
    <col min="17" max="20" width="8.5546875" customWidth="1"/>
    <col min="21" max="21" width="11.109375" customWidth="1"/>
    <col min="22" max="46" width="8.5546875" customWidth="1"/>
  </cols>
  <sheetData>
    <row r="1" spans="1:26" ht="14.4">
      <c r="A1" s="16" t="s">
        <v>219</v>
      </c>
      <c r="B1" s="15" t="s">
        <v>220</v>
      </c>
    </row>
    <row r="2" spans="1:26" ht="14.4">
      <c r="A2" s="380">
        <v>1</v>
      </c>
      <c r="B2" s="295">
        <v>1</v>
      </c>
    </row>
    <row r="3" spans="1:26" ht="14.4">
      <c r="A3" s="380">
        <v>1</v>
      </c>
      <c r="B3" s="295">
        <v>2</v>
      </c>
    </row>
    <row r="4" spans="1:26" ht="14.4">
      <c r="A4" s="381">
        <v>1</v>
      </c>
      <c r="B4" s="295">
        <v>3</v>
      </c>
    </row>
    <row r="5" spans="1:26" ht="14.4">
      <c r="A5" s="381">
        <v>1</v>
      </c>
      <c r="B5" s="295">
        <v>4</v>
      </c>
    </row>
    <row r="6" spans="1:26" ht="14.4">
      <c r="A6" s="381">
        <v>1</v>
      </c>
      <c r="B6" s="295">
        <v>5</v>
      </c>
      <c r="D6" s="2"/>
      <c r="E6" s="2"/>
      <c r="F6" s="2"/>
      <c r="G6" s="2"/>
      <c r="H6" s="2"/>
      <c r="I6" s="2"/>
      <c r="J6" s="2"/>
      <c r="K6" s="2"/>
      <c r="L6" s="2"/>
      <c r="M6" s="2"/>
    </row>
    <row r="7" spans="1:26" ht="14.4">
      <c r="A7" s="199">
        <v>2</v>
      </c>
      <c r="B7" s="200">
        <v>1</v>
      </c>
      <c r="C7" s="234">
        <f>Storage_modulus_G!C7/1000000</f>
        <v>7.8116806310642408E-5</v>
      </c>
      <c r="D7" s="234">
        <f>Storage_modulus_G!D7/1000000</f>
        <v>1.1030285429800399E-4</v>
      </c>
      <c r="E7" s="234">
        <f>Storage_modulus_G!E7/1000000</f>
        <v>1.61510920658763E-4</v>
      </c>
      <c r="F7" s="234">
        <f>Storage_modulus_G!F7/1000000</f>
        <v>2.40826054185602E-4</v>
      </c>
      <c r="G7" s="234">
        <f>Storage_modulus_G!G7/1000000</f>
        <v>3.6567181101941496E-4</v>
      </c>
      <c r="H7" s="234">
        <f>Storage_modulus_G!H7/1000000</f>
        <v>5.4524671777933E-4</v>
      </c>
      <c r="I7" s="234">
        <f>Storage_modulus_G!I7/1000000</f>
        <v>7.5604717660682197E-4</v>
      </c>
      <c r="J7" s="234">
        <f>Storage_modulus_G!J7/1000000</f>
        <v>1.01095508532093E-3</v>
      </c>
      <c r="K7" s="234">
        <f>Storage_modulus_G!K7/1000000</f>
        <v>1.4536523938769301E-3</v>
      </c>
      <c r="L7" s="234">
        <f>Storage_modulus_G!L7/1000000</f>
        <v>2.0156559449537002E-3</v>
      </c>
      <c r="M7" s="235">
        <f>Storage_modulus_G!M7/1000000</f>
        <v>2.5523490290922999E-3</v>
      </c>
      <c r="N7" s="2"/>
    </row>
    <row r="8" spans="1:26" ht="14.4">
      <c r="A8" s="196">
        <v>2</v>
      </c>
      <c r="B8" s="201">
        <v>2</v>
      </c>
      <c r="C8" s="2">
        <f>Storage_modulus_G!C8/1000000</f>
        <v>2.26406864333339E-6</v>
      </c>
      <c r="D8" s="2">
        <f>Storage_modulus_G!D8/1000000</f>
        <v>2.4346432415670903E-6</v>
      </c>
      <c r="E8" s="2">
        <f>Storage_modulus_G!E8/1000000</f>
        <v>2.7646514028593197E-6</v>
      </c>
      <c r="F8" s="2">
        <f>Storage_modulus_G!F8/1000000</f>
        <v>2.9729398324913299E-6</v>
      </c>
      <c r="G8" s="2">
        <f>Storage_modulus_G!G8/1000000</f>
        <v>3.4377762152010896E-6</v>
      </c>
      <c r="H8" s="2">
        <f>Storage_modulus_G!H8/1000000</f>
        <v>3.9037558660769296E-6</v>
      </c>
      <c r="I8" s="2">
        <f>Storage_modulus_G!I8/1000000</f>
        <v>4.5968524908072997E-6</v>
      </c>
      <c r="J8" s="2">
        <f>Storage_modulus_G!J8/1000000</f>
        <v>6.2593605509614705E-6</v>
      </c>
      <c r="K8" s="2">
        <f>Storage_modulus_G!K8/1000000</f>
        <v>8.2191422785135189E-6</v>
      </c>
      <c r="L8" s="2">
        <f>Storage_modulus_G!L8/1000000</f>
        <v>1.1605631310581799E-5</v>
      </c>
      <c r="M8" s="236">
        <f>Storage_modulus_G!M8/1000000</f>
        <v>2.8773357139548201E-5</v>
      </c>
      <c r="N8" s="2"/>
    </row>
    <row r="9" spans="1:26" ht="14.4">
      <c r="A9" s="196">
        <v>2</v>
      </c>
      <c r="B9" s="201">
        <v>3</v>
      </c>
      <c r="C9" s="2">
        <f>Storage_modulus_G!C9/1000000</f>
        <v>6.9042533485137996E-4</v>
      </c>
      <c r="D9" s="2">
        <f>Storage_modulus_G!D9/1000000</f>
        <v>8.4307751718878108E-4</v>
      </c>
      <c r="E9" s="2">
        <f>Storage_modulus_G!E9/1000000</f>
        <v>1.06755723258899E-3</v>
      </c>
      <c r="F9" s="2">
        <f>Storage_modulus_G!F9/1000000</f>
        <v>1.4536523938769301E-3</v>
      </c>
      <c r="G9" s="2">
        <f>Storage_modulus_G!G9/1000000</f>
        <v>2.0156559449537002E-3</v>
      </c>
      <c r="H9" s="2">
        <f>Storage_modulus_G!H9/1000000</f>
        <v>2.5991210013088699E-3</v>
      </c>
      <c r="I9" s="2">
        <f>Storage_modulus_G!I9/1000000</f>
        <v>3.6700228625603398E-3</v>
      </c>
      <c r="J9" s="2">
        <f>Storage_modulus_G!J9/1000000</f>
        <v>4.8190929132765105E-3</v>
      </c>
      <c r="K9" s="2">
        <f>Storage_modulus_G!K9/1000000</f>
        <v>7.3173413027418401E-3</v>
      </c>
      <c r="L9" s="2">
        <f>Storage_modulus_G!L9/1000000</f>
        <v>1.1947775848776201E-2</v>
      </c>
      <c r="M9" s="236">
        <f>Storage_modulus_G!M9/1000000</f>
        <v>1.26167173061541E-2</v>
      </c>
      <c r="N9" s="2"/>
    </row>
    <row r="10" spans="1:26" ht="14.4">
      <c r="A10" s="196">
        <v>2</v>
      </c>
      <c r="B10" s="201">
        <v>4</v>
      </c>
      <c r="C10" s="2">
        <f>Storage_modulus_G!C10/1000000</f>
        <v>9.2320826649339909E-4</v>
      </c>
      <c r="D10" s="2">
        <f>Storage_modulus_G!D10/1000000</f>
        <v>1.1904462167922499E-3</v>
      </c>
      <c r="E10" s="2">
        <f>Storage_modulus_G!E10/1000000</f>
        <v>1.6506903604549801E-3</v>
      </c>
      <c r="F10" s="2">
        <f>Storage_modulus_G!F10/1000000</f>
        <v>2.3735277945243203E-3</v>
      </c>
      <c r="G10" s="2">
        <f>Storage_modulus_G!G10/1000000</f>
        <v>3.5391249763402997E-3</v>
      </c>
      <c r="H10" s="2">
        <f>Storage_modulus_G!H10/1000000</f>
        <v>5.4723056568335999E-3</v>
      </c>
      <c r="I10" s="2">
        <f>Storage_modulus_G!I10/1000000</f>
        <v>8.3091836834395406E-3</v>
      </c>
      <c r="J10" s="2">
        <f>Storage_modulus_G!J10/1000000</f>
        <v>1.3815879887167799E-2</v>
      </c>
      <c r="K10" s="2">
        <f>Storage_modulus_G!K10/1000000</f>
        <v>2.2152659261826899E-2</v>
      </c>
      <c r="L10" s="2">
        <f>Storage_modulus_G!L10/1000000</f>
        <v>3.55200187305049E-2</v>
      </c>
      <c r="M10" s="236">
        <f>Storage_modulus_G!M10/1000000</f>
        <v>6.3509561872022002E-2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6" ht="14.4">
      <c r="A11" s="199">
        <v>3</v>
      </c>
      <c r="B11" s="200">
        <v>1</v>
      </c>
      <c r="C11" s="234">
        <f>Storage_modulus_G!C11/1000000</f>
        <v>2.37474943173543E-5</v>
      </c>
      <c r="D11" s="234">
        <f>Storage_modulus_G!D11/1000000</f>
        <v>1.4724465497136E-5</v>
      </c>
      <c r="E11" s="234">
        <f>Storage_modulus_G!E11/1000000</f>
        <v>2.11930956726879E-5</v>
      </c>
      <c r="F11" s="234">
        <f>Storage_modulus_G!F11/1000000</f>
        <v>4.0083478541601001E-5</v>
      </c>
      <c r="G11" s="234">
        <f>Storage_modulus_G!G11/1000000</f>
        <v>1.64367324515881E-4</v>
      </c>
      <c r="H11" s="234">
        <f>Storage_modulus_G!H11/1000000</f>
        <v>3.3284384259490399E-4</v>
      </c>
      <c r="I11" s="234">
        <f>Storage_modulus_G!I11/1000000</f>
        <v>9.0607968248164396E-4</v>
      </c>
      <c r="J11" s="234">
        <f>Storage_modulus_G!J11/1000000</f>
        <v>1.6751462069041398E-3</v>
      </c>
      <c r="K11" s="234">
        <f>Storage_modulus_G!K11/1000000</f>
        <v>3.2412191933232897E-3</v>
      </c>
      <c r="L11" s="234">
        <f>Storage_modulus_G!L11/1000000</f>
        <v>6.1302672337590599E-3</v>
      </c>
      <c r="M11" s="234">
        <f>Storage_modulus_G!M11/1000000</f>
        <v>1.0114451572906E-2</v>
      </c>
      <c r="N11" s="234">
        <f>Storage_modulus_G!N11/1000000</f>
        <v>1.74652428720624E-2</v>
      </c>
      <c r="O11" s="234">
        <f>Storage_modulus_G!O11/1000000</f>
        <v>2.6914327055682398E-2</v>
      </c>
      <c r="P11" s="234">
        <f>Storage_modulus_G!P11/1000000</f>
        <v>3.9629908011002996E-2</v>
      </c>
      <c r="Q11" s="234">
        <f>Storage_modulus_G!Q11/1000000</f>
        <v>5.7039790825709195E-2</v>
      </c>
      <c r="R11" s="234">
        <f>Storage_modulus_G!R11/1000000</f>
        <v>7.8444667530402287E-2</v>
      </c>
      <c r="S11" s="234">
        <f>Storage_modulus_G!S11/1000000</f>
        <v>9.6277662014594104E-2</v>
      </c>
      <c r="T11" s="234">
        <f>Storage_modulus_G!T11/1000000</f>
        <v>0.115505580048571</v>
      </c>
      <c r="U11" s="234">
        <f>Storage_modulus_G!U11/1000000</f>
        <v>0.13857356673591101</v>
      </c>
      <c r="V11" s="234">
        <f>Storage_modulus_G!V11/1000000</f>
        <v>0.16624853439840101</v>
      </c>
      <c r="W11" s="234">
        <f>Storage_modulus_G!W11/1000000</f>
        <v>0.19496227170075101</v>
      </c>
      <c r="X11" s="234">
        <f>Storage_modulus_G!X11/1000000</f>
        <v>0.21846102668609699</v>
      </c>
      <c r="Y11" s="235">
        <f>Storage_modulus_G!Y11/1000000</f>
        <v>0.23389880694204002</v>
      </c>
      <c r="Z11" s="2"/>
    </row>
    <row r="12" spans="1:26" ht="14.4">
      <c r="A12" s="196">
        <v>3</v>
      </c>
      <c r="B12" s="201">
        <v>2</v>
      </c>
      <c r="C12" s="2">
        <f>Storage_modulus_G!C12/1000000</f>
        <v>2.1517122110803E-3</v>
      </c>
      <c r="D12" s="2">
        <f>Storage_modulus_G!D12/1000000</f>
        <v>2.0096949826772601E-3</v>
      </c>
      <c r="E12" s="2">
        <f>Storage_modulus_G!E12/1000000</f>
        <v>1.52937505845374E-3</v>
      </c>
      <c r="F12" s="2">
        <f>Storage_modulus_G!F12/1000000</f>
        <v>1.5645832699791599E-3</v>
      </c>
      <c r="G12" s="2">
        <f>Storage_modulus_G!G12/1000000</f>
        <v>2.95916844321987E-3</v>
      </c>
      <c r="H12" s="2">
        <f>Storage_modulus_G!H12/1000000</f>
        <v>4.1633207228822201E-3</v>
      </c>
      <c r="I12" s="2">
        <f>Storage_modulus_G!I12/1000000</f>
        <v>6.8691468460252997E-3</v>
      </c>
      <c r="J12" s="2">
        <f>Storage_modulus_G!J12/1000000</f>
        <v>1.08292000255728E-2</v>
      </c>
      <c r="K12" s="2">
        <f>Storage_modulus_G!K12/1000000</f>
        <v>1.63125025691058E-2</v>
      </c>
      <c r="L12" s="2">
        <f>Storage_modulus_G!L12/1000000</f>
        <v>2.4019288125074E-2</v>
      </c>
      <c r="M12" s="2">
        <f>Storage_modulus_G!M12/1000000</f>
        <v>3.4571242760802701E-2</v>
      </c>
      <c r="N12" s="2">
        <f>Storage_modulus_G!N12/1000000</f>
        <v>4.7544522958903504E-2</v>
      </c>
      <c r="O12" s="2">
        <f>Storage_modulus_G!O12/1000000</f>
        <v>7.1618416049434697E-2</v>
      </c>
      <c r="P12" s="2">
        <f>Storage_modulus_G!P12/1000000</f>
        <v>9.8494099552688411E-2</v>
      </c>
      <c r="Q12" s="2">
        <f>Storage_modulus_G!Q12/1000000</f>
        <v>0.13857356673591101</v>
      </c>
      <c r="R12" s="2">
        <f>Storage_modulus_G!R12/1000000</f>
        <v>0.17799666348507201</v>
      </c>
      <c r="S12" s="2">
        <f>Storage_modulus_G!S12/1000000</f>
        <v>0.22349028487564801</v>
      </c>
      <c r="T12" s="2">
        <f>Storage_modulus_G!T12/1000000</f>
        <v>0.30735773816062401</v>
      </c>
      <c r="U12" s="2">
        <f>Storage_modulus_G!U12/1000000</f>
        <v>0.37723003186583698</v>
      </c>
      <c r="V12" s="2">
        <f>Storage_modulus_G!V12/1000000</f>
        <v>0.46298654393120903</v>
      </c>
      <c r="W12" s="2">
        <f>Storage_modulus_G!W12/1000000</f>
        <v>0.58131985493905292</v>
      </c>
      <c r="X12" s="2">
        <f>Storage_modulus_G!X12/1000000</f>
        <v>0.65138619505790796</v>
      </c>
      <c r="Y12" s="236">
        <f>Storage_modulus_G!Y12/1000000</f>
        <v>0.78147660341388892</v>
      </c>
      <c r="Z12" s="2"/>
    </row>
    <row r="13" spans="1:26" ht="14.4">
      <c r="A13" s="196">
        <v>3</v>
      </c>
      <c r="B13" s="201">
        <v>3</v>
      </c>
      <c r="C13" s="2">
        <f>Storage_modulus_G!C13/1000000</f>
        <v>0.13240702811159602</v>
      </c>
      <c r="D13" s="2">
        <f>Storage_modulus_G!D13/1000000</f>
        <v>0.13857356673591101</v>
      </c>
      <c r="E13" s="2">
        <f>Storage_modulus_G!E13/1000000</f>
        <v>0.14502729705350401</v>
      </c>
      <c r="F13" s="2">
        <f>Storage_modulus_G!F13/1000000</f>
        <v>0.14836601486728898</v>
      </c>
      <c r="G13" s="2">
        <f>Storage_modulus_G!G13/1000000</f>
        <v>0.158850456736466</v>
      </c>
      <c r="H13" s="2">
        <f>Storage_modulus_G!H13/1000000</f>
        <v>0.17007579281518601</v>
      </c>
      <c r="I13" s="2">
        <f>Storage_modulus_G!I13/1000000</f>
        <v>0.18209437917891699</v>
      </c>
      <c r="J13" s="2">
        <f>Storage_modulus_G!J13/1000000</f>
        <v>0.19945055785631099</v>
      </c>
      <c r="K13" s="2">
        <f>Storage_modulus_G!K13/1000000</f>
        <v>0.21846102668609699</v>
      </c>
      <c r="L13" s="2">
        <f>Storage_modulus_G!L13/1000000</f>
        <v>0.24479208086986798</v>
      </c>
      <c r="M13" s="2">
        <f>Storage_modulus_G!M13/1000000</f>
        <v>0.28707152429009702</v>
      </c>
      <c r="N13" s="2">
        <f>Storage_modulus_G!N13/1000000</f>
        <v>0.34440349126393299</v>
      </c>
      <c r="O13" s="2">
        <f>Storage_modulus_G!O13/1000000</f>
        <v>0.41318540767186102</v>
      </c>
      <c r="P13" s="2">
        <f>Storage_modulus_G!P13/1000000</f>
        <v>0.47364509892858903</v>
      </c>
      <c r="Q13" s="2">
        <f>Storage_modulus_G!Q13/1000000</f>
        <v>0.58131985493905292</v>
      </c>
      <c r="R13" s="2">
        <f>Storage_modulus_G!R13/1000000</f>
        <v>0.71347254412804995</v>
      </c>
      <c r="S13" s="2">
        <f>Storage_modulus_G!S13/1000000</f>
        <v>0.85596241468501999</v>
      </c>
      <c r="T13" s="2">
        <f>Storage_modulus_G!T13/1000000</f>
        <v>1.0505501859167299</v>
      </c>
      <c r="U13" s="2">
        <f>Storage_modulus_G!U13/1000000</f>
        <v>1.23199673021564</v>
      </c>
      <c r="V13" s="2">
        <f>Storage_modulus_G!V13/1000000</f>
        <v>1.3804889951730401</v>
      </c>
      <c r="W13" s="2">
        <f>Storage_modulus_G!W13/1000000</f>
        <v>1.6189211624076201</v>
      </c>
      <c r="X13" s="2">
        <f>Storage_modulus_G!X13/1000000</f>
        <v>1.6561908422117699</v>
      </c>
      <c r="Y13" s="236">
        <f>Storage_modulus_G!Y13/1000000</f>
        <v>1.8558111198716598</v>
      </c>
      <c r="Z13" s="2"/>
    </row>
    <row r="14" spans="1:26" ht="14.4">
      <c r="A14" s="196">
        <v>3</v>
      </c>
      <c r="B14" s="201">
        <v>4</v>
      </c>
      <c r="C14" s="2">
        <f>Storage_modulus_G!C14/1000000</f>
        <v>1.6815127502392202E-4</v>
      </c>
      <c r="D14" s="2">
        <f>Storage_modulus_G!D14/1000000</f>
        <v>1.3648678677458E-3</v>
      </c>
      <c r="E14" s="2">
        <f>Storage_modulus_G!E14/1000000</f>
        <v>5.2274110995550798E-3</v>
      </c>
      <c r="F14" s="2">
        <f>Storage_modulus_G!F14/1000000</f>
        <v>8.8233654396127296E-3</v>
      </c>
      <c r="G14" s="2">
        <f>Storage_modulus_G!G14/1000000</f>
        <v>1.7072218111296198E-2</v>
      </c>
      <c r="H14" s="2">
        <f>Storage_modulus_G!H14/1000000</f>
        <v>2.9479644400822798E-2</v>
      </c>
      <c r="I14" s="2">
        <f>Storage_modulus_G!I14/1000000</f>
        <v>4.3407200684775493E-2</v>
      </c>
      <c r="J14" s="2">
        <f>Storage_modulus_G!J14/1000000</f>
        <v>6.3914782881023396E-2</v>
      </c>
      <c r="K14" s="2">
        <f>Storage_modulus_G!K14/1000000</f>
        <v>8.7899584146439405E-2</v>
      </c>
      <c r="L14" s="2">
        <f>Storage_modulus_G!L14/1000000</f>
        <v>0.110365569312967</v>
      </c>
      <c r="M14" s="2">
        <f>Storage_modulus_G!M14/1000000</f>
        <v>0.17007579281518601</v>
      </c>
      <c r="N14" s="2">
        <f>Storage_modulus_G!N14/1000000</f>
        <v>0.228635323157973</v>
      </c>
      <c r="O14" s="2">
        <f>Storage_modulus_G!O14/1000000</f>
        <v>0.28061148145053399</v>
      </c>
      <c r="P14" s="2">
        <f>Storage_modulus_G!P14/1000000</f>
        <v>0.33665329272661104</v>
      </c>
      <c r="Q14" s="2">
        <f>Storage_modulus_G!Q14/1000000</f>
        <v>0.40388739233981702</v>
      </c>
      <c r="R14" s="2">
        <f>Storage_modulus_G!R14/1000000</f>
        <v>0.48454902778428399</v>
      </c>
      <c r="S14" s="2">
        <f>Storage_modulus_G!S14/1000000</f>
        <v>0.60839342791843998</v>
      </c>
      <c r="T14" s="2">
        <f>Storage_modulus_G!T14/1000000</f>
        <v>0.69741709170615895</v>
      </c>
      <c r="U14" s="2">
        <f>Storage_modulus_G!U14/1000000</f>
        <v>0.76389083851208006</v>
      </c>
      <c r="V14" s="2">
        <f>Storage_modulus_G!V14/1000000</f>
        <v>0.85596241468501999</v>
      </c>
      <c r="W14" s="2">
        <f>Storage_modulus_G!W14/1000000</f>
        <v>1.0038005896493301</v>
      </c>
      <c r="X14" s="34">
        <f>Storage_modulus_G!X14/1000000</f>
        <v>0.95913135544408601</v>
      </c>
      <c r="Y14" s="237">
        <f>Storage_modulus_G!Y14/1000000</f>
        <v>1.1506825283786801</v>
      </c>
      <c r="Z14" s="2"/>
    </row>
    <row r="15" spans="1:26" ht="14.4">
      <c r="A15" s="199">
        <v>4</v>
      </c>
      <c r="B15" s="200">
        <v>1</v>
      </c>
      <c r="C15" s="234">
        <f>Storage_modulus_G!C15/1000000</f>
        <v>6.6089431059826297E-7</v>
      </c>
      <c r="D15" s="234">
        <f>Storage_modulus_G!D15/1000000</f>
        <v>7.9614119988508806E-7</v>
      </c>
      <c r="E15" s="234">
        <f>Storage_modulus_G!E15/1000000</f>
        <v>1.5479929444639899E-6</v>
      </c>
      <c r="F15" s="234">
        <f>Storage_modulus_G!F15/1000000</f>
        <v>2.0741095118420901E-6</v>
      </c>
      <c r="G15" s="234">
        <f>Storage_modulus_G!G15/1000000</f>
        <v>3.8239151834991104E-6</v>
      </c>
      <c r="H15" s="234">
        <f>Storage_modulus_G!H15/1000000</f>
        <v>6.6847090312426402E-6</v>
      </c>
      <c r="I15" s="234">
        <f>Storage_modulus_G!I15/1000000</f>
        <v>1.4846263408505599E-5</v>
      </c>
      <c r="J15" s="234">
        <f>Storage_modulus_G!J15/1000000</f>
        <v>2.0978874175881799E-5</v>
      </c>
      <c r="K15" s="234">
        <f>Storage_modulus_G!K15/1000000</f>
        <v>4.5369675867579194E-5</v>
      </c>
      <c r="L15" s="234">
        <f>Storage_modulus_G!L15/1000000</f>
        <v>9.3035107693370707E-5</v>
      </c>
      <c r="M15" s="234">
        <f>Storage_modulus_G!M15/1000000</f>
        <v>1.9592019660113601E-4</v>
      </c>
      <c r="N15" s="234">
        <f>Storage_modulus_G!N15/1000000</f>
        <v>4.2370413880097197E-4</v>
      </c>
      <c r="O15" s="234">
        <f>Storage_modulus_G!O15/1000000</f>
        <v>9.6638129404957699E-4</v>
      </c>
      <c r="P15" s="234">
        <f>Storage_modulus_G!P15/1000000</f>
        <v>2.0350770565652301E-3</v>
      </c>
      <c r="Q15" s="234">
        <f>Storage_modulus_G!Q15/1000000</f>
        <v>3.5575836090715502E-3</v>
      </c>
      <c r="R15" s="234">
        <f>Storage_modulus_G!R15/1000000</f>
        <v>6.9172583041530794E-3</v>
      </c>
      <c r="S15" s="234">
        <f>Storage_modulus_G!S15/1000000</f>
        <v>1.11648986599223E-2</v>
      </c>
      <c r="T15" s="234">
        <f>Storage_modulus_G!T15/1000000</f>
        <v>1.7547870569073198E-2</v>
      </c>
      <c r="U15" s="234">
        <f>Storage_modulus_G!U15/1000000</f>
        <v>2.75799871443786E-2</v>
      </c>
      <c r="V15" s="234">
        <f>Storage_modulus_G!V15/1000000</f>
        <v>4.1101851530092701E-2</v>
      </c>
      <c r="W15" s="235">
        <f>Storage_modulus_G!W15/1000000</f>
        <v>5.9645482721422796E-2</v>
      </c>
      <c r="X15" s="2"/>
      <c r="Y15" s="2"/>
    </row>
    <row r="16" spans="1:26" ht="14.4">
      <c r="A16" s="196">
        <v>4</v>
      </c>
      <c r="B16" s="201">
        <v>2</v>
      </c>
      <c r="C16" s="2">
        <f>Storage_modulus_G!C16/1000000</f>
        <v>1.9369959509055001E-5</v>
      </c>
      <c r="D16" s="2">
        <f>Storage_modulus_G!D16/1000000</f>
        <v>2.6652783666455399E-5</v>
      </c>
      <c r="E16" s="2">
        <f>Storage_modulus_G!E16/1000000</f>
        <v>5.0462678313251405E-5</v>
      </c>
      <c r="F16" s="2">
        <f>Storage_modulus_G!F16/1000000</f>
        <v>6.7613435485511006E-5</v>
      </c>
      <c r="G16" s="2">
        <f>Storage_modulus_G!G16/1000000</f>
        <v>1.00762823862715E-4</v>
      </c>
      <c r="H16" s="2">
        <f>Storage_modulus_G!H16/1000000</f>
        <v>1.4622327330594999E-4</v>
      </c>
      <c r="I16" s="2">
        <f>Storage_modulus_G!I16/1000000</f>
        <v>2.06624358457336E-4</v>
      </c>
      <c r="J16" s="2">
        <f>Storage_modulus_G!J16/1000000</f>
        <v>2.9197558324778902E-4</v>
      </c>
      <c r="K16" s="2">
        <f>Storage_modulus_G!K16/1000000</f>
        <v>4.2370413880097197E-4</v>
      </c>
      <c r="L16" s="2">
        <f>Storage_modulus_G!L16/1000000</f>
        <v>7.0231938135631E-4</v>
      </c>
      <c r="M16" s="2">
        <f>Storage_modulus_G!M16/1000000</f>
        <v>1.0748630541664299E-3</v>
      </c>
      <c r="N16" s="2">
        <f>Storage_modulus_G!N16/1000000</f>
        <v>1.6893621992017799E-3</v>
      </c>
      <c r="O16" s="2">
        <f>Storage_modulus_G!O16/1000000</f>
        <v>2.6551704694186802E-3</v>
      </c>
      <c r="P16" s="2">
        <f>Storage_modulus_G!P16/1000000</f>
        <v>4.5197614282333695E-3</v>
      </c>
      <c r="Q16" s="2">
        <f>Storage_modulus_G!Q16/1000000</f>
        <v>7.2951848975993695E-3</v>
      </c>
      <c r="R16" s="2">
        <f>Storage_modulus_G!R16/1000000</f>
        <v>1.24182216139287E-2</v>
      </c>
      <c r="S16" s="2">
        <f>Storage_modulus_G!S16/1000000</f>
        <v>2.0043806340545003E-2</v>
      </c>
      <c r="T16" s="2">
        <f>Storage_modulus_G!T16/1000000</f>
        <v>3.5039222063108999E-2</v>
      </c>
      <c r="U16" s="2">
        <f>Storage_modulus_G!U16/1000000</f>
        <v>5.2218186158994997E-2</v>
      </c>
      <c r="V16" s="2">
        <f>Storage_modulus_G!V16/1000000</f>
        <v>7.57770952972774E-2</v>
      </c>
      <c r="W16" s="236">
        <f>Storage_modulus_G!W16/1000000</f>
        <v>0.10996491058132001</v>
      </c>
      <c r="X16" s="2"/>
    </row>
    <row r="17" spans="1:46" ht="14.4">
      <c r="A17" s="196">
        <v>4</v>
      </c>
      <c r="B17" s="201">
        <v>3</v>
      </c>
      <c r="C17" s="2">
        <f>Storage_modulus_G!C17/1000000</f>
        <v>7.5203425621060699E-5</v>
      </c>
      <c r="D17" s="2">
        <f>Storage_modulus_G!D17/1000000</f>
        <v>8.3645435031242302E-5</v>
      </c>
      <c r="E17" s="2">
        <f>Storage_modulus_G!E17/1000000</f>
        <v>1.6263766186660499E-4</v>
      </c>
      <c r="F17" s="2">
        <f>Storage_modulus_G!F17/1000000</f>
        <v>1.8577056317468799E-4</v>
      </c>
      <c r="G17" s="2">
        <f>Storage_modulus_G!G17/1000000</f>
        <v>2.06624358457336E-4</v>
      </c>
      <c r="H17" s="2">
        <f>Storage_modulus_G!H17/1000000</f>
        <v>2.9984560654570399E-4</v>
      </c>
      <c r="I17" s="2">
        <f>Storage_modulus_G!I17/1000000</f>
        <v>4.0175417261727197E-4</v>
      </c>
      <c r="J17" s="2">
        <f>Storage_modulus_G!J17/1000000</f>
        <v>5.83010756670139E-4</v>
      </c>
      <c r="K17" s="2">
        <f>Storage_modulus_G!K17/1000000</f>
        <v>8.4604358973737893E-4</v>
      </c>
      <c r="L17" s="2">
        <f>Storage_modulus_G!L17/1000000</f>
        <v>1.1955225047565201E-3</v>
      </c>
      <c r="M17" s="2">
        <f>Storage_modulus_G!M17/1000000</f>
        <v>1.8296846205577899E-3</v>
      </c>
      <c r="N17" s="2">
        <f>Storage_modulus_G!N17/1000000</f>
        <v>2.6551704694186802E-3</v>
      </c>
      <c r="O17" s="2">
        <f>Storage_modulus_G!O17/1000000</f>
        <v>4.2856154725463098E-3</v>
      </c>
      <c r="P17" s="2">
        <f>Storage_modulus_G!P17/1000000</f>
        <v>6.9172583041530794E-3</v>
      </c>
      <c r="Q17" s="2">
        <f>Storage_modulus_G!Q17/1000000</f>
        <v>1.11648986599223E-2</v>
      </c>
      <c r="R17" s="2">
        <f>Storage_modulus_G!R17/1000000</f>
        <v>1.8020862689411599E-2</v>
      </c>
      <c r="S17" s="2">
        <f>Storage_modulus_G!S17/1000000</f>
        <v>2.6856097460341E-2</v>
      </c>
      <c r="T17" s="2">
        <f>Storage_modulus_G!T17/1000000</f>
        <v>4.6948007113692701E-2</v>
      </c>
      <c r="U17" s="2">
        <f>Storage_modulus_G!U17/1000000</f>
        <v>6.8129206905796005E-2</v>
      </c>
      <c r="V17" s="2">
        <f>Storage_modulus_G!V17/1000000</f>
        <v>9.8866578561521395E-2</v>
      </c>
      <c r="W17" s="236">
        <f>Storage_modulus_G!W17/1000000</f>
        <v>0.13970582730290201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6" ht="14.4">
      <c r="A18" s="199">
        <v>5</v>
      </c>
      <c r="B18" s="200">
        <v>1</v>
      </c>
      <c r="C18" s="234">
        <f>Storage_modulus_G!C18/1000000</f>
        <v>8.3623838199155313E-6</v>
      </c>
      <c r="D18" s="234">
        <f>Storage_modulus_G!D18/1000000</f>
        <v>9.6548028937266498E-6</v>
      </c>
      <c r="E18" s="234">
        <f>Storage_modulus_G!E18/1000000</f>
        <v>1.0970386132301799E-5</v>
      </c>
      <c r="F18" s="234">
        <f>Storage_modulus_G!F18/1000000</f>
        <v>1.11469672911586E-5</v>
      </c>
      <c r="G18" s="234">
        <f>Storage_modulus_G!G18/1000000</f>
        <v>1.2465233440446401E-5</v>
      </c>
      <c r="H18" s="234">
        <f>Storage_modulus_G!H18/1000000</f>
        <v>1.46234061987104E-5</v>
      </c>
      <c r="I18" s="234">
        <f>Storage_modulus_G!I18/1000000</f>
        <v>1.7711946707422298E-5</v>
      </c>
      <c r="J18" s="234">
        <f>Storage_modulus_G!J18/1000000</f>
        <v>1.9806602515814798E-5</v>
      </c>
      <c r="K18" s="234">
        <f>Storage_modulus_G!K18/1000000</f>
        <v>2.2505490786217302E-5</v>
      </c>
      <c r="L18" s="234">
        <f>Storage_modulus_G!L18/1000000</f>
        <v>2.5983748443838401E-5</v>
      </c>
      <c r="M18" s="234">
        <f>Storage_modulus_G!M18/1000000</f>
        <v>2.9524347284057001E-5</v>
      </c>
      <c r="N18" s="234">
        <f>Storage_modulus_G!N18/1000000</f>
        <v>3.19782261065773E-5</v>
      </c>
      <c r="O18" s="234">
        <f>Storage_modulus_G!O18/1000000</f>
        <v>3.6335644764240103E-5</v>
      </c>
      <c r="P18" s="234">
        <f>Storage_modulus_G!P18/1000000</f>
        <v>3.8118632262468601E-5</v>
      </c>
      <c r="Q18" s="234">
        <f>Storage_modulus_G!Q18/1000000</f>
        <v>4.19513736477541E-5</v>
      </c>
      <c r="R18" s="234">
        <f>Storage_modulus_G!R18/1000000</f>
        <v>4.6169488422759598E-5</v>
      </c>
      <c r="S18" s="234">
        <f>Storage_modulus_G!S18/1000000</f>
        <v>5.16295989737197E-5</v>
      </c>
      <c r="T18" s="234">
        <f>Storage_modulus_G!T18/1000000</f>
        <v>5.8664753991573E-5</v>
      </c>
      <c r="U18" s="234">
        <f>Storage_modulus_G!U18/1000000</f>
        <v>6.3540600900677E-5</v>
      </c>
      <c r="V18" s="234">
        <f>Storage_modulus_G!V18/1000000</f>
        <v>7.1055059415255298E-5</v>
      </c>
      <c r="W18" s="234">
        <f>Storage_modulus_G!W18/1000000</f>
        <v>8.2036726372511197E-5</v>
      </c>
      <c r="X18" s="234">
        <f>Storage_modulus_G!X18/1000000</f>
        <v>8.8855105237167805E-5</v>
      </c>
      <c r="Y18" s="234">
        <f>Storage_modulus_G!Y18/1000000</f>
        <v>1.04239066433859E-4</v>
      </c>
      <c r="Z18" s="234">
        <f>Storage_modulus_G!Z18/1000000</f>
        <v>1.1656661967088399E-4</v>
      </c>
      <c r="AA18" s="234">
        <f>Storage_modulus_G!AA18/1000000</f>
        <v>1.38949549437313E-4</v>
      </c>
      <c r="AB18" s="234">
        <f>Storage_modulus_G!AB18/1000000</f>
        <v>1.6300663058235198E-4</v>
      </c>
      <c r="AC18" s="234">
        <f>Storage_modulus_G!AC18/1000000</f>
        <v>1.9122884328458202E-4</v>
      </c>
      <c r="AD18" s="234">
        <f>Storage_modulus_G!AD18/1000000</f>
        <v>2.2794828990351399E-4</v>
      </c>
      <c r="AE18" s="234">
        <f>Storage_modulus_G!AE18/1000000</f>
        <v>2.76092170863389E-4</v>
      </c>
      <c r="AF18" s="234">
        <f>Storage_modulus_G!AF18/1000000</f>
        <v>3.3978692047485797E-4</v>
      </c>
      <c r="AG18" s="234">
        <f>Storage_modulus_G!AG18/1000000</f>
        <v>4.24907147013441E-4</v>
      </c>
      <c r="AH18" s="234">
        <f>Storage_modulus_G!AH18/1000000</f>
        <v>5.1464977729802797E-4</v>
      </c>
      <c r="AI18" s="234">
        <f>Storage_modulus_G!AI18/1000000</f>
        <v>6.5393409388793205E-4</v>
      </c>
      <c r="AJ18" s="234">
        <f>Storage_modulus_G!AJ18/1000000</f>
        <v>7.9204842317318297E-4</v>
      </c>
      <c r="AK18" s="234">
        <f>Storage_modulus_G!AK18/1000000</f>
        <v>1.0226069449233799E-3</v>
      </c>
      <c r="AL18" s="234">
        <f>Storage_modulus_G!AL18/1000000</f>
        <v>1.2993642967122701E-3</v>
      </c>
      <c r="AM18" s="234">
        <f>Storage_modulus_G!AM18/1000000</f>
        <v>1.6510229897735201E-3</v>
      </c>
      <c r="AN18" s="234">
        <f>Storage_modulus_G!AN18/1000000</f>
        <v>2.0646217554750701E-3</v>
      </c>
      <c r="AO18" s="234">
        <f>Storage_modulus_G!AO18/1000000</f>
        <v>2.7521184954564302E-3</v>
      </c>
      <c r="AP18" s="234">
        <f>Storage_modulus_G!AP18/1000000</f>
        <v>3.9105064784321995E-3</v>
      </c>
      <c r="AQ18" s="234">
        <f>Storage_modulus_G!AQ18/1000000</f>
        <v>5.4684478860195602E-3</v>
      </c>
      <c r="AR18" s="234">
        <f>Storage_modulus_G!AR18/1000000</f>
        <v>8.8289378661252395E-3</v>
      </c>
      <c r="AS18" s="235">
        <f>Storage_modulus_G!AS18/1000000</f>
        <v>1.69916589944334E-2</v>
      </c>
      <c r="AT18" s="2"/>
    </row>
    <row r="19" spans="1:46" ht="14.4">
      <c r="A19" s="196">
        <v>5</v>
      </c>
      <c r="B19" s="201">
        <v>2</v>
      </c>
      <c r="C19" s="2">
        <f>Storage_modulus_G!C19/1000000</f>
        <v>3.6219788372586698E-4</v>
      </c>
      <c r="D19" s="2">
        <f>Storage_modulus_G!D19/1000000</f>
        <v>4.1817611475450004E-4</v>
      </c>
      <c r="E19" s="2">
        <f>Storage_modulus_G!E19/1000000</f>
        <v>4.6022276769633498E-4</v>
      </c>
      <c r="F19" s="2">
        <f>Storage_modulus_G!F19/1000000</f>
        <v>4.90577189578455E-4</v>
      </c>
      <c r="G19" s="2">
        <f>Storage_modulus_G!G19/1000000</f>
        <v>5.1464977729802797E-4</v>
      </c>
      <c r="H19" s="2">
        <f>Storage_modulus_G!H19/1000000</f>
        <v>5.1464977729802797E-4</v>
      </c>
      <c r="I19" s="2">
        <f>Storage_modulus_G!I19/1000000</f>
        <v>5.7551345101569098E-4</v>
      </c>
      <c r="J19" s="2">
        <f>Storage_modulus_G!J19/1000000</f>
        <v>6.0375385502891904E-4</v>
      </c>
      <c r="K19" s="2">
        <f>Storage_modulus_G!K19/1000000</f>
        <v>6.3338001365382895E-4</v>
      </c>
      <c r="L19" s="2">
        <f>Storage_modulus_G!L19/1000000</f>
        <v>6.3338001365382895E-4</v>
      </c>
      <c r="M19" s="2">
        <f>Storage_modulus_G!M19/1000000</f>
        <v>6.4357500364405301E-4</v>
      </c>
      <c r="N19" s="2">
        <f>Storage_modulus_G!N19/1000000</f>
        <v>7.1968567300115206E-4</v>
      </c>
      <c r="O19" s="2">
        <f>Storage_modulus_G!O19/1000000</f>
        <v>7.0828499990041095E-4</v>
      </c>
      <c r="P19" s="2">
        <f>Storage_modulus_G!P19/1000000</f>
        <v>7.0828499990041095E-4</v>
      </c>
      <c r="Q19" s="2">
        <f>Storage_modulus_G!Q19/1000000</f>
        <v>7.3126985323132305E-4</v>
      </c>
      <c r="R19" s="2">
        <f>Storage_modulus_G!R19/1000000</f>
        <v>7.6715321279746294E-4</v>
      </c>
      <c r="S19" s="2">
        <f>Storage_modulus_G!S19/1000000</f>
        <v>7.9204842317318297E-4</v>
      </c>
      <c r="T19" s="2">
        <f>Storage_modulus_G!T19/1000000</f>
        <v>7.9204842317318297E-4</v>
      </c>
      <c r="U19" s="2">
        <f>Storage_modulus_G!U19/1000000</f>
        <v>8.3091418283349192E-4</v>
      </c>
      <c r="V19" s="2">
        <f>Storage_modulus_G!V19/1000000</f>
        <v>8.8571790273595191E-4</v>
      </c>
      <c r="W19" s="2">
        <f>Storage_modulus_G!W19/1000000</f>
        <v>8.9997456533643999E-4</v>
      </c>
      <c r="X19" s="2">
        <f>Storage_modulus_G!X19/1000000</f>
        <v>8.5787852716619401E-4</v>
      </c>
      <c r="Y19" s="2">
        <f>Storage_modulus_G!Y19/1000000</f>
        <v>8.5787852716619401E-4</v>
      </c>
      <c r="Z19" s="2">
        <f>Storage_modulus_G!Z19/1000000</f>
        <v>8.7168708254960908E-4</v>
      </c>
      <c r="AA19" s="2">
        <f>Storage_modulus_G!AA19/1000000</f>
        <v>9.1446070554811296E-4</v>
      </c>
      <c r="AB19" s="2">
        <f>Storage_modulus_G!AB19/1000000</f>
        <v>9.2918001708074908E-4</v>
      </c>
      <c r="AC19" s="2">
        <f>Storage_modulus_G!AC19/1000000</f>
        <v>1.0390669963027798E-3</v>
      </c>
      <c r="AD19" s="2">
        <f>Storage_modulus_G!AD19/1000000</f>
        <v>1.0390669963027798E-3</v>
      </c>
      <c r="AE19" s="2">
        <f>Storage_modulus_G!AE19/1000000</f>
        <v>9.9046495173116711E-4</v>
      </c>
      <c r="AF19" s="2">
        <f>Storage_modulus_G!AF19/1000000</f>
        <v>1.1075996291567301E-3</v>
      </c>
      <c r="AG19" s="2">
        <f>Storage_modulus_G!AG19/1000000</f>
        <v>1.1435428088501002E-3</v>
      </c>
      <c r="AH19" s="2">
        <f>Storage_modulus_G!AH19/1000000</f>
        <v>1.1806523957292999E-3</v>
      </c>
      <c r="AI19" s="2">
        <f>Storage_modulus_G!AI19/1000000</f>
        <v>1.2993642967122701E-3</v>
      </c>
      <c r="AJ19" s="2">
        <f>Storage_modulus_G!AJ19/1000000</f>
        <v>1.2993642967122701E-3</v>
      </c>
      <c r="AK19" s="2">
        <f>Storage_modulus_G!AK19/1000000</f>
        <v>1.3202790804330499E-3</v>
      </c>
      <c r="AL19" s="2">
        <f>Storage_modulus_G!AL19/1000000</f>
        <v>1.45303012556131E-3</v>
      </c>
      <c r="AM19" s="2">
        <f>Storage_modulus_G!AM19/1000000</f>
        <v>1.5243302102367E-3</v>
      </c>
      <c r="AN19" s="2">
        <f>Storage_modulus_G!AN19/1000000</f>
        <v>1.8170295793434499E-3</v>
      </c>
      <c r="AO19" s="2">
        <f>Storage_modulus_G!AO19/1000000</f>
        <v>2.20079580898049E-3</v>
      </c>
      <c r="AP19" s="2">
        <f>Storage_modulus_G!AP19/1000000</f>
        <v>2.9336370376589998E-3</v>
      </c>
      <c r="AQ19" s="2">
        <f>Storage_modulus_G!AQ19/1000000</f>
        <v>4.3729720246599097E-3</v>
      </c>
      <c r="AR19" s="2">
        <f>Storage_modulus_G!AR19/1000000</f>
        <v>7.7701599406248901E-3</v>
      </c>
      <c r="AS19" s="236">
        <f>Storage_modulus_G!AS19/1000000</f>
        <v>1.69916589944334E-2</v>
      </c>
      <c r="AT19" s="2"/>
    </row>
    <row r="20" spans="1:46" ht="14.4">
      <c r="A20" s="196">
        <v>5</v>
      </c>
      <c r="B20" s="201">
        <v>3</v>
      </c>
      <c r="C20" s="2">
        <f>Storage_modulus_G!C20/1000000</f>
        <v>1.6829642705753901E-4</v>
      </c>
      <c r="D20" s="2">
        <f>Storage_modulus_G!D20/1000000</f>
        <v>2.1728607756750902E-4</v>
      </c>
      <c r="E20" s="2">
        <f>Storage_modulus_G!E20/1000000</f>
        <v>2.4689392402176599E-4</v>
      </c>
      <c r="F20" s="2">
        <f>Storage_modulus_G!F20/1000000</f>
        <v>2.8053619634201698E-4</v>
      </c>
      <c r="G20" s="2">
        <f>Storage_modulus_G!G20/1000000</f>
        <v>3.2389349001028399E-4</v>
      </c>
      <c r="H20" s="2">
        <f>Storage_modulus_G!H20/1000000</f>
        <v>3.6219788372586698E-4</v>
      </c>
      <c r="I20" s="2">
        <f>Storage_modulus_G!I20/1000000</f>
        <v>4.1817611475450004E-4</v>
      </c>
      <c r="J20" s="2">
        <f>Storage_modulus_G!J20/1000000</f>
        <v>4.4575731042593899E-4</v>
      </c>
      <c r="K20" s="2">
        <f>Storage_modulus_G!K20/1000000</f>
        <v>4.90577189578455E-4</v>
      </c>
      <c r="L20" s="2">
        <f>Storage_modulus_G!L20/1000000</f>
        <v>5.3990360518087698E-4</v>
      </c>
      <c r="M20" s="2">
        <f>Storage_modulus_G!M20/1000000</f>
        <v>5.8477701119419496E-4</v>
      </c>
      <c r="N20" s="2">
        <f>Storage_modulus_G!N20/1000000</f>
        <v>6.3338001365382895E-4</v>
      </c>
      <c r="O20" s="2">
        <f>Storage_modulus_G!O20/1000000</f>
        <v>7.6715321279746294E-4</v>
      </c>
      <c r="P20" s="2">
        <f>Storage_modulus_G!P20/1000000</f>
        <v>8.17751518452873E-4</v>
      </c>
      <c r="Q20" s="2">
        <f>Storage_modulus_G!Q20/1000000</f>
        <v>8.9997456533643999E-4</v>
      </c>
      <c r="R20" s="2">
        <f>Storage_modulus_G!R20/1000000</f>
        <v>1.00640764024499E-3</v>
      </c>
      <c r="S20" s="2">
        <f>Storage_modulus_G!S20/1000000</f>
        <v>1.0727861948095498E-3</v>
      </c>
      <c r="T20" s="2">
        <f>Storage_modulus_G!T20/1000000</f>
        <v>1.1806523957292999E-3</v>
      </c>
      <c r="U20" s="2">
        <f>Storage_modulus_G!U20/1000000</f>
        <v>1.4073593185755602E-3</v>
      </c>
      <c r="V20" s="2">
        <f>Storage_modulus_G!V20/1000000</f>
        <v>1.59912898498415E-3</v>
      </c>
      <c r="W20" s="2">
        <f>Storage_modulus_G!W20/1000000</f>
        <v>1.67759813027609E-3</v>
      </c>
      <c r="X20" s="2">
        <f>Storage_modulus_G!X20/1000000</f>
        <v>1.8170295793434499E-3</v>
      </c>
      <c r="Y20" s="2">
        <f>Storage_modulus_G!Y20/1000000</f>
        <v>2.1316216612193299E-3</v>
      </c>
      <c r="Z20" s="2">
        <f>Storage_modulus_G!Z20/1000000</f>
        <v>2.2722147559973201E-3</v>
      </c>
      <c r="AA20" s="2">
        <f>Storage_modulus_G!AA20/1000000</f>
        <v>2.4220807994691901E-3</v>
      </c>
      <c r="AB20" s="2">
        <f>Storage_modulus_G!AB20/1000000</f>
        <v>2.9336370376589998E-3</v>
      </c>
      <c r="AC20" s="2">
        <f>Storage_modulus_G!AC20/1000000</f>
        <v>3.0775903979591698E-3</v>
      </c>
      <c r="AD20" s="2">
        <f>Storage_modulus_G!AD20/1000000</f>
        <v>3.3333804355604999E-3</v>
      </c>
      <c r="AE20" s="2">
        <f>Storage_modulus_G!AE20/1000000</f>
        <v>4.0374079628191098E-3</v>
      </c>
      <c r="AF20" s="2">
        <f>Storage_modulus_G!AF20/1000000</f>
        <v>4.3729720246599097E-3</v>
      </c>
      <c r="AG20" s="2">
        <f>Storage_modulus_G!AG20/1000000</f>
        <v>4.6613954731122001E-3</v>
      </c>
      <c r="AH20" s="2">
        <f>Storage_modulus_G!AH20/1000000</f>
        <v>5.3818211973751104E-3</v>
      </c>
      <c r="AI20" s="2">
        <f>Storage_modulus_G!AI20/1000000</f>
        <v>6.1151591886536199E-3</v>
      </c>
      <c r="AJ20" s="2">
        <f>Storage_modulus_G!AJ20/1000000</f>
        <v>6.62341291853304E-3</v>
      </c>
      <c r="AK20" s="2">
        <f>Storage_modulus_G!AK20/1000000</f>
        <v>7.4067130588486496E-3</v>
      </c>
      <c r="AL20" s="2">
        <f>Storage_modulus_G!AL20/1000000</f>
        <v>7.8952297267081712E-3</v>
      </c>
      <c r="AM20" s="2">
        <f>Storage_modulus_G!AM20/1000000</f>
        <v>8.8289378661252395E-3</v>
      </c>
      <c r="AN20" s="2">
        <f>Storage_modulus_G!AN20/1000000</f>
        <v>9.4112586976235601E-3</v>
      </c>
      <c r="AO20" s="2">
        <f>Storage_modulus_G!AO20/1000000</f>
        <v>1.03575392579973E-2</v>
      </c>
      <c r="AP20" s="2">
        <f>Storage_modulus_G!AP20/1000000</f>
        <v>1.21507956118437E-2</v>
      </c>
      <c r="AQ20" s="2">
        <f>Storage_modulus_G!AQ20/1000000</f>
        <v>1.2952212669177699E-2</v>
      </c>
      <c r="AR20" s="2">
        <f>Storage_modulus_G!AR20/1000000</f>
        <v>1.7265159562230299E-2</v>
      </c>
      <c r="AS20" s="236">
        <f>Storage_modulus_G!AS20/1000000</f>
        <v>2.4532198897224501E-2</v>
      </c>
      <c r="AT20" s="2"/>
    </row>
    <row r="21" spans="1:46" ht="15.75" customHeight="1">
      <c r="A21" s="196">
        <v>5</v>
      </c>
      <c r="B21" s="201">
        <v>4</v>
      </c>
      <c r="C21" s="2">
        <f>Storage_modulus_G!C21/1000000</f>
        <v>7.3773048029818499E-5</v>
      </c>
      <c r="D21" s="2">
        <f>Storage_modulus_G!D21/1000000</f>
        <v>8.9768713244731395E-5</v>
      </c>
      <c r="E21" s="2">
        <f>Storage_modulus_G!E21/1000000</f>
        <v>1.0923260042553199E-4</v>
      </c>
      <c r="F21" s="2">
        <f>Storage_modulus_G!F21/1000000</f>
        <v>1.18539648841611E-4</v>
      </c>
      <c r="G21" s="2">
        <f>Storage_modulus_G!G21/1000000</f>
        <v>1.2863969449369698E-4</v>
      </c>
      <c r="H21" s="2">
        <f>Storage_modulus_G!H21/1000000</f>
        <v>1.3960030387421499E-4</v>
      </c>
      <c r="I21" s="2">
        <f>Storage_modulus_G!I21/1000000</f>
        <v>1.51494800407257E-4</v>
      </c>
      <c r="J21" s="2">
        <f>Storage_modulus_G!J21/1000000</f>
        <v>1.5911259011248502E-4</v>
      </c>
      <c r="K21" s="2">
        <f>Storage_modulus_G!K21/1000000</f>
        <v>1.7266961039778101E-4</v>
      </c>
      <c r="L21" s="2">
        <f>Storage_modulus_G!L21/1000000</f>
        <v>1.8434229924091099E-4</v>
      </c>
      <c r="M21" s="2">
        <f>Storage_modulus_G!M21/1000000</f>
        <v>1.90471299787059E-4</v>
      </c>
      <c r="N21" s="2">
        <f>Storage_modulus_G!N21/1000000</f>
        <v>2.06700205828714E-4</v>
      </c>
      <c r="O21" s="2">
        <f>Storage_modulus_G!O21/1000000</f>
        <v>2.24311878678825E-4</v>
      </c>
      <c r="P21" s="2">
        <f>Storage_modulus_G!P21/1000000</f>
        <v>2.3559121444194199E-4</v>
      </c>
      <c r="Q21" s="2">
        <f>Storage_modulus_G!Q21/1000000</f>
        <v>2.5151748504636699E-4</v>
      </c>
      <c r="R21" s="2">
        <f>Storage_modulus_G!R21/1000000</f>
        <v>2.7294776686422799E-4</v>
      </c>
      <c r="S21" s="2">
        <f>Storage_modulus_G!S21/1000000</f>
        <v>2.8202271612475801E-4</v>
      </c>
      <c r="T21" s="2">
        <f>Storage_modulus_G!T21/1000000</f>
        <v>3.0108781625693901E-4</v>
      </c>
      <c r="U21" s="2">
        <f>Storage_modulus_G!U21/1000000</f>
        <v>3.1622776601683702E-4</v>
      </c>
      <c r="V21" s="2">
        <f>Storage_modulus_G!V21/1000000</f>
        <v>3.4882984610451598E-4</v>
      </c>
      <c r="W21" s="2">
        <f>Storage_modulus_G!W21/1000000</f>
        <v>3.7855152492586301E-4</v>
      </c>
      <c r="X21" s="2">
        <f>Storage_modulus_G!X21/1000000</f>
        <v>3.8479309728552201E-4</v>
      </c>
      <c r="Y21" s="2">
        <f>Storage_modulus_G!Y21/1000000</f>
        <v>4.1757898696184601E-4</v>
      </c>
      <c r="Z21" s="2">
        <f>Storage_modulus_G!Z21/1000000</f>
        <v>4.6822494300105804E-4</v>
      </c>
      <c r="AA21" s="2">
        <f>Storage_modulus_G!AA21/1000000</f>
        <v>4.9176924380171805E-4</v>
      </c>
      <c r="AB21" s="2">
        <f>Storage_modulus_G!AB21/1000000</f>
        <v>5.5141334535056797E-4</v>
      </c>
      <c r="AC21" s="2">
        <f>Storage_modulus_G!AC21/1000000</f>
        <v>5.8868960021324194E-4</v>
      </c>
      <c r="AD21" s="2">
        <f>Storage_modulus_G!AD21/1000000</f>
        <v>6.6008866133473803E-4</v>
      </c>
      <c r="AE21" s="2">
        <f>Storage_modulus_G!AE21/1000000</f>
        <v>7.04711508023787E-4</v>
      </c>
      <c r="AF21" s="2">
        <f>Storage_modulus_G!AF21/1000000</f>
        <v>7.2814170953120199E-4</v>
      </c>
      <c r="AG21" s="2">
        <f>Storage_modulus_G!AG21/1000000</f>
        <v>8.29915911048682E-4</v>
      </c>
      <c r="AH21" s="2">
        <f>Storage_modulus_G!AH21/1000000</f>
        <v>9.1547761025952005E-4</v>
      </c>
      <c r="AI21" s="2">
        <f>Storage_modulus_G!AI21/1000000</f>
        <v>9.7736507999315295E-4</v>
      </c>
      <c r="AJ21" s="2">
        <f>Storage_modulus_G!AJ21/1000000</f>
        <v>1.1139738599948001E-3</v>
      </c>
      <c r="AK21" s="2">
        <f>Storage_modulus_G!AK21/1000000</f>
        <v>1.2088888268529398E-3</v>
      </c>
      <c r="AL21" s="2">
        <f>Storage_modulus_G!AL21/1000000</f>
        <v>1.3778582643482501E-3</v>
      </c>
      <c r="AM21" s="2">
        <f>Storage_modulus_G!AM21/1000000</f>
        <v>1.5704449858925901E-3</v>
      </c>
      <c r="AN21" s="2">
        <f>Storage_modulus_G!AN21/1000000</f>
        <v>1.78995003878849E-3</v>
      </c>
      <c r="AO21" s="2">
        <f>Storage_modulus_G!AO21/1000000</f>
        <v>2.2875732003183897E-3</v>
      </c>
      <c r="AP21" s="2">
        <f>Storage_modulus_G!AP21/1000000</f>
        <v>3.1726375097650699E-3</v>
      </c>
      <c r="AQ21" s="2">
        <f>Storage_modulus_G!AQ21/1000000</f>
        <v>4.5464294322986494E-3</v>
      </c>
      <c r="AR21" s="2">
        <f>Storage_modulus_G!AR21/1000000</f>
        <v>7.9277094931967506E-3</v>
      </c>
      <c r="AS21" s="236">
        <f>Storage_modulus_G!AS21/1000000</f>
        <v>1.6821017890573501E-2</v>
      </c>
      <c r="AT21" s="2"/>
    </row>
    <row r="22" spans="1:46" ht="15.75" customHeight="1">
      <c r="A22" s="196">
        <v>5</v>
      </c>
      <c r="B22" s="201">
        <v>5</v>
      </c>
      <c r="C22" s="2">
        <f>Storage_modulus_G!C22/1000000</f>
        <v>5.47818082744525E-6</v>
      </c>
      <c r="D22" s="2">
        <f>Storage_modulus_G!D22/1000000</f>
        <v>7.8503019877601694E-6</v>
      </c>
      <c r="E22" s="2">
        <f>Storage_modulus_G!E22/1000000</f>
        <v>9.0950861722264693E-6</v>
      </c>
      <c r="F22" s="2">
        <f>Storage_modulus_G!F22/1000000</f>
        <v>9.5524249959002304E-6</v>
      </c>
      <c r="G22" s="2">
        <f>Storage_modulus_G!G22/1000000</f>
        <v>1.07109883132983E-5</v>
      </c>
      <c r="H22" s="2">
        <f>Storage_modulus_G!H22/1000000</f>
        <v>1.1815257249599499E-5</v>
      </c>
      <c r="I22" s="2">
        <f>Storage_modulus_G!I22/1000000</f>
        <v>1.26139839112187E-5</v>
      </c>
      <c r="J22" s="2">
        <f>Storage_modulus_G!J22/1000000</f>
        <v>1.36887450953708E-5</v>
      </c>
      <c r="K22" s="2">
        <f>Storage_modulus_G!K22/1000000</f>
        <v>1.5100011315033899E-5</v>
      </c>
      <c r="L22" s="2">
        <f>Storage_modulus_G!L22/1000000</f>
        <v>1.5602055490341299E-5</v>
      </c>
      <c r="M22" s="2">
        <f>Storage_modulus_G!M22/1000000</f>
        <v>1.69314121592596E-5</v>
      </c>
      <c r="N22" s="2">
        <f>Storage_modulus_G!N22/1000000</f>
        <v>1.8374035259917603E-5</v>
      </c>
      <c r="O22" s="2">
        <f>Storage_modulus_G!O22/1000000</f>
        <v>1.9939575539070598E-5</v>
      </c>
      <c r="P22" s="2">
        <f>Storage_modulus_G!P22/1000000</f>
        <v>2.23579416391938E-5</v>
      </c>
      <c r="Q22" s="2">
        <f>Storage_modulus_G!Q22/1000000</f>
        <v>2.3869367392260201E-5</v>
      </c>
      <c r="R22" s="2">
        <f>Storage_modulus_G!R22/1000000</f>
        <v>2.5069618626640799E-5</v>
      </c>
      <c r="S22" s="2">
        <f>Storage_modulus_G!S22/1000000</f>
        <v>2.8110180634136399E-5</v>
      </c>
      <c r="T22" s="2">
        <f>Storage_modulus_G!T22/1000000</f>
        <v>3.1519516393602901E-5</v>
      </c>
      <c r="U22" s="2">
        <f>Storage_modulus_G!U22/1000000</f>
        <v>3.1519516393602901E-5</v>
      </c>
      <c r="V22" s="2">
        <f>Storage_modulus_G!V22/1000000</f>
        <v>3.3650276441655697E-5</v>
      </c>
      <c r="W22" s="2">
        <f>Storage_modulus_G!W22/1000000</f>
        <v>3.8986037025490701E-5</v>
      </c>
      <c r="X22" s="2">
        <f>Storage_modulus_G!X22/1000000</f>
        <v>4.3005373839003101E-5</v>
      </c>
      <c r="Y22" s="2">
        <f>Storage_modulus_G!Y22/1000000</f>
        <v>4.8221269132841302E-5</v>
      </c>
      <c r="Z22" s="2">
        <f>Storage_modulus_G!Z22/1000000</f>
        <v>5.1481089253543301E-5</v>
      </c>
      <c r="AA22" s="2">
        <f>Storage_modulus_G!AA22/1000000</f>
        <v>5.7724959430430195E-5</v>
      </c>
      <c r="AB22" s="2">
        <f>Storage_modulus_G!AB22/1000000</f>
        <v>6.3676219732818304E-5</v>
      </c>
      <c r="AC22" s="2">
        <f>Storage_modulus_G!AC22/1000000</f>
        <v>7.13991730566795E-5</v>
      </c>
      <c r="AD22" s="2">
        <f>Storage_modulus_G!AD22/1000000</f>
        <v>7.6225849440713701E-5</v>
      </c>
      <c r="AE22" s="2">
        <f>Storage_modulus_G!AE22/1000000</f>
        <v>8.8312611450538304E-5</v>
      </c>
      <c r="AF22" s="2">
        <f>Storage_modulus_G!AF22/1000000</f>
        <v>1.05717705171425E-4</v>
      </c>
      <c r="AG22" s="2">
        <f>Storage_modulus_G!AG22/1000000</f>
        <v>1.18539648841611E-4</v>
      </c>
      <c r="AH22" s="2">
        <f>Storage_modulus_G!AH22/1000000</f>
        <v>1.3960030387421499E-4</v>
      </c>
      <c r="AI22" s="2">
        <f>Storage_modulus_G!AI22/1000000</f>
        <v>1.5911259011248502E-4</v>
      </c>
      <c r="AJ22" s="2">
        <f>Storage_modulus_G!AJ22/1000000</f>
        <v>1.90471299787059E-4</v>
      </c>
      <c r="AK22" s="2">
        <f>Storage_modulus_G!AK22/1000000</f>
        <v>2.4342413552369102E-4</v>
      </c>
      <c r="AL22" s="2">
        <f>Storage_modulus_G!AL22/1000000</f>
        <v>3.1109836401443301E-4</v>
      </c>
      <c r="AM22" s="2">
        <f>Storage_modulus_G!AM22/1000000</f>
        <v>3.7241119457338904E-4</v>
      </c>
      <c r="AN22" s="2">
        <f>Storage_modulus_G!AN22/1000000</f>
        <v>5.69746699706696E-4</v>
      </c>
      <c r="AO22" s="2">
        <f>Storage_modulus_G!AO22/1000000</f>
        <v>8.4359959707334801E-4</v>
      </c>
      <c r="AP22" s="2">
        <f>Storage_modulus_G!AP22/1000000</f>
        <v>1.5704449858925901E-3</v>
      </c>
      <c r="AQ22" s="2">
        <f>Storage_modulus_G!AQ22/1000000</f>
        <v>2.6940008429218202E-3</v>
      </c>
      <c r="AR22" s="2">
        <f>Storage_modulus_G!AR22/1000000</f>
        <v>5.6234132519034901E-3</v>
      </c>
      <c r="AS22" s="236">
        <f>Storage_modulus_G!AS22/1000000</f>
        <v>1.50015579379266E-2</v>
      </c>
      <c r="AT22" s="2"/>
    </row>
    <row r="23" spans="1:46" ht="15.75" customHeight="1">
      <c r="A23" s="196">
        <v>5</v>
      </c>
      <c r="B23" s="201">
        <v>6</v>
      </c>
      <c r="C23" s="2">
        <f>Storage_modulus_G!C23/1000000</f>
        <v>3.1934591389895901E-6</v>
      </c>
      <c r="D23" s="2">
        <f>Storage_modulus_G!D23/1000000</f>
        <v>4.0812711999542398E-6</v>
      </c>
      <c r="E23" s="2">
        <f>Storage_modulus_G!E23/1000000</f>
        <v>4.8063808630643897E-6</v>
      </c>
      <c r="F23" s="2">
        <f>Storage_modulus_G!F23/1000000</f>
        <v>5.47818082744525E-6</v>
      </c>
      <c r="G23" s="2">
        <f>Storage_modulus_G!G23/1000000</f>
        <v>6.5578482628834199E-6</v>
      </c>
      <c r="H23" s="2">
        <f>Storage_modulus_G!H23/1000000</f>
        <v>6.8876041941176492E-6</v>
      </c>
      <c r="I23" s="2">
        <f>Storage_modulus_G!I23/1000000</f>
        <v>7.5976943496320101E-6</v>
      </c>
      <c r="J23" s="2">
        <f>Storage_modulus_G!J23/1000000</f>
        <v>7.8503019877601694E-6</v>
      </c>
      <c r="K23" s="2">
        <f>Storage_modulus_G!K23/1000000</f>
        <v>8.5191786820464598E-6</v>
      </c>
      <c r="L23" s="2">
        <f>Storage_modulus_G!L23/1000000</f>
        <v>8.9475584778323807E-6</v>
      </c>
      <c r="M23" s="2">
        <f>Storage_modulus_G!M23/1000000</f>
        <v>9.3974789944185699E-6</v>
      </c>
      <c r="N23" s="2">
        <f>Storage_modulus_G!N23/1000000</f>
        <v>9.5524249959002304E-6</v>
      </c>
      <c r="O23" s="2">
        <f>Storage_modulus_G!O23/1000000</f>
        <v>9.8700233889874194E-6</v>
      </c>
      <c r="P23" s="2">
        <f>Storage_modulus_G!P23/1000000</f>
        <v>1.0366329284376899E-5</v>
      </c>
      <c r="Q23" s="2">
        <f>Storage_modulus_G!Q23/1000000</f>
        <v>1.0537249727360701E-5</v>
      </c>
      <c r="R23" s="2">
        <f>Storage_modulus_G!R23/1000000</f>
        <v>1.16236067662837E-5</v>
      </c>
      <c r="S23" s="2">
        <f>Storage_modulus_G!S23/1000000</f>
        <v>1.2409377607517101E-5</v>
      </c>
      <c r="T23" s="2">
        <f>Storage_modulus_G!T23/1000000</f>
        <v>1.32482675732485E-5</v>
      </c>
      <c r="U23" s="2">
        <f>Storage_modulus_G!U23/1000000</f>
        <v>1.39144456602871E-5</v>
      </c>
      <c r="V23" s="2">
        <f>Storage_modulus_G!V23/1000000</f>
        <v>1.5348980892617601E-5</v>
      </c>
      <c r="W23" s="2">
        <f>Storage_modulus_G!W23/1000000</f>
        <v>1.6120791597111701E-5</v>
      </c>
      <c r="X23" s="2">
        <f>Storage_modulus_G!X23/1000000</f>
        <v>1.7494346628442599E-5</v>
      </c>
      <c r="Y23" s="2">
        <f>Storage_modulus_G!Y23/1000000</f>
        <v>1.8676987072451301E-5</v>
      </c>
      <c r="Z23" s="2">
        <f>Storage_modulus_G!Z23/1000000</f>
        <v>2.09422204672121E-5</v>
      </c>
      <c r="AA23" s="2">
        <f>Storage_modulus_G!AA23/1000000</f>
        <v>2.3869367392260201E-5</v>
      </c>
      <c r="AB23" s="2">
        <f>Storage_modulus_G!AB23/1000000</f>
        <v>2.6330223493439098E-5</v>
      </c>
      <c r="AC23" s="2">
        <f>Storage_modulus_G!AC23/1000000</f>
        <v>2.9044786056594501E-5</v>
      </c>
      <c r="AD23" s="2">
        <f>Storage_modulus_G!AD23/1000000</f>
        <v>3.4769078602300394E-5</v>
      </c>
      <c r="AE23" s="2">
        <f>Storage_modulus_G!AE23/1000000</f>
        <v>4.2307801157570095E-5</v>
      </c>
      <c r="AF23" s="2">
        <f>Storage_modulus_G!AF23/1000000</f>
        <v>4.9016343305706501E-5</v>
      </c>
      <c r="AG23" s="2">
        <f>Storage_modulus_G!AG23/1000000</f>
        <v>6.1627241299031196E-5</v>
      </c>
      <c r="AH23" s="2">
        <f>Storage_modulus_G!AH23/1000000</f>
        <v>7.4989420933245504E-5</v>
      </c>
      <c r="AI23" s="2">
        <f>Storage_modulus_G!AI23/1000000</f>
        <v>9.1248823302299604E-5</v>
      </c>
      <c r="AJ23" s="2">
        <f>Storage_modulus_G!AJ23/1000000</f>
        <v>1.1472527064761201E-4</v>
      </c>
      <c r="AK23" s="2">
        <f>Storage_modulus_G!AK23/1000000</f>
        <v>1.51494800407257E-4</v>
      </c>
      <c r="AL23" s="34">
        <f>Storage_modulus_G!AL23/1000000</f>
        <v>2.1010828691276002E-4</v>
      </c>
      <c r="AM23" s="34">
        <f>Storage_modulus_G!AM23/1000000</f>
        <v>3.0108781625693901E-4</v>
      </c>
      <c r="AN23" s="34">
        <f>Storage_modulus_G!AN23/1000000</f>
        <v>4.5315836376008098E-4</v>
      </c>
      <c r="AO23" s="34">
        <f>Storage_modulus_G!AO23/1000000</f>
        <v>7.6475570818925701E-4</v>
      </c>
      <c r="AP23" s="34">
        <f>Storage_modulus_G!AP23/1000000</f>
        <v>1.5704449858925901E-3</v>
      </c>
      <c r="AQ23" s="34">
        <f>Storage_modulus_G!AQ23/1000000</f>
        <v>2.8761187819738103E-3</v>
      </c>
      <c r="AR23" s="34">
        <f>Storage_modulus_G!AR23/1000000</f>
        <v>6.6225115937785708E-3</v>
      </c>
      <c r="AS23" s="237">
        <f>Storage_modulus_G!AS23/1000000</f>
        <v>1.7098363491935699E-2</v>
      </c>
      <c r="AT23" s="2"/>
    </row>
    <row r="24" spans="1:46" ht="15.75" customHeight="1">
      <c r="A24" s="199">
        <v>6</v>
      </c>
      <c r="B24" s="200">
        <v>1</v>
      </c>
      <c r="C24" s="234">
        <f>Storage_modulus_G!C24/1000000</f>
        <v>1.5091405542646299E-5</v>
      </c>
      <c r="D24" s="234">
        <f>Storage_modulus_G!D24/1000000</f>
        <v>2.17899892630054E-5</v>
      </c>
      <c r="E24" s="234">
        <f>Storage_modulus_G!E24/1000000</f>
        <v>2.5135956781483701E-5</v>
      </c>
      <c r="F24" s="234">
        <f>Storage_modulus_G!F24/1000000</f>
        <v>2.7273817991426999E-5</v>
      </c>
      <c r="G24" s="234">
        <f>Storage_modulus_G!G24/1000000</f>
        <v>2.7836111485703901E-5</v>
      </c>
      <c r="H24" s="234">
        <f>Storage_modulus_G!H24/1000000</f>
        <v>4.18659694443427E-5</v>
      </c>
      <c r="I24" s="234">
        <f>Storage_modulus_G!I24/1000000</f>
        <v>4.82947093670467E-5</v>
      </c>
      <c r="J24" s="234">
        <f>Storage_modulus_G!J24/1000000</f>
        <v>5.4585253599296199E-5</v>
      </c>
      <c r="K24" s="234">
        <f>Storage_modulus_G!K24/1000000</f>
        <v>6.2967106537664902E-5</v>
      </c>
      <c r="L24" s="234">
        <f>Storage_modulus_G!L24/1000000</f>
        <v>6.8322579406253296E-5</v>
      </c>
      <c r="M24" s="234">
        <f>Storage_modulus_G!M24/1000000</f>
        <v>6.6942453380673903E-5</v>
      </c>
      <c r="N24" s="234">
        <f>Storage_modulus_G!N24/1000000</f>
        <v>7.2636037103192399E-5</v>
      </c>
      <c r="O24" s="234">
        <f>Storage_modulus_G!O24/1000000</f>
        <v>1.0275828300407199E-4</v>
      </c>
      <c r="P24" s="234">
        <f>Storage_modulus_G!P24/1000000</f>
        <v>1.1614288626473901E-4</v>
      </c>
      <c r="Q24" s="234">
        <f>Storage_modulus_G!Q24/1000000</f>
        <v>1.48369340219252E-4</v>
      </c>
      <c r="R24" s="234">
        <f>Storage_modulus_G!R24/1000000</f>
        <v>1.89537748071098E-4</v>
      </c>
      <c r="S24" s="234">
        <f>Storage_modulus_G!S24/1000000</f>
        <v>2.52215937337429E-4</v>
      </c>
      <c r="T24" s="234">
        <f>Storage_modulus_G!T24/1000000</f>
        <v>3.2219891737696296E-4</v>
      </c>
      <c r="U24" s="234">
        <f>Storage_modulus_G!U24/1000000</f>
        <v>4.6521252976446602E-4</v>
      </c>
      <c r="V24" s="234">
        <f>Storage_modulus_G!V24/1000000</f>
        <v>6.4484223000859005E-4</v>
      </c>
      <c r="W24" s="234">
        <f>Storage_modulus_G!W24/1000000</f>
        <v>8.75775738654695E-4</v>
      </c>
      <c r="X24" s="234">
        <f>Storage_modulus_G!X24/1000000</f>
        <v>1.16538579290979E-3</v>
      </c>
      <c r="Y24" s="234">
        <f>Storage_modulus_G!Y24/1000000</f>
        <v>1.5827384685858201E-3</v>
      </c>
      <c r="Z24" s="234">
        <f>Storage_modulus_G!Z24/1000000</f>
        <v>2.1061338465657E-3</v>
      </c>
      <c r="AA24" s="234">
        <f>Storage_modulus_G!AA24/1000000</f>
        <v>2.9795499104994802E-3</v>
      </c>
      <c r="AB24" s="234">
        <f>Storage_modulus_G!AB24/1000000</f>
        <v>3.8847658285469802E-3</v>
      </c>
      <c r="AC24" s="234">
        <f>Storage_modulus_G!AC24/1000000</f>
        <v>4.8624345275373494E-3</v>
      </c>
      <c r="AD24" s="234">
        <f>Storage_modulus_G!AD24/1000000</f>
        <v>6.4703917535449598E-3</v>
      </c>
      <c r="AE24" s="234">
        <f>Storage_modulus_G!AE24/1000000</f>
        <v>8.2657473592079606E-3</v>
      </c>
      <c r="AF24" s="234">
        <f>Storage_modulus_G!AF24/1000000</f>
        <v>1.0559264725945001E-2</v>
      </c>
      <c r="AG24" s="234">
        <f>Storage_modulus_G!AG24/1000000</f>
        <v>1.32166868364486E-2</v>
      </c>
      <c r="AH24" s="234">
        <f>Storage_modulus_G!AH24/1000000</f>
        <v>1.6883953627073799E-2</v>
      </c>
      <c r="AI24" s="234">
        <f>Storage_modulus_G!AI24/1000000</f>
        <v>2.1133093396347603E-2</v>
      </c>
      <c r="AJ24" s="234">
        <f>Storage_modulus_G!AJ24/1000000</f>
        <v>2.2930503417813098E-2</v>
      </c>
      <c r="AK24" s="235">
        <f>Storage_modulus_G!AK24/1000000</f>
        <v>2.6996945097961401E-2</v>
      </c>
      <c r="AL24" s="2"/>
      <c r="AM24" s="2"/>
      <c r="AN24" s="2"/>
      <c r="AO24" s="2"/>
      <c r="AP24" s="2"/>
      <c r="AQ24" s="2"/>
      <c r="AR24" s="2"/>
      <c r="AS24" s="2"/>
    </row>
    <row r="25" spans="1:46" ht="15.75" customHeight="1">
      <c r="A25" s="196">
        <v>6</v>
      </c>
      <c r="B25" s="201">
        <v>2</v>
      </c>
      <c r="C25" s="2">
        <f>Storage_modulus_G!C25/1000000</f>
        <v>1.1418448306596499E-3</v>
      </c>
      <c r="D25" s="2">
        <f>Storage_modulus_G!D25/1000000</f>
        <v>1.4887482716830901E-3</v>
      </c>
      <c r="E25" s="2">
        <f>Storage_modulus_G!E25/1000000</f>
        <v>1.7527593975146302E-3</v>
      </c>
      <c r="F25" s="2">
        <f>Storage_modulus_G!F25/1000000</f>
        <v>2.02190482668418E-3</v>
      </c>
      <c r="G25" s="2">
        <f>Storage_modulus_G!G25/1000000</f>
        <v>2.06358963701946E-3</v>
      </c>
      <c r="H25" s="2">
        <f>Storage_modulus_G!H25/1000000</f>
        <v>2.2852645592998299E-3</v>
      </c>
      <c r="I25" s="2">
        <f>Storage_modulus_G!I25/1000000</f>
        <v>2.5829277605298397E-3</v>
      </c>
      <c r="J25" s="2">
        <f>Storage_modulus_G!J25/1000000</f>
        <v>2.69052801491518E-3</v>
      </c>
      <c r="K25" s="2">
        <f>Storage_modulus_G!K25/1000000</f>
        <v>2.8026107077646304E-3</v>
      </c>
      <c r="L25" s="2">
        <f>Storage_modulus_G!L25/1000000</f>
        <v>2.9795499104994802E-3</v>
      </c>
      <c r="M25" s="2">
        <f>Storage_modulus_G!M25/1000000</f>
        <v>3.16765994098352E-3</v>
      </c>
      <c r="N25" s="2">
        <f>Storage_modulus_G!N25/1000000</f>
        <v>3.3676460549807098E-3</v>
      </c>
      <c r="O25" s="2">
        <f>Storage_modulus_G!O25/1000000</f>
        <v>3.65407079434315E-3</v>
      </c>
      <c r="P25" s="2">
        <f>Storage_modulus_G!P25/1000000</f>
        <v>4.1300254954034499E-3</v>
      </c>
      <c r="Q25" s="2">
        <f>Storage_modulus_G!Q25/1000000</f>
        <v>4.5736810867505005E-3</v>
      </c>
      <c r="R25" s="2">
        <f>Storage_modulus_G!R25/1000000</f>
        <v>5.1694180433960804E-3</v>
      </c>
      <c r="S25" s="2">
        <f>Storage_modulus_G!S25/1000000</f>
        <v>5.9632093873874603E-3</v>
      </c>
      <c r="T25" s="2">
        <f>Storage_modulus_G!T25/1000000</f>
        <v>6.6037892554856401E-3</v>
      </c>
      <c r="U25" s="2">
        <f>Storage_modulus_G!U25/1000000</f>
        <v>7.1654541648692805E-3</v>
      </c>
      <c r="V25" s="2">
        <f>Storage_modulus_G!V25/1000000</f>
        <v>7.9351815692941096E-3</v>
      </c>
      <c r="W25" s="2">
        <f>Storage_modulus_G!W25/1000000</f>
        <v>8.7875946295741299E-3</v>
      </c>
      <c r="X25" s="2">
        <f>Storage_modulus_G!X25/1000000</f>
        <v>1.0345966045100401E-2</v>
      </c>
      <c r="Y25" s="2">
        <f>Storage_modulus_G!Y25/1000000</f>
        <v>1.1934643575701901E-2</v>
      </c>
      <c r="Z25" s="2">
        <f>Storage_modulus_G!Z25/1000000</f>
        <v>1.3489170029904201E-2</v>
      </c>
      <c r="AA25" s="2">
        <f>Storage_modulus_G!AA25/1000000</f>
        <v>1.55605030730975E-2</v>
      </c>
      <c r="AB25" s="2">
        <f>Storage_modulus_G!AB25/1000000</f>
        <v>1.8319966182457903E-2</v>
      </c>
      <c r="AC25" s="2">
        <f>Storage_modulus_G!AC25/1000000</f>
        <v>2.15687860058109E-2</v>
      </c>
      <c r="AD25" s="2">
        <f>Storage_modulus_G!AD25/1000000</f>
        <v>2.4378191097666698E-2</v>
      </c>
      <c r="AE25" s="2">
        <f>Storage_modulus_G!AE25/1000000</f>
        <v>2.9293086924335798E-2</v>
      </c>
      <c r="AF25" s="2">
        <f>Storage_modulus_G!AF25/1000000</f>
        <v>3.5924557943863004E-2</v>
      </c>
      <c r="AG25" s="2">
        <f>Storage_modulus_G!AG25/1000000</f>
        <v>4.22953347690391E-2</v>
      </c>
      <c r="AH25" s="2">
        <f>Storage_modulus_G!AH25/1000000</f>
        <v>4.6838784144609201E-2</v>
      </c>
      <c r="AI25" s="2">
        <f>Storage_modulus_G!AI25/1000000</f>
        <v>5.5145064238972405E-2</v>
      </c>
      <c r="AJ25" s="2">
        <f>Storage_modulus_G!AJ25/1000000</f>
        <v>5.9835257446305599E-2</v>
      </c>
      <c r="AK25" s="236">
        <f>Storage_modulus_G!AK25/1000000</f>
        <v>6.9023276102883308E-2</v>
      </c>
      <c r="AL25" s="2"/>
    </row>
    <row r="26" spans="1:46" ht="15.75" customHeight="1">
      <c r="A26" s="196">
        <v>6</v>
      </c>
      <c r="B26" s="201">
        <v>3</v>
      </c>
      <c r="C26" s="2">
        <f>Storage_modulus_G!C26/1000000</f>
        <v>7.9351815692941096E-3</v>
      </c>
      <c r="D26" s="2">
        <f>Storage_modulus_G!D26/1000000</f>
        <v>7.77488974927424E-3</v>
      </c>
      <c r="E26" s="2">
        <f>Storage_modulus_G!E26/1000000</f>
        <v>7.77488974927424E-3</v>
      </c>
      <c r="F26" s="2">
        <f>Storage_modulus_G!F26/1000000</f>
        <v>8.4361589959974816E-3</v>
      </c>
      <c r="G26" s="2">
        <f>Storage_modulus_G!G26/1000000</f>
        <v>8.7875946295741299E-3</v>
      </c>
      <c r="H26" s="2">
        <f>Storage_modulus_G!H26/1000000</f>
        <v>9.3423880525087492E-3</v>
      </c>
      <c r="I26" s="2">
        <f>Storage_modulus_G!I26/1000000</f>
        <v>9.3423880525087492E-3</v>
      </c>
      <c r="J26" s="2">
        <f>Storage_modulus_G!J26/1000000</f>
        <v>1.0345966045100401E-2</v>
      </c>
      <c r="K26" s="2">
        <f>Storage_modulus_G!K26/1000000</f>
        <v>1.09991452320885E-2</v>
      </c>
      <c r="L26" s="2">
        <f>Storage_modulus_G!L26/1000000</f>
        <v>1.2431819959946E-2</v>
      </c>
      <c r="M26" s="2">
        <f>Storage_modulus_G!M26/1000000</f>
        <v>1.43407913357222E-2</v>
      </c>
      <c r="N26" s="2">
        <f>Storage_modulus_G!N26/1000000</f>
        <v>1.55605030730975E-2</v>
      </c>
      <c r="O26" s="2">
        <f>Storage_modulus_G!O26/1000000</f>
        <v>1.7949900205209E-2</v>
      </c>
      <c r="P26" s="2">
        <f>Storage_modulus_G!P26/1000000</f>
        <v>1.9083143942086402E-2</v>
      </c>
      <c r="Q26" s="2">
        <f>Storage_modulus_G!Q26/1000000</f>
        <v>2.1133093396347603E-2</v>
      </c>
      <c r="R26" s="2">
        <f>Storage_modulus_G!R26/1000000</f>
        <v>2.34032525172015E-2</v>
      </c>
      <c r="S26" s="2">
        <f>Storage_modulus_G!S26/1000000</f>
        <v>2.5917276667057003E-2</v>
      </c>
      <c r="T26" s="2">
        <f>Storage_modulus_G!T26/1000000</f>
        <v>2.9293086924335798E-2</v>
      </c>
      <c r="U26" s="2">
        <f>Storage_modulus_G!U26/1000000</f>
        <v>3.2439808855292497E-2</v>
      </c>
      <c r="V26" s="2">
        <f>Storage_modulus_G!V26/1000000</f>
        <v>3.5198876656554606E-2</v>
      </c>
      <c r="W26" s="2">
        <f>Storage_modulus_G!W26/1000000</f>
        <v>3.8980010321515199E-2</v>
      </c>
      <c r="X26" s="2">
        <f>Storage_modulus_G!X26/1000000</f>
        <v>4.40572844642673E-2</v>
      </c>
      <c r="Y26" s="2">
        <f>Storage_modulus_G!Y26/1000000</f>
        <v>4.9795890210270199E-2</v>
      </c>
      <c r="Z26" s="2">
        <f>Storage_modulus_G!Z26/1000000</f>
        <v>5.4031125933366203E-2</v>
      </c>
      <c r="AA26" s="2">
        <f>Storage_modulus_G!AA26/1000000</f>
        <v>6.1068857230575299E-2</v>
      </c>
      <c r="AB26" s="2">
        <f>Storage_modulus_G!AB26/1000000</f>
        <v>6.7628995902279207E-2</v>
      </c>
      <c r="AC26" s="2">
        <f>Storage_modulus_G!AC26/1000000</f>
        <v>7.8013784112363704E-2</v>
      </c>
      <c r="AD26" s="2">
        <f>Storage_modulus_G!AD26/1000000</f>
        <v>8.6394180689119096E-2</v>
      </c>
      <c r="AE26" s="2">
        <f>Storage_modulus_G!AE26/1000000</f>
        <v>0.10171512200798999</v>
      </c>
      <c r="AF26" s="2">
        <f>Storage_modulus_G!AF26/1000000</f>
        <v>0.11264156366158701</v>
      </c>
      <c r="AG26" s="2">
        <f>Storage_modulus_G!AG26/1000000</f>
        <v>0.12731349663084199</v>
      </c>
      <c r="AH26" s="2">
        <f>Storage_modulus_G!AH26/1000000</f>
        <v>0.14686315401015598</v>
      </c>
      <c r="AI26" s="2">
        <f>Storage_modulus_G!AI26/1000000</f>
        <v>0.15298121622343502</v>
      </c>
      <c r="AJ26" s="2">
        <f>Storage_modulus_G!AJ26/1000000</f>
        <v>0.15613516931705898</v>
      </c>
      <c r="AK26" s="236">
        <f>Storage_modulus_G!AK26/1000000</f>
        <v>0.162639487476374</v>
      </c>
      <c r="AL26" s="2"/>
    </row>
    <row r="27" spans="1:46" ht="15.75" customHeight="1">
      <c r="A27" s="196">
        <v>6</v>
      </c>
      <c r="B27" s="201">
        <v>4</v>
      </c>
      <c r="C27" s="2">
        <f>Storage_modulus_G!C27/1000000</f>
        <v>2.15687860058109E-2</v>
      </c>
      <c r="D27" s="2">
        <f>Storage_modulus_G!D27/1000000</f>
        <v>1.9083143942086402E-2</v>
      </c>
      <c r="E27" s="2">
        <f>Storage_modulus_G!E27/1000000</f>
        <v>2.02879335567955E-2</v>
      </c>
      <c r="F27" s="2">
        <f>Storage_modulus_G!F27/1000000</f>
        <v>2.0706201840865298E-2</v>
      </c>
      <c r="G27" s="2">
        <f>Storage_modulus_G!G27/1000000</f>
        <v>2.2013461117096299E-2</v>
      </c>
      <c r="H27" s="2">
        <f>Storage_modulus_G!H27/1000000</f>
        <v>2.2930503417813098E-2</v>
      </c>
      <c r="I27" s="2">
        <f>Storage_modulus_G!I27/1000000</f>
        <v>2.4880786600091999E-2</v>
      </c>
      <c r="J27" s="2">
        <f>Storage_modulus_G!J27/1000000</f>
        <v>2.6451602886577903E-2</v>
      </c>
      <c r="K27" s="2">
        <f>Storage_modulus_G!K27/1000000</f>
        <v>2.7553530413545198E-2</v>
      </c>
      <c r="L27" s="2">
        <f>Storage_modulus_G!L27/1000000</f>
        <v>2.9293086924335798E-2</v>
      </c>
      <c r="M27" s="2">
        <f>Storage_modulus_G!M27/1000000</f>
        <v>3.1142468085863101E-2</v>
      </c>
      <c r="N27" s="2">
        <f>Storage_modulus_G!N27/1000000</f>
        <v>3.5198876656554606E-2</v>
      </c>
      <c r="O27" s="2">
        <f>Storage_modulus_G!O27/1000000</f>
        <v>3.7421112215534798E-2</v>
      </c>
      <c r="P27" s="2">
        <f>Storage_modulus_G!P27/1000000</f>
        <v>3.8980010321515199E-2</v>
      </c>
      <c r="Q27" s="2">
        <f>Storage_modulus_G!Q27/1000000</f>
        <v>4.0603849396936294E-2</v>
      </c>
      <c r="R27" s="2">
        <f>Storage_modulus_G!R27/1000000</f>
        <v>4.49655960339033E-2</v>
      </c>
      <c r="S27" s="2">
        <f>Storage_modulus_G!S27/1000000</f>
        <v>4.6838784144609201E-2</v>
      </c>
      <c r="T27" s="2">
        <f>Storage_modulus_G!T27/1000000</f>
        <v>4.7804440790577503E-2</v>
      </c>
      <c r="U27" s="2">
        <f>Storage_modulus_G!U27/1000000</f>
        <v>5.6281968169063896E-2</v>
      </c>
      <c r="V27" s="2">
        <f>Storage_modulus_G!V27/1000000</f>
        <v>5.6281968169063896E-2</v>
      </c>
      <c r="W27" s="2">
        <f>Storage_modulus_G!W27/1000000</f>
        <v>6.2327889652602393E-2</v>
      </c>
      <c r="X27" s="2">
        <f>Storage_modulus_G!X27/1000000</f>
        <v>6.62628803642E-2</v>
      </c>
      <c r="Y27" s="34">
        <f>Storage_modulus_G!Y27/1000000</f>
        <v>7.4893837778588795E-2</v>
      </c>
      <c r="Z27" s="34">
        <f>Storage_modulus_G!Z27/1000000</f>
        <v>8.126370195533579E-2</v>
      </c>
      <c r="AA27" s="34">
        <f>Storage_modulus_G!AA27/1000000</f>
        <v>8.4649005693329213E-2</v>
      </c>
      <c r="AB27" s="34">
        <f>Storage_modulus_G!AB27/1000000</f>
        <v>8.9993211200780007E-2</v>
      </c>
      <c r="AC27" s="34">
        <f>Storage_modulus_G!AC27/1000000</f>
        <v>0.105952396147105</v>
      </c>
      <c r="AD27" s="34">
        <f>Storage_modulus_G!AD27/1000000</f>
        <v>0.122221944136973</v>
      </c>
      <c r="AE27" s="34">
        <f>Storage_modulus_G!AE27/1000000</f>
        <v>0.132617154299284</v>
      </c>
      <c r="AF27" s="34">
        <f>Storage_modulus_G!AF27/1000000</f>
        <v>0.14098976683718301</v>
      </c>
      <c r="AG27" s="34">
        <f>Storage_modulus_G!AG27/1000000</f>
        <v>0.162639487476374</v>
      </c>
      <c r="AH27" s="34">
        <f>Storage_modulus_G!AH27/1000000</f>
        <v>0.18011054620785602</v>
      </c>
      <c r="AI27" s="34">
        <f>Storage_modulus_G!AI27/1000000</f>
        <v>0.19148159262606398</v>
      </c>
      <c r="AJ27" s="34">
        <f>Storage_modulus_G!AJ27/1000000</f>
        <v>0.15613516931705898</v>
      </c>
      <c r="AK27" s="237">
        <f>Storage_modulus_G!AK27/1000000</f>
        <v>0.14098976683718301</v>
      </c>
      <c r="AL27" s="2"/>
    </row>
    <row r="28" spans="1:46" ht="15.75" customHeight="1">
      <c r="A28" s="199">
        <v>7</v>
      </c>
      <c r="B28" s="200">
        <v>1</v>
      </c>
      <c r="C28" s="234">
        <f>Storage_modulus_G!C28/1000000</f>
        <v>1.8968234314012899E-6</v>
      </c>
      <c r="D28" s="234">
        <f>Storage_modulus_G!D28/1000000</f>
        <v>5.2178163493270802E-6</v>
      </c>
      <c r="E28" s="234">
        <f>Storage_modulus_G!E28/1000000</f>
        <v>1.5270614096563102E-5</v>
      </c>
      <c r="F28" s="234">
        <f>Storage_modulus_G!F28/1000000</f>
        <v>4.5623943957865995E-5</v>
      </c>
      <c r="G28" s="234">
        <f>Storage_modulus_G!G28/1000000</f>
        <v>1.3352437017712299E-4</v>
      </c>
      <c r="H28" s="234">
        <f>Storage_modulus_G!H28/1000000</f>
        <v>3.45236410041693E-4</v>
      </c>
      <c r="I28" s="234">
        <f>Storage_modulus_G!I28/1000000</f>
        <v>7.4123370131035798E-4</v>
      </c>
      <c r="J28" s="234">
        <f>Storage_modulus_G!J28/1000000</f>
        <v>1.4652754811771999E-3</v>
      </c>
      <c r="K28" s="234">
        <f>Storage_modulus_G!K28/1000000</f>
        <v>2.66691373835477E-3</v>
      </c>
      <c r="L28" s="234">
        <f>Storage_modulus_G!L28/1000000</f>
        <v>4.6575919231867397E-3</v>
      </c>
      <c r="M28" s="234">
        <f>Storage_modulus_G!M28/1000000</f>
        <v>7.6455383619545405E-3</v>
      </c>
      <c r="N28" s="234">
        <f>Storage_modulus_G!N28/1000000</f>
        <v>1.1555274560871399E-2</v>
      </c>
      <c r="O28" s="234">
        <f>Storage_modulus_G!O28/1000000</f>
        <v>1.7828757431197502E-2</v>
      </c>
      <c r="P28" s="234">
        <f>Storage_modulus_G!P28/1000000</f>
        <v>2.4809546975007001E-2</v>
      </c>
      <c r="Q28" s="234">
        <f>Storage_modulus_G!Q28/1000000</f>
        <v>3.5244000748491801E-2</v>
      </c>
      <c r="R28" s="234">
        <f>Storage_modulus_G!R28/1000000</f>
        <v>4.7059330024644401E-2</v>
      </c>
      <c r="S28" s="234">
        <f>Storage_modulus_G!S28/1000000</f>
        <v>5.9060952731354401E-2</v>
      </c>
      <c r="T28" s="234">
        <f>Storage_modulus_G!T28/1000000</f>
        <v>7.5670005723424902E-2</v>
      </c>
      <c r="U28" s="234">
        <f>Storage_modulus_G!U28/1000000</f>
        <v>9.1125779344815999E-2</v>
      </c>
      <c r="V28" s="234">
        <f>Storage_modulus_G!V28/1000000</f>
        <v>0.109738430462804</v>
      </c>
      <c r="W28" s="234">
        <f>Storage_modulus_G!W28/1000000</f>
        <v>0.12945165982558901</v>
      </c>
      <c r="X28" s="235">
        <f>Storage_modulus_G!X28/1000000</f>
        <v>0.15270614096563101</v>
      </c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</row>
    <row r="29" spans="1:46" ht="15.75" customHeight="1">
      <c r="A29" s="196">
        <v>7</v>
      </c>
      <c r="B29" s="201">
        <v>2</v>
      </c>
      <c r="C29" s="2">
        <f>Storage_modulus_G!C29/1000000</f>
        <v>8.3039076612001009E-3</v>
      </c>
      <c r="D29" s="2">
        <f>Storage_modulus_G!D29/1000000</f>
        <v>9.0189701733587105E-3</v>
      </c>
      <c r="E29" s="2">
        <f>Storage_modulus_G!E29/1000000</f>
        <v>1.2550317376049499E-2</v>
      </c>
      <c r="F29" s="2">
        <f>Storage_modulus_G!F29/1000000</f>
        <v>2.1031485800943703E-2</v>
      </c>
      <c r="G29" s="2">
        <f>Storage_modulus_G!G29/1000000</f>
        <v>3.6730126284295096E-2</v>
      </c>
      <c r="H29" s="2">
        <f>Storage_modulus_G!H29/1000000</f>
        <v>6.8246552463745308E-2</v>
      </c>
      <c r="I29" s="2">
        <f>Storage_modulus_G!I29/1000000</f>
        <v>0.12945165982558901</v>
      </c>
      <c r="J29" s="2">
        <f>Storage_modulus_G!J29/1000000</f>
        <v>0.19564998576016801</v>
      </c>
      <c r="K29" s="2">
        <f>Storage_modulus_G!K29/1000000</f>
        <v>0.31459936923255799</v>
      </c>
      <c r="L29" s="2">
        <f>Storage_modulus_G!L29/1000000</f>
        <v>0.46575919231867302</v>
      </c>
      <c r="M29" s="2">
        <f>Storage_modulus_G!M29/1000000</f>
        <v>0.67545498708549001</v>
      </c>
      <c r="N29" s="2"/>
      <c r="O29" s="2"/>
      <c r="P29" s="2"/>
      <c r="Q29" s="34"/>
      <c r="R29" s="34"/>
      <c r="S29" s="34"/>
      <c r="T29" s="34"/>
      <c r="U29" s="34"/>
      <c r="V29" s="34"/>
      <c r="W29" s="34"/>
      <c r="X29" s="237"/>
      <c r="Y29" s="2"/>
    </row>
    <row r="30" spans="1:46" ht="15.75" customHeight="1">
      <c r="A30" s="199">
        <v>8</v>
      </c>
      <c r="B30" s="200">
        <v>1</v>
      </c>
      <c r="C30" s="382">
        <v>6874.06855439642</v>
      </c>
      <c r="D30" s="382">
        <v>6236.9597615499197</v>
      </c>
      <c r="E30" s="382">
        <v>5275.7078986587103</v>
      </c>
      <c r="F30" s="382">
        <v>4359.1654247391898</v>
      </c>
      <c r="G30" s="382">
        <v>3643.8152011922498</v>
      </c>
      <c r="H30" s="382">
        <v>3163.1892697466401</v>
      </c>
      <c r="I30" s="382">
        <v>2682.5633383010399</v>
      </c>
      <c r="J30" s="382">
        <v>2201.9374068554398</v>
      </c>
      <c r="K30" s="382">
        <v>1631.89269746646</v>
      </c>
      <c r="L30" s="382">
        <v>1151.2667660208599</v>
      </c>
      <c r="M30" s="382">
        <v>815.946348733234</v>
      </c>
      <c r="N30" s="382">
        <v>558.86736214605003</v>
      </c>
      <c r="O30" s="382">
        <v>402.384500745156</v>
      </c>
      <c r="P30" s="144">
        <v>223.54694485842001</v>
      </c>
      <c r="Q30" s="2"/>
      <c r="R30" s="2"/>
      <c r="S30" s="2"/>
      <c r="T30" s="2"/>
      <c r="U30" s="2"/>
      <c r="V30" s="2"/>
      <c r="W30" s="2"/>
      <c r="X30" s="2"/>
    </row>
    <row r="31" spans="1:46" ht="15.75" customHeight="1">
      <c r="A31" s="196">
        <v>8</v>
      </c>
      <c r="B31" s="201">
        <v>2</v>
      </c>
      <c r="C31" s="341">
        <v>7522.3546944858399</v>
      </c>
      <c r="D31" s="341">
        <v>6762.2950819672096</v>
      </c>
      <c r="E31" s="341">
        <v>5678.0923994038703</v>
      </c>
      <c r="F31" s="341">
        <v>4817.43666169895</v>
      </c>
      <c r="G31" s="341">
        <v>4102.0864381520096</v>
      </c>
      <c r="H31" s="341">
        <v>3587.92846497764</v>
      </c>
      <c r="I31" s="341">
        <v>3040.2384500745102</v>
      </c>
      <c r="J31" s="341">
        <v>2369.59761549925</v>
      </c>
      <c r="K31" s="341">
        <v>1732.4888226527501</v>
      </c>
      <c r="L31" s="341">
        <v>1274.21758569299</v>
      </c>
      <c r="M31" s="341">
        <v>961.251862891207</v>
      </c>
      <c r="N31" s="341">
        <v>760.059612518628</v>
      </c>
      <c r="O31" s="341">
        <v>581.22205663189197</v>
      </c>
      <c r="P31" s="145">
        <v>424.73919523099801</v>
      </c>
      <c r="Q31" s="2"/>
    </row>
    <row r="32" spans="1:46" ht="15.75" customHeight="1">
      <c r="A32" s="196">
        <v>8</v>
      </c>
      <c r="B32" s="201">
        <v>3</v>
      </c>
      <c r="C32" s="339">
        <v>7622.9508196721299</v>
      </c>
      <c r="D32" s="339">
        <v>7108.7928464977604</v>
      </c>
      <c r="E32" s="339">
        <v>6315.2011922503698</v>
      </c>
      <c r="F32" s="339">
        <v>5208.6438152011897</v>
      </c>
      <c r="G32" s="339">
        <v>4415.0521609538</v>
      </c>
      <c r="H32" s="339">
        <v>3856.1847988077402</v>
      </c>
      <c r="I32" s="339">
        <v>3375.5588673621401</v>
      </c>
      <c r="J32" s="339">
        <v>2894.9329359165399</v>
      </c>
      <c r="K32" s="339">
        <v>2302.5335320417198</v>
      </c>
      <c r="L32" s="339">
        <v>1643.07004470938</v>
      </c>
      <c r="M32" s="339">
        <v>1274.21758569299</v>
      </c>
      <c r="N32" s="339">
        <v>994.78390461997003</v>
      </c>
      <c r="O32" s="339">
        <v>793.59165424739194</v>
      </c>
      <c r="P32" s="146">
        <v>558.86736214605003</v>
      </c>
      <c r="Q32" s="2"/>
    </row>
    <row r="33" spans="1:28" ht="15.75" customHeight="1">
      <c r="A33" s="196">
        <v>8</v>
      </c>
      <c r="B33" s="201">
        <v>4</v>
      </c>
      <c r="C33" s="383">
        <v>4046.1997019373998</v>
      </c>
      <c r="D33" s="383">
        <v>3643.8152011922498</v>
      </c>
      <c r="E33" s="383">
        <v>3084.9478390462</v>
      </c>
      <c r="F33" s="383">
        <v>2604.3219076005898</v>
      </c>
      <c r="G33" s="383">
        <v>2257.82414307004</v>
      </c>
      <c r="H33" s="383">
        <v>1967.2131147540899</v>
      </c>
      <c r="I33" s="383">
        <v>1687.77943368107</v>
      </c>
      <c r="J33" s="383">
        <v>1430.70044709388</v>
      </c>
      <c r="K33" s="383">
        <v>1117.7347242921001</v>
      </c>
      <c r="L33" s="383">
        <v>894.18777943368104</v>
      </c>
      <c r="M33" s="383">
        <v>670.64083457525999</v>
      </c>
      <c r="N33" s="383">
        <v>536.51266766020797</v>
      </c>
      <c r="O33" s="383">
        <v>357.675111773472</v>
      </c>
      <c r="P33" s="147">
        <v>212.369597615499</v>
      </c>
      <c r="Q33" s="2"/>
    </row>
    <row r="34" spans="1:28" ht="15.75" customHeight="1">
      <c r="A34" s="199">
        <v>9</v>
      </c>
      <c r="B34" s="200">
        <v>1</v>
      </c>
      <c r="C34" s="349">
        <v>2779.4524142974601</v>
      </c>
      <c r="D34" s="349">
        <v>2835.9127655067</v>
      </c>
      <c r="E34" s="349">
        <v>2742.4380555099901</v>
      </c>
      <c r="F34" s="349">
        <v>2705.9166221453102</v>
      </c>
      <c r="G34" s="349">
        <v>2616.7267237088199</v>
      </c>
      <c r="H34" s="349">
        <v>2303.8033998142701</v>
      </c>
      <c r="I34" s="349">
        <v>1490.1050447023699</v>
      </c>
      <c r="J34" s="349">
        <v>944.61476736680504</v>
      </c>
      <c r="K34" s="349">
        <v>722.44768648880495</v>
      </c>
      <c r="L34" s="349">
        <v>586.89303019639397</v>
      </c>
      <c r="M34" s="349">
        <v>445.86093019935402</v>
      </c>
      <c r="N34" s="349">
        <v>321.03340000982899</v>
      </c>
      <c r="O34" s="349">
        <v>239.03255832270699</v>
      </c>
      <c r="P34" s="148">
        <v>174.43365326391699</v>
      </c>
      <c r="Q34" s="2"/>
    </row>
    <row r="35" spans="1:28" ht="15.75" customHeight="1">
      <c r="A35" s="196">
        <v>9</v>
      </c>
      <c r="B35" s="201">
        <v>2</v>
      </c>
      <c r="C35" s="344">
        <v>3444.4342889310601</v>
      </c>
      <c r="D35" s="344">
        <v>3375.8588475297602</v>
      </c>
      <c r="E35" s="344">
        <v>3375.8588475297602</v>
      </c>
      <c r="F35" s="344">
        <v>3286.5439690774601</v>
      </c>
      <c r="G35" s="344">
        <v>3052.9251540622199</v>
      </c>
      <c r="H35" s="344">
        <v>2599.2446669442602</v>
      </c>
      <c r="I35" s="344">
        <v>1658.80835996527</v>
      </c>
      <c r="J35" s="344">
        <v>1016.89946858343</v>
      </c>
      <c r="K35" s="344">
        <v>757.15511695997702</v>
      </c>
      <c r="L35" s="344">
        <v>627.58280144186904</v>
      </c>
      <c r="M35" s="344">
        <v>483.20777715791002</v>
      </c>
      <c r="N35" s="344">
        <v>347.924263161689</v>
      </c>
      <c r="O35" s="344">
        <v>271.50011292193699</v>
      </c>
      <c r="P35" s="132">
        <v>207.645100667516</v>
      </c>
      <c r="Q35" s="2"/>
    </row>
    <row r="36" spans="1:28" ht="15.75" customHeight="1">
      <c r="A36" s="196">
        <v>9</v>
      </c>
      <c r="B36" s="201">
        <v>3</v>
      </c>
      <c r="C36" s="343">
        <v>3242.7766007222899</v>
      </c>
      <c r="D36" s="343">
        <v>3199.5920885682799</v>
      </c>
      <c r="E36" s="343">
        <v>3114.9406883189699</v>
      </c>
      <c r="F36" s="343">
        <v>3156.9826706374001</v>
      </c>
      <c r="G36" s="343">
        <v>2932.5735169862401</v>
      </c>
      <c r="H36" s="343">
        <v>2530.4766194692402</v>
      </c>
      <c r="I36" s="343">
        <v>1625.78304842127</v>
      </c>
      <c r="J36" s="343">
        <v>1030.62443921871</v>
      </c>
      <c r="K36" s="343">
        <v>767.37434911386799</v>
      </c>
      <c r="L36" s="343">
        <v>606.89700282449996</v>
      </c>
      <c r="M36" s="343">
        <v>470.42358035547397</v>
      </c>
      <c r="N36" s="343">
        <v>329.75778020093202</v>
      </c>
      <c r="O36" s="343">
        <v>250.51602771916001</v>
      </c>
      <c r="P36" s="131">
        <v>181.59234020214899</v>
      </c>
      <c r="Q36" s="2"/>
    </row>
    <row r="37" spans="1:28" ht="15.75" customHeight="1">
      <c r="A37" s="196">
        <v>9</v>
      </c>
      <c r="B37" s="201">
        <v>4</v>
      </c>
      <c r="C37" s="344">
        <v>3398.5642729759302</v>
      </c>
      <c r="D37" s="344">
        <v>3375.8588475297602</v>
      </c>
      <c r="E37" s="344">
        <v>3286.5439690774601</v>
      </c>
      <c r="F37" s="344">
        <v>3242.7766007222899</v>
      </c>
      <c r="G37" s="344">
        <v>3073.45858499314</v>
      </c>
      <c r="H37" s="344">
        <v>2652.0443716701002</v>
      </c>
      <c r="I37" s="344">
        <v>1750.19275061743</v>
      </c>
      <c r="J37" s="344">
        <v>1080.13712606794</v>
      </c>
      <c r="K37" s="344">
        <v>777.73150902321697</v>
      </c>
      <c r="L37" s="344">
        <v>644.63794573840801</v>
      </c>
      <c r="M37" s="344">
        <v>493.02340870642399</v>
      </c>
      <c r="N37" s="344">
        <v>329.75778020093202</v>
      </c>
      <c r="O37" s="344">
        <v>125.597523780369</v>
      </c>
      <c r="P37" s="352"/>
      <c r="Q37" s="2"/>
    </row>
    <row r="38" spans="1:28" ht="15.75" customHeight="1">
      <c r="A38" s="204">
        <v>11</v>
      </c>
      <c r="B38" s="201" t="s">
        <v>221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28" ht="15.75" customHeight="1">
      <c r="A39" s="204">
        <v>11</v>
      </c>
      <c r="B39" s="201" t="s">
        <v>222</v>
      </c>
      <c r="F39">
        <f>SQRT(0.015266^2+0.02201346^2)/0.2797747</f>
        <v>9.5751556276054306E-2</v>
      </c>
    </row>
    <row r="40" spans="1:28" ht="15.75" customHeight="1">
      <c r="A40" s="204">
        <v>11</v>
      </c>
      <c r="B40" s="201" t="s">
        <v>223</v>
      </c>
    </row>
    <row r="41" spans="1:28" ht="15.75" customHeight="1">
      <c r="A41" s="204">
        <v>11</v>
      </c>
      <c r="B41" s="201" t="s">
        <v>224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spans="1:28" ht="15.75" customHeight="1">
      <c r="A42" s="199">
        <v>11</v>
      </c>
      <c r="B42" s="200" t="s">
        <v>225</v>
      </c>
      <c r="C42" s="149">
        <f>Storage_modulus_G!C42*1000</f>
        <v>4044.7031858346199</v>
      </c>
      <c r="D42" s="234">
        <f>Storage_modulus_G!D42*1000</f>
        <v>3939.20783691312</v>
      </c>
      <c r="E42" s="234">
        <f>Storage_modulus_G!E42*1000</f>
        <v>3786.1014992077398</v>
      </c>
      <c r="F42" s="234">
        <f>Storage_modulus_G!F42*1000</f>
        <v>3591.176321211</v>
      </c>
      <c r="G42" s="234">
        <f>Storage_modulus_G!G42*1000</f>
        <v>3317.4427993754198</v>
      </c>
      <c r="H42" s="234">
        <f>Storage_modulus_G!H42*1000</f>
        <v>3064.5743184830899</v>
      </c>
      <c r="I42" s="234">
        <f>Storage_modulus_G!I42*1000</f>
        <v>2868.6380405557798</v>
      </c>
      <c r="J42" s="234">
        <f>Storage_modulus_G!J42*1000</f>
        <v>2337.3464990996904</v>
      </c>
      <c r="K42" s="234">
        <f>Storage_modulus_G!K42*1000</f>
        <v>1603.85459539667</v>
      </c>
      <c r="L42" s="234">
        <f>Storage_modulus_G!L42*1000</f>
        <v>1145.04756993828</v>
      </c>
      <c r="M42" s="234">
        <f>Storage_modulus_G!M42*1000</f>
        <v>920.72936468349701</v>
      </c>
      <c r="N42" s="234">
        <f>Storage_modulus_G!N42*1000</f>
        <v>745.26358204415203</v>
      </c>
      <c r="O42" s="235">
        <f>Storage_modulus_G!O42*1000</f>
        <v>644.43958524174809</v>
      </c>
      <c r="P42" s="2"/>
    </row>
    <row r="43" spans="1:28" ht="15.75" customHeight="1">
      <c r="A43" s="196">
        <v>11</v>
      </c>
      <c r="B43" s="201" t="s">
        <v>226</v>
      </c>
      <c r="C43" s="64">
        <f>Storage_modulus_G!C43*1000</f>
        <v>2738.9851019136099</v>
      </c>
      <c r="D43" s="2">
        <f>Storage_modulus_G!D43*1000</f>
        <v>2738.9851019136099</v>
      </c>
      <c r="E43" s="2">
        <f>Storage_modulus_G!E43*1000</f>
        <v>2563.8656594088102</v>
      </c>
      <c r="F43" s="2">
        <f>Storage_modulus_G!F43*1000</f>
        <v>2447.98742300305</v>
      </c>
      <c r="G43" s="2">
        <f>Storage_modulus_G!G43*1000</f>
        <v>2217.0096083764997</v>
      </c>
      <c r="H43" s="2">
        <f>Storage_modulus_G!H43*1000</f>
        <v>1981.46811174359</v>
      </c>
      <c r="I43" s="2">
        <f>Storage_modulus_G!I43*1000</f>
        <v>1794.5083382161299</v>
      </c>
      <c r="J43" s="2">
        <f>Storage_modulus_G!J43*1000</f>
        <v>1511.2629268374201</v>
      </c>
      <c r="K43" s="2">
        <f>Storage_modulus_G!K43*1000</f>
        <v>1064.77950785697</v>
      </c>
      <c r="L43" s="2">
        <f>Storage_modulus_G!L43*1000</f>
        <v>770.29504081003302</v>
      </c>
      <c r="M43" s="2">
        <f>Storage_modulus_G!M43*1000</f>
        <v>587.50293835340096</v>
      </c>
      <c r="N43" s="2">
        <f>Storage_modulus_G!N43*1000</f>
        <v>488.27637332261395</v>
      </c>
      <c r="O43" s="236">
        <f>Storage_modulus_G!O43*1000</f>
        <v>436.40048279495801</v>
      </c>
      <c r="P43" s="2"/>
    </row>
    <row r="44" spans="1:28" ht="15.75" customHeight="1">
      <c r="A44" s="196">
        <v>11</v>
      </c>
      <c r="B44" s="201" t="s">
        <v>227</v>
      </c>
      <c r="C44" s="64">
        <f>Storage_modulus_G!C44*1000</f>
        <v>2632.52817063572</v>
      </c>
      <c r="D44" s="2">
        <f>Storage_modulus_G!D44*1000</f>
        <v>2563.8656594088102</v>
      </c>
      <c r="E44" s="2">
        <f>Storage_modulus_G!E44*1000</f>
        <v>2464.21514648023</v>
      </c>
      <c r="F44" s="2">
        <f>Storage_modulus_G!F44*1000</f>
        <v>2291.47317527108</v>
      </c>
      <c r="G44" s="2">
        <f>Storage_modulus_G!G44*1000</f>
        <v>2089.0200640371004</v>
      </c>
      <c r="H44" s="2">
        <f>Storage_modulus_G!H44*1000</f>
        <v>1879.45340757961</v>
      </c>
      <c r="I44" s="2">
        <f>Storage_modulus_G!I44*1000</f>
        <v>1679.7748555334099</v>
      </c>
      <c r="J44" s="2">
        <f>Storage_modulus_G!J44*1000</f>
        <v>1386.8749461908801</v>
      </c>
      <c r="K44" s="2">
        <f>Storage_modulus_G!K44*1000</f>
        <v>926.83288522735495</v>
      </c>
      <c r="L44" s="2">
        <f>Storage_modulus_G!L44*1000</f>
        <v>670.50010812772598</v>
      </c>
      <c r="M44" s="2">
        <f>Storage_modulus_G!M44*1000</f>
        <v>518.19196466092001</v>
      </c>
      <c r="N44" s="2">
        <f>Storage_modulus_G!N44*1000</f>
        <v>427.83558209498801</v>
      </c>
      <c r="O44" s="236">
        <f>Storage_modulus_G!O44*1000</f>
        <v>379.86298158340696</v>
      </c>
      <c r="P44" s="2"/>
    </row>
    <row r="45" spans="1:28" ht="15.75" customHeight="1">
      <c r="A45" s="196">
        <v>11</v>
      </c>
      <c r="B45" s="201" t="s">
        <v>228</v>
      </c>
      <c r="C45" s="150">
        <f>Storage_modulus_G!C45*1000</f>
        <v>1491.4240697027601</v>
      </c>
      <c r="D45" s="34">
        <f>Storage_modulus_G!D45*1000</f>
        <v>1433.4564562303101</v>
      </c>
      <c r="E45" s="34">
        <f>Storage_modulus_G!E45*1000</f>
        <v>1350.70199365599</v>
      </c>
      <c r="F45" s="34">
        <f>Storage_modulus_G!F45*1000</f>
        <v>1239.5293509195499</v>
      </c>
      <c r="G45" s="34">
        <f>Storage_modulus_G!G45*1000</f>
        <v>1100.5426727127801</v>
      </c>
      <c r="H45" s="34">
        <f>Storage_modulus_G!H45*1000</f>
        <v>977.14037474244799</v>
      </c>
      <c r="I45" s="34">
        <f>Storage_modulus_G!I45*1000</f>
        <v>844.94661082833295</v>
      </c>
      <c r="J45" s="34">
        <f>Storage_modulus_G!J45*1000</f>
        <v>666.08462908091508</v>
      </c>
      <c r="K45" s="34">
        <f>Storage_modulus_G!K45*1000</f>
        <v>501.35283145998397</v>
      </c>
      <c r="L45" s="34">
        <f>Storage_modulus_G!L45*1000</f>
        <v>397.844222813692</v>
      </c>
      <c r="M45" s="34">
        <f>Storage_modulus_G!M45*1000</f>
        <v>326.30959346255298</v>
      </c>
      <c r="N45" s="34">
        <f>Storage_modulus_G!N45*1000</f>
        <v>272.99516150366998</v>
      </c>
      <c r="O45" s="237">
        <f>Storage_modulus_G!O45*1000</f>
        <v>248.87586550025802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8" ht="15.75" customHeight="1">
      <c r="A46" s="199">
        <v>12</v>
      </c>
      <c r="B46" s="200" t="s">
        <v>221</v>
      </c>
      <c r="C46" s="2">
        <f>Storage_modulus_G!C46/1000000</f>
        <v>2.2939421957726698E-2</v>
      </c>
      <c r="D46" s="2">
        <f>Storage_modulus_G!D46/1000000</f>
        <v>1.9957771477414499E-2</v>
      </c>
      <c r="E46" s="2">
        <f>Storage_modulus_G!E46/1000000</f>
        <v>1.7097113658248401E-2</v>
      </c>
      <c r="F46" s="2">
        <f>Storage_modulus_G!F46/1000000</f>
        <v>1.7363673900707598E-2</v>
      </c>
      <c r="G46" s="2">
        <f>Storage_modulus_G!G46/1000000</f>
        <v>1.79093375321491E-2</v>
      </c>
      <c r="H46" s="2">
        <f>Storage_modulus_G!H46/1000000</f>
        <v>2.0268932092609802E-2</v>
      </c>
      <c r="I46" s="2">
        <f>Storage_modulus_G!I46/1000000</f>
        <v>2.3660292776984598E-2</v>
      </c>
      <c r="J46" s="2">
        <f>Storage_modulus_G!J46/1000000</f>
        <v>2.7195092411435799E-2</v>
      </c>
      <c r="K46" s="2">
        <f>Storage_modulus_G!K46/1000000</f>
        <v>3.1257983924271003E-2</v>
      </c>
      <c r="L46" s="2">
        <f>Storage_modulus_G!L46/1000000</f>
        <v>3.7056895460672E-2</v>
      </c>
      <c r="M46" s="2">
        <f>Storage_modulus_G!M46/1000000</f>
        <v>4.39316081456202E-2</v>
      </c>
      <c r="N46" s="2">
        <f>Storage_modulus_G!N46/1000000</f>
        <v>5.1282164553115205E-2</v>
      </c>
      <c r="O46" s="2">
        <f>Storage_modulus_G!O46/1000000</f>
        <v>5.9862602628512403E-2</v>
      </c>
      <c r="P46" s="234">
        <f>Storage_modulus_G!P46/1000000</f>
        <v>7.4339672331942094E-2</v>
      </c>
      <c r="Q46" s="234">
        <f>Storage_modulus_G!Q46/1000000</f>
        <v>8.8130976711842487E-2</v>
      </c>
      <c r="R46" s="234">
        <f>Storage_modulus_G!R46/1000000</f>
        <v>0.10944445407744699</v>
      </c>
      <c r="S46" s="234">
        <f>Storage_modulus_G!S46/1000000</f>
        <v>0.13591227405085998</v>
      </c>
      <c r="T46" s="234">
        <f>Storage_modulus_G!T46/1000000</f>
        <v>0.16878106656221001</v>
      </c>
      <c r="U46" s="234">
        <f>Storage_modulus_G!U46/1000000</f>
        <v>0.20009295399502999</v>
      </c>
      <c r="V46" s="234">
        <f>Storage_modulus_G!V46/1000000</f>
        <v>0.240912140761741</v>
      </c>
      <c r="W46" s="234">
        <f>Storage_modulus_G!W46/1000000</f>
        <v>0.29917401020650503</v>
      </c>
      <c r="X46" s="234">
        <f>Storage_modulus_G!X46/1000000</f>
        <v>0.36582211853748098</v>
      </c>
      <c r="Y46" s="234">
        <f>Storage_modulus_G!Y46/1000000</f>
        <v>0.43368862293511201</v>
      </c>
      <c r="Z46" s="234">
        <f>Storage_modulus_G!Z46/1000000</f>
        <v>0.483293053880755</v>
      </c>
      <c r="AA46" s="235">
        <f>Storage_modulus_G!AA46/1000000</f>
        <v>0.468568028884291</v>
      </c>
      <c r="AB46" s="2"/>
    </row>
    <row r="47" spans="1:28" ht="15.75" customHeight="1">
      <c r="A47" s="196">
        <v>12</v>
      </c>
      <c r="B47" s="201" t="s">
        <v>222</v>
      </c>
      <c r="C47" s="2">
        <f>Storage_modulus_G!C47/1000000</f>
        <v>1.9250161970978398E-4</v>
      </c>
      <c r="D47" s="2">
        <f>Storage_modulus_G!D47/1000000</f>
        <v>1.67480587654659E-4</v>
      </c>
      <c r="E47" s="2">
        <f>Storage_modulus_G!E47/1000000</f>
        <v>3.0149721581360198E-4</v>
      </c>
      <c r="F47" s="2">
        <f>Storage_modulus_G!F47/1000000</f>
        <v>3.8617663877917404E-4</v>
      </c>
      <c r="G47" s="2">
        <f>Storage_modulus_G!G47/1000000</f>
        <v>4.8704558619650797E-4</v>
      </c>
      <c r="H47" s="2">
        <f>Storage_modulus_G!H47/1000000</f>
        <v>5.6853716379803995E-4</v>
      </c>
      <c r="I47" s="2">
        <f>Storage_modulus_G!I47/1000000</f>
        <v>6.6366376327061901E-4</v>
      </c>
      <c r="J47" s="2">
        <f>Storage_modulus_G!J47/1000000</f>
        <v>7.1703891905915097E-4</v>
      </c>
      <c r="K47" s="2">
        <f>Storage_modulus_G!K47/1000000</f>
        <v>8.6331719030621106E-4</v>
      </c>
      <c r="L47" s="2">
        <f>Storage_modulus_G!L47/1000000</f>
        <v>1.21335192266547E-3</v>
      </c>
      <c r="M47" s="2">
        <f>Storage_modulus_G!M47/1000000</f>
        <v>1.78632262712954E-3</v>
      </c>
      <c r="N47" s="2">
        <f>Storage_modulus_G!N47/1000000</f>
        <v>2.7977477882470798E-3</v>
      </c>
      <c r="O47" s="2">
        <f>Storage_modulus_G!O47/1000000</f>
        <v>4.3818497214560504E-3</v>
      </c>
      <c r="P47" s="2">
        <f>Storage_modulus_G!P47/1000000</f>
        <v>6.6537809058603197E-3</v>
      </c>
      <c r="Q47" s="2">
        <f>Storage_modulus_G!Q47/1000000</f>
        <v>1.02612043345656E-2</v>
      </c>
      <c r="R47" s="2">
        <f>Storage_modulus_G!R47/1000000</f>
        <v>1.46464897533205E-2</v>
      </c>
      <c r="S47" s="2">
        <f>Storage_modulus_G!S47/1000000</f>
        <v>2.09058951658821E-2</v>
      </c>
      <c r="T47" s="2">
        <f>Storage_modulus_G!T47/1000000</f>
        <v>2.8487035820775303E-2</v>
      </c>
      <c r="U47" s="2">
        <f>Storage_modulus_G!U47/1000000</f>
        <v>3.6488012683025595E-2</v>
      </c>
      <c r="V47" s="2">
        <f>Storage_modulus_G!V47/1000000</f>
        <v>5.1282164553115205E-2</v>
      </c>
      <c r="W47" s="2">
        <f>Storage_modulus_G!W47/1000000</f>
        <v>6.4677033145754598E-2</v>
      </c>
      <c r="X47" s="2">
        <f>Storage_modulus_G!X47/1000000</f>
        <v>8.1570656920606791E-2</v>
      </c>
      <c r="Y47" s="2">
        <f>Storage_modulus_G!Y47/1000000</f>
        <v>9.5218910198836007E-2</v>
      </c>
      <c r="Z47" s="2">
        <f>Storage_modulus_G!Z47/1000000</f>
        <v>0.125795195872514</v>
      </c>
      <c r="AA47" s="236">
        <f>Storage_modulus_G!AA47/1000000</f>
        <v>0.161126463872827</v>
      </c>
      <c r="AB47" s="2"/>
    </row>
    <row r="48" spans="1:28" ht="15.75" customHeight="1">
      <c r="A48" s="196">
        <v>12</v>
      </c>
      <c r="B48" s="201" t="s">
        <v>223</v>
      </c>
      <c r="C48" s="2">
        <f>Storage_modulus_G!C48/1000000</f>
        <v>1.0860113903145201E-4</v>
      </c>
      <c r="D48" s="2">
        <f>Storage_modulus_G!D48/1000000</f>
        <v>1.03675801424795E-4</v>
      </c>
      <c r="E48" s="2">
        <f>Storage_modulus_G!E48/1000000</f>
        <v>9.5958351359727695E-5</v>
      </c>
      <c r="F48" s="2">
        <f>Storage_modulus_G!F48/1000000</f>
        <v>9.5958351359727695E-5</v>
      </c>
      <c r="G48" s="2">
        <f>Storage_modulus_G!G48/1000000</f>
        <v>1.02084211596342E-4</v>
      </c>
      <c r="H48" s="2">
        <f>Storage_modulus_G!H48/1000000</f>
        <v>8.7451916680702293E-5</v>
      </c>
      <c r="I48" s="2">
        <f>Storage_modulus_G!I48/1000000</f>
        <v>9.5958351359727695E-5</v>
      </c>
      <c r="J48" s="2">
        <f>Storage_modulus_G!J48/1000000</f>
        <v>9.5958351359727695E-5</v>
      </c>
      <c r="K48" s="2">
        <f>Storage_modulus_G!K48/1000000</f>
        <v>1.02084211596342E-4</v>
      </c>
      <c r="L48" s="2">
        <f>Storage_modulus_G!L48/1000000</f>
        <v>1.1916475536260501E-4</v>
      </c>
      <c r="M48" s="2">
        <f>Storage_modulus_G!M48/1000000</f>
        <v>1.3696772752637E-4</v>
      </c>
      <c r="N48" s="2">
        <f>Storage_modulus_G!N48/1000000</f>
        <v>1.59884917442382E-4</v>
      </c>
      <c r="O48" s="2">
        <f>Storage_modulus_G!O48/1000000</f>
        <v>2.0164681515432399E-4</v>
      </c>
      <c r="P48" s="2">
        <f>Storage_modulus_G!P48/1000000</f>
        <v>2.5431690938912703E-4</v>
      </c>
      <c r="Q48" s="2">
        <f>Storage_modulus_G!Q48/1000000</f>
        <v>3.2574512831759896E-4</v>
      </c>
      <c r="R48" s="2">
        <f>Storage_modulus_G!R48/1000000</f>
        <v>4.2374048204987601E-4</v>
      </c>
      <c r="S48" s="2">
        <f>Storage_modulus_G!S48/1000000</f>
        <v>5.7740187976203596E-4</v>
      </c>
      <c r="T48" s="2">
        <f>Storage_modulus_G!T48/1000000</f>
        <v>7.9905332916465298E-4</v>
      </c>
      <c r="U48" s="2">
        <f>Storage_modulus_G!U48/1000000</f>
        <v>1.07209971420662E-3</v>
      </c>
      <c r="V48" s="2">
        <f>Storage_modulus_G!V48/1000000</f>
        <v>1.57836810759677E-3</v>
      </c>
      <c r="W48" s="2">
        <f>Storage_modulus_G!W48/1000000</f>
        <v>2.3237072541542302E-3</v>
      </c>
      <c r="X48" s="2">
        <f>Storage_modulus_G!X48/1000000</f>
        <v>3.6961463073248301E-3</v>
      </c>
      <c r="Y48" s="2">
        <f>Storage_modulus_G!Y48/1000000</f>
        <v>6.8628758212251695E-3</v>
      </c>
      <c r="Z48" s="2">
        <f>Storage_modulus_G!Z48/1000000</f>
        <v>1.25471273328425E-2</v>
      </c>
      <c r="AA48" s="236">
        <f>Storage_modulus_G!AA48/1000000</f>
        <v>3.9422560972618099E-2</v>
      </c>
      <c r="AB48" s="2"/>
    </row>
    <row r="49" spans="1:28" ht="15.75" customHeight="1">
      <c r="A49" s="196">
        <v>12</v>
      </c>
      <c r="B49" s="201" t="s">
        <v>224</v>
      </c>
      <c r="C49" s="2">
        <f>Storage_modulus_G!C49/1000000</f>
        <v>9.8719070212982287E-6</v>
      </c>
      <c r="D49" s="2">
        <f>Storage_modulus_G!D49/1000000</f>
        <v>1.83298133711827E-5</v>
      </c>
      <c r="E49" s="2">
        <f>Storage_modulus_G!E49/1000000</f>
        <v>3.4034159509152902E-5</v>
      </c>
      <c r="F49" s="2">
        <f>Storage_modulus_G!F49/1000000</f>
        <v>5.4979602073089704E-5</v>
      </c>
      <c r="G49" s="2">
        <f>Storage_modulus_G!G49/1000000</f>
        <v>7.9699553220316803E-5</v>
      </c>
      <c r="H49" s="2">
        <f>Storage_modulus_G!H49/1000000</f>
        <v>1.1201392738375699E-4</v>
      </c>
      <c r="I49" s="2">
        <f>Storage_modulus_G!I49/1000000</f>
        <v>1.3279465837272701E-4</v>
      </c>
      <c r="J49" s="2">
        <f>Storage_modulus_G!J49/1000000</f>
        <v>1.8954641111066801E-4</v>
      </c>
      <c r="K49" s="2">
        <f>Storage_modulus_G!K49/1000000</f>
        <v>2.4278299133822698E-4</v>
      </c>
      <c r="L49" s="2">
        <f>Storage_modulus_G!L49/1000000</f>
        <v>3.3598205822238999E-4</v>
      </c>
      <c r="M49" s="2">
        <f>Storage_modulus_G!M49/1000000</f>
        <v>5.1018401507823001E-4</v>
      </c>
      <c r="N49" s="2">
        <f>Storage_modulus_G!N49/1000000</f>
        <v>6.6366376327061901E-4</v>
      </c>
      <c r="O49" s="2">
        <f>Storage_modulus_G!O49/1000000</f>
        <v>1.2908100187059199E-3</v>
      </c>
      <c r="P49" s="2">
        <f>Storage_modulus_G!P49/1000000</f>
        <v>2.1177172210768598E-3</v>
      </c>
      <c r="Q49" s="2">
        <f>Storage_modulus_G!Q49/1000000</f>
        <v>2.8856686526172698E-3</v>
      </c>
      <c r="R49" s="2">
        <f>Storage_modulus_G!R49/1000000</f>
        <v>4.7342599696396301E-3</v>
      </c>
      <c r="S49" s="2">
        <f>Storage_modulus_G!S49/1000000</f>
        <v>6.9698786877123399E-3</v>
      </c>
      <c r="T49" s="2">
        <f>Storage_modulus_G!T49/1000000</f>
        <v>1.01036724281143E-2</v>
      </c>
      <c r="U49" s="2">
        <f>Storage_modulus_G!U49/1000000</f>
        <v>1.4200238920629498E-2</v>
      </c>
      <c r="V49" s="2">
        <f>Storage_modulus_G!V49/1000000</f>
        <v>2.0584956145942499E-2</v>
      </c>
      <c r="W49" s="2">
        <f>Storage_modulus_G!W49/1000000</f>
        <v>2.7619089734714598E-2</v>
      </c>
      <c r="X49" s="2">
        <f>Storage_modulus_G!X49/1000000</f>
        <v>3.7056895460672E-2</v>
      </c>
      <c r="Y49" s="2">
        <f>Storage_modulus_G!Y49/1000000</f>
        <v>5.2893736637355498E-2</v>
      </c>
      <c r="Z49" s="2">
        <f>Storage_modulus_G!Z49/1000000</f>
        <v>7.0968221180409297E-2</v>
      </c>
      <c r="AA49" s="236">
        <f>Storage_modulus_G!AA49/1000000</f>
        <v>8.9505101588799096E-2</v>
      </c>
      <c r="AB49" s="2"/>
    </row>
    <row r="50" spans="1:28" ht="15.75" customHeight="1">
      <c r="A50" s="196">
        <v>12</v>
      </c>
      <c r="B50" s="201" t="s">
        <v>229</v>
      </c>
      <c r="C50" s="2">
        <f>Storage_modulus_G!C50/1000000</f>
        <v>1.3279465837272701E-4</v>
      </c>
      <c r="D50" s="2">
        <f>Storage_modulus_G!D50/1000000</f>
        <v>2.2471063899996501E-4</v>
      </c>
      <c r="E50" s="2">
        <f>Storage_modulus_G!E50/1000000</f>
        <v>2.4278299133822698E-4</v>
      </c>
      <c r="F50" s="2">
        <f>Storage_modulus_G!F50/1000000</f>
        <v>2.6230881254868702E-4</v>
      </c>
      <c r="G50" s="2">
        <f>Storage_modulus_G!G50/1000000</f>
        <v>2.8340499786019596E-4</v>
      </c>
      <c r="H50" s="2">
        <f>Storage_modulus_G!H50/1000000</f>
        <v>2.7905427661446499E-4</v>
      </c>
      <c r="I50" s="2">
        <f>Storage_modulus_G!I50/1000000</f>
        <v>2.96868750005754E-4</v>
      </c>
      <c r="J50" s="2">
        <f>Storage_modulus_G!J50/1000000</f>
        <v>3.4122033765901803E-4</v>
      </c>
      <c r="K50" s="34">
        <f>Storage_modulus_G!K50/1000000</f>
        <v>3.8617663877917404E-4</v>
      </c>
      <c r="L50" s="34">
        <f>Storage_modulus_G!L50/1000000</f>
        <v>5.2621622572523996E-4</v>
      </c>
      <c r="M50" s="34">
        <f>Storage_modulus_G!M50/1000000</f>
        <v>6.7401170731299102E-4</v>
      </c>
      <c r="N50" s="34">
        <f>Storage_modulus_G!N50/1000000</f>
        <v>9.4729192254029704E-4</v>
      </c>
      <c r="O50" s="34">
        <f>Storage_modulus_G!O50/1000000</f>
        <v>1.15832332988908E-3</v>
      </c>
      <c r="P50" s="34">
        <f>Storage_modulus_G!P50/1000000</f>
        <v>1.60297731170949E-3</v>
      </c>
      <c r="Q50" s="34">
        <f>Storage_modulus_G!Q50/1000000</f>
        <v>2.25290961999955E-3</v>
      </c>
      <c r="R50" s="34">
        <f>Storage_modulus_G!R50/1000000</f>
        <v>3.1177485436881401E-3</v>
      </c>
      <c r="S50" s="34">
        <f>Storage_modulus_G!S50/1000000</f>
        <v>4.5195519177258807E-3</v>
      </c>
      <c r="T50" s="34">
        <f>Storage_modulus_G!T50/1000000</f>
        <v>5.7000576709336399E-3</v>
      </c>
      <c r="U50" s="34">
        <f>Storage_modulus_G!U50/1000000</f>
        <v>7.8881755152233907E-3</v>
      </c>
      <c r="V50" s="34">
        <f>Storage_modulus_G!V50/1000000</f>
        <v>1.1434860213265499E-2</v>
      </c>
      <c r="W50" s="34">
        <f>Storage_modulus_G!W50/1000000</f>
        <v>1.5342293085057098E-2</v>
      </c>
      <c r="X50" s="34">
        <f>Storage_modulus_G!X50/1000000</f>
        <v>2.1562875177139201E-2</v>
      </c>
      <c r="Y50" s="34">
        <f>Storage_modulus_G!Y50/1000000</f>
        <v>3.1745325585570701E-2</v>
      </c>
      <c r="Z50" s="34">
        <f>Storage_modulus_G!Z50/1000000</f>
        <v>4.6018671845605402E-2</v>
      </c>
      <c r="AA50" s="237">
        <f>Storage_modulus_G!AA50/1000000</f>
        <v>6.2706501821059205E-2</v>
      </c>
      <c r="AB50" s="2"/>
    </row>
    <row r="51" spans="1:28" ht="15.75" customHeight="1">
      <c r="A51" s="199">
        <v>12</v>
      </c>
      <c r="B51" s="200" t="s">
        <v>225</v>
      </c>
      <c r="C51" s="151">
        <v>12525.235362351599</v>
      </c>
      <c r="D51" s="151">
        <v>11603.1430665387</v>
      </c>
      <c r="E51" s="151">
        <v>11456.2023544844</v>
      </c>
      <c r="F51" s="151">
        <v>11026.44056311</v>
      </c>
      <c r="G51" s="151">
        <v>5132.53610067319</v>
      </c>
      <c r="H51" s="151">
        <v>3370.3517170405898</v>
      </c>
      <c r="I51" s="151">
        <v>2713.80875605659</v>
      </c>
      <c r="J51" s="384">
        <v>1828.0673079113899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8" ht="15.75" customHeight="1">
      <c r="A52" s="196">
        <v>12</v>
      </c>
      <c r="B52" s="201" t="s">
        <v>226</v>
      </c>
      <c r="C52" s="151">
        <v>10345.704351709601</v>
      </c>
      <c r="D52" s="151">
        <v>9831.50418168328</v>
      </c>
      <c r="E52" s="151">
        <v>9831.50418168328</v>
      </c>
      <c r="F52" s="151">
        <v>7816.0802918429799</v>
      </c>
      <c r="G52" s="151">
        <v>3732.1202299475099</v>
      </c>
      <c r="H52" s="151">
        <v>2328.94237371077</v>
      </c>
      <c r="I52" s="151">
        <v>1759.4927439568</v>
      </c>
      <c r="J52" s="384">
        <v>1155.3949921235301</v>
      </c>
      <c r="K52" s="2"/>
    </row>
    <row r="53" spans="1:28" ht="15.75" customHeight="1">
      <c r="A53" s="196">
        <v>12</v>
      </c>
      <c r="B53" s="201" t="s">
        <v>227</v>
      </c>
      <c r="C53" s="151">
        <v>11456.2023544844</v>
      </c>
      <c r="D53" s="151">
        <v>11026.44056311</v>
      </c>
      <c r="E53" s="151">
        <v>10478.4065753226</v>
      </c>
      <c r="F53" s="151">
        <v>6793.6516649548003</v>
      </c>
      <c r="G53" s="151">
        <v>3370.3517170405898</v>
      </c>
      <c r="H53" s="151">
        <v>2514.0190760809501</v>
      </c>
      <c r="I53" s="151">
        <v>1923.68035837507</v>
      </c>
      <c r="J53" s="384">
        <v>1200.4271689822399</v>
      </c>
      <c r="K53" s="2"/>
    </row>
    <row r="54" spans="1:28" ht="15.75" customHeight="1">
      <c r="A54" s="196">
        <v>12</v>
      </c>
      <c r="B54" s="201" t="s">
        <v>228</v>
      </c>
      <c r="C54" s="151">
        <v>13869.682137681701</v>
      </c>
      <c r="D54" s="151">
        <v>12848.6070906655</v>
      </c>
      <c r="E54" s="151">
        <v>13520.612152711499</v>
      </c>
      <c r="F54" s="151">
        <v>10478.4065753226</v>
      </c>
      <c r="G54" s="151">
        <v>6057.4230070546</v>
      </c>
      <c r="H54" s="151">
        <v>4185.7259196675004</v>
      </c>
      <c r="I54" s="151">
        <v>3501.71138937163</v>
      </c>
      <c r="J54" s="384">
        <v>2103.1881687345499</v>
      </c>
      <c r="K54" s="2"/>
    </row>
    <row r="55" spans="1:28" ht="15.75" customHeight="1">
      <c r="A55" s="197">
        <v>12</v>
      </c>
      <c r="B55" s="202" t="s">
        <v>230</v>
      </c>
      <c r="C55" s="152">
        <v>11026.44056311</v>
      </c>
      <c r="D55" s="152">
        <v>11311.1169814679</v>
      </c>
      <c r="E55" s="152">
        <v>10478.4065753226</v>
      </c>
      <c r="F55" s="152">
        <v>6793.6516649548003</v>
      </c>
      <c r="G55" s="152">
        <v>3828.47468031266</v>
      </c>
      <c r="H55" s="152">
        <v>2929.4743440561401</v>
      </c>
      <c r="I55" s="152">
        <v>2389.06895420506</v>
      </c>
      <c r="J55" s="385">
        <v>1490.84190037802</v>
      </c>
      <c r="K55" s="2"/>
    </row>
    <row r="56" spans="1:28" ht="15.75" customHeight="1">
      <c r="A56" s="204">
        <v>13</v>
      </c>
      <c r="B56" s="201">
        <v>1</v>
      </c>
      <c r="C56" s="2"/>
      <c r="D56" s="2"/>
      <c r="E56" s="2"/>
      <c r="F56" s="2"/>
      <c r="G56" s="2"/>
      <c r="H56" s="2"/>
      <c r="I56" s="2"/>
      <c r="J56" s="2"/>
    </row>
    <row r="57" spans="1:28" ht="15.75" customHeight="1">
      <c r="A57" s="204">
        <v>13</v>
      </c>
      <c r="B57" s="201">
        <v>2</v>
      </c>
    </row>
    <row r="58" spans="1:28" ht="15.75" customHeight="1">
      <c r="A58" s="204">
        <v>13</v>
      </c>
      <c r="B58" s="201">
        <v>3</v>
      </c>
    </row>
    <row r="59" spans="1:28" ht="15.75" customHeight="1">
      <c r="A59" s="204">
        <v>13</v>
      </c>
      <c r="B59" s="201">
        <v>4</v>
      </c>
    </row>
    <row r="60" spans="1:28" ht="15.75" customHeight="1">
      <c r="A60" s="204">
        <v>13</v>
      </c>
      <c r="B60" s="201">
        <v>5</v>
      </c>
    </row>
    <row r="61" spans="1:28" ht="15.75" customHeight="1">
      <c r="A61" s="204">
        <v>13</v>
      </c>
      <c r="B61" s="201">
        <v>6</v>
      </c>
    </row>
    <row r="62" spans="1:28" ht="15.75" customHeight="1">
      <c r="A62" s="204">
        <v>13</v>
      </c>
      <c r="B62" s="201">
        <v>7</v>
      </c>
    </row>
    <row r="63" spans="1:28" ht="15.75" customHeight="1">
      <c r="A63" s="204">
        <v>13</v>
      </c>
      <c r="B63" s="201">
        <v>8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28" ht="15.75" customHeight="1">
      <c r="A64" s="199">
        <v>14</v>
      </c>
      <c r="B64" s="200">
        <v>1</v>
      </c>
      <c r="C64" s="234">
        <f>Storage_modulus_G!C64/1000000</f>
        <v>2.26934152711838E-4</v>
      </c>
      <c r="D64" s="234">
        <f>Storage_modulus_G!D64/1000000</f>
        <v>4.0852499429792102E-4</v>
      </c>
      <c r="E64" s="234">
        <f>Storage_modulus_G!E64/1000000</f>
        <v>6.4920078803039404E-4</v>
      </c>
      <c r="F64" s="234">
        <f>Storage_modulus_G!F64/1000000</f>
        <v>1.1480520425767799E-3</v>
      </c>
      <c r="G64" s="234">
        <f>Storage_modulus_G!G64/1000000</f>
        <v>1.8244080561622099E-3</v>
      </c>
      <c r="H64" s="234">
        <f>Storage_modulus_G!H64/1000000</f>
        <v>3.28428883378622E-3</v>
      </c>
      <c r="I64" s="234">
        <f>Storage_modulus_G!I64/1000000</f>
        <v>5.3129848148215295E-3</v>
      </c>
      <c r="J64" s="234">
        <f>Storage_modulus_G!J64/1000000</f>
        <v>8.4430483342447602E-3</v>
      </c>
      <c r="K64" s="234">
        <f>Storage_modulus_G!K64/1000000</f>
        <v>1.36582955582908E-2</v>
      </c>
      <c r="L64" s="234">
        <f>Storage_modulus_G!L64/1000000</f>
        <v>1.9504524666150099E-2</v>
      </c>
      <c r="M64" s="234">
        <f>Storage_modulus_G!M64/1000000</f>
        <v>2.5479418910767798E-2</v>
      </c>
      <c r="N64" s="234">
        <f>Storage_modulus_G!N64/1000000</f>
        <v>3.3882916677534999E-2</v>
      </c>
      <c r="O64" s="235">
        <f>Storage_modulus_G!O64/1000000</f>
        <v>4.6692347257163799E-2</v>
      </c>
      <c r="P64" s="2"/>
    </row>
    <row r="65" spans="1:16" ht="15.75" customHeight="1">
      <c r="A65" s="196">
        <v>14</v>
      </c>
      <c r="B65" s="201">
        <v>2</v>
      </c>
      <c r="C65" s="2">
        <f>Storage_modulus_G!C65/1000000</f>
        <v>4.8818908460809699E-4</v>
      </c>
      <c r="D65" s="2">
        <f>Storage_modulus_G!D65/1000000</f>
        <v>6.7274933777406105E-4</v>
      </c>
      <c r="E65" s="2">
        <f>Storage_modulus_G!E65/1000000</f>
        <v>9.1071203879779792E-4</v>
      </c>
      <c r="F65" s="2">
        <f>Storage_modulus_G!F65/1000000</f>
        <v>1.34770296133671E-3</v>
      </c>
      <c r="G65" s="2">
        <f>Storage_modulus_G!G65/1000000</f>
        <v>2.18017529238356E-3</v>
      </c>
      <c r="H65" s="2">
        <f>Storage_modulus_G!H65/1000000</f>
        <v>2.5593166414160703E-3</v>
      </c>
      <c r="I65" s="2">
        <f>Storage_modulus_G!I65/1000000</f>
        <v>4.2146166317928498E-3</v>
      </c>
      <c r="J65" s="2">
        <f>Storage_modulus_G!J65/1000000</f>
        <v>6.3490391762735703E-3</v>
      </c>
      <c r="K65" s="2">
        <f>Storage_modulus_G!K65/1000000</f>
        <v>8.7492922993980295E-3</v>
      </c>
      <c r="L65" s="2">
        <f>Storage_modulus_G!L65/1000000</f>
        <v>1.4930736206534401E-2</v>
      </c>
      <c r="M65" s="2">
        <f>Storage_modulus_G!M65/1000000</f>
        <v>1.88218245382092E-2</v>
      </c>
      <c r="N65" s="2">
        <f>Storage_modulus_G!N65/1000000</f>
        <v>2.6878224987934698E-2</v>
      </c>
      <c r="O65" s="236">
        <f>Storage_modulus_G!O65/1000000</f>
        <v>3.63855030448932E-2</v>
      </c>
      <c r="P65" s="2"/>
    </row>
    <row r="66" spans="1:16" ht="15.75" customHeight="1">
      <c r="A66" s="196">
        <v>14</v>
      </c>
      <c r="B66" s="201">
        <v>3</v>
      </c>
      <c r="C66" s="2">
        <f>Storage_modulus_G!C66/1000000</f>
        <v>2.5141269035092902E-3</v>
      </c>
      <c r="D66" s="2">
        <f>Storage_modulus_G!D66/1000000</f>
        <v>2.8480365722499401E-3</v>
      </c>
      <c r="E66" s="2">
        <f>Storage_modulus_G!E66/1000000</f>
        <v>3.4034156698944298E-3</v>
      </c>
      <c r="F66" s="2">
        <f>Storage_modulus_G!F66/1000000</f>
        <v>4.1401993370016399E-3</v>
      </c>
      <c r="G66" s="2">
        <f>Storage_modulus_G!G66/1000000</f>
        <v>5.1270154854657201E-3</v>
      </c>
      <c r="H66" s="2">
        <f>Storage_modulus_G!H66/1000000</f>
        <v>6.6975933816468399E-3</v>
      </c>
      <c r="I66" s="2">
        <f>Storage_modulus_G!I66/1000000</f>
        <v>8.1475180266749204E-3</v>
      </c>
      <c r="J66" s="2">
        <f>Storage_modulus_G!J66/1000000</f>
        <v>1.10294390186E-2</v>
      </c>
      <c r="K66" s="2">
        <f>Storage_modulus_G!K66/1000000</f>
        <v>1.36582955582908E-2</v>
      </c>
      <c r="L66" s="2">
        <f>Storage_modulus_G!L66/1000000</f>
        <v>1.88218245382092E-2</v>
      </c>
      <c r="M66" s="2">
        <f>Storage_modulus_G!M66/1000000</f>
        <v>2.3307988924515802E-2</v>
      </c>
      <c r="N66" s="2">
        <f>Storage_modulus_G!N66/1000000</f>
        <v>3.9072956562111995E-2</v>
      </c>
      <c r="O66" s="236">
        <f>Storage_modulus_G!O66/1000000</f>
        <v>4.1958906892699099E-2</v>
      </c>
      <c r="P66" s="2"/>
    </row>
    <row r="67" spans="1:16" ht="15.75" customHeight="1">
      <c r="A67" s="196">
        <v>14</v>
      </c>
      <c r="B67" s="201">
        <v>4</v>
      </c>
      <c r="C67" s="2">
        <f>Storage_modulus_G!C67/1000000</f>
        <v>6.0186161470522099E-3</v>
      </c>
      <c r="D67" s="2">
        <f>Storage_modulus_G!D67/1000000</f>
        <v>6.8179827454797996E-3</v>
      </c>
      <c r="E67" s="2">
        <f>Storage_modulus_G!E67/1000000</f>
        <v>7.3215577722139692E-3</v>
      </c>
      <c r="F67" s="2">
        <f>Storage_modulus_G!F67/1000000</f>
        <v>8.1475180266749204E-3</v>
      </c>
      <c r="G67" s="2">
        <f>Storage_modulus_G!G67/1000000</f>
        <v>9.2296236319990097E-3</v>
      </c>
      <c r="H67" s="2">
        <f>Storage_modulus_G!H67/1000000</f>
        <v>1.12276704966139E-2</v>
      </c>
      <c r="I67" s="2">
        <f>Storage_modulus_G!I67/1000000</f>
        <v>1.2494295992985601E-2</v>
      </c>
      <c r="J67" s="2">
        <f>Storage_modulus_G!J67/1000000</f>
        <v>1.34171134166298E-2</v>
      </c>
      <c r="K67" s="2">
        <f>Storage_modulus_G!K67/1000000</f>
        <v>1.51991164635962E-2</v>
      </c>
      <c r="L67" s="2">
        <f>Storage_modulus_G!L67/1000000</f>
        <v>1.7842292498454499E-2</v>
      </c>
      <c r="M67" s="2">
        <f>Storage_modulus_G!M67/1000000</f>
        <v>2.1704870911799099E-2</v>
      </c>
      <c r="N67" s="2">
        <f>Storage_modulus_G!N67/1000000</f>
        <v>2.3726950452777201E-2</v>
      </c>
      <c r="O67" s="236">
        <f>Storage_modulus_G!O67/1000000</f>
        <v>2.6878224987934698E-2</v>
      </c>
      <c r="P67" s="2"/>
    </row>
    <row r="68" spans="1:16" ht="15.75" customHeight="1">
      <c r="A68" s="196">
        <v>14</v>
      </c>
      <c r="B68" s="201">
        <v>5</v>
      </c>
      <c r="C68" s="2">
        <f>Storage_modulus_G!C68/1000000</f>
        <v>8.1475180266749204E-3</v>
      </c>
      <c r="D68" s="2">
        <f>Storage_modulus_G!D68/1000000</f>
        <v>8.9065609888946684E-3</v>
      </c>
      <c r="E68" s="2">
        <f>Storage_modulus_G!E68/1000000</f>
        <v>9.3955071307877808E-3</v>
      </c>
      <c r="F68" s="2">
        <f>Storage_modulus_G!F68/1000000</f>
        <v>1.10294390186E-2</v>
      </c>
      <c r="G68" s="2">
        <f>Storage_modulus_G!G68/1000000</f>
        <v>1.1844071477495E-2</v>
      </c>
      <c r="H68" s="2">
        <f>Storage_modulus_G!H68/1000000</f>
        <v>1.31802259675316E-2</v>
      </c>
      <c r="I68" s="2">
        <f>Storage_modulus_G!I68/1000000</f>
        <v>1.4667084939104999E-2</v>
      </c>
      <c r="J68" s="2">
        <f>Storage_modulus_G!J68/1000000</f>
        <v>1.9504524666150099E-2</v>
      </c>
      <c r="K68" s="2">
        <f>Storage_modulus_G!K68/1000000</f>
        <v>2.3307988924515802E-2</v>
      </c>
      <c r="L68" s="2">
        <f>Storage_modulus_G!L68/1000000</f>
        <v>2.8353805480101801E-2</v>
      </c>
      <c r="M68" s="2">
        <f>Storage_modulus_G!M68/1000000</f>
        <v>3.5111932526814701E-2</v>
      </c>
      <c r="N68" s="2">
        <f>Storage_modulus_G!N68/1000000</f>
        <v>4.04902277890868E-2</v>
      </c>
      <c r="O68" s="236">
        <f>Storage_modulus_G!O68/1000000</f>
        <v>4.5867902598515996E-2</v>
      </c>
      <c r="P68" s="2"/>
    </row>
    <row r="69" spans="1:16" ht="15.75" customHeight="1">
      <c r="A69" s="196">
        <v>14</v>
      </c>
      <c r="B69" s="201">
        <v>6</v>
      </c>
      <c r="C69" s="2">
        <f>Storage_modulus_G!C69/1000000</f>
        <v>1.0643377802739201E-2</v>
      </c>
      <c r="D69" s="2">
        <f>Storage_modulus_G!D69/1000000</f>
        <v>1.10294390186E-2</v>
      </c>
      <c r="E69" s="2">
        <f>Storage_modulus_G!E69/1000000</f>
        <v>1.2273668093019999E-2</v>
      </c>
      <c r="F69" s="2">
        <f>Storage_modulus_G!F69/1000000</f>
        <v>1.31802259675316E-2</v>
      </c>
      <c r="G69" s="2">
        <f>Storage_modulus_G!G69/1000000</f>
        <v>1.44081284684364E-2</v>
      </c>
      <c r="H69" s="2">
        <f>Storage_modulus_G!H69/1000000</f>
        <v>1.6033506905016402E-2</v>
      </c>
      <c r="I69" s="2">
        <f>Storage_modulus_G!I69/1000000</f>
        <v>1.88218245382092E-2</v>
      </c>
      <c r="J69" s="2">
        <f>Storage_modulus_G!J69/1000000</f>
        <v>2.2492159403254702E-2</v>
      </c>
      <c r="K69" s="2">
        <f>Storage_modulus_G!K69/1000000</f>
        <v>2.4587584690350699E-2</v>
      </c>
      <c r="L69" s="2">
        <f>Storage_modulus_G!L69/1000000</f>
        <v>2.8353805480101801E-2</v>
      </c>
      <c r="M69" s="2">
        <f>Storage_modulus_G!M69/1000000</f>
        <v>3.3882916677534999E-2</v>
      </c>
      <c r="N69" s="2">
        <f>Storage_modulus_G!N69/1000000</f>
        <v>3.63855030448932E-2</v>
      </c>
      <c r="O69" s="236">
        <f>Storage_modulus_G!O69/1000000</f>
        <v>4.1218199999999997E-2</v>
      </c>
      <c r="P69" s="2"/>
    </row>
    <row r="70" spans="1:16" ht="15.75" customHeight="1">
      <c r="A70" s="196">
        <v>14</v>
      </c>
      <c r="B70" s="201">
        <v>7</v>
      </c>
      <c r="C70" s="2">
        <f>Storage_modulus_G!C70/1000000</f>
        <v>1.1429495846981799E-2</v>
      </c>
      <c r="D70" s="2">
        <f>Storage_modulus_G!D70/1000000</f>
        <v>1.1844071477495E-2</v>
      </c>
      <c r="E70" s="2">
        <f>Storage_modulus_G!E70/1000000</f>
        <v>1.2947494516215199E-2</v>
      </c>
      <c r="F70" s="2">
        <f>Storage_modulus_G!F70/1000000</f>
        <v>1.34171134166298E-2</v>
      </c>
      <c r="G70" s="2">
        <f>Storage_modulus_G!G70/1000000</f>
        <v>1.44081284684364E-2</v>
      </c>
      <c r="H70" s="2">
        <f>Storage_modulus_G!H70/1000000</f>
        <v>1.5750425408058901E-2</v>
      </c>
      <c r="I70" s="2">
        <f>Storage_modulus_G!I70/1000000</f>
        <v>1.6321720577630601E-2</v>
      </c>
      <c r="J70" s="2">
        <f>Storage_modulus_G!J70/1000000</f>
        <v>1.6913749105408597E-2</v>
      </c>
      <c r="K70" s="2">
        <f>Storage_modulus_G!K70/1000000</f>
        <v>1.88218245382092E-2</v>
      </c>
      <c r="L70" s="2">
        <f>Storage_modulus_G!L70/1000000</f>
        <v>2.1321614500233701E-2</v>
      </c>
      <c r="M70" s="2">
        <f>Storage_modulus_G!M70/1000000</f>
        <v>2.2492159403254702E-2</v>
      </c>
      <c r="N70" s="2">
        <f>Storage_modulus_G!N70/1000000</f>
        <v>2.4587584690350699E-2</v>
      </c>
      <c r="O70" s="236">
        <f>Storage_modulus_G!O70/1000000</f>
        <v>2.6878224987934698E-2</v>
      </c>
      <c r="P70" s="2"/>
    </row>
    <row r="71" spans="1:16" ht="15.75" customHeight="1">
      <c r="A71" s="196">
        <v>14</v>
      </c>
      <c r="B71" s="201">
        <v>8</v>
      </c>
      <c r="C71" s="2">
        <f>Storage_modulus_G!C71/1000000</f>
        <v>2.1704870911799099E-2</v>
      </c>
      <c r="D71" s="2">
        <f>Storage_modulus_G!D71/1000000</f>
        <v>2.4587584690350699E-2</v>
      </c>
      <c r="E71" s="2">
        <f>Storage_modulus_G!E71/1000000</f>
        <v>2.4587584690350699E-2</v>
      </c>
      <c r="F71" s="2">
        <f>Storage_modulus_G!F71/1000000</f>
        <v>2.5479418910767798E-2</v>
      </c>
      <c r="G71" s="2">
        <f>Storage_modulus_G!G71/1000000</f>
        <v>2.6403619444322603E-2</v>
      </c>
      <c r="H71" s="2">
        <f>Storage_modulus_G!H71/1000000</f>
        <v>2.7361305791660299E-2</v>
      </c>
      <c r="I71" s="2">
        <f>Storage_modulus_G!I71/1000000</f>
        <v>2.8863446038228501E-2</v>
      </c>
      <c r="J71" s="2">
        <f>Storage_modulus_G!J71/1000000</f>
        <v>3.0448012650415301E-2</v>
      </c>
      <c r="K71" s="2">
        <f>Storage_modulus_G!K71/1000000</f>
        <v>3.2696919820634197E-2</v>
      </c>
      <c r="L71" s="2">
        <f>Storage_modulus_G!L71/1000000</f>
        <v>3.3284624934083795E-2</v>
      </c>
      <c r="M71" s="2">
        <f>Storage_modulus_G!M71/1000000</f>
        <v>3.5111932526814701E-2</v>
      </c>
      <c r="N71" s="2">
        <f>Storage_modulus_G!N71/1000000</f>
        <v>3.63855030448932E-2</v>
      </c>
      <c r="O71" s="236">
        <f>Storage_modulus_G!O71/1000000</f>
        <v>4.5057984500989502E-2</v>
      </c>
      <c r="P71" s="2"/>
    </row>
    <row r="72" spans="1:16" ht="15.75" customHeight="1">
      <c r="A72" s="196">
        <v>14</v>
      </c>
      <c r="B72" s="201">
        <v>9</v>
      </c>
      <c r="C72" s="2">
        <f>Storage_modulus_G!C72/1000000</f>
        <v>2.78531446935582E-2</v>
      </c>
      <c r="D72" s="2">
        <f>Storage_modulus_G!D72/1000000</f>
        <v>2.99103934714561E-2</v>
      </c>
      <c r="E72" s="2">
        <f>Storage_modulus_G!E72/1000000</f>
        <v>3.21195917897283E-2</v>
      </c>
      <c r="F72" s="2">
        <f>Storage_modulus_G!F72/1000000</f>
        <v>3.3882916677534999E-2</v>
      </c>
      <c r="G72" s="2">
        <f>Storage_modulus_G!G72/1000000</f>
        <v>3.7039533129239598E-2</v>
      </c>
      <c r="H72" s="2">
        <f>Storage_modulus_G!H72/1000000</f>
        <v>3.5743045867224293E-2</v>
      </c>
      <c r="I72" s="2">
        <f>Storage_modulus_G!I72/1000000</f>
        <v>3.7705293792300601E-2</v>
      </c>
      <c r="J72" s="2">
        <f>Storage_modulus_G!J72/1000000</f>
        <v>3.9775266641933399E-2</v>
      </c>
      <c r="K72" s="2">
        <f>Storage_modulus_G!K72/1000000</f>
        <v>4.1218012364726497E-2</v>
      </c>
      <c r="L72" s="2">
        <f>Storage_modulus_G!L72/1000000</f>
        <v>4.5867902598515996E-2</v>
      </c>
      <c r="M72" s="2">
        <f>Storage_modulus_G!M72/1000000</f>
        <v>4.8385992328078602E-2</v>
      </c>
      <c r="N72" s="2">
        <f>Storage_modulus_G!N72/1000000</f>
        <v>5.4812336319704003E-2</v>
      </c>
      <c r="O72" s="236">
        <f>Storage_modulus_G!O72/1000000</f>
        <v>5.8860766003081696E-2</v>
      </c>
      <c r="P72" s="2"/>
    </row>
    <row r="73" spans="1:16" ht="15.75" customHeight="1">
      <c r="A73" s="197">
        <v>14</v>
      </c>
      <c r="B73" s="202">
        <v>10</v>
      </c>
      <c r="C73" s="34">
        <f>Storage_modulus_G!C73/1000000</f>
        <v>5.3844480790280494E-2</v>
      </c>
      <c r="D73" s="34">
        <f>Storage_modulus_G!D73/1000000</f>
        <v>5.5797551150701001E-2</v>
      </c>
      <c r="E73" s="34">
        <f>Storage_modulus_G!E73/1000000</f>
        <v>5.6800474554774598E-2</v>
      </c>
      <c r="F73" s="34">
        <f>Storage_modulus_G!F73/1000000</f>
        <v>6.0995789236382499E-2</v>
      </c>
      <c r="G73" s="34">
        <f>Storage_modulus_G!G73/1000000</f>
        <v>6.2092147469199596E-2</v>
      </c>
      <c r="H73" s="34">
        <f>Storage_modulus_G!H73/1000000</f>
        <v>6.7876805740749599E-2</v>
      </c>
      <c r="I73" s="34">
        <f>Storage_modulus_G!I73/1000000</f>
        <v>7.2890224411930007E-2</v>
      </c>
      <c r="J73" s="34">
        <f>Storage_modulus_G!J73/1000000</f>
        <v>7.4200377106507204E-2</v>
      </c>
      <c r="K73" s="34">
        <f>Storage_modulus_G!K73/1000000</f>
        <v>7.4200377106507204E-2</v>
      </c>
      <c r="L73" s="34">
        <f>Storage_modulus_G!L73/1000000</f>
        <v>8.5566130845401905E-2</v>
      </c>
      <c r="M73" s="34">
        <f>Storage_modulus_G!M73/1000000</f>
        <v>8.8669762395944499E-2</v>
      </c>
      <c r="N73" s="34">
        <f>Storage_modulus_G!N73/1000000</f>
        <v>9.1886030475036504E-2</v>
      </c>
      <c r="O73" s="237">
        <f>Storage_modulus_G!O73/1000000</f>
        <v>9.5218960424838808E-2</v>
      </c>
      <c r="P73" s="2"/>
    </row>
    <row r="74" spans="1:16" ht="15.75" customHeight="1">
      <c r="A74" s="204">
        <v>15</v>
      </c>
      <c r="B74" s="201">
        <v>1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6" ht="15.75" customHeight="1">
      <c r="A75" s="204">
        <v>15</v>
      </c>
      <c r="B75" s="201">
        <v>2</v>
      </c>
    </row>
    <row r="76" spans="1:16" ht="15.75" customHeight="1">
      <c r="A76" s="204">
        <v>15</v>
      </c>
      <c r="B76" s="201">
        <v>3</v>
      </c>
    </row>
    <row r="77" spans="1:16" ht="15.75" customHeight="1">
      <c r="A77" s="204">
        <v>15</v>
      </c>
      <c r="B77" s="201">
        <v>4</v>
      </c>
    </row>
    <row r="78" spans="1:16" ht="15.75" customHeight="1">
      <c r="A78" s="204">
        <v>15</v>
      </c>
      <c r="B78" s="201">
        <v>5</v>
      </c>
    </row>
    <row r="79" spans="1:16" ht="15.75" customHeight="1">
      <c r="A79" s="204">
        <v>15</v>
      </c>
      <c r="B79" s="201">
        <v>6</v>
      </c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6" ht="15.75" customHeight="1">
      <c r="A80" s="199">
        <v>16</v>
      </c>
      <c r="B80" s="200">
        <v>1</v>
      </c>
      <c r="C80" s="234">
        <f>1000*Storage_modulus_G!C80</f>
        <v>1623.0152115798401</v>
      </c>
      <c r="D80" s="234">
        <f>1000*Storage_modulus_G!D80</f>
        <v>1795.53295158486</v>
      </c>
      <c r="E80" s="234">
        <f>1000*Storage_modulus_G!E80</f>
        <v>1795.53295158486</v>
      </c>
      <c r="F80" s="234">
        <f>1000*Storage_modulus_G!F80</f>
        <v>1594.3382951508499</v>
      </c>
      <c r="G80" s="234">
        <f>1000*Storage_modulus_G!G80</f>
        <v>1349.9653814622</v>
      </c>
      <c r="H80" s="234">
        <f>1000*Storage_modulus_G!H80</f>
        <v>1070.7237436165001</v>
      </c>
      <c r="I80" s="234">
        <f>1000*Storage_modulus_G!I80</f>
        <v>859.39662445975296</v>
      </c>
      <c r="J80" s="234">
        <f>1000*Storage_modulus_G!J80</f>
        <v>661.67575233533603</v>
      </c>
      <c r="K80" s="234">
        <f>1000*Storage_modulus_G!K80</f>
        <v>491.60123467146099</v>
      </c>
      <c r="L80" s="235">
        <f>1000*Storage_modulus_G!L80</f>
        <v>383.023793032821</v>
      </c>
      <c r="M80" s="2"/>
    </row>
    <row r="81" spans="1:29" ht="15.75" customHeight="1">
      <c r="A81" s="196">
        <v>16</v>
      </c>
      <c r="B81" s="201">
        <v>2</v>
      </c>
      <c r="C81" s="2">
        <f>1000*Storage_modulus_G!C81</f>
        <v>2416.71719149509</v>
      </c>
      <c r="D81" s="2">
        <f>1000*Storage_modulus_G!D81</f>
        <v>2250.39145769472</v>
      </c>
      <c r="E81" s="2">
        <f>1000*Storage_modulus_G!E81</f>
        <v>2250.39145769472</v>
      </c>
      <c r="F81" s="2">
        <f>1000*Storage_modulus_G!F81</f>
        <v>2197.5337274429799</v>
      </c>
      <c r="G81" s="2">
        <f>1000*Storage_modulus_G!G81</f>
        <v>2022.1179229069</v>
      </c>
      <c r="H81" s="2">
        <f>1000*Storage_modulus_G!H81</f>
        <v>1742.97097167879</v>
      </c>
      <c r="I81" s="2">
        <f>1000*Storage_modulus_G!I81</f>
        <v>1398.9637551796</v>
      </c>
      <c r="J81" s="2">
        <f>1000*Storage_modulus_G!J81</f>
        <v>1103.0130707546998</v>
      </c>
      <c r="K81" s="2">
        <f>1000*Storage_modulus_G!K81</f>
        <v>829.29608555885409</v>
      </c>
      <c r="L81" s="236">
        <f>1000*Storage_modulus_G!L81</f>
        <v>714.81472122486298</v>
      </c>
      <c r="M81" s="2"/>
    </row>
    <row r="82" spans="1:29" ht="15.75" customHeight="1">
      <c r="A82" s="196">
        <v>16</v>
      </c>
      <c r="B82" s="201">
        <v>3</v>
      </c>
      <c r="C82" s="2">
        <f>1000*Storage_modulus_G!C82</f>
        <v>2888.31918134222</v>
      </c>
      <c r="D82" s="2">
        <f>1000*Storage_modulus_G!D82</f>
        <v>2673.6023718404399</v>
      </c>
      <c r="E82" s="2">
        <f>1000*Storage_modulus_G!E82</f>
        <v>2721.6904750948697</v>
      </c>
      <c r="F82" s="2">
        <f>1000*Storage_modulus_G!F82</f>
        <v>2689.5363825203099</v>
      </c>
      <c r="G82" s="2">
        <f>1000*Storage_modulus_G!G82</f>
        <v>2474.8475476276899</v>
      </c>
      <c r="H82" s="2">
        <f>1000*Storage_modulus_G!H82</f>
        <v>2095.5127603211299</v>
      </c>
      <c r="I82" s="2">
        <f>1000*Storage_modulus_G!I82</f>
        <v>1671.9597403898301</v>
      </c>
      <c r="J82" s="2">
        <f>1000*Storage_modulus_G!J82</f>
        <v>1382.43637614656</v>
      </c>
      <c r="K82" s="2">
        <f>1000*Storage_modulus_G!K82</f>
        <v>1116.1993669630299</v>
      </c>
      <c r="L82" s="236">
        <f>1000*Storage_modulus_G!L82</f>
        <v>967.84663731124294</v>
      </c>
      <c r="M82" s="2"/>
    </row>
    <row r="83" spans="1:29" ht="15.75" customHeight="1">
      <c r="A83" s="229">
        <v>17</v>
      </c>
      <c r="B83" s="74">
        <v>1</v>
      </c>
      <c r="C83" s="234">
        <f>Storage_modulus_G!C83/10000000</f>
        <v>2.6366509999999998E-3</v>
      </c>
      <c r="D83" s="234">
        <f>Storage_modulus_G!D83/10000000</f>
        <v>3.2267990000000002E-3</v>
      </c>
      <c r="E83" s="234">
        <f>Storage_modulus_G!E83/10000000</f>
        <v>3.9490369999999999E-3</v>
      </c>
      <c r="F83" s="234">
        <f>Storage_modulus_G!F83/10000000</f>
        <v>5.0321589999999996E-3</v>
      </c>
      <c r="G83" s="234">
        <f>Storage_modulus_G!G83/10000000</f>
        <v>5.9146609999999999E-3</v>
      </c>
      <c r="H83" s="234">
        <f>Storage_modulus_G!H83/10000000</f>
        <v>8.0077179999999987E-3</v>
      </c>
      <c r="I83" s="234">
        <f>Storage_modulus_G!I83/10000000</f>
        <v>1.0624678E-2</v>
      </c>
      <c r="J83" s="234">
        <f>Storage_modulus_G!J83/10000000</f>
        <v>1.4677992999999999E-2</v>
      </c>
      <c r="K83" s="234">
        <f>Storage_modulus_G!K83/10000000</f>
        <v>1.8703799E-2</v>
      </c>
      <c r="L83" s="234">
        <f>Storage_modulus_G!L83/10000000</f>
        <v>2.4320075E-2</v>
      </c>
      <c r="M83" s="235">
        <f>Storage_modulus_G!M83/10000000</f>
        <v>3.1622777000000005E-2</v>
      </c>
      <c r="N83" s="2"/>
    </row>
    <row r="84" spans="1:29" ht="15.75" customHeight="1">
      <c r="A84" s="228">
        <v>17</v>
      </c>
      <c r="B84" s="75">
        <v>2</v>
      </c>
      <c r="C84" s="2">
        <f>Storage_modulus_G!C84/10000000</f>
        <v>3.0990500000000002E-4</v>
      </c>
      <c r="D84" s="2">
        <f>Storage_modulus_G!D84/10000000</f>
        <v>3.7168500000000002E-4</v>
      </c>
      <c r="E84" s="2">
        <f>Storage_modulus_G!E84/10000000</f>
        <v>4.9315399999999999E-4</v>
      </c>
      <c r="F84" s="2">
        <f>Storage_modulus_G!F84/10000000</f>
        <v>6.15848E-4</v>
      </c>
      <c r="G84" s="2">
        <f>Storage_modulus_G!G84/10000000</f>
        <v>8.5079400000000009E-4</v>
      </c>
      <c r="H84" s="2">
        <f>Storage_modulus_G!H84/10000000</f>
        <v>9.6040900000000007E-4</v>
      </c>
      <c r="I84" s="2">
        <f>Storage_modulus_G!I84/10000000</f>
        <v>1.3814999999999999E-3</v>
      </c>
      <c r="J84" s="2">
        <f>Storage_modulus_G!J84/10000000</f>
        <v>1.9474830000000001E-3</v>
      </c>
      <c r="K84" s="2">
        <f>Storage_modulus_G!K84/10000000</f>
        <v>2.8585139999999999E-3</v>
      </c>
      <c r="L84" s="2">
        <f>Storage_modulus_G!L84/10000000</f>
        <v>4.195725E-3</v>
      </c>
      <c r="M84" s="236">
        <f>Storage_modulus_G!M84/10000000</f>
        <v>6.1584819999999998E-3</v>
      </c>
      <c r="N84" s="2"/>
    </row>
    <row r="85" spans="1:29" ht="15.75" customHeight="1">
      <c r="A85" s="228">
        <v>17</v>
      </c>
      <c r="B85" s="75">
        <v>3</v>
      </c>
      <c r="C85" s="2">
        <f>Storage_modulus_G!C85/10000000</f>
        <v>1.7604100000000002E-4</v>
      </c>
      <c r="D85" s="2">
        <f>Storage_modulus_G!D85/10000000</f>
        <v>2.4320100000000002E-4</v>
      </c>
      <c r="E85" s="2">
        <f>Storage_modulus_G!E85/10000000</f>
        <v>3.4283699999999997E-4</v>
      </c>
      <c r="F85" s="2">
        <f>Storage_modulus_G!F85/10000000</f>
        <v>4.7362899999999999E-4</v>
      </c>
      <c r="G85" s="2">
        <f>Storage_modulus_G!G85/10000000</f>
        <v>6.9519299999999998E-4</v>
      </c>
      <c r="H85" s="2">
        <f>Storage_modulus_G!H85/10000000</f>
        <v>1.1518700000000002E-3</v>
      </c>
      <c r="I85" s="2">
        <f>Storage_modulus_G!I85/10000000</f>
        <v>1.7252110000000001E-3</v>
      </c>
      <c r="J85" s="2">
        <f>Storage_modulus_G!J85/10000000</f>
        <v>2.745342E-3</v>
      </c>
      <c r="K85" s="2">
        <f>Storage_modulus_G!K85/10000000</f>
        <v>4.2813319999999997E-3</v>
      </c>
      <c r="L85" s="2">
        <f>Storage_modulus_G!L85/10000000</f>
        <v>9.4120499999999999E-3</v>
      </c>
      <c r="M85" s="236">
        <f>Storage_modulus_G!M85/10000000</f>
        <v>1.4096873999999999E-2</v>
      </c>
      <c r="N85" s="2"/>
    </row>
    <row r="86" spans="1:29" ht="15.75" customHeight="1">
      <c r="A86" s="228">
        <v>17</v>
      </c>
      <c r="B86" s="75">
        <v>4</v>
      </c>
      <c r="C86" s="2">
        <f>Storage_modulus_G!C86/10000000</f>
        <v>4.1957299999999996E-4</v>
      </c>
      <c r="D86" s="2">
        <f>Storage_modulus_G!D86/10000000</f>
        <v>5.0321600000000001E-4</v>
      </c>
      <c r="E86" s="2">
        <f>Storage_modulus_G!E86/10000000</f>
        <v>6.2841399999999999E-4</v>
      </c>
      <c r="F86" s="2">
        <f>Storage_modulus_G!F86/10000000</f>
        <v>8.5079400000000009E-4</v>
      </c>
      <c r="G86" s="2">
        <f>Storage_modulus_G!G86/10000000</f>
        <v>1.1753719999999998E-3</v>
      </c>
      <c r="H86" s="2">
        <f>Storage_modulus_G!H86/10000000</f>
        <v>1.6237770000000001E-3</v>
      </c>
      <c r="I86" s="2">
        <f>Storage_modulus_G!I86/10000000</f>
        <v>2.3833779999999998E-3</v>
      </c>
      <c r="J86" s="2">
        <f>Storage_modulus_G!J86/10000000</f>
        <v>3.569699E-3</v>
      </c>
      <c r="K86" s="2">
        <f>Storage_modulus_G!K86/10000000</f>
        <v>5.3465070000000003E-3</v>
      </c>
      <c r="L86" s="2">
        <f>Storage_modulus_G!L86/10000000</f>
        <v>7.6906830000000002E-3</v>
      </c>
      <c r="M86" s="236">
        <f>Storage_modulus_G!M86/10000000</f>
        <v>1.0841458999999999E-2</v>
      </c>
      <c r="N86" s="2"/>
      <c r="O86" s="2"/>
      <c r="P86" s="2"/>
      <c r="Q86" s="2"/>
      <c r="R86" s="2"/>
      <c r="S86" s="2"/>
      <c r="T86" s="2"/>
      <c r="U86" s="2"/>
      <c r="V86" s="2"/>
    </row>
    <row r="87" spans="1:29" ht="15.75" customHeight="1">
      <c r="A87" s="229">
        <v>18</v>
      </c>
      <c r="B87" s="74">
        <v>1</v>
      </c>
      <c r="C87" s="234">
        <f>Storage_modulus_G!C87/1000000</f>
        <v>2.1303200000000002E-3</v>
      </c>
      <c r="D87" s="234">
        <f>Storage_modulus_G!D87/1000000</f>
        <v>2.3101300000000001E-3</v>
      </c>
      <c r="E87" s="234">
        <f>Storage_modulus_G!E87/1000000</f>
        <v>2.55638E-3</v>
      </c>
      <c r="F87" s="234">
        <f>Storage_modulus_G!F87/1000000</f>
        <v>2.7165500000000003E-3</v>
      </c>
      <c r="G87" s="234">
        <f>Storage_modulus_G!G87/1000000</f>
        <v>3.0061199999999997E-3</v>
      </c>
      <c r="H87" s="234">
        <f>Storage_modulus_G!H87/1000000</f>
        <v>3.1304099999999997E-3</v>
      </c>
      <c r="I87" s="234">
        <f>Storage_modulus_G!I87/1000000</f>
        <v>3.46409E-3</v>
      </c>
      <c r="J87" s="234">
        <f>Storage_modulus_G!J87/1000000</f>
        <v>3.6811399999999998E-3</v>
      </c>
      <c r="K87" s="234">
        <f>Storage_modulus_G!K87/1000000</f>
        <v>3.9117900000000001E-3</v>
      </c>
      <c r="L87" s="234">
        <f>Storage_modulus_G!L87/1000000</f>
        <v>3.9117900000000001E-3</v>
      </c>
      <c r="M87" s="234">
        <f>Storage_modulus_G!M87/1000000</f>
        <v>4.3287600000000001E-3</v>
      </c>
      <c r="N87" s="234">
        <f>Storage_modulus_G!N87/1000000</f>
        <v>4.7901800000000007E-3</v>
      </c>
      <c r="O87" s="234">
        <f>Storage_modulus_G!O87/1000000</f>
        <v>4.8882099999999996E-3</v>
      </c>
      <c r="P87" s="234">
        <f>Storage_modulus_G!P87/1000000</f>
        <v>4.8882099999999996E-3</v>
      </c>
      <c r="Q87" s="234">
        <f>Storage_modulus_G!Q87/1000000</f>
        <v>4.9882399999999997E-3</v>
      </c>
      <c r="R87" s="234">
        <f>Storage_modulus_G!R87/1000000</f>
        <v>5.6329099999999997E-3</v>
      </c>
      <c r="S87" s="234">
        <f>Storage_modulus_G!S87/1000000</f>
        <v>5.98585E-3</v>
      </c>
      <c r="T87" s="234">
        <f>Storage_modulus_G!T87/1000000</f>
        <v>6.2333500000000003E-3</v>
      </c>
      <c r="U87" s="234">
        <f>Storage_modulus_G!U87/1000000</f>
        <v>6.4910799999999998E-3</v>
      </c>
      <c r="V87" s="235">
        <f>Storage_modulus_G!V87/1000000</f>
        <v>6.4921199999999997E-3</v>
      </c>
      <c r="W87" s="2"/>
    </row>
    <row r="88" spans="1:29" ht="15.75" customHeight="1">
      <c r="A88" s="228">
        <v>18</v>
      </c>
      <c r="B88" s="75">
        <v>2</v>
      </c>
      <c r="C88" s="2">
        <f>Storage_modulus_G!C88/1000000</f>
        <v>1.6000999999999998E-4</v>
      </c>
      <c r="D88" s="2">
        <f>Storage_modulus_G!D88/1000000</f>
        <v>2.2647999999999999E-4</v>
      </c>
      <c r="E88" s="2">
        <f>Storage_modulus_G!E88/1000000</f>
        <v>3.2717999999999999E-4</v>
      </c>
      <c r="F88" s="2">
        <f>Storage_modulus_G!F88/1000000</f>
        <v>4.8243E-4</v>
      </c>
      <c r="G88" s="2">
        <f>Storage_modulus_G!G88/1000000</f>
        <v>7.1133000000000004E-4</v>
      </c>
      <c r="H88" s="2">
        <f>Storage_modulus_G!H88/1000000</f>
        <v>1.0488399999999999E-3</v>
      </c>
      <c r="I88" s="2">
        <f>Storage_modulus_G!I88/1000000</f>
        <v>1.6110199999999999E-3</v>
      </c>
      <c r="J88" s="2">
        <f>Storage_modulus_G!J88/1000000</f>
        <v>2.2341500000000003E-3</v>
      </c>
      <c r="K88" s="2">
        <f>Storage_modulus_G!K88/1000000</f>
        <v>3.5025E-3</v>
      </c>
      <c r="L88" s="2">
        <f>Storage_modulus_G!L88/1000000</f>
        <v>4.8572499999999996E-3</v>
      </c>
      <c r="M88" s="2">
        <f>Storage_modulus_G!M88/1000000</f>
        <v>6.8750900000000004E-3</v>
      </c>
      <c r="N88" s="2">
        <f>Storage_modulus_G!N88/1000000</f>
        <v>9.7311800000000007E-3</v>
      </c>
      <c r="O88" s="34">
        <f>Storage_modulus_G!O88/1000000</f>
        <v>1.3773780000000001E-2</v>
      </c>
      <c r="P88" s="34">
        <f>Storage_modulus_G!P88/1000000</f>
        <v>1.7965439999999999E-2</v>
      </c>
      <c r="Q88" s="34">
        <f>Storage_modulus_G!Q88/1000000</f>
        <v>2.2494220000000002E-2</v>
      </c>
      <c r="R88" s="34">
        <f>Storage_modulus_G!R88/1000000</f>
        <v>2.5428779999999998E-2</v>
      </c>
      <c r="S88" s="34">
        <f>Storage_modulus_G!S88/1000000</f>
        <v>2.5953810000000001E-2</v>
      </c>
      <c r="T88" s="34"/>
      <c r="U88" s="34"/>
      <c r="V88" s="237"/>
      <c r="W88" s="2"/>
    </row>
    <row r="89" spans="1:29" ht="15.75" customHeight="1">
      <c r="A89" s="229">
        <v>19</v>
      </c>
      <c r="B89" s="74">
        <v>1</v>
      </c>
      <c r="C89" s="222">
        <v>5420.22</v>
      </c>
      <c r="D89" s="222">
        <v>5042.7</v>
      </c>
      <c r="E89" s="222">
        <v>4746.07</v>
      </c>
      <c r="F89" s="222">
        <v>4112.3599999999997</v>
      </c>
      <c r="G89" s="222">
        <v>3573.03</v>
      </c>
      <c r="H89" s="222">
        <v>3155.06</v>
      </c>
      <c r="I89" s="222">
        <v>2750.56</v>
      </c>
      <c r="J89" s="222">
        <v>2305.62</v>
      </c>
      <c r="K89" s="222">
        <v>1901.12</v>
      </c>
      <c r="L89" s="222">
        <v>1617.98</v>
      </c>
      <c r="M89" s="222">
        <v>1348.31</v>
      </c>
      <c r="N89" s="225">
        <v>1132.58</v>
      </c>
      <c r="O89" s="2"/>
      <c r="P89" s="2"/>
      <c r="Q89" s="2"/>
      <c r="R89" s="2"/>
      <c r="S89" s="2"/>
      <c r="T89" s="2"/>
      <c r="U89" s="2"/>
      <c r="V89" s="2"/>
    </row>
    <row r="90" spans="1:29" ht="15.75" customHeight="1">
      <c r="A90" s="228">
        <v>19</v>
      </c>
      <c r="B90" s="75">
        <v>2</v>
      </c>
      <c r="C90" s="22">
        <v>4489.8900000000003</v>
      </c>
      <c r="D90" s="22">
        <v>4314.6099999999997</v>
      </c>
      <c r="E90" s="22">
        <v>3950.56</v>
      </c>
      <c r="F90" s="22">
        <v>3303.37</v>
      </c>
      <c r="G90" s="22">
        <v>2723.6</v>
      </c>
      <c r="H90" s="22">
        <v>2386.52</v>
      </c>
      <c r="I90" s="22">
        <v>1995.51</v>
      </c>
      <c r="J90" s="22">
        <v>1671.91</v>
      </c>
      <c r="K90" s="22">
        <v>1294.3800000000001</v>
      </c>
      <c r="L90" s="22">
        <v>1051.69</v>
      </c>
      <c r="M90" s="22">
        <v>862.92</v>
      </c>
      <c r="N90" s="226">
        <v>728.09</v>
      </c>
      <c r="O90" s="2"/>
    </row>
    <row r="91" spans="1:29" ht="15.75" customHeight="1">
      <c r="A91" s="228">
        <v>19</v>
      </c>
      <c r="B91" s="75">
        <v>3</v>
      </c>
      <c r="C91" s="22">
        <v>4058.43</v>
      </c>
      <c r="D91" s="22">
        <v>3883.15</v>
      </c>
      <c r="E91" s="22">
        <v>3573.03</v>
      </c>
      <c r="F91" s="22">
        <v>2831.46</v>
      </c>
      <c r="G91" s="22">
        <v>2332.58</v>
      </c>
      <c r="H91" s="22">
        <v>1968.54</v>
      </c>
      <c r="I91" s="22">
        <v>1685.39</v>
      </c>
      <c r="J91" s="22">
        <v>1334.83</v>
      </c>
      <c r="K91" s="22">
        <v>1078.6500000000001</v>
      </c>
      <c r="L91" s="22">
        <v>822.47</v>
      </c>
      <c r="M91" s="22">
        <v>701.12</v>
      </c>
      <c r="N91" s="226">
        <v>552.80999999999995</v>
      </c>
      <c r="O91" s="2"/>
    </row>
    <row r="92" spans="1:29" ht="15.75" customHeight="1">
      <c r="A92" s="228">
        <v>19</v>
      </c>
      <c r="B92" s="75">
        <v>4</v>
      </c>
      <c r="C92" s="22">
        <v>3802.25</v>
      </c>
      <c r="D92" s="22">
        <v>3559.55</v>
      </c>
      <c r="E92" s="22">
        <v>3114.61</v>
      </c>
      <c r="F92" s="22">
        <v>2238.1999999999998</v>
      </c>
      <c r="G92" s="22">
        <v>1698.88</v>
      </c>
      <c r="H92" s="22">
        <v>1456.18</v>
      </c>
      <c r="I92" s="22">
        <v>1186.52</v>
      </c>
      <c r="J92" s="22">
        <v>943.82</v>
      </c>
      <c r="K92" s="22">
        <v>728.09</v>
      </c>
      <c r="L92" s="22">
        <v>633.71</v>
      </c>
      <c r="M92" s="22">
        <v>539.33000000000004</v>
      </c>
      <c r="N92" s="226">
        <v>417.98</v>
      </c>
      <c r="O92" s="2"/>
    </row>
    <row r="93" spans="1:29" ht="15.75" customHeight="1">
      <c r="A93" s="228">
        <v>19</v>
      </c>
      <c r="B93" s="75">
        <v>5</v>
      </c>
      <c r="C93" s="30">
        <v>2575.2800000000002</v>
      </c>
      <c r="D93" s="30">
        <v>2507.87</v>
      </c>
      <c r="E93" s="30">
        <v>2332.58</v>
      </c>
      <c r="F93" s="30">
        <v>1766.29</v>
      </c>
      <c r="G93" s="30">
        <v>1361.8</v>
      </c>
      <c r="H93" s="30">
        <v>1146.07</v>
      </c>
      <c r="I93" s="30">
        <v>903.37</v>
      </c>
      <c r="J93" s="30">
        <v>714.61</v>
      </c>
      <c r="K93" s="30">
        <v>539.33000000000004</v>
      </c>
      <c r="L93" s="30">
        <v>431.46</v>
      </c>
      <c r="M93" s="30">
        <v>296.63</v>
      </c>
      <c r="N93" s="232">
        <v>215.73</v>
      </c>
      <c r="O93" s="2"/>
    </row>
    <row r="94" spans="1:29" ht="15.75" customHeight="1">
      <c r="A94" s="229">
        <v>20</v>
      </c>
      <c r="B94" s="200" t="s">
        <v>221</v>
      </c>
      <c r="C94" s="234"/>
      <c r="D94" s="234"/>
      <c r="E94" s="234"/>
      <c r="F94" s="234"/>
      <c r="G94" s="234"/>
      <c r="H94" s="234"/>
      <c r="I94" s="234"/>
      <c r="J94" s="234"/>
      <c r="K94" s="234"/>
      <c r="L94" s="234"/>
      <c r="M94" s="235"/>
      <c r="N94" s="2"/>
      <c r="Y94" s="116"/>
      <c r="Z94" s="32"/>
      <c r="AB94" s="32"/>
      <c r="AC94" s="32"/>
    </row>
    <row r="95" spans="1:29" ht="15.75" customHeight="1">
      <c r="A95" s="228">
        <v>20</v>
      </c>
      <c r="B95" s="201" t="s">
        <v>222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36"/>
      <c r="N95" s="2"/>
      <c r="Y95" s="116"/>
      <c r="Z95" s="32"/>
      <c r="AB95" s="32"/>
      <c r="AC95" s="32"/>
    </row>
    <row r="96" spans="1:29" ht="15.75" customHeight="1">
      <c r="A96" s="228">
        <v>20</v>
      </c>
      <c r="B96" s="201" t="s">
        <v>223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36"/>
      <c r="N96" s="2"/>
      <c r="Y96" s="116"/>
      <c r="Z96" s="32"/>
      <c r="AB96" s="32"/>
    </row>
    <row r="97" spans="1:29" ht="15.75" customHeight="1">
      <c r="A97" s="228">
        <v>20</v>
      </c>
      <c r="B97" s="201" t="s">
        <v>224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36"/>
      <c r="N97" s="2"/>
      <c r="Y97" s="116"/>
      <c r="Z97" s="32"/>
      <c r="AB97" s="32"/>
      <c r="AC97" s="32"/>
    </row>
    <row r="98" spans="1:29" ht="15.75" customHeight="1">
      <c r="A98" s="228">
        <v>20</v>
      </c>
      <c r="B98" s="201" t="s">
        <v>225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36"/>
      <c r="N98" s="2"/>
      <c r="Y98" s="116"/>
      <c r="Z98" s="32"/>
      <c r="AB98" s="32"/>
      <c r="AC98" s="32"/>
    </row>
    <row r="99" spans="1:29" ht="15.75" customHeight="1">
      <c r="A99" s="228">
        <v>20</v>
      </c>
      <c r="B99" s="201" t="s">
        <v>226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36"/>
      <c r="N99" s="2"/>
      <c r="Y99" s="116"/>
      <c r="Z99" s="32"/>
      <c r="AB99" s="32"/>
      <c r="AC99" s="32"/>
    </row>
    <row r="100" spans="1:29" ht="15.75" customHeight="1">
      <c r="A100" s="228">
        <v>20</v>
      </c>
      <c r="B100" s="201" t="s">
        <v>227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36"/>
      <c r="N100" s="2"/>
      <c r="Y100" s="116"/>
      <c r="Z100" s="32"/>
      <c r="AB100" s="32"/>
      <c r="AC100" s="32"/>
    </row>
    <row r="101" spans="1:29" ht="15.75" customHeight="1">
      <c r="A101" s="228">
        <v>20</v>
      </c>
      <c r="B101" s="201" t="s">
        <v>228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36"/>
      <c r="N101" s="2"/>
      <c r="Y101" s="116"/>
      <c r="Z101" s="32"/>
      <c r="AB101" s="32"/>
      <c r="AC101" s="32"/>
    </row>
    <row r="102" spans="1:29" ht="15.75" customHeight="1">
      <c r="A102" s="228">
        <v>20</v>
      </c>
      <c r="B102" s="201" t="s">
        <v>231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36"/>
      <c r="N102" s="2"/>
      <c r="Y102" s="116"/>
      <c r="Z102" s="32"/>
      <c r="AB102" s="32"/>
      <c r="AC102" s="32"/>
    </row>
    <row r="103" spans="1:29" ht="15.75" customHeight="1">
      <c r="A103" s="228">
        <v>20</v>
      </c>
      <c r="B103" s="201" t="s">
        <v>232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36"/>
      <c r="N103" s="2"/>
      <c r="Y103" s="116"/>
      <c r="Z103" s="32"/>
      <c r="AB103" s="32"/>
      <c r="AC103" s="32"/>
    </row>
    <row r="104" spans="1:29" ht="15.75" customHeight="1">
      <c r="A104" s="228">
        <v>20</v>
      </c>
      <c r="B104" s="201" t="s">
        <v>233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36"/>
      <c r="N104" s="2"/>
      <c r="Y104" s="116"/>
      <c r="Z104" s="32"/>
      <c r="AB104" s="32"/>
      <c r="AC104" s="32"/>
    </row>
    <row r="105" spans="1:29" ht="15.75" customHeight="1">
      <c r="A105" s="228">
        <v>20</v>
      </c>
      <c r="B105" s="201" t="s">
        <v>234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36"/>
      <c r="N105" s="2"/>
      <c r="Y105" s="116"/>
      <c r="Z105" s="32"/>
      <c r="AB105" s="32"/>
      <c r="AC105" s="32"/>
    </row>
    <row r="106" spans="1:29" ht="15.75" customHeight="1">
      <c r="A106" s="228">
        <v>20</v>
      </c>
      <c r="B106" s="75" t="s">
        <v>235</v>
      </c>
      <c r="C106" s="2">
        <v>2564.8851719364202</v>
      </c>
      <c r="D106" s="2">
        <v>2402.6983010860099</v>
      </c>
      <c r="E106" s="2">
        <v>1850.22169360921</v>
      </c>
      <c r="F106" s="2">
        <v>1313.06940633011</v>
      </c>
      <c r="G106" s="2">
        <v>916.76795677089399</v>
      </c>
      <c r="H106" s="2">
        <v>750.55062513448297</v>
      </c>
      <c r="I106" s="2">
        <v>599.95052727083305</v>
      </c>
      <c r="J106" s="2">
        <v>489.74430416069703</v>
      </c>
      <c r="K106" s="2">
        <v>312.92537215781101</v>
      </c>
      <c r="L106" s="2">
        <v>208.52058261559199</v>
      </c>
      <c r="M106" s="236">
        <v>100.702326026476</v>
      </c>
      <c r="N106" s="2"/>
      <c r="Y106" s="116"/>
      <c r="Z106" s="32"/>
      <c r="AB106" s="32"/>
      <c r="AC106" s="32"/>
    </row>
    <row r="107" spans="1:29" ht="15.75" customHeight="1">
      <c r="A107" s="228">
        <v>20</v>
      </c>
      <c r="B107" s="75" t="s">
        <v>236</v>
      </c>
      <c r="C107" s="2">
        <v>1459.26288005383</v>
      </c>
      <c r="D107" s="2">
        <v>1418.9779567524199</v>
      </c>
      <c r="E107" s="2">
        <v>1304.67284932078</v>
      </c>
      <c r="F107" s="2">
        <v>1035.6131848166499</v>
      </c>
      <c r="G107" s="2">
        <v>827.81448109253097</v>
      </c>
      <c r="H107" s="2">
        <v>714.66618463477198</v>
      </c>
      <c r="I107" s="2">
        <v>657.09621507635995</v>
      </c>
      <c r="J107" s="2">
        <v>440.93732536599902</v>
      </c>
      <c r="K107" s="2"/>
      <c r="L107" s="2"/>
      <c r="M107" s="236"/>
      <c r="N107" s="2"/>
      <c r="Y107" s="116"/>
      <c r="Z107" s="32"/>
      <c r="AB107" s="32"/>
    </row>
    <row r="108" spans="1:29" ht="15.75" customHeight="1">
      <c r="A108" s="228">
        <v>20</v>
      </c>
      <c r="B108" s="75" t="s">
        <v>237</v>
      </c>
      <c r="C108" s="2">
        <v>875.48614787682698</v>
      </c>
      <c r="D108" s="2">
        <v>680.497790171779</v>
      </c>
      <c r="E108" s="2">
        <v>507.185871846547</v>
      </c>
      <c r="F108" s="2">
        <v>347.56301122262602</v>
      </c>
      <c r="G108" s="2">
        <v>306.42364288973801</v>
      </c>
      <c r="H108" s="2">
        <v>279.77474048838297</v>
      </c>
      <c r="I108" s="2">
        <v>251.89278479235099</v>
      </c>
      <c r="J108" s="2">
        <v>155.41372068988201</v>
      </c>
      <c r="K108" s="2"/>
      <c r="L108" s="2"/>
      <c r="M108" s="236"/>
      <c r="N108" s="2"/>
      <c r="Y108" s="116"/>
      <c r="Z108" s="32"/>
      <c r="AB108" s="32"/>
      <c r="AC108" s="32"/>
    </row>
    <row r="109" spans="1:29" ht="15.75" customHeight="1">
      <c r="A109" s="228">
        <v>20</v>
      </c>
      <c r="B109" s="75" t="s">
        <v>238</v>
      </c>
      <c r="C109" s="2">
        <v>755.82193751668501</v>
      </c>
      <c r="D109" s="2">
        <v>709.68230180834405</v>
      </c>
      <c r="E109" s="2">
        <v>571.26672115994802</v>
      </c>
      <c r="F109" s="2">
        <v>503.64861653066401</v>
      </c>
      <c r="G109" s="2">
        <v>347.56301122262602</v>
      </c>
      <c r="H109" s="2"/>
      <c r="I109" s="2"/>
      <c r="J109" s="2"/>
      <c r="K109" s="2"/>
      <c r="L109" s="2"/>
      <c r="M109" s="236"/>
      <c r="N109" s="2"/>
      <c r="Y109" s="116"/>
      <c r="Z109" s="32"/>
      <c r="AB109" s="32"/>
      <c r="AC109" s="32"/>
    </row>
    <row r="110" spans="1:29" ht="15.75" customHeight="1">
      <c r="A110" s="228">
        <v>20</v>
      </c>
      <c r="B110" s="75" t="s">
        <v>239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36"/>
      <c r="N110" s="2"/>
      <c r="Y110" s="116"/>
      <c r="Z110" s="32"/>
      <c r="AB110" s="32"/>
      <c r="AC110" s="32"/>
    </row>
    <row r="111" spans="1:29" ht="15.75" customHeight="1">
      <c r="A111" s="228">
        <v>20</v>
      </c>
      <c r="B111" s="75" t="s">
        <v>240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36"/>
      <c r="N111" s="2"/>
      <c r="Y111" s="116"/>
      <c r="Z111" s="32"/>
      <c r="AB111" s="32"/>
      <c r="AC111" s="32"/>
    </row>
    <row r="112" spans="1:29" ht="15.75" customHeight="1">
      <c r="A112" s="228">
        <v>20</v>
      </c>
      <c r="B112" s="75" t="s">
        <v>241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36"/>
      <c r="N112" s="2"/>
      <c r="Y112" s="116"/>
      <c r="Z112" s="32"/>
      <c r="AB112" s="32"/>
      <c r="AC112" s="32"/>
    </row>
    <row r="113" spans="1:29" ht="15.75" customHeight="1">
      <c r="A113" s="228">
        <v>20</v>
      </c>
      <c r="B113" s="75" t="s">
        <v>242</v>
      </c>
      <c r="C113" s="2"/>
      <c r="D113" s="2"/>
      <c r="E113" s="2"/>
      <c r="F113" s="2"/>
      <c r="G113" s="2"/>
      <c r="H113" s="2"/>
      <c r="I113" s="2"/>
      <c r="J113" s="2"/>
      <c r="K113" s="34"/>
      <c r="L113" s="34"/>
      <c r="M113" s="237"/>
      <c r="N113" s="2"/>
      <c r="Y113" s="116"/>
      <c r="Z113" s="32"/>
      <c r="AB113" s="32"/>
      <c r="AC113" s="32"/>
    </row>
    <row r="114" spans="1:29" ht="15.75" customHeight="1">
      <c r="A114" s="229">
        <v>21</v>
      </c>
      <c r="B114" s="74" t="s">
        <v>221</v>
      </c>
      <c r="C114" s="234">
        <v>3307.34</v>
      </c>
      <c r="D114" s="234">
        <v>3285.93</v>
      </c>
      <c r="E114" s="234">
        <v>3243.12</v>
      </c>
      <c r="F114" s="234">
        <v>3071.87</v>
      </c>
      <c r="G114" s="234">
        <v>2568.81</v>
      </c>
      <c r="H114" s="234">
        <v>2065.75</v>
      </c>
      <c r="I114" s="234">
        <v>1530.58</v>
      </c>
      <c r="J114" s="235">
        <v>1081.04</v>
      </c>
      <c r="K114" s="2"/>
      <c r="L114" s="2"/>
      <c r="M114" s="2"/>
    </row>
    <row r="115" spans="1:29" ht="15.75" customHeight="1">
      <c r="A115" s="228">
        <v>21</v>
      </c>
      <c r="B115" s="75" t="s">
        <v>222</v>
      </c>
      <c r="C115" s="2">
        <v>3050.46</v>
      </c>
      <c r="D115" s="2">
        <v>2964.83</v>
      </c>
      <c r="E115" s="2">
        <v>2814.98</v>
      </c>
      <c r="F115" s="2">
        <v>2579.5100000000002</v>
      </c>
      <c r="G115" s="2">
        <v>2162.08</v>
      </c>
      <c r="H115" s="2">
        <v>1691.13</v>
      </c>
      <c r="I115" s="2">
        <v>1166.67</v>
      </c>
      <c r="J115" s="236">
        <v>781.35</v>
      </c>
      <c r="K115" s="2"/>
    </row>
    <row r="116" spans="1:29" ht="15.75" customHeight="1">
      <c r="A116" s="228">
        <v>21</v>
      </c>
      <c r="B116" s="75" t="s">
        <v>223</v>
      </c>
      <c r="C116" s="2">
        <v>2868.5</v>
      </c>
      <c r="D116" s="2">
        <v>2707.95</v>
      </c>
      <c r="E116" s="2">
        <v>2440.37</v>
      </c>
      <c r="F116" s="2">
        <v>2172.7800000000002</v>
      </c>
      <c r="G116" s="2">
        <v>1840.98</v>
      </c>
      <c r="H116" s="2">
        <v>1466.36</v>
      </c>
      <c r="I116" s="2">
        <v>974.01</v>
      </c>
      <c r="J116" s="236">
        <v>642.20000000000005</v>
      </c>
      <c r="K116" s="2"/>
    </row>
    <row r="117" spans="1:29" ht="15.75" customHeight="1">
      <c r="A117" s="228">
        <v>21</v>
      </c>
      <c r="B117" s="75" t="s">
        <v>224</v>
      </c>
      <c r="C117" s="2">
        <v>2707.95</v>
      </c>
      <c r="D117" s="2">
        <v>2504.59</v>
      </c>
      <c r="E117" s="2">
        <v>2076.4499999999998</v>
      </c>
      <c r="F117" s="2">
        <v>1755.35</v>
      </c>
      <c r="G117" s="2">
        <v>1477.06</v>
      </c>
      <c r="H117" s="2">
        <v>1188.07</v>
      </c>
      <c r="I117" s="2">
        <v>856.27</v>
      </c>
      <c r="J117" s="236">
        <v>545.87</v>
      </c>
      <c r="K117" s="2"/>
    </row>
    <row r="118" spans="1:29" ht="15.75" customHeight="1">
      <c r="A118" s="228">
        <v>21</v>
      </c>
      <c r="B118" s="75" t="s">
        <v>229</v>
      </c>
      <c r="C118" s="2">
        <v>3000</v>
      </c>
      <c r="D118" s="2">
        <v>3000</v>
      </c>
      <c r="E118" s="2">
        <v>2964.29</v>
      </c>
      <c r="F118" s="2">
        <v>2797.62</v>
      </c>
      <c r="G118" s="2">
        <v>2380.9499999999998</v>
      </c>
      <c r="H118" s="2">
        <v>1964.29</v>
      </c>
      <c r="I118" s="2">
        <v>1392.86</v>
      </c>
      <c r="J118" s="236">
        <v>892.86</v>
      </c>
      <c r="K118" s="2"/>
    </row>
    <row r="119" spans="1:29" ht="15.75" customHeight="1">
      <c r="A119" s="228">
        <v>21</v>
      </c>
      <c r="B119" s="75" t="s">
        <v>243</v>
      </c>
      <c r="C119" s="2">
        <v>3702.38</v>
      </c>
      <c r="D119" s="2">
        <v>3619.05</v>
      </c>
      <c r="E119" s="2">
        <v>3380.95</v>
      </c>
      <c r="F119" s="2">
        <v>3095.24</v>
      </c>
      <c r="G119" s="2">
        <v>2583.33</v>
      </c>
      <c r="H119" s="2">
        <v>2154.7600000000002</v>
      </c>
      <c r="I119" s="2">
        <v>1511.9</v>
      </c>
      <c r="J119" s="236">
        <v>1000</v>
      </c>
      <c r="K119" s="2"/>
    </row>
    <row r="120" spans="1:29" ht="15.75" customHeight="1">
      <c r="A120" s="228">
        <v>21</v>
      </c>
      <c r="B120" s="75" t="s">
        <v>244</v>
      </c>
      <c r="C120" s="2">
        <v>3130.95</v>
      </c>
      <c r="D120" s="2">
        <v>2940.48</v>
      </c>
      <c r="E120" s="2">
        <v>2559.52</v>
      </c>
      <c r="F120" s="2">
        <v>2333.33</v>
      </c>
      <c r="G120" s="2">
        <v>1952.38</v>
      </c>
      <c r="H120" s="2">
        <v>1619.05</v>
      </c>
      <c r="I120" s="2">
        <v>1130.95</v>
      </c>
      <c r="J120" s="236">
        <v>738.1</v>
      </c>
      <c r="K120" s="2"/>
    </row>
    <row r="121" spans="1:29" ht="15.75" customHeight="1">
      <c r="A121" s="228">
        <v>21</v>
      </c>
      <c r="B121" s="75" t="s">
        <v>245</v>
      </c>
      <c r="C121" s="34">
        <v>2642.86</v>
      </c>
      <c r="D121" s="34">
        <v>2440.48</v>
      </c>
      <c r="E121" s="34">
        <v>1940.48</v>
      </c>
      <c r="F121" s="34">
        <v>1666.67</v>
      </c>
      <c r="G121" s="34">
        <v>1476.19</v>
      </c>
      <c r="H121" s="34">
        <v>1297.6199999999999</v>
      </c>
      <c r="I121" s="34">
        <v>964.29</v>
      </c>
      <c r="J121" s="237">
        <v>642.86</v>
      </c>
      <c r="K121" s="2"/>
    </row>
    <row r="122" spans="1:29" ht="15.75" customHeight="1">
      <c r="A122" s="228">
        <v>21</v>
      </c>
      <c r="B122" s="75" t="s">
        <v>225</v>
      </c>
      <c r="C122" s="2"/>
      <c r="D122" s="2"/>
      <c r="E122" s="2"/>
      <c r="F122" s="2"/>
      <c r="G122" s="2"/>
      <c r="H122" s="2"/>
      <c r="I122" s="2"/>
      <c r="J122" s="236"/>
      <c r="K122" s="2"/>
    </row>
    <row r="123" spans="1:29" ht="15.75" customHeight="1">
      <c r="A123" s="228">
        <v>21</v>
      </c>
      <c r="B123" s="75" t="s">
        <v>226</v>
      </c>
      <c r="C123" s="2"/>
      <c r="D123" s="2"/>
      <c r="E123" s="2"/>
      <c r="F123" s="2"/>
      <c r="G123" s="2"/>
      <c r="H123" s="2"/>
      <c r="I123" s="2"/>
      <c r="J123" s="236"/>
      <c r="K123" s="2"/>
    </row>
    <row r="124" spans="1:29" ht="15.75" customHeight="1">
      <c r="A124" s="228">
        <v>21</v>
      </c>
      <c r="B124" s="75" t="s">
        <v>227</v>
      </c>
      <c r="C124" s="2"/>
      <c r="D124" s="2"/>
      <c r="E124" s="2"/>
      <c r="F124" s="2"/>
      <c r="G124" s="2"/>
      <c r="H124" s="2"/>
      <c r="I124" s="2"/>
      <c r="J124" s="236"/>
      <c r="K124" s="2"/>
    </row>
    <row r="125" spans="1:29" ht="15.75" customHeight="1">
      <c r="A125" s="228">
        <v>21</v>
      </c>
      <c r="B125" s="75" t="s">
        <v>228</v>
      </c>
      <c r="C125" s="2"/>
      <c r="D125" s="2"/>
      <c r="E125" s="2"/>
      <c r="F125" s="2"/>
      <c r="G125" s="2"/>
      <c r="H125" s="2"/>
      <c r="I125" s="2"/>
      <c r="J125" s="236"/>
      <c r="K125" s="2"/>
    </row>
    <row r="126" spans="1:29" ht="15.75" customHeight="1">
      <c r="A126" s="228">
        <v>21</v>
      </c>
      <c r="B126" s="75" t="s">
        <v>230</v>
      </c>
      <c r="C126" s="2"/>
      <c r="D126" s="2"/>
      <c r="E126" s="2"/>
      <c r="F126" s="2"/>
      <c r="G126" s="2"/>
      <c r="H126" s="2"/>
      <c r="I126" s="2"/>
      <c r="J126" s="236"/>
      <c r="K126" s="2"/>
    </row>
    <row r="127" spans="1:29" ht="15.75" customHeight="1">
      <c r="A127" s="228">
        <v>21</v>
      </c>
      <c r="B127" s="75" t="s">
        <v>246</v>
      </c>
      <c r="C127" s="2"/>
      <c r="D127" s="2"/>
      <c r="E127" s="2"/>
      <c r="F127" s="2"/>
      <c r="G127" s="2"/>
      <c r="H127" s="2"/>
      <c r="I127" s="2"/>
      <c r="J127" s="236"/>
      <c r="K127" s="2"/>
    </row>
    <row r="128" spans="1:29" ht="15.75" customHeight="1">
      <c r="A128" s="228">
        <v>21</v>
      </c>
      <c r="B128" s="75" t="s">
        <v>247</v>
      </c>
      <c r="C128" s="2"/>
      <c r="D128" s="2"/>
      <c r="E128" s="2"/>
      <c r="F128" s="2"/>
      <c r="G128" s="2"/>
      <c r="H128" s="2"/>
      <c r="I128" s="2"/>
      <c r="J128" s="236"/>
      <c r="K128" s="2"/>
    </row>
    <row r="129" spans="1:37" ht="15.75" customHeight="1">
      <c r="A129" s="230">
        <v>21</v>
      </c>
      <c r="B129" s="231" t="s">
        <v>248</v>
      </c>
      <c r="C129" s="34"/>
      <c r="D129" s="34"/>
      <c r="E129" s="34"/>
      <c r="F129" s="34"/>
      <c r="G129" s="34"/>
      <c r="H129" s="34"/>
      <c r="I129" s="34"/>
      <c r="J129" s="237"/>
      <c r="K129" s="2"/>
    </row>
    <row r="130" spans="1:37" ht="15.75" customHeight="1">
      <c r="A130" s="228">
        <v>22</v>
      </c>
      <c r="B130" s="75">
        <v>1</v>
      </c>
      <c r="C130" s="2"/>
      <c r="D130" s="2"/>
      <c r="E130" s="2"/>
      <c r="F130" s="2"/>
      <c r="G130" s="2"/>
      <c r="H130" s="2"/>
      <c r="I130" s="2"/>
      <c r="J130" s="2"/>
    </row>
    <row r="131" spans="1:37" ht="15.75" customHeight="1">
      <c r="A131" s="228">
        <v>22</v>
      </c>
      <c r="B131" s="75">
        <v>2</v>
      </c>
    </row>
    <row r="132" spans="1:37" ht="15.75" customHeight="1">
      <c r="A132" s="228">
        <v>22</v>
      </c>
      <c r="B132" s="75">
        <v>3</v>
      </c>
    </row>
    <row r="133" spans="1:37" ht="15.75" customHeight="1">
      <c r="A133" s="228">
        <v>22</v>
      </c>
      <c r="B133" s="75">
        <v>4</v>
      </c>
    </row>
    <row r="134" spans="1:37" ht="15.75" customHeight="1">
      <c r="A134" s="228">
        <v>22</v>
      </c>
      <c r="B134" s="75">
        <v>5</v>
      </c>
    </row>
    <row r="135" spans="1:37" ht="15.75" customHeight="1">
      <c r="A135" s="228">
        <v>22</v>
      </c>
      <c r="B135" s="75">
        <v>6</v>
      </c>
    </row>
    <row r="136" spans="1:37" ht="15.75" customHeight="1">
      <c r="A136" s="228">
        <v>22</v>
      </c>
      <c r="B136" s="75">
        <v>7</v>
      </c>
    </row>
    <row r="137" spans="1:37" ht="15.75" customHeight="1">
      <c r="A137" s="228">
        <v>22</v>
      </c>
      <c r="B137" s="75">
        <v>8</v>
      </c>
      <c r="C137" s="2"/>
      <c r="D137" s="2"/>
      <c r="E137" s="2"/>
      <c r="F137" s="2"/>
      <c r="G137" s="2"/>
      <c r="H137" s="2"/>
      <c r="I137" s="2"/>
      <c r="J137" s="2"/>
      <c r="K137" s="2"/>
    </row>
    <row r="138" spans="1:37" ht="15.75" customHeight="1">
      <c r="A138" s="229">
        <v>23</v>
      </c>
      <c r="B138" s="74">
        <v>1</v>
      </c>
      <c r="C138" s="149">
        <f>Storage_modulus_G!C138*1000</f>
        <v>3990</v>
      </c>
      <c r="D138" s="234">
        <f>Storage_modulus_G!D138*1000</f>
        <v>3780</v>
      </c>
      <c r="E138" s="234">
        <f>Storage_modulus_G!E138*1000</f>
        <v>3240</v>
      </c>
      <c r="F138" s="234">
        <f>Storage_modulus_G!F138*1000</f>
        <v>2770</v>
      </c>
      <c r="G138" s="234">
        <f>Storage_modulus_G!G138*1000</f>
        <v>2060</v>
      </c>
      <c r="H138" s="234">
        <f>Storage_modulus_G!H138*1000</f>
        <v>1370</v>
      </c>
      <c r="I138" s="234">
        <f>Storage_modulus_G!I138*1000</f>
        <v>1000</v>
      </c>
      <c r="J138" s="234">
        <f>Storage_modulus_G!J138*1000</f>
        <v>570</v>
      </c>
      <c r="K138" s="235">
        <f>Storage_modulus_G!K138*1000</f>
        <v>340</v>
      </c>
      <c r="L138" s="2"/>
    </row>
    <row r="139" spans="1:37" ht="15.75" customHeight="1">
      <c r="A139" s="228">
        <v>23</v>
      </c>
      <c r="B139" s="75">
        <v>2</v>
      </c>
      <c r="C139" s="64">
        <f>Storage_modulus_G!C139*1000</f>
        <v>5050</v>
      </c>
      <c r="D139" s="2">
        <f>Storage_modulus_G!D139*1000</f>
        <v>4610</v>
      </c>
      <c r="E139" s="2">
        <f>Storage_modulus_G!E139*1000</f>
        <v>3820</v>
      </c>
      <c r="F139" s="2">
        <f>Storage_modulus_G!F139*1000</f>
        <v>3260</v>
      </c>
      <c r="G139" s="2">
        <f>Storage_modulus_G!G139*1000</f>
        <v>2500</v>
      </c>
      <c r="H139" s="2">
        <f>Storage_modulus_G!H139*1000</f>
        <v>1810</v>
      </c>
      <c r="I139" s="2">
        <f>Storage_modulus_G!I139*1000</f>
        <v>1280</v>
      </c>
      <c r="J139" s="2">
        <f>Storage_modulus_G!J139*1000</f>
        <v>840</v>
      </c>
      <c r="K139" s="236">
        <f>Storage_modulus_G!K139*1000</f>
        <v>590</v>
      </c>
      <c r="L139" s="2"/>
    </row>
    <row r="140" spans="1:37" ht="15.75" customHeight="1">
      <c r="A140" s="228">
        <v>23</v>
      </c>
      <c r="B140" s="75">
        <v>3</v>
      </c>
      <c r="C140" s="64">
        <f>Storage_modulus_G!C140*1000</f>
        <v>7450</v>
      </c>
      <c r="D140" s="2">
        <f>Storage_modulus_G!D140*1000</f>
        <v>6790</v>
      </c>
      <c r="E140" s="2">
        <f>Storage_modulus_G!E140*1000</f>
        <v>5320</v>
      </c>
      <c r="F140" s="2">
        <f>Storage_modulus_G!F140*1000</f>
        <v>4160</v>
      </c>
      <c r="G140" s="2">
        <f>Storage_modulus_G!G140*1000</f>
        <v>3130</v>
      </c>
      <c r="H140" s="2">
        <f>Storage_modulus_G!H140*1000</f>
        <v>2090</v>
      </c>
      <c r="I140" s="2">
        <f>Storage_modulus_G!I140*1000</f>
        <v>1640</v>
      </c>
      <c r="J140" s="2">
        <f>Storage_modulus_G!J140*1000</f>
        <v>1180</v>
      </c>
      <c r="K140" s="236">
        <f>Storage_modulus_G!K140*1000</f>
        <v>860</v>
      </c>
      <c r="L140" s="2"/>
    </row>
    <row r="141" spans="1:37" ht="15.75" customHeight="1">
      <c r="A141" s="228">
        <v>23</v>
      </c>
      <c r="B141" s="75">
        <v>4</v>
      </c>
      <c r="C141" s="64">
        <f>Storage_modulus_G!C141*1000</f>
        <v>8400</v>
      </c>
      <c r="D141" s="2">
        <f>Storage_modulus_G!D141*1000</f>
        <v>7750</v>
      </c>
      <c r="E141" s="2">
        <f>Storage_modulus_G!E141*1000</f>
        <v>6280</v>
      </c>
      <c r="F141" s="2">
        <f>Storage_modulus_G!F141*1000</f>
        <v>5070</v>
      </c>
      <c r="G141" s="2">
        <f>Storage_modulus_G!G141*1000</f>
        <v>3510</v>
      </c>
      <c r="H141" s="2">
        <f>Storage_modulus_G!H141*1000</f>
        <v>2450</v>
      </c>
      <c r="I141" s="2">
        <f>Storage_modulus_G!I141*1000</f>
        <v>1980</v>
      </c>
      <c r="J141" s="2">
        <f>Storage_modulus_G!J141*1000</f>
        <v>1400</v>
      </c>
      <c r="K141" s="236">
        <f>Storage_modulus_G!K141*1000</f>
        <v>1030</v>
      </c>
      <c r="L141" s="2"/>
    </row>
    <row r="142" spans="1:37" ht="15.75" customHeight="1">
      <c r="A142" s="228">
        <v>23</v>
      </c>
      <c r="B142" s="75">
        <v>5</v>
      </c>
      <c r="C142" s="150">
        <f>Storage_modulus_G!C142*1000</f>
        <v>5950</v>
      </c>
      <c r="D142" s="34">
        <f>Storage_modulus_G!D142*1000</f>
        <v>5630</v>
      </c>
      <c r="E142" s="34">
        <f>Storage_modulus_G!E142*1000</f>
        <v>4660</v>
      </c>
      <c r="F142" s="34">
        <f>Storage_modulus_G!F142*1000</f>
        <v>3850</v>
      </c>
      <c r="G142" s="34">
        <f>Storage_modulus_G!G142*1000</f>
        <v>2940</v>
      </c>
      <c r="H142" s="34">
        <f>Storage_modulus_G!H142*1000</f>
        <v>1960</v>
      </c>
      <c r="I142" s="34">
        <f>Storage_modulus_G!I142*1000</f>
        <v>1470</v>
      </c>
      <c r="J142" s="34">
        <f>Storage_modulus_G!J142*1000</f>
        <v>1030</v>
      </c>
      <c r="K142" s="237">
        <f>Storage_modulus_G!K142*1000</f>
        <v>730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7" ht="15.75" customHeight="1">
      <c r="A143" s="309">
        <v>24</v>
      </c>
      <c r="B143" s="310">
        <v>1</v>
      </c>
      <c r="C143" s="2">
        <f>Storage_modulus_G!C143/1000000</f>
        <v>8.9999999999999999E-8</v>
      </c>
      <c r="D143" s="2">
        <f>Storage_modulus_G!D143/1000000</f>
        <v>1.1000000000000001E-7</v>
      </c>
      <c r="E143" s="2">
        <f>Storage_modulus_G!E143/1000000</f>
        <v>1.1999999999999999E-7</v>
      </c>
      <c r="F143" s="2">
        <f>Storage_modulus_G!F143/1000000</f>
        <v>1.4000000000000001E-7</v>
      </c>
      <c r="G143" s="2">
        <f>Storage_modulus_G!G143/1000000</f>
        <v>1.4999999999999999E-7</v>
      </c>
      <c r="H143" s="2">
        <f>Storage_modulus_G!H143/1000000</f>
        <v>1.6E-7</v>
      </c>
      <c r="I143" s="2">
        <f>Storage_modulus_G!I143/1000000</f>
        <v>1.9000000000000001E-7</v>
      </c>
      <c r="J143" s="2">
        <f>Storage_modulus_G!J143/1000000</f>
        <v>2.3999999999999998E-7</v>
      </c>
      <c r="K143" s="2">
        <f>Storage_modulus_G!K143/1000000</f>
        <v>2.8000000000000002E-7</v>
      </c>
      <c r="L143" s="234">
        <f>Storage_modulus_G!L143/1000000</f>
        <v>3.4000000000000003E-7</v>
      </c>
      <c r="M143" s="234">
        <f>Storage_modulus_G!M143/1000000</f>
        <v>4.0999999999999999E-7</v>
      </c>
      <c r="N143" s="234">
        <f>Storage_modulus_G!N143/1000000</f>
        <v>5.3000000000000001E-7</v>
      </c>
      <c r="O143" s="234">
        <f>Storage_modulus_G!O143/1000000</f>
        <v>5.5000000000000003E-7</v>
      </c>
      <c r="P143" s="234">
        <f>Storage_modulus_G!P143/1000000</f>
        <v>6.7000000000000004E-7</v>
      </c>
      <c r="Q143" s="234">
        <f>Storage_modulus_G!Q143/1000000</f>
        <v>8.9000000000000006E-7</v>
      </c>
      <c r="R143" s="234">
        <f>Storage_modulus_G!R143/1000000</f>
        <v>1.22E-6</v>
      </c>
      <c r="S143" s="234">
        <f>Storage_modulus_G!S143/1000000</f>
        <v>1.55E-6</v>
      </c>
      <c r="T143" s="234">
        <f>Storage_modulus_G!T143/1000000</f>
        <v>2.5099999999999997E-6</v>
      </c>
      <c r="U143" s="234">
        <f>Storage_modulus_G!U143/1000000</f>
        <v>3.7500000000000001E-6</v>
      </c>
      <c r="V143" s="234">
        <f>Storage_modulus_G!V143/1000000</f>
        <v>5.3800000000000002E-6</v>
      </c>
      <c r="W143" s="234">
        <f>Storage_modulus_G!W143/1000000</f>
        <v>8.0199999999999994E-6</v>
      </c>
      <c r="X143" s="234">
        <f>Storage_modulus_G!X143/1000000</f>
        <v>1.2460000000000001E-5</v>
      </c>
      <c r="Y143" s="234">
        <f>Storage_modulus_G!Y143/1000000</f>
        <v>1.7170000000000003E-5</v>
      </c>
      <c r="Z143" s="234">
        <f>Storage_modulus_G!Z143/1000000</f>
        <v>2.563E-5</v>
      </c>
      <c r="AA143" s="234">
        <f>Storage_modulus_G!AA143/1000000</f>
        <v>3.6749999999999999E-5</v>
      </c>
      <c r="AB143" s="234">
        <f>Storage_modulus_G!AB143/1000000</f>
        <v>5.4840000000000003E-5</v>
      </c>
      <c r="AC143" s="234">
        <f>Storage_modulus_G!AC143/1000000</f>
        <v>7.5549999999999993E-5</v>
      </c>
      <c r="AD143" s="234">
        <f>Storage_modulus_G!AD143/1000000</f>
        <v>9.2299999999999994E-5</v>
      </c>
      <c r="AE143" s="234">
        <f>Storage_modulus_G!AE143/1000000</f>
        <v>1.3775999999999998E-4</v>
      </c>
      <c r="AF143" s="234">
        <f>Storage_modulus_G!AF143/1000000</f>
        <v>1.8977999999999999E-4</v>
      </c>
      <c r="AG143" s="234">
        <f>Storage_modulus_G!AG143/1000000</f>
        <v>2.5118999999999999E-4</v>
      </c>
      <c r="AH143" s="234">
        <f>Storage_modulus_G!AH143/1000000</f>
        <v>3.0686999999999999E-4</v>
      </c>
      <c r="AI143" s="234">
        <f>Storage_modulus_G!AI143/1000000</f>
        <v>4.2275E-4</v>
      </c>
      <c r="AJ143" s="235">
        <f>Storage_modulus_G!AJ143/1000000</f>
        <v>5.3757000000000002E-4</v>
      </c>
      <c r="AK143" s="2"/>
    </row>
    <row r="144" spans="1:37" ht="15.75" customHeight="1">
      <c r="A144" s="238">
        <v>24</v>
      </c>
      <c r="B144" s="239">
        <v>2</v>
      </c>
      <c r="C144" s="2">
        <f>Storage_modulus_G!C144/1000000</f>
        <v>9.4199999999999996E-6</v>
      </c>
      <c r="D144" s="2">
        <f>Storage_modulus_G!D144/1000000</f>
        <v>1.0199999999999999E-5</v>
      </c>
      <c r="E144" s="2">
        <f>Storage_modulus_G!E144/1000000</f>
        <v>1.1050000000000001E-5</v>
      </c>
      <c r="F144" s="2">
        <f>Storage_modulus_G!F144/1000000</f>
        <v>1.15E-5</v>
      </c>
      <c r="G144" s="2">
        <f>Storage_modulus_G!G144/1000000</f>
        <v>1.1970000000000001E-5</v>
      </c>
      <c r="H144" s="2">
        <f>Storage_modulus_G!H144/1000000</f>
        <v>1.2970000000000001E-5</v>
      </c>
      <c r="I144" s="2">
        <f>Storage_modulus_G!I144/1000000</f>
        <v>1.4050000000000001E-5</v>
      </c>
      <c r="J144" s="2">
        <f>Storage_modulus_G!J144/1000000</f>
        <v>1.4630000000000001E-5</v>
      </c>
      <c r="K144" s="2">
        <f>Storage_modulus_G!K144/1000000</f>
        <v>1.7170000000000003E-5</v>
      </c>
      <c r="L144" s="2">
        <f>Storage_modulus_G!L144/1000000</f>
        <v>2.0149999999999999E-5</v>
      </c>
      <c r="M144" s="2">
        <f>Storage_modulus_G!M144/1000000</f>
        <v>2.0979999999999999E-5</v>
      </c>
      <c r="N144" s="2">
        <f>Storage_modulus_G!N144/1000000</f>
        <v>2.3649999999999999E-5</v>
      </c>
      <c r="O144" s="2">
        <f>Storage_modulus_G!O144/1000000</f>
        <v>2.667E-5</v>
      </c>
      <c r="P144" s="2">
        <f>Storage_modulus_G!P144/1000000</f>
        <v>2.7760000000000002E-5</v>
      </c>
      <c r="Q144" s="2">
        <f>Storage_modulus_G!Q144/1000000</f>
        <v>3.1309999999999997E-5</v>
      </c>
      <c r="R144" s="2">
        <f>Storage_modulus_G!R144/1000000</f>
        <v>3.392E-5</v>
      </c>
      <c r="S144" s="2">
        <f>Storage_modulus_G!S144/1000000</f>
        <v>3.8250000000000001E-5</v>
      </c>
      <c r="T144" s="2">
        <f>Storage_modulus_G!T144/1000000</f>
        <v>4.1439999999999996E-5</v>
      </c>
      <c r="U144" s="2">
        <f>Storage_modulus_G!U144/1000000</f>
        <v>4.8640000000000002E-5</v>
      </c>
      <c r="V144" s="2">
        <f>Storage_modulus_G!V144/1000000</f>
        <v>5.2689999999999999E-5</v>
      </c>
      <c r="W144" s="2">
        <f>Storage_modulus_G!W144/1000000</f>
        <v>6.1840000000000004E-5</v>
      </c>
      <c r="X144" s="2">
        <f>Storage_modulus_G!X144/1000000</f>
        <v>6.4370000000000009E-5</v>
      </c>
      <c r="Y144" s="2">
        <f>Storage_modulus_G!Y144/1000000</f>
        <v>7.5549999999999993E-5</v>
      </c>
      <c r="Z144" s="2">
        <f>Storage_modulus_G!Z144/1000000</f>
        <v>1E-4</v>
      </c>
      <c r="AA144" s="2">
        <f>Storage_modulus_G!AA144/1000000</f>
        <v>1.0834000000000001E-4</v>
      </c>
      <c r="AB144" s="2">
        <f>Storage_modulus_G!AB144/1000000</f>
        <v>1.1737000000000001E-4</v>
      </c>
      <c r="AC144" s="2">
        <f>Storage_modulus_G!AC144/1000000</f>
        <v>1.3775999999999998E-4</v>
      </c>
      <c r="AD144" s="2">
        <f>Storage_modulus_G!AD144/1000000</f>
        <v>1.683E-4</v>
      </c>
      <c r="AE144" s="2">
        <f>Storage_modulus_G!AE144/1000000</f>
        <v>1.8977999999999999E-4</v>
      </c>
      <c r="AF144" s="2">
        <f>Storage_modulus_G!AF144/1000000</f>
        <v>2.6144999999999999E-4</v>
      </c>
      <c r="AG144" s="2">
        <f>Storage_modulus_G!AG144/1000000</f>
        <v>3.1941000000000001E-4</v>
      </c>
      <c r="AH144" s="2">
        <f>Storage_modulus_G!AH144/1000000</f>
        <v>3.7489999999999995E-4</v>
      </c>
      <c r="AI144" s="2">
        <f>Storage_modulus_G!AI144/1000000</f>
        <v>5.3757000000000002E-4</v>
      </c>
      <c r="AJ144" s="236">
        <f>Storage_modulus_G!AJ144/1000000</f>
        <v>6.835700000000001E-4</v>
      </c>
      <c r="AK144" s="2"/>
    </row>
    <row r="145" spans="1:38" ht="15.75" customHeight="1">
      <c r="A145" s="238">
        <v>24</v>
      </c>
      <c r="B145" s="239">
        <v>3</v>
      </c>
      <c r="C145" s="2">
        <f>Storage_modulus_G!C145/1000000</f>
        <v>7.8640000000000006E-5</v>
      </c>
      <c r="D145" s="2">
        <f>Storage_modulus_G!D145/1000000</f>
        <v>7.5549999999999993E-5</v>
      </c>
      <c r="E145" s="2">
        <f>Storage_modulus_G!E145/1000000</f>
        <v>7.5549999999999993E-5</v>
      </c>
      <c r="F145" s="2">
        <f>Storage_modulus_G!F145/1000000</f>
        <v>7.2590000000000008E-5</v>
      </c>
      <c r="G145" s="2">
        <f>Storage_modulus_G!G145/1000000</f>
        <v>7.5549999999999993E-5</v>
      </c>
      <c r="H145" s="2">
        <f>Storage_modulus_G!H145/1000000</f>
        <v>8.1849999999999997E-5</v>
      </c>
      <c r="I145" s="2">
        <f>Storage_modulus_G!I145/1000000</f>
        <v>7.8640000000000006E-5</v>
      </c>
      <c r="J145" s="2">
        <f>Storage_modulus_G!J145/1000000</f>
        <v>7.5549999999999993E-5</v>
      </c>
      <c r="K145" s="2">
        <f>Storage_modulus_G!K145/1000000</f>
        <v>8.5199999999999997E-5</v>
      </c>
      <c r="L145" s="2">
        <f>Storage_modulus_G!L145/1000000</f>
        <v>8.8680000000000012E-5</v>
      </c>
      <c r="M145" s="2">
        <f>Storage_modulus_G!M145/1000000</f>
        <v>9.2299999999999994E-5</v>
      </c>
      <c r="N145" s="2">
        <f>Storage_modulus_G!N145/1000000</f>
        <v>9.2299999999999994E-5</v>
      </c>
      <c r="O145" s="2">
        <f>Storage_modulus_G!O145/1000000</f>
        <v>8.8680000000000012E-5</v>
      </c>
      <c r="P145" s="2">
        <f>Storage_modulus_G!P145/1000000</f>
        <v>9.2299999999999994E-5</v>
      </c>
      <c r="Q145" s="2">
        <f>Storage_modulus_G!Q145/1000000</f>
        <v>1.0409E-4</v>
      </c>
      <c r="R145" s="2">
        <f>Storage_modulus_G!R145/1000000</f>
        <v>1.0834000000000001E-4</v>
      </c>
      <c r="S145" s="2">
        <f>Storage_modulus_G!S145/1000000</f>
        <v>1.1276000000000001E-4</v>
      </c>
      <c r="T145" s="2">
        <f>Storage_modulus_G!T145/1000000</f>
        <v>1.2217E-4</v>
      </c>
      <c r="U145" s="2">
        <f>Storage_modulus_G!U145/1000000</f>
        <v>1.2716E-4</v>
      </c>
      <c r="V145" s="2">
        <f>Storage_modulus_G!V145/1000000</f>
        <v>1.3775999999999998E-4</v>
      </c>
      <c r="W145" s="2">
        <f>Storage_modulus_G!W145/1000000</f>
        <v>1.4338999999999999E-4</v>
      </c>
      <c r="X145" s="2">
        <f>Storage_modulus_G!X145/1000000</f>
        <v>1.4925E-4</v>
      </c>
      <c r="Y145" s="2">
        <f>Storage_modulus_G!Y145/1000000</f>
        <v>1.683E-4</v>
      </c>
      <c r="Z145" s="2">
        <f>Storage_modulus_G!Z145/1000000</f>
        <v>1.8977999999999999E-4</v>
      </c>
      <c r="AA145" s="2">
        <f>Storage_modulus_G!AA145/1000000</f>
        <v>2.0561000000000001E-4</v>
      </c>
      <c r="AB145" s="2">
        <f>Storage_modulus_G!AB145/1000000</f>
        <v>2.1400999999999999E-4</v>
      </c>
      <c r="AC145" s="2">
        <f>Storage_modulus_G!AC145/1000000</f>
        <v>2.5118999999999999E-4</v>
      </c>
      <c r="AD145" s="2">
        <f>Storage_modulus_G!AD145/1000000</f>
        <v>2.9482999999999999E-4</v>
      </c>
      <c r="AE145" s="2">
        <f>Storage_modulus_G!AE145/1000000</f>
        <v>3.3245999999999997E-4</v>
      </c>
      <c r="AF145" s="2">
        <f>Storage_modulus_G!AF145/1000000</f>
        <v>3.9022000000000004E-4</v>
      </c>
      <c r="AG145" s="2">
        <f>Storage_modulus_G!AG145/1000000</f>
        <v>4.4002999999999995E-4</v>
      </c>
      <c r="AH145" s="2">
        <f>Storage_modulus_G!AH145/1000000</f>
        <v>4.7672000000000003E-4</v>
      </c>
      <c r="AI145" s="2">
        <f>Storage_modulus_G!AI145/1000000</f>
        <v>6.835700000000001E-4</v>
      </c>
      <c r="AJ145" s="236">
        <f>Storage_modulus_G!AJ145/1000000</f>
        <v>9.4170000000000007E-4</v>
      </c>
      <c r="AK145" s="2"/>
    </row>
    <row r="146" spans="1:38" ht="15.75" customHeight="1">
      <c r="A146" s="238">
        <v>24</v>
      </c>
      <c r="B146" s="239">
        <v>4</v>
      </c>
      <c r="C146" s="2">
        <f>Storage_modulus_G!C146/1000000</f>
        <v>2.0561000000000001E-4</v>
      </c>
      <c r="D146" s="2">
        <f>Storage_modulus_G!D146/1000000</f>
        <v>2.0561000000000001E-4</v>
      </c>
      <c r="E146" s="2">
        <f>Storage_modulus_G!E146/1000000</f>
        <v>1.9753999999999998E-4</v>
      </c>
      <c r="F146" s="2">
        <f>Storage_modulus_G!F146/1000000</f>
        <v>1.9753999999999998E-4</v>
      </c>
      <c r="G146" s="2">
        <f>Storage_modulus_G!G146/1000000</f>
        <v>2.1400999999999999E-4</v>
      </c>
      <c r="H146" s="2">
        <f>Storage_modulus_G!H146/1000000</f>
        <v>2.1400999999999999E-4</v>
      </c>
      <c r="I146" s="2">
        <f>Storage_modulus_G!I146/1000000</f>
        <v>2.1400999999999999E-4</v>
      </c>
      <c r="J146" s="2">
        <f>Storage_modulus_G!J146/1000000</f>
        <v>2.0561000000000001E-4</v>
      </c>
      <c r="K146" s="2">
        <f>Storage_modulus_G!K146/1000000</f>
        <v>2.2274999999999999E-4</v>
      </c>
      <c r="L146" s="2">
        <f>Storage_modulus_G!L146/1000000</f>
        <v>2.2274999999999999E-4</v>
      </c>
      <c r="M146" s="2">
        <f>Storage_modulus_G!M146/1000000</f>
        <v>2.4133000000000002E-4</v>
      </c>
      <c r="N146" s="2">
        <f>Storage_modulus_G!N146/1000000</f>
        <v>2.4133000000000002E-4</v>
      </c>
      <c r="O146" s="2">
        <f>Storage_modulus_G!O146/1000000</f>
        <v>2.6144999999999999E-4</v>
      </c>
      <c r="P146" s="2">
        <f>Storage_modulus_G!P146/1000000</f>
        <v>2.6144999999999999E-4</v>
      </c>
      <c r="Q146" s="2">
        <f>Storage_modulus_G!Q146/1000000</f>
        <v>2.8324999999999997E-4</v>
      </c>
      <c r="R146" s="2">
        <f>Storage_modulus_G!R146/1000000</f>
        <v>2.9482999999999999E-4</v>
      </c>
      <c r="S146" s="2">
        <f>Storage_modulus_G!S146/1000000</f>
        <v>3.3245999999999997E-4</v>
      </c>
      <c r="T146" s="2">
        <f>Storage_modulus_G!T146/1000000</f>
        <v>3.6017999999999998E-4</v>
      </c>
      <c r="U146" s="2">
        <f>Storage_modulus_G!U146/1000000</f>
        <v>3.6017999999999998E-4</v>
      </c>
      <c r="V146" s="2">
        <f>Storage_modulus_G!V146/1000000</f>
        <v>4.0616000000000003E-4</v>
      </c>
      <c r="W146" s="2">
        <f>Storage_modulus_G!W146/1000000</f>
        <v>4.7672000000000003E-4</v>
      </c>
      <c r="X146" s="2">
        <f>Storage_modulus_G!X146/1000000</f>
        <v>5.1646999999999999E-4</v>
      </c>
      <c r="Y146" s="2">
        <f>Storage_modulus_G!Y146/1000000</f>
        <v>5.3757000000000002E-4</v>
      </c>
      <c r="Z146" s="2">
        <f>Storage_modulus_G!Z146/1000000</f>
        <v>5.8239000000000001E-4</v>
      </c>
      <c r="AA146" s="2">
        <f>Storage_modulus_G!AA146/1000000</f>
        <v>6.835700000000001E-4</v>
      </c>
      <c r="AB146" s="2">
        <f>Storage_modulus_G!AB146/1000000</f>
        <v>7.4057000000000007E-4</v>
      </c>
      <c r="AC146" s="2">
        <f>Storage_modulus_G!AC146/1000000</f>
        <v>8.3509999999999997E-4</v>
      </c>
      <c r="AD146" s="2">
        <f>Storage_modulus_G!AD146/1000000</f>
        <v>9.4170000000000007E-4</v>
      </c>
      <c r="AE146" s="2">
        <f>Storage_modulus_G!AE146/1000000</f>
        <v>1.0619100000000001E-3</v>
      </c>
      <c r="AF146" s="2">
        <f>Storage_modulus_G!AF146/1000000</f>
        <v>1.2463800000000001E-3</v>
      </c>
      <c r="AG146" s="2">
        <f>Storage_modulus_G!AG146/1000000</f>
        <v>1.40548E-3</v>
      </c>
      <c r="AH146" s="2">
        <f>Storage_modulus_G!AH146/1000000</f>
        <v>1.8602200000000001E-3</v>
      </c>
      <c r="AI146" s="2">
        <f>Storage_modulus_G!AI146/1000000</f>
        <v>2.01534E-3</v>
      </c>
      <c r="AJ146" s="236">
        <f>Storage_modulus_G!AJ146/1000000</f>
        <v>2.2725900000000001E-3</v>
      </c>
      <c r="AK146" s="2"/>
    </row>
    <row r="147" spans="1:38" ht="15.75" customHeight="1">
      <c r="A147" s="238">
        <v>24</v>
      </c>
      <c r="B147" s="239">
        <v>5</v>
      </c>
      <c r="C147" s="2">
        <f>Storage_modulus_G!C147/1000000</f>
        <v>8.0232000000000003E-4</v>
      </c>
      <c r="D147" s="2">
        <f>Storage_modulus_G!D147/1000000</f>
        <v>8.6921999999999998E-4</v>
      </c>
      <c r="E147" s="2">
        <f>Storage_modulus_G!E147/1000000</f>
        <v>8.6921999999999998E-4</v>
      </c>
      <c r="F147" s="2">
        <f>Storage_modulus_G!F147/1000000</f>
        <v>8.6921999999999998E-4</v>
      </c>
      <c r="G147" s="2">
        <f>Storage_modulus_G!G147/1000000</f>
        <v>8.0232000000000003E-4</v>
      </c>
      <c r="H147" s="2">
        <f>Storage_modulus_G!H147/1000000</f>
        <v>8.3509999999999997E-4</v>
      </c>
      <c r="I147" s="2">
        <f>Storage_modulus_G!I147/1000000</f>
        <v>8.6921999999999998E-4</v>
      </c>
      <c r="J147" s="2">
        <f>Storage_modulus_G!J147/1000000</f>
        <v>8.6921999999999998E-4</v>
      </c>
      <c r="K147" s="2">
        <f>Storage_modulus_G!K147/1000000</f>
        <v>8.6921999999999998E-4</v>
      </c>
      <c r="L147" s="2">
        <f>Storage_modulus_G!L147/1000000</f>
        <v>8.0232000000000003E-4</v>
      </c>
      <c r="M147" s="2">
        <f>Storage_modulus_G!M147/1000000</f>
        <v>8.6921999999999998E-4</v>
      </c>
      <c r="N147" s="2">
        <f>Storage_modulus_G!N147/1000000</f>
        <v>9.0474000000000001E-4</v>
      </c>
      <c r="O147" s="2">
        <f>Storage_modulus_G!O147/1000000</f>
        <v>9.4170000000000007E-4</v>
      </c>
      <c r="P147" s="2">
        <f>Storage_modulus_G!P147/1000000</f>
        <v>9.4170000000000007E-4</v>
      </c>
      <c r="Q147" s="2">
        <f>Storage_modulus_G!Q147/1000000</f>
        <v>9.4170000000000007E-4</v>
      </c>
      <c r="R147" s="2">
        <f>Storage_modulus_G!R147/1000000</f>
        <v>9.0474000000000001E-4</v>
      </c>
      <c r="S147" s="2">
        <f>Storage_modulus_G!S147/1000000</f>
        <v>9.0474000000000001E-4</v>
      </c>
      <c r="T147" s="2">
        <f>Storage_modulus_G!T147/1000000</f>
        <v>9.8017999999999998E-4</v>
      </c>
      <c r="U147" s="2">
        <f>Storage_modulus_G!U147/1000000</f>
        <v>9.8017999999999998E-4</v>
      </c>
      <c r="V147" s="2">
        <f>Storage_modulus_G!V147/1000000</f>
        <v>1.0619100000000001E-3</v>
      </c>
      <c r="W147" s="2">
        <f>Storage_modulus_G!W147/1000000</f>
        <v>1.1053E-3</v>
      </c>
      <c r="X147" s="2">
        <f>Storage_modulus_G!X147/1000000</f>
        <v>1.1053E-3</v>
      </c>
      <c r="Y147" s="2">
        <f>Storage_modulus_G!Y147/1000000</f>
        <v>1.19746E-3</v>
      </c>
      <c r="Z147" s="2">
        <f>Storage_modulus_G!Z147/1000000</f>
        <v>1.2463800000000001E-3</v>
      </c>
      <c r="AA147" s="2">
        <f>Storage_modulus_G!AA147/1000000</f>
        <v>1.40548E-3</v>
      </c>
      <c r="AB147" s="2">
        <f>Storage_modulus_G!AB147/1000000</f>
        <v>1.46291E-3</v>
      </c>
      <c r="AC147" s="2">
        <f>Storage_modulus_G!AC147/1000000</f>
        <v>1.58489E-3</v>
      </c>
      <c r="AD147" s="2">
        <f>Storage_modulus_G!AD147/1000000</f>
        <v>1.7872000000000001E-3</v>
      </c>
      <c r="AE147" s="2">
        <f>Storage_modulus_G!AE147/1000000</f>
        <v>2.01534E-3</v>
      </c>
      <c r="AF147" s="2">
        <f>Storage_modulus_G!AF147/1000000</f>
        <v>2.3654499999999998E-3</v>
      </c>
      <c r="AG147" s="2">
        <f>Storage_modulus_G!AG147/1000000</f>
        <v>2.3654499999999998E-3</v>
      </c>
      <c r="AH147" s="2">
        <f>Storage_modulus_G!AH147/1000000</f>
        <v>2.88981E-3</v>
      </c>
      <c r="AI147" s="2">
        <f>Storage_modulus_G!AI147/1000000</f>
        <v>2.88981E-3</v>
      </c>
      <c r="AJ147" s="236">
        <f>Storage_modulus_G!AJ147/1000000</f>
        <v>3.3918400000000001E-3</v>
      </c>
      <c r="AK147" s="2"/>
    </row>
    <row r="148" spans="1:38" ht="15.75" customHeight="1">
      <c r="A148" s="238">
        <v>24</v>
      </c>
      <c r="B148" s="239">
        <v>6</v>
      </c>
      <c r="C148" s="2">
        <f>Storage_modulus_G!C148/1000000</f>
        <v>2.0976799999999998E-3</v>
      </c>
      <c r="D148" s="2">
        <f>Storage_modulus_G!D148/1000000</f>
        <v>2.1833899999999999E-3</v>
      </c>
      <c r="E148" s="2">
        <f>Storage_modulus_G!E148/1000000</f>
        <v>2.1833899999999999E-3</v>
      </c>
      <c r="F148" s="2">
        <f>Storage_modulus_G!F148/1000000</f>
        <v>2.2725900000000001E-3</v>
      </c>
      <c r="G148" s="2">
        <f>Storage_modulus_G!G148/1000000</f>
        <v>2.1833899999999999E-3</v>
      </c>
      <c r="H148" s="2">
        <f>Storage_modulus_G!H148/1000000</f>
        <v>2.1833899999999999E-3</v>
      </c>
      <c r="I148" s="2">
        <f>Storage_modulus_G!I148/1000000</f>
        <v>2.0976799999999998E-3</v>
      </c>
      <c r="J148" s="2">
        <f>Storage_modulus_G!J148/1000000</f>
        <v>2.1833899999999999E-3</v>
      </c>
      <c r="K148" s="2">
        <f>Storage_modulus_G!K148/1000000</f>
        <v>2.1833899999999999E-3</v>
      </c>
      <c r="L148" s="2">
        <f>Storage_modulus_G!L148/1000000</f>
        <v>2.01534E-3</v>
      </c>
      <c r="M148" s="2">
        <f>Storage_modulus_G!M148/1000000</f>
        <v>2.01534E-3</v>
      </c>
      <c r="N148" s="2">
        <f>Storage_modulus_G!N148/1000000</f>
        <v>2.01534E-3</v>
      </c>
      <c r="O148" s="2">
        <f>Storage_modulus_G!O148/1000000</f>
        <v>2.01534E-3</v>
      </c>
      <c r="P148" s="2">
        <f>Storage_modulus_G!P148/1000000</f>
        <v>2.1833899999999999E-3</v>
      </c>
      <c r="Q148" s="2">
        <f>Storage_modulus_G!Q148/1000000</f>
        <v>2.1833899999999999E-3</v>
      </c>
      <c r="R148" s="2">
        <f>Storage_modulus_G!R148/1000000</f>
        <v>2.3654499999999998E-3</v>
      </c>
      <c r="S148" s="2">
        <f>Storage_modulus_G!S148/1000000</f>
        <v>2.2725900000000001E-3</v>
      </c>
      <c r="T148" s="2">
        <f>Storage_modulus_G!T148/1000000</f>
        <v>2.2725900000000001E-3</v>
      </c>
      <c r="U148" s="2">
        <f>Storage_modulus_G!U148/1000000</f>
        <v>2.01534E-3</v>
      </c>
      <c r="V148" s="2">
        <f>Storage_modulus_G!V148/1000000</f>
        <v>2.3654499999999998E-3</v>
      </c>
      <c r="W148" s="2">
        <f>Storage_modulus_G!W148/1000000</f>
        <v>2.3654499999999998E-3</v>
      </c>
      <c r="X148" s="2">
        <f>Storage_modulus_G!X148/1000000</f>
        <v>2.4620900000000001E-3</v>
      </c>
      <c r="Y148" s="2">
        <f>Storage_modulus_G!Y148/1000000</f>
        <v>2.4620900000000001E-3</v>
      </c>
      <c r="Z148" s="2">
        <f>Storage_modulus_G!Z148/1000000</f>
        <v>2.4620900000000001E-3</v>
      </c>
      <c r="AA148" s="2">
        <f>Storage_modulus_G!AA148/1000000</f>
        <v>2.66739E-3</v>
      </c>
      <c r="AB148" s="2">
        <f>Storage_modulus_G!AB148/1000000</f>
        <v>2.88981E-3</v>
      </c>
      <c r="AC148" s="2">
        <f>Storage_modulus_G!AC148/1000000</f>
        <v>3.1307800000000001E-3</v>
      </c>
      <c r="AD148" s="2">
        <f>Storage_modulus_G!AD148/1000000</f>
        <v>3.1307800000000001E-3</v>
      </c>
      <c r="AE148" s="2">
        <f>Storage_modulus_G!AE148/1000000</f>
        <v>3.1307800000000001E-3</v>
      </c>
      <c r="AF148" s="2">
        <f>Storage_modulus_G!AF148/1000000</f>
        <v>3.5304200000000003E-3</v>
      </c>
      <c r="AG148" s="2">
        <f>Storage_modulus_G!AG148/1000000</f>
        <v>3.8248000000000002E-3</v>
      </c>
      <c r="AH148" s="2">
        <f>Storage_modulus_G!AH148/1000000</f>
        <v>4.3130299999999998E-3</v>
      </c>
      <c r="AI148" s="2">
        <f>Storage_modulus_G!AI148/1000000</f>
        <v>4.6726700000000003E-3</v>
      </c>
      <c r="AJ148" s="236">
        <f>Storage_modulus_G!AJ148/1000000</f>
        <v>4.8635900000000001E-3</v>
      </c>
      <c r="AK148" s="2"/>
    </row>
    <row r="149" spans="1:38" ht="15.75" customHeight="1">
      <c r="A149" s="238">
        <v>24</v>
      </c>
      <c r="B149" s="239">
        <v>7</v>
      </c>
      <c r="C149" s="34">
        <f>Storage_modulus_G!C149/1000000</f>
        <v>9.60746E-3</v>
      </c>
      <c r="D149" s="34">
        <f>Storage_modulus_G!D149/1000000</f>
        <v>9.60746E-3</v>
      </c>
      <c r="E149" s="34">
        <f>Storage_modulus_G!E149/1000000</f>
        <v>9.2303300000000001E-3</v>
      </c>
      <c r="F149" s="34">
        <f>Storage_modulus_G!F149/1000000</f>
        <v>9.2303300000000001E-3</v>
      </c>
      <c r="G149" s="34">
        <f>Storage_modulus_G!G149/1000000</f>
        <v>8.5199100000000003E-3</v>
      </c>
      <c r="H149" s="34">
        <f>Storage_modulus_G!H149/1000000</f>
        <v>9.60746E-3</v>
      </c>
      <c r="I149" s="34">
        <f>Storage_modulus_G!I149/1000000</f>
        <v>9.2303300000000001E-3</v>
      </c>
      <c r="J149" s="34">
        <f>Storage_modulus_G!J149/1000000</f>
        <v>9.2303300000000001E-3</v>
      </c>
      <c r="K149" s="34">
        <f>Storage_modulus_G!K149/1000000</f>
        <v>8.8680100000000008E-3</v>
      </c>
      <c r="L149" s="34">
        <f>Storage_modulus_G!L149/1000000</f>
        <v>9.2303300000000001E-3</v>
      </c>
      <c r="M149" s="34">
        <f>Storage_modulus_G!M149/1000000</f>
        <v>9.2303300000000001E-3</v>
      </c>
      <c r="N149" s="34">
        <f>Storage_modulus_G!N149/1000000</f>
        <v>9.60746E-3</v>
      </c>
      <c r="O149" s="34">
        <f>Storage_modulus_G!O149/1000000</f>
        <v>9.60746E-3</v>
      </c>
      <c r="P149" s="34">
        <f>Storage_modulus_G!P149/1000000</f>
        <v>9.60746E-3</v>
      </c>
      <c r="Q149" s="34">
        <f>Storage_modulus_G!Q149/1000000</f>
        <v>9.60746E-3</v>
      </c>
      <c r="R149" s="34">
        <f>Storage_modulus_G!R149/1000000</f>
        <v>0.01</v>
      </c>
      <c r="S149" s="34">
        <f>Storage_modulus_G!S149/1000000</f>
        <v>0.01</v>
      </c>
      <c r="T149" s="34">
        <f>Storage_modulus_G!T149/1000000</f>
        <v>9.60746E-3</v>
      </c>
      <c r="U149" s="34">
        <f>Storage_modulus_G!U149/1000000</f>
        <v>9.60746E-3</v>
      </c>
      <c r="V149" s="34">
        <f>Storage_modulus_G!V149/1000000</f>
        <v>9.60746E-3</v>
      </c>
      <c r="W149" s="34">
        <f>Storage_modulus_G!W149/1000000</f>
        <v>0.01</v>
      </c>
      <c r="X149" s="34">
        <f>Storage_modulus_G!X149/1000000</f>
        <v>0.01</v>
      </c>
      <c r="Y149" s="34">
        <f>Storage_modulus_G!Y149/1000000</f>
        <v>0.01</v>
      </c>
      <c r="Z149" s="34">
        <f>Storage_modulus_G!Z149/1000000</f>
        <v>1.0408580000000001E-2</v>
      </c>
      <c r="AA149" s="34">
        <f>Storage_modulus_G!AA149/1000000</f>
        <v>1.0408580000000001E-2</v>
      </c>
      <c r="AB149" s="34">
        <f>Storage_modulus_G!AB149/1000000</f>
        <v>1.0408580000000001E-2</v>
      </c>
      <c r="AC149" s="34">
        <f>Storage_modulus_G!AC149/1000000</f>
        <v>1.0833840000000001E-2</v>
      </c>
      <c r="AD149" s="34">
        <f>Storage_modulus_G!AD149/1000000</f>
        <v>1.0833840000000001E-2</v>
      </c>
      <c r="AE149" s="34">
        <f>Storage_modulus_G!AE149/1000000</f>
        <v>1.0833840000000001E-2</v>
      </c>
      <c r="AF149" s="34">
        <f>Storage_modulus_G!AF149/1000000</f>
        <v>1.127649E-2</v>
      </c>
      <c r="AG149" s="34">
        <f>Storage_modulus_G!AG149/1000000</f>
        <v>1.173722E-2</v>
      </c>
      <c r="AH149" s="34">
        <f>Storage_modulus_G!AH149/1000000</f>
        <v>1.271592E-2</v>
      </c>
      <c r="AI149" s="34">
        <f>Storage_modulus_G!AI149/1000000</f>
        <v>1.271592E-2</v>
      </c>
      <c r="AJ149" s="237">
        <f>Storage_modulus_G!AJ149/1000000</f>
        <v>1.271592E-2</v>
      </c>
      <c r="AK149" s="2"/>
    </row>
    <row r="150" spans="1:38" ht="15.75" customHeight="1">
      <c r="A150" s="229">
        <v>25</v>
      </c>
      <c r="B150" s="74">
        <v>1</v>
      </c>
      <c r="C150" s="448">
        <v>1365.74</v>
      </c>
      <c r="D150" s="448">
        <v>1333.33</v>
      </c>
      <c r="E150" s="448">
        <v>1194.44</v>
      </c>
      <c r="F150" s="448">
        <v>708.33</v>
      </c>
      <c r="G150" s="448">
        <v>532.41</v>
      </c>
      <c r="H150" s="448">
        <v>263.89</v>
      </c>
      <c r="I150" s="226">
        <v>120.37</v>
      </c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8" ht="15.75" customHeight="1">
      <c r="A151" s="228">
        <v>25</v>
      </c>
      <c r="B151" s="75">
        <v>2</v>
      </c>
      <c r="C151" s="22">
        <v>1722.22</v>
      </c>
      <c r="D151" s="22">
        <v>1694.44</v>
      </c>
      <c r="E151" s="22">
        <v>1518.52</v>
      </c>
      <c r="F151" s="22">
        <v>907.41</v>
      </c>
      <c r="G151" s="22">
        <v>675.93</v>
      </c>
      <c r="H151" s="22">
        <v>342.59</v>
      </c>
      <c r="I151" s="226">
        <v>162.04</v>
      </c>
      <c r="J151" s="2"/>
    </row>
    <row r="152" spans="1:38" ht="15.75" customHeight="1">
      <c r="A152" s="228">
        <v>25</v>
      </c>
      <c r="B152" s="75">
        <v>3</v>
      </c>
      <c r="C152" s="22">
        <v>2518.52</v>
      </c>
      <c r="D152" s="22">
        <v>2375</v>
      </c>
      <c r="E152" s="22">
        <v>1962.96</v>
      </c>
      <c r="F152" s="22">
        <v>1189.81</v>
      </c>
      <c r="G152" s="22">
        <v>847.22</v>
      </c>
      <c r="H152" s="22">
        <v>407.41</v>
      </c>
      <c r="I152" s="226">
        <v>189.81</v>
      </c>
      <c r="J152" s="2"/>
    </row>
    <row r="153" spans="1:38" ht="15.75" customHeight="1">
      <c r="A153" s="228">
        <v>25</v>
      </c>
      <c r="B153" s="75">
        <v>4</v>
      </c>
      <c r="C153" s="30">
        <v>2634.26</v>
      </c>
      <c r="D153" s="30">
        <v>2518.52</v>
      </c>
      <c r="E153" s="30">
        <v>2092.59</v>
      </c>
      <c r="F153" s="30">
        <v>1259.26</v>
      </c>
      <c r="G153" s="30">
        <v>939.81</v>
      </c>
      <c r="H153" s="30">
        <v>472.22</v>
      </c>
      <c r="I153" s="232">
        <v>236.11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38" ht="15.75" customHeight="1">
      <c r="A154" s="229">
        <v>26</v>
      </c>
      <c r="B154" s="200" t="s">
        <v>221</v>
      </c>
      <c r="C154" s="234">
        <f>Storage_modulus_G!C154/1000000</f>
        <v>8.0000000000000007E-7</v>
      </c>
      <c r="D154" s="234">
        <f>Storage_modulus_G!D154/1000000</f>
        <v>1.2640000000000001E-6</v>
      </c>
      <c r="E154" s="234">
        <f>Storage_modulus_G!E154/1000000</f>
        <v>2.9220000000000001E-6</v>
      </c>
      <c r="F154" s="234">
        <f>Storage_modulus_G!F154/1000000</f>
        <v>2.9220000000000001E-6</v>
      </c>
      <c r="G154" s="234">
        <f>Storage_modulus_G!G154/1000000</f>
        <v>4.6159999999999995E-6</v>
      </c>
      <c r="H154" s="234">
        <f>Storage_modulus_G!H154/1000000</f>
        <v>7.2930000000000003E-6</v>
      </c>
      <c r="I154" s="234">
        <f>Storage_modulus_G!I154/1000000</f>
        <v>1.2432999999999999E-5</v>
      </c>
      <c r="J154" s="234">
        <f>Storage_modulus_G!J154/1000000</f>
        <v>2.0402999999999998E-5</v>
      </c>
      <c r="K154" s="234">
        <f>Storage_modulus_G!K154/1000000</f>
        <v>4.2084000000000006E-5</v>
      </c>
      <c r="L154" s="234">
        <f>Storage_modulus_G!L154/1000000</f>
        <v>6.6480999999999989E-5</v>
      </c>
      <c r="M154" s="234">
        <f>Storage_modulus_G!M154/1000000</f>
        <v>1.1773900000000001E-4</v>
      </c>
      <c r="N154" s="234">
        <f>Storage_modulus_G!N154/1000000</f>
        <v>2.25033E-4</v>
      </c>
      <c r="O154" s="234">
        <f>Storage_modulus_G!O154/1000000</f>
        <v>4.3010000000000005E-4</v>
      </c>
      <c r="P154" s="234">
        <f>Storage_modulus_G!P154/1000000</f>
        <v>7.3324399999999997E-4</v>
      </c>
      <c r="Q154" s="234">
        <f>Storage_modulus_G!Q154/1000000</f>
        <v>1.2985989999999999E-3</v>
      </c>
      <c r="R154" s="234">
        <f>Storage_modulus_G!R154/1000000</f>
        <v>2.0514299999999999E-3</v>
      </c>
      <c r="S154" s="234">
        <f>Storage_modulus_G!S154/1000000</f>
        <v>3.3665629999999999E-3</v>
      </c>
      <c r="T154" s="234">
        <f>Storage_modulus_G!T154/1000000</f>
        <v>5.524803E-3</v>
      </c>
      <c r="U154" s="235">
        <f>Storage_modulus_G!U154/1000000</f>
        <v>2.299864E-3</v>
      </c>
      <c r="V154" s="2"/>
    </row>
    <row r="155" spans="1:38" ht="15.75" customHeight="1">
      <c r="A155" s="228">
        <v>26</v>
      </c>
      <c r="B155" s="201" t="s">
        <v>222</v>
      </c>
      <c r="C155" s="2">
        <f>Storage_modulus_G!C155/1000000</f>
        <v>1.2914999999999999E-5</v>
      </c>
      <c r="D155" s="2">
        <f>Storage_modulus_G!D155/1000000</f>
        <v>1.8199000000000003E-5</v>
      </c>
      <c r="E155" s="2">
        <f>Storage_modulus_G!E155/1000000</f>
        <v>2.6639999999999999E-5</v>
      </c>
      <c r="F155" s="2">
        <f>Storage_modulus_G!F155/1000000</f>
        <v>3.8996000000000004E-5</v>
      </c>
      <c r="G155" s="2">
        <f>Storage_modulus_G!G155/1000000</f>
        <v>4.9013E-5</v>
      </c>
      <c r="H155" s="2">
        <f>Storage_modulus_G!H155/1000000</f>
        <v>6.9062999999999999E-5</v>
      </c>
      <c r="I155" s="2">
        <f>Storage_modulus_G!I155/1000000</f>
        <v>9.0174000000000008E-5</v>
      </c>
      <c r="J155" s="2">
        <f>Storage_modulus_G!J155/1000000</f>
        <v>1.2706300000000001E-4</v>
      </c>
      <c r="K155" s="2">
        <f>Storage_modulus_G!K155/1000000</f>
        <v>1.79042E-4</v>
      </c>
      <c r="L155" s="2">
        <f>Storage_modulus_G!L155/1000000</f>
        <v>2.9382299999999997E-4</v>
      </c>
      <c r="M155" s="2">
        <f>Storage_modulus_G!M155/1000000</f>
        <v>4.4680499999999999E-4</v>
      </c>
      <c r="N155" s="2">
        <f>Storage_modulus_G!N155/1000000</f>
        <v>7.0582899999999994E-4</v>
      </c>
      <c r="O155" s="2">
        <f>Storage_modulus_G!O155/1000000</f>
        <v>1.203312E-3</v>
      </c>
      <c r="P155" s="2">
        <f>Storage_modulus_G!P155/1000000</f>
        <v>1.9009020000000001E-3</v>
      </c>
      <c r="Q155" s="2">
        <f>Storage_modulus_G!Q155/1000000</f>
        <v>3.2406959999999999E-3</v>
      </c>
      <c r="R155" s="2">
        <f>Storage_modulus_G!R155/1000000</f>
        <v>4.7437619999999995E-3</v>
      </c>
      <c r="S155" s="2">
        <f>Storage_modulus_G!S155/1000000</f>
        <v>7.4938410000000002E-3</v>
      </c>
      <c r="T155" s="2">
        <f>Storage_modulus_G!T155/1000000</f>
        <v>1.1838209999999998E-2</v>
      </c>
      <c r="U155" s="236">
        <f>Storage_modulus_G!U155/1000000</f>
        <v>1.6681005000000002E-2</v>
      </c>
      <c r="V155" s="2"/>
    </row>
    <row r="156" spans="1:38" ht="15.75" customHeight="1">
      <c r="A156" s="228">
        <v>26</v>
      </c>
      <c r="B156" s="201" t="s">
        <v>223</v>
      </c>
      <c r="C156" s="2">
        <f>Storage_modulus_G!C156/1000000</f>
        <v>2.6208399999999999E-4</v>
      </c>
      <c r="D156" s="2">
        <f>Storage_modulus_G!D156/1000000</f>
        <v>3.2940499999999995E-4</v>
      </c>
      <c r="E156" s="2">
        <f>Storage_modulus_G!E156/1000000</f>
        <v>3.5549000000000003E-4</v>
      </c>
      <c r="F156" s="2">
        <f>Storage_modulus_G!F156/1000000</f>
        <v>4.3010000000000005E-4</v>
      </c>
      <c r="G156" s="2">
        <f>Storage_modulus_G!G156/1000000</f>
        <v>5.4058100000000005E-4</v>
      </c>
      <c r="H156" s="2">
        <f>Storage_modulus_G!H156/1000000</f>
        <v>6.5403800000000002E-4</v>
      </c>
      <c r="I156" s="2">
        <f>Storage_modulus_G!I156/1000000</f>
        <v>7.3324399999999997E-4</v>
      </c>
      <c r="J156" s="2">
        <f>Storage_modulus_G!J156/1000000</f>
        <v>8.539690000000001E-4</v>
      </c>
      <c r="K156" s="2">
        <f>Storage_modulus_G!K156/1000000</f>
        <v>1.203312E-3</v>
      </c>
      <c r="L156" s="2">
        <f>Storage_modulus_G!L156/1000000</f>
        <v>1.571149E-3</v>
      </c>
      <c r="M156" s="2">
        <f>Storage_modulus_G!M156/1000000</f>
        <v>2.1311070000000001E-3</v>
      </c>
      <c r="N156" s="2">
        <f>Storage_modulus_G!N156/1000000</f>
        <v>2.782559E-3</v>
      </c>
      <c r="O156" s="2">
        <f>Storage_modulus_G!O156/1000000</f>
        <v>4.0731379999999996E-3</v>
      </c>
      <c r="P156" s="2">
        <f>Storage_modulus_G!P156/1000000</f>
        <v>5.3182450000000001E-3</v>
      </c>
      <c r="Q156" s="2">
        <f>Storage_modulus_G!Q156/1000000</f>
        <v>7.7848990000000005E-3</v>
      </c>
      <c r="R156" s="2">
        <f>Storage_modulus_G!R156/1000000</f>
        <v>1.0969558000000001E-2</v>
      </c>
      <c r="S156" s="2">
        <f>Storage_modulus_G!S156/1000000</f>
        <v>1.6057346E-2</v>
      </c>
      <c r="T156" s="2">
        <f>Storage_modulus_G!T156/1000000</f>
        <v>2.0965874999999998E-2</v>
      </c>
      <c r="U156" s="236">
        <f>Storage_modulus_G!U156/1000000</f>
        <v>2.9542631E-2</v>
      </c>
      <c r="V156" s="2"/>
    </row>
    <row r="157" spans="1:38" ht="15.75" customHeight="1">
      <c r="A157" s="228">
        <v>26</v>
      </c>
      <c r="B157" s="201" t="s">
        <v>224</v>
      </c>
      <c r="C157" s="2">
        <f>Storage_modulus_G!C157/1000000</f>
        <v>1.8298330000000001E-3</v>
      </c>
      <c r="D157" s="2">
        <f>Storage_modulus_G!D157/1000000</f>
        <v>1.9747329999999998E-3</v>
      </c>
      <c r="E157" s="2">
        <f>Storage_modulus_G!E157/1000000</f>
        <v>2.0514299999999999E-3</v>
      </c>
      <c r="F157" s="2">
        <f>Storage_modulus_G!F157/1000000</f>
        <v>2.2138780000000003E-3</v>
      </c>
      <c r="G157" s="2">
        <f>Storage_modulus_G!G157/1000000</f>
        <v>2.8906329999999997E-3</v>
      </c>
      <c r="H157" s="2">
        <f>Storage_modulus_G!H157/1000000</f>
        <v>3.497319E-3</v>
      </c>
      <c r="I157" s="2">
        <f>Storage_modulus_G!I157/1000000</f>
        <v>4.2313360000000005E-3</v>
      </c>
      <c r="J157" s="2">
        <f>Storage_modulus_G!J157/1000000</f>
        <v>4.9280080000000002E-3</v>
      </c>
      <c r="K157" s="2">
        <f>Storage_modulus_G!K157/1000000</f>
        <v>5.9622979999999996E-3</v>
      </c>
      <c r="L157" s="2">
        <f>Storage_modulus_G!L157/1000000</f>
        <v>7.4938410000000002E-3</v>
      </c>
      <c r="M157" s="2">
        <f>Storage_modulus_G!M157/1000000</f>
        <v>9.0666489999999995E-3</v>
      </c>
      <c r="N157" s="2">
        <f>Storage_modulus_G!N157/1000000</f>
        <v>1.139561E-2</v>
      </c>
      <c r="O157" s="2">
        <f>Storage_modulus_G!O157/1000000</f>
        <v>1.4879106E-2</v>
      </c>
      <c r="P157" s="2">
        <f>Storage_modulus_G!P157/1000000</f>
        <v>2.0965874999999998E-2</v>
      </c>
      <c r="Q157" s="2">
        <f>Storage_modulus_G!Q157/1000000</f>
        <v>2.5366195000000001E-2</v>
      </c>
      <c r="R157" s="2">
        <f>Storage_modulus_G!R157/1000000</f>
        <v>3.4406699999999998E-2</v>
      </c>
      <c r="S157" s="2">
        <f>Storage_modulus_G!S157/1000000</f>
        <v>4.1627981000000001E-2</v>
      </c>
      <c r="T157" s="2">
        <f>Storage_modulus_G!T157/1000000</f>
        <v>6.3302147000000003E-2</v>
      </c>
      <c r="U157" s="236">
        <f>Storage_modulus_G!U157/1000000</f>
        <v>0.12568712200000001</v>
      </c>
      <c r="V157" s="2"/>
    </row>
    <row r="158" spans="1:38" ht="15.75" customHeight="1">
      <c r="A158" s="228">
        <v>26</v>
      </c>
      <c r="B158" s="201" t="s">
        <v>229</v>
      </c>
      <c r="C158" s="2">
        <f>Storage_modulus_G!C158/1000000</f>
        <v>7.2136660000000005E-3</v>
      </c>
      <c r="D158" s="2">
        <f>Storage_modulus_G!D158/1000000</f>
        <v>7.2136660000000005E-3</v>
      </c>
      <c r="E158" s="2">
        <f>Storage_modulus_G!E158/1000000</f>
        <v>7.2136660000000005E-3</v>
      </c>
      <c r="F158" s="2">
        <f>Storage_modulus_G!F158/1000000</f>
        <v>7.2136660000000005E-3</v>
      </c>
      <c r="G158" s="2">
        <f>Storage_modulus_G!G158/1000000</f>
        <v>7.7848990000000005E-3</v>
      </c>
      <c r="H158" s="2">
        <f>Storage_modulus_G!H158/1000000</f>
        <v>8.4013660000000004E-3</v>
      </c>
      <c r="I158" s="2">
        <f>Storage_modulus_G!I158/1000000</f>
        <v>9.418793E-3</v>
      </c>
      <c r="J158" s="2">
        <f>Storage_modulus_G!J158/1000000</f>
        <v>1.139561E-2</v>
      </c>
      <c r="K158" s="2">
        <f>Storage_modulus_G!K158/1000000</f>
        <v>1.2775649E-2</v>
      </c>
      <c r="L158" s="2">
        <f>Storage_modulus_G!L158/1000000</f>
        <v>1.3787321999999999E-2</v>
      </c>
      <c r="M158" s="2">
        <f>Storage_modulus_G!M158/1000000</f>
        <v>1.8001933000000001E-2</v>
      </c>
      <c r="N158" s="2">
        <f>Storage_modulus_G!N158/1000000</f>
        <v>2.0965874999999998E-2</v>
      </c>
      <c r="O158" s="2">
        <f>Storage_modulus_G!O158/1000000</f>
        <v>2.5366195000000001E-2</v>
      </c>
      <c r="P158" s="2">
        <f>Storage_modulus_G!P158/1000000</f>
        <v>3.188204E-2</v>
      </c>
      <c r="Q158" s="2">
        <f>Storage_modulus_G!Q158/1000000</f>
        <v>4.0071618000000003E-2</v>
      </c>
      <c r="R158" s="2">
        <f>Storage_modulus_G!R158/1000000</f>
        <v>4.6669240000000001E-2</v>
      </c>
      <c r="S158" s="2">
        <f>Storage_modulus_G!S158/1000000</f>
        <v>6.0935444000000005E-2</v>
      </c>
      <c r="T158" s="2">
        <f>Storage_modulus_G!T158/1000000</f>
        <v>7.6588005000000001E-2</v>
      </c>
      <c r="U158" s="236">
        <f>Storage_modulus_G!U158/1000000</f>
        <v>8.5863017000000014E-2</v>
      </c>
      <c r="V158" s="2"/>
    </row>
    <row r="159" spans="1:38" ht="15.75" customHeight="1">
      <c r="A159" s="228">
        <v>26</v>
      </c>
      <c r="B159" s="201" t="s">
        <v>225</v>
      </c>
      <c r="C159" s="2">
        <v>9816.4716526543798</v>
      </c>
      <c r="D159" s="2">
        <v>9520.0011309452893</v>
      </c>
      <c r="E159" s="2">
        <v>9058.8242611998903</v>
      </c>
      <c r="F159" s="2">
        <v>8037.6485223997797</v>
      </c>
      <c r="G159" s="2">
        <v>7115.2925210184103</v>
      </c>
      <c r="H159" s="2">
        <v>6028.2346953818997</v>
      </c>
      <c r="I159" s="2">
        <v>5534.1179131635899</v>
      </c>
      <c r="J159" s="2">
        <v>4743.5283473456102</v>
      </c>
      <c r="K159" s="2">
        <v>3920.0011309452798</v>
      </c>
      <c r="L159" s="2">
        <v>3195.2959138542801</v>
      </c>
      <c r="M159" s="2">
        <v>2569.4126960725898</v>
      </c>
      <c r="N159" s="2">
        <v>2075.2936519637001</v>
      </c>
      <c r="O159" s="2"/>
      <c r="P159" s="2"/>
      <c r="Q159" s="2"/>
      <c r="R159" s="2"/>
      <c r="S159" s="2"/>
      <c r="T159" s="2"/>
      <c r="U159" s="236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 spans="1:38" ht="15.75" customHeight="1">
      <c r="A160" s="228">
        <v>26</v>
      </c>
      <c r="B160" s="201" t="s">
        <v>226</v>
      </c>
      <c r="C160" s="2">
        <v>13209.4115651273</v>
      </c>
      <c r="D160" s="2">
        <v>12748.2346953819</v>
      </c>
      <c r="E160" s="2">
        <v>12188.2358263271</v>
      </c>
      <c r="F160" s="2">
        <v>10705.8832177816</v>
      </c>
      <c r="G160" s="2">
        <v>8828.2358263271908</v>
      </c>
      <c r="H160" s="2">
        <v>7214.1167822182997</v>
      </c>
      <c r="I160" s="2">
        <v>6061.1768697453899</v>
      </c>
      <c r="J160" s="2">
        <v>5105.8832177816903</v>
      </c>
      <c r="K160" s="2">
        <v>4414.1201750541704</v>
      </c>
      <c r="L160" s="2">
        <v>3920.0011309452798</v>
      </c>
      <c r="M160" s="2">
        <v>3623.5306092361802</v>
      </c>
      <c r="N160" s="2">
        <v>3360</v>
      </c>
      <c r="O160" s="2"/>
      <c r="P160" s="2"/>
      <c r="Q160" s="2"/>
      <c r="R160" s="2"/>
      <c r="S160" s="2"/>
      <c r="T160" s="2"/>
      <c r="U160" s="236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 spans="1:38" ht="15.75" customHeight="1">
      <c r="A161" s="228">
        <v>26</v>
      </c>
      <c r="B161" s="201" t="s">
        <v>227</v>
      </c>
      <c r="C161" s="2">
        <v>11754.718000000001</v>
      </c>
      <c r="D161" s="2">
        <v>11391.511</v>
      </c>
      <c r="E161" s="2">
        <v>11061.321</v>
      </c>
      <c r="F161" s="2">
        <v>10301.887000000001</v>
      </c>
      <c r="G161" s="87">
        <v>9179.2469999999994</v>
      </c>
      <c r="H161" s="2">
        <v>7825.4709999999995</v>
      </c>
      <c r="I161" s="2">
        <v>6669.8119999999999</v>
      </c>
      <c r="J161" s="2">
        <v>5910.38</v>
      </c>
      <c r="K161" s="2">
        <v>4952.8310000000001</v>
      </c>
      <c r="L161" s="2">
        <v>3962.2640000000001</v>
      </c>
      <c r="M161" s="2">
        <v>3070.7550000000001</v>
      </c>
      <c r="N161" s="2">
        <v>2641.5129999999999</v>
      </c>
      <c r="O161" s="2"/>
      <c r="P161" s="2"/>
      <c r="Q161" s="2"/>
      <c r="R161" s="2"/>
      <c r="S161" s="2"/>
      <c r="T161" s="2"/>
      <c r="U161" s="236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 spans="1:38" ht="15.75" customHeight="1">
      <c r="A162" s="228">
        <v>26</v>
      </c>
      <c r="B162" s="201" t="s">
        <v>228</v>
      </c>
      <c r="C162" s="2">
        <v>12712.264999999999</v>
      </c>
      <c r="D162" s="2">
        <v>12448.115</v>
      </c>
      <c r="E162" s="2">
        <v>11985.85</v>
      </c>
      <c r="F162" s="2">
        <v>10896.226000000001</v>
      </c>
      <c r="G162" s="2">
        <v>9707.5470000000005</v>
      </c>
      <c r="H162" s="2">
        <v>8419.8109999999997</v>
      </c>
      <c r="I162" s="2">
        <v>7594.3410000000003</v>
      </c>
      <c r="J162" s="2">
        <v>6702.8320000000003</v>
      </c>
      <c r="K162" s="2">
        <v>5745.2830000000004</v>
      </c>
      <c r="L162" s="2">
        <v>4655.6610000000001</v>
      </c>
      <c r="M162" s="2">
        <v>3929.2469999999998</v>
      </c>
      <c r="N162" s="2">
        <v>3433.9650000000001</v>
      </c>
      <c r="O162" s="2"/>
      <c r="P162" s="2"/>
      <c r="Q162" s="2"/>
      <c r="R162" s="2"/>
      <c r="S162" s="2"/>
      <c r="T162" s="2"/>
      <c r="U162" s="236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 spans="1:38" ht="15.75" customHeight="1">
      <c r="A163" s="230">
        <v>26</v>
      </c>
      <c r="B163" s="231" t="s">
        <v>230</v>
      </c>
      <c r="C163" s="34">
        <v>12051.888000000001</v>
      </c>
      <c r="D163" s="34">
        <v>11820.754999999999</v>
      </c>
      <c r="E163" s="34">
        <v>11358.491</v>
      </c>
      <c r="F163" s="34">
        <v>10500.001</v>
      </c>
      <c r="G163" s="34">
        <v>8915.0930000000008</v>
      </c>
      <c r="H163" s="34">
        <v>7396.2290000000003</v>
      </c>
      <c r="I163" s="34">
        <v>6372.6419999999998</v>
      </c>
      <c r="J163" s="34">
        <v>5712.2650000000003</v>
      </c>
      <c r="K163" s="34">
        <v>4919.8130000000001</v>
      </c>
      <c r="L163" s="34">
        <v>3962.2640000000001</v>
      </c>
      <c r="M163" s="34">
        <v>3367.9250000000002</v>
      </c>
      <c r="N163" s="34">
        <v>2938.6819999999998</v>
      </c>
      <c r="O163" s="34"/>
      <c r="P163" s="34"/>
      <c r="Q163" s="34"/>
      <c r="R163" s="34"/>
      <c r="S163" s="34"/>
      <c r="T163" s="34"/>
      <c r="U163" s="237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 spans="1:38" ht="15.75" customHeight="1">
      <c r="A164" s="196">
        <v>27</v>
      </c>
      <c r="B164" s="201">
        <v>1</v>
      </c>
      <c r="C164" s="2">
        <v>1638.655</v>
      </c>
      <c r="D164" s="2">
        <v>1550.42</v>
      </c>
      <c r="E164" s="2">
        <v>1424.37</v>
      </c>
      <c r="F164" s="2">
        <v>1323.529</v>
      </c>
      <c r="G164" s="2">
        <v>1222.6890000000001</v>
      </c>
      <c r="H164" s="2">
        <v>1172.269</v>
      </c>
      <c r="I164" s="2">
        <v>1071.4290000000001</v>
      </c>
      <c r="J164" s="2">
        <v>957.98299999999995</v>
      </c>
      <c r="K164" s="2">
        <v>857.14300000000003</v>
      </c>
      <c r="L164" s="2">
        <v>768.90800000000002</v>
      </c>
      <c r="M164" s="2">
        <v>705.88199999999995</v>
      </c>
      <c r="N164" s="236">
        <v>668.06700000000001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</row>
    <row r="165" spans="1:38" ht="15.75" customHeight="1">
      <c r="A165" s="196">
        <v>27</v>
      </c>
      <c r="B165" s="201">
        <v>2</v>
      </c>
      <c r="C165" s="2">
        <v>4172.2690000000002</v>
      </c>
      <c r="D165" s="2">
        <v>3844.538</v>
      </c>
      <c r="E165" s="2">
        <v>3478.9920000000002</v>
      </c>
      <c r="F165" s="2">
        <v>3176.471</v>
      </c>
      <c r="G165" s="2">
        <v>2861.3449999999998</v>
      </c>
      <c r="H165" s="2">
        <v>2621.8490000000002</v>
      </c>
      <c r="I165" s="2">
        <v>2432.7730000000001</v>
      </c>
      <c r="J165" s="2">
        <v>2180.672</v>
      </c>
      <c r="K165" s="2">
        <v>1815.126</v>
      </c>
      <c r="L165" s="2">
        <v>1525.21</v>
      </c>
      <c r="M165" s="2">
        <v>1348.739</v>
      </c>
      <c r="N165" s="236">
        <v>1184.874</v>
      </c>
      <c r="O165" s="2"/>
    </row>
    <row r="166" spans="1:38" ht="15.75" customHeight="1">
      <c r="A166" s="196">
        <v>27</v>
      </c>
      <c r="B166" s="201">
        <v>3</v>
      </c>
      <c r="C166" s="2">
        <v>5130.2520000000004</v>
      </c>
      <c r="D166" s="2">
        <v>4726.8909999999996</v>
      </c>
      <c r="E166" s="2">
        <v>4159.6639999999998</v>
      </c>
      <c r="F166" s="2">
        <v>3617.6469999999999</v>
      </c>
      <c r="G166" s="2">
        <v>3264.7060000000001</v>
      </c>
      <c r="H166" s="2">
        <v>2974.79</v>
      </c>
      <c r="I166" s="2">
        <v>2747.8989999999999</v>
      </c>
      <c r="J166" s="2">
        <v>2369.748</v>
      </c>
      <c r="K166" s="2">
        <v>1978.992</v>
      </c>
      <c r="L166" s="2">
        <v>1651.261</v>
      </c>
      <c r="M166" s="2">
        <v>1348.739</v>
      </c>
      <c r="N166" s="236">
        <v>1184.874</v>
      </c>
      <c r="O166" s="2"/>
    </row>
    <row r="167" spans="1:38" ht="15.75" customHeight="1">
      <c r="A167" s="196">
        <v>27</v>
      </c>
      <c r="B167" s="201">
        <v>4</v>
      </c>
      <c r="C167" s="2">
        <v>5369.7479999999996</v>
      </c>
      <c r="D167" s="2">
        <v>5067.2269999999999</v>
      </c>
      <c r="E167" s="2">
        <v>4537.8149999999996</v>
      </c>
      <c r="F167" s="2">
        <v>3932.7730000000001</v>
      </c>
      <c r="G167" s="2">
        <v>3491.5970000000002</v>
      </c>
      <c r="H167" s="2">
        <v>3176.471</v>
      </c>
      <c r="I167" s="2">
        <v>2899.16</v>
      </c>
      <c r="J167" s="2">
        <v>2508.4029999999998</v>
      </c>
      <c r="K167" s="2">
        <v>2117.6469999999999</v>
      </c>
      <c r="L167" s="2">
        <v>1764.7059999999999</v>
      </c>
      <c r="M167" s="2">
        <v>1512.605</v>
      </c>
      <c r="N167" s="236">
        <v>1298.319</v>
      </c>
      <c r="O167" s="2"/>
      <c r="P167" s="2"/>
      <c r="Q167" s="2"/>
      <c r="R167" s="2"/>
      <c r="S167" s="2"/>
      <c r="T167" s="2"/>
      <c r="U167" s="2"/>
    </row>
    <row r="168" spans="1:38" ht="15.75" customHeight="1">
      <c r="A168" s="229">
        <v>28</v>
      </c>
      <c r="B168" s="74">
        <v>1</v>
      </c>
      <c r="C168" s="234">
        <f>Storage_modulus_G!C168/1000000</f>
        <v>1.187E-5</v>
      </c>
      <c r="D168" s="234">
        <f>Storage_modulus_G!D168/1000000</f>
        <v>1.2510000000000001E-5</v>
      </c>
      <c r="E168" s="234">
        <f>Storage_modulus_G!E168/1000000</f>
        <v>1.485E-5</v>
      </c>
      <c r="F168" s="234">
        <f>Storage_modulus_G!F168/1000000</f>
        <v>1.505E-5</v>
      </c>
      <c r="G168" s="234">
        <f>Storage_modulus_G!G168/1000000</f>
        <v>1.6289999999999998E-5</v>
      </c>
      <c r="H168" s="234">
        <f>Storage_modulus_G!H168/1000000</f>
        <v>1.6289999999999998E-5</v>
      </c>
      <c r="I168" s="234">
        <f>Storage_modulus_G!I168/1000000</f>
        <v>1.6500000000000001E-5</v>
      </c>
      <c r="J168" s="234">
        <f>Storage_modulus_G!J168/1000000</f>
        <v>1.7399999999999999E-5</v>
      </c>
      <c r="K168" s="234">
        <f>Storage_modulus_G!K168/1000000</f>
        <v>1.8340000000000001E-5</v>
      </c>
      <c r="L168" s="234">
        <f>Storage_modulus_G!L168/1000000</f>
        <v>1.9850000000000001E-5</v>
      </c>
      <c r="M168" s="234">
        <f>Storage_modulus_G!M168/1000000</f>
        <v>1.9850000000000001E-5</v>
      </c>
      <c r="N168" s="234">
        <f>Storage_modulus_G!N168/1000000</f>
        <v>2.1480000000000001E-5</v>
      </c>
      <c r="O168" s="234">
        <f>Storage_modulus_G!O168/1000000</f>
        <v>2.3249999999999999E-5</v>
      </c>
      <c r="P168" s="234">
        <f>Storage_modulus_G!P168/1000000</f>
        <v>2.7230000000000002E-5</v>
      </c>
      <c r="Q168" s="234">
        <f>Storage_modulus_G!Q168/1000000</f>
        <v>3.6879999999999999E-5</v>
      </c>
      <c r="R168" s="234">
        <f>Storage_modulus_G!R168/1000000</f>
        <v>5.8499999999999999E-5</v>
      </c>
      <c r="S168" s="234">
        <f>Storage_modulus_G!S168/1000000</f>
        <v>7.1290000000000004E-5</v>
      </c>
      <c r="T168" s="234">
        <f>Storage_modulus_G!T168/1000000</f>
        <v>1.3602000000000002E-4</v>
      </c>
      <c r="U168" s="235">
        <f>Storage_modulus_G!U168/1000000</f>
        <v>2.3352E-4</v>
      </c>
      <c r="V168" s="2"/>
    </row>
    <row r="169" spans="1:38" ht="15.75" customHeight="1">
      <c r="A169" s="228">
        <v>28</v>
      </c>
      <c r="B169" s="75">
        <v>2</v>
      </c>
      <c r="C169" s="2">
        <f>Storage_modulus_G!C169/1000000</f>
        <v>1.156051E-2</v>
      </c>
      <c r="D169" s="2">
        <f>Storage_modulus_G!D169/1000000</f>
        <v>1.202687E-2</v>
      </c>
      <c r="E169" s="2">
        <f>Storage_modulus_G!E169/1000000</f>
        <v>1.218647E-2</v>
      </c>
      <c r="F169" s="2">
        <f>Storage_modulus_G!F169/1000000</f>
        <v>1.234818E-2</v>
      </c>
      <c r="G169" s="2">
        <f>Storage_modulus_G!G169/1000000</f>
        <v>1.251204E-2</v>
      </c>
      <c r="H169" s="2">
        <f>Storage_modulus_G!H169/1000000</f>
        <v>1.301679E-2</v>
      </c>
      <c r="I169" s="2">
        <f>Storage_modulus_G!I169/1000000</f>
        <v>1.284632E-2</v>
      </c>
      <c r="J169" s="2">
        <f>Storage_modulus_G!J169/1000000</f>
        <v>1.301679E-2</v>
      </c>
      <c r="K169" s="2">
        <f>Storage_modulus_G!K169/1000000</f>
        <v>1.318952E-2</v>
      </c>
      <c r="L169" s="2">
        <f>Storage_modulus_G!L169/1000000</f>
        <v>1.3541889999999999E-2</v>
      </c>
      <c r="M169" s="2">
        <f>Storage_modulus_G!M169/1000000</f>
        <v>1.408818E-2</v>
      </c>
      <c r="N169" s="2">
        <f>Storage_modulus_G!N169/1000000</f>
        <v>1.3721590000000001E-2</v>
      </c>
      <c r="O169" s="2">
        <f>Storage_modulus_G!O169/1000000</f>
        <v>1.446456E-2</v>
      </c>
      <c r="P169" s="2">
        <f>Storage_modulus_G!P169/1000000</f>
        <v>1.446456E-2</v>
      </c>
      <c r="Q169" s="2">
        <f>Storage_modulus_G!Q169/1000000</f>
        <v>1.4851E-2</v>
      </c>
      <c r="R169" s="2">
        <f>Storage_modulus_G!R169/1000000</f>
        <v>1.54501E-2</v>
      </c>
      <c r="S169" s="2">
        <f>Storage_modulus_G!S169/1000000</f>
        <v>1.6286660000000001E-2</v>
      </c>
      <c r="T169" s="2">
        <f>Storage_modulus_G!T169/1000000</f>
        <v>1.6721779999999999E-2</v>
      </c>
      <c r="U169" s="236">
        <f>Storage_modulus_G!U169/1000000</f>
        <v>1.716852E-2</v>
      </c>
      <c r="V169" s="2"/>
    </row>
    <row r="170" spans="1:38" ht="15.75" customHeight="1">
      <c r="A170" s="228">
        <v>28</v>
      </c>
      <c r="B170" s="75">
        <v>3</v>
      </c>
      <c r="C170" s="2">
        <f>Storage_modulus_G!C170/1000000</f>
        <v>2.60634E-3</v>
      </c>
      <c r="D170" s="2">
        <f>Storage_modulus_G!D170/1000000</f>
        <v>3.1346099999999999E-3</v>
      </c>
      <c r="E170" s="2">
        <f>Storage_modulus_G!E170/1000000</f>
        <v>3.2610600000000001E-3</v>
      </c>
      <c r="F170" s="2">
        <f>Storage_modulus_G!F170/1000000</f>
        <v>3.3481799999999996E-3</v>
      </c>
      <c r="G170" s="2">
        <f>Storage_modulus_G!G170/1000000</f>
        <v>3.5294699999999998E-3</v>
      </c>
      <c r="H170" s="2">
        <f>Storage_modulus_G!H170/1000000</f>
        <v>3.6237700000000001E-3</v>
      </c>
      <c r="I170" s="2">
        <f>Storage_modulus_G!I170/1000000</f>
        <v>3.6718499999999999E-3</v>
      </c>
      <c r="J170" s="2">
        <f>Storage_modulus_G!J170/1000000</f>
        <v>3.7205799999999998E-3</v>
      </c>
      <c r="K170" s="2">
        <f>Storage_modulus_G!K170/1000000</f>
        <v>3.7205799999999998E-3</v>
      </c>
      <c r="L170" s="2">
        <f>Storage_modulus_G!L170/1000000</f>
        <v>3.8706700000000001E-3</v>
      </c>
      <c r="M170" s="2">
        <f>Storage_modulus_G!M170/1000000</f>
        <v>4.0802499999999997E-3</v>
      </c>
      <c r="N170" s="2">
        <f>Storage_modulus_G!N170/1000000</f>
        <v>4.4746899999999999E-3</v>
      </c>
      <c r="O170" s="2">
        <f>Storage_modulus_G!O170/1000000</f>
        <v>4.9723900000000001E-3</v>
      </c>
      <c r="P170" s="2">
        <f>Storage_modulus_G!P170/1000000</f>
        <v>5.45307E-3</v>
      </c>
      <c r="Q170" s="2">
        <f>Storage_modulus_G!Q170/1000000</f>
        <v>6.0595800000000002E-3</v>
      </c>
      <c r="R170" s="2">
        <f>Storage_modulus_G!R170/1000000</f>
        <v>6.4724499999999994E-3</v>
      </c>
      <c r="S170" s="2">
        <f>Storage_modulus_G!S170/1000000</f>
        <v>7.5817799999999998E-3</v>
      </c>
      <c r="T170" s="2">
        <f>Storage_modulus_G!T170/1000000</f>
        <v>8.6501399999999989E-3</v>
      </c>
      <c r="U170" s="236">
        <f>Storage_modulus_G!U170/1000000</f>
        <v>9.8690400000000008E-3</v>
      </c>
      <c r="V170" s="2"/>
    </row>
    <row r="171" spans="1:38" ht="15.75" customHeight="1">
      <c r="A171" s="228">
        <v>28</v>
      </c>
      <c r="B171" s="75">
        <v>4</v>
      </c>
      <c r="C171" s="2">
        <f>Storage_modulus_G!C171/1000000</f>
        <v>1.318952E-2</v>
      </c>
      <c r="D171" s="2">
        <f>Storage_modulus_G!D171/1000000</f>
        <v>1.408818E-2</v>
      </c>
      <c r="E171" s="2">
        <f>Storage_modulus_G!E171/1000000</f>
        <v>1.446456E-2</v>
      </c>
      <c r="F171" s="2">
        <f>Storage_modulus_G!F171/1000000</f>
        <v>1.4656510000000001E-2</v>
      </c>
      <c r="G171" s="2">
        <f>Storage_modulus_G!G171/1000000</f>
        <v>1.4656510000000001E-2</v>
      </c>
      <c r="H171" s="2">
        <f>Storage_modulus_G!H171/1000000</f>
        <v>1.5247760000000001E-2</v>
      </c>
      <c r="I171" s="2">
        <f>Storage_modulus_G!I171/1000000</f>
        <v>1.4851E-2</v>
      </c>
      <c r="J171" s="2">
        <f>Storage_modulus_G!J171/1000000</f>
        <v>1.504807E-2</v>
      </c>
      <c r="K171" s="2">
        <f>Storage_modulus_G!K171/1000000</f>
        <v>1.54501E-2</v>
      </c>
      <c r="L171" s="2">
        <f>Storage_modulus_G!L171/1000000</f>
        <v>1.54501E-2</v>
      </c>
      <c r="M171" s="2">
        <f>Storage_modulus_G!M171/1000000</f>
        <v>1.5862870000000001E-2</v>
      </c>
      <c r="N171" s="2">
        <f>Storage_modulus_G!N171/1000000</f>
        <v>1.607337E-2</v>
      </c>
      <c r="O171" s="2">
        <f>Storage_modulus_G!O171/1000000</f>
        <v>1.650279E-2</v>
      </c>
      <c r="P171" s="2">
        <f>Storage_modulus_G!P171/1000000</f>
        <v>1.6943679999999999E-2</v>
      </c>
      <c r="Q171" s="2">
        <f>Storage_modulus_G!Q171/1000000</f>
        <v>1.716852E-2</v>
      </c>
      <c r="R171" s="2">
        <f>Storage_modulus_G!R171/1000000</f>
        <v>1.809813E-2</v>
      </c>
      <c r="S171" s="2">
        <f>Storage_modulus_G!S171/1000000</f>
        <v>1.882822E-2</v>
      </c>
      <c r="T171" s="2">
        <f>Storage_modulus_G!T171/1000000</f>
        <v>1.9587759999999999E-2</v>
      </c>
      <c r="U171" s="236">
        <f>Storage_modulus_G!U171/1000000</f>
        <v>2.0648360000000001E-2</v>
      </c>
      <c r="V171" s="2"/>
    </row>
    <row r="172" spans="1:38" ht="15.75" customHeight="1">
      <c r="A172" s="228">
        <v>28</v>
      </c>
      <c r="B172" s="75">
        <v>5</v>
      </c>
      <c r="C172" s="2">
        <f>Storage_modulus_G!C172/1000000</f>
        <v>1.6943679999999999E-2</v>
      </c>
      <c r="D172" s="2">
        <f>Storage_modulus_G!D172/1000000</f>
        <v>1.7627189999999997E-2</v>
      </c>
      <c r="E172" s="2">
        <f>Storage_modulus_G!E172/1000000</f>
        <v>1.7861109999999999E-2</v>
      </c>
      <c r="F172" s="2">
        <f>Storage_modulus_G!F172/1000000</f>
        <v>1.833829E-2</v>
      </c>
      <c r="G172" s="2">
        <f>Storage_modulus_G!G172/1000000</f>
        <v>1.858164E-2</v>
      </c>
      <c r="H172" s="2">
        <f>Storage_modulus_G!H172/1000000</f>
        <v>1.9078069999999999E-2</v>
      </c>
      <c r="I172" s="2">
        <f>Storage_modulus_G!I172/1000000</f>
        <v>1.858164E-2</v>
      </c>
      <c r="J172" s="2">
        <f>Storage_modulus_G!J172/1000000</f>
        <v>1.882822E-2</v>
      </c>
      <c r="K172" s="2">
        <f>Storage_modulus_G!K172/1000000</f>
        <v>1.9078069999999999E-2</v>
      </c>
      <c r="L172" s="2">
        <f>Storage_modulus_G!L172/1000000</f>
        <v>1.9331229999999998E-2</v>
      </c>
      <c r="M172" s="2">
        <f>Storage_modulus_G!M172/1000000</f>
        <v>1.9587759999999999E-2</v>
      </c>
      <c r="N172" s="2">
        <f>Storage_modulus_G!N172/1000000</f>
        <v>1.9847689999999998E-2</v>
      </c>
      <c r="O172" s="2">
        <f>Storage_modulus_G!O172/1000000</f>
        <v>2.0377939999999997E-2</v>
      </c>
      <c r="P172" s="2">
        <f>Storage_modulus_G!P172/1000000</f>
        <v>2.0648360000000001E-2</v>
      </c>
      <c r="Q172" s="2">
        <f>Storage_modulus_G!Q172/1000000</f>
        <v>2.0648360000000001E-2</v>
      </c>
      <c r="R172" s="2">
        <f>Storage_modulus_G!R172/1000000</f>
        <v>2.205522E-2</v>
      </c>
      <c r="S172" s="2">
        <f>Storage_modulus_G!S172/1000000</f>
        <v>2.324942E-2</v>
      </c>
      <c r="T172" s="2">
        <f>Storage_modulus_G!T172/1000000</f>
        <v>2.4508290000000002E-2</v>
      </c>
      <c r="U172" s="236">
        <f>Storage_modulus_G!U172/1000000</f>
        <v>2.5496970000000001E-2</v>
      </c>
      <c r="V172" s="2"/>
    </row>
    <row r="173" spans="1:38" ht="15.75" customHeight="1">
      <c r="A173" s="228">
        <v>28</v>
      </c>
      <c r="B173" s="75">
        <v>6</v>
      </c>
      <c r="C173" s="2">
        <f>Storage_modulus_G!C173/1000000</f>
        <v>8.7649200000000007E-3</v>
      </c>
      <c r="D173" s="2">
        <f>Storage_modulus_G!D173/1000000</f>
        <v>8.9990899999999995E-3</v>
      </c>
      <c r="E173" s="2">
        <f>Storage_modulus_G!E173/1000000</f>
        <v>9.486350000000001E-3</v>
      </c>
      <c r="F173" s="2">
        <f>Storage_modulus_G!F173/1000000</f>
        <v>9.7397900000000016E-3</v>
      </c>
      <c r="G173" s="2">
        <f>Storage_modulus_G!G173/1000000</f>
        <v>9.6122399999999993E-3</v>
      </c>
      <c r="H173" s="2">
        <f>Storage_modulus_G!H173/1000000</f>
        <v>9.486350000000001E-3</v>
      </c>
      <c r="I173" s="2">
        <f>Storage_modulus_G!I173/1000000</f>
        <v>9.7397900000000016E-3</v>
      </c>
      <c r="J173" s="2">
        <f>Storage_modulus_G!J173/1000000</f>
        <v>0.01</v>
      </c>
      <c r="K173" s="2">
        <f>Storage_modulus_G!K173/1000000</f>
        <v>0.01</v>
      </c>
      <c r="L173" s="2">
        <f>Storage_modulus_G!L173/1000000</f>
        <v>0.01</v>
      </c>
      <c r="M173" s="2">
        <f>Storage_modulus_G!M173/1000000</f>
        <v>1.0132700000000001E-2</v>
      </c>
      <c r="N173" s="2">
        <f>Storage_modulus_G!N173/1000000</f>
        <v>1.0681350000000001E-2</v>
      </c>
      <c r="O173" s="2">
        <f>Storage_modulus_G!O173/1000000</f>
        <v>1.0681350000000001E-2</v>
      </c>
      <c r="P173" s="2">
        <f>Storage_modulus_G!P173/1000000</f>
        <v>1.1112239999999999E-2</v>
      </c>
      <c r="Q173" s="2">
        <f>Storage_modulus_G!Q173/1000000</f>
        <v>1.1713920000000001E-2</v>
      </c>
      <c r="R173" s="2">
        <f>Storage_modulus_G!R173/1000000</f>
        <v>1.234818E-2</v>
      </c>
      <c r="S173" s="2">
        <f>Storage_modulus_G!S173/1000000</f>
        <v>1.267808E-2</v>
      </c>
      <c r="T173" s="2">
        <f>Storage_modulus_G!T173/1000000</f>
        <v>1.390368E-2</v>
      </c>
      <c r="U173" s="237">
        <f>Storage_modulus_G!U173/1000000</f>
        <v>1.390368E-2</v>
      </c>
      <c r="V173" s="2"/>
    </row>
    <row r="174" spans="1:38" ht="15.75" customHeight="1">
      <c r="A174" s="229">
        <v>29</v>
      </c>
      <c r="B174" s="74">
        <v>1</v>
      </c>
      <c r="C174" s="234">
        <f>Storage_modulus_G!C174/1000000</f>
        <v>5.5952999999999992E-4</v>
      </c>
      <c r="D174" s="234">
        <f>Storage_modulus_G!D174/1000000</f>
        <v>1.19746E-3</v>
      </c>
      <c r="E174" s="234">
        <f>Storage_modulus_G!E174/1000000</f>
        <v>2.0698699999999997E-3</v>
      </c>
      <c r="F174" s="234">
        <f>Storage_modulus_G!F174/1000000</f>
        <v>3.6259400000000002E-3</v>
      </c>
      <c r="G174" s="234">
        <f>Storage_modulus_G!G174/1000000</f>
        <v>6.3518300000000001E-3</v>
      </c>
      <c r="H174" s="234">
        <f>Storage_modulus_G!H174/1000000</f>
        <v>1.0408580000000001E-2</v>
      </c>
      <c r="I174" s="234">
        <f>Storage_modulus_G!I174/1000000</f>
        <v>1.6386749999999999E-2</v>
      </c>
      <c r="J174" s="234">
        <f>Storage_modulus_G!J174/1000000</f>
        <v>2.445715E-2</v>
      </c>
      <c r="K174" s="234">
        <f>Storage_modulus_G!K174/1000000</f>
        <v>4.0615860000000004E-2</v>
      </c>
      <c r="L174" s="234">
        <f>Storage_modulus_G!L174/1000000</f>
        <v>5.9815199999999999E-2</v>
      </c>
      <c r="M174" s="234">
        <f>Storage_modulus_G!M174/1000000</f>
        <v>8.2402809999999993E-2</v>
      </c>
      <c r="N174" s="234">
        <f>Storage_modulus_G!N174/1000000</f>
        <v>0.11504547999999999</v>
      </c>
      <c r="O174" s="234">
        <f>Storage_modulus_G!O174/1000000</f>
        <v>0.16061907</v>
      </c>
      <c r="P174" s="234">
        <f>Storage_modulus_G!P174/1000000</f>
        <v>0.20698649999999999</v>
      </c>
      <c r="Q174" s="234">
        <f>Storage_modulus_G!Q174/1000000</f>
        <v>0.25971243999999999</v>
      </c>
      <c r="R174" s="234">
        <f>Storage_modulus_G!R174/1000000</f>
        <v>0.31307773</v>
      </c>
      <c r="S174" s="234">
        <f>Storage_modulus_G!S174/1000000</f>
        <v>0.36746619000000003</v>
      </c>
      <c r="T174" s="235">
        <f>Storage_modulus_G!T174/1000000</f>
        <v>0.43130312999999998</v>
      </c>
      <c r="U174" s="2"/>
    </row>
    <row r="175" spans="1:38" ht="15.75" customHeight="1">
      <c r="A175" s="228">
        <v>29</v>
      </c>
      <c r="B175" s="75">
        <v>2</v>
      </c>
      <c r="C175" s="2">
        <f>Storage_modulus_G!C175/1000000</f>
        <v>1.0134379999999998E-2</v>
      </c>
      <c r="D175" s="2">
        <f>Storage_modulus_G!D175/1000000</f>
        <v>1.173722E-2</v>
      </c>
      <c r="E175" s="2">
        <f>Storage_modulus_G!E175/1000000</f>
        <v>1.553475E-2</v>
      </c>
      <c r="F175" s="2">
        <f>Storage_modulus_G!F175/1000000</f>
        <v>1.872681E-2</v>
      </c>
      <c r="G175" s="2">
        <f>Storage_modulus_G!G175/1000000</f>
        <v>2.5456409999999999E-2</v>
      </c>
      <c r="H175" s="2">
        <f>Storage_modulus_G!H175/1000000</f>
        <v>3.5540589999999997E-2</v>
      </c>
      <c r="I175" s="2">
        <f>Storage_modulus_G!I175/1000000</f>
        <v>4.4593889999999997E-2</v>
      </c>
      <c r="J175" s="2">
        <f>Storage_modulus_G!J175/1000000</f>
        <v>5.7467230000000001E-2</v>
      </c>
      <c r="K175" s="2">
        <f>Storage_modulus_G!K175/1000000</f>
        <v>7.5052009999999988E-2</v>
      </c>
      <c r="L175" s="2">
        <f>Storage_modulus_G!L175/1000000</f>
        <v>9.8017660000000006E-2</v>
      </c>
      <c r="M175" s="2">
        <f>Storage_modulus_G!M175/1000000</f>
        <v>0.12298583</v>
      </c>
      <c r="N175" s="2">
        <f>Storage_modulus_G!N175/1000000</f>
        <v>0.15024899999999999</v>
      </c>
      <c r="O175" s="2">
        <f>Storage_modulus_G!O175/1000000</f>
        <v>0.19622467999999998</v>
      </c>
      <c r="P175" s="2">
        <f>Storage_modulus_G!P175/1000000</f>
        <v>0.24620924</v>
      </c>
      <c r="Q175" s="2">
        <f>Storage_modulus_G!Q175/1000000</f>
        <v>0.28898118</v>
      </c>
      <c r="R175" s="2">
        <f>Storage_modulus_G!R175/1000000</f>
        <v>0.32586932000000002</v>
      </c>
      <c r="S175" s="2">
        <f>Storage_modulus_G!S175/1000000</f>
        <v>0.38247996999999995</v>
      </c>
      <c r="T175" s="236">
        <f>Storage_modulus_G!T175/1000000</f>
        <v>0.45495769000000003</v>
      </c>
      <c r="U175" s="2"/>
    </row>
    <row r="176" spans="1:38" ht="15.75" customHeight="1">
      <c r="A176" s="228">
        <v>29</v>
      </c>
      <c r="B176" s="75">
        <v>3</v>
      </c>
      <c r="C176" s="2">
        <f>Storage_modulus_G!C176/1000000</f>
        <v>2.8325259999999998E-2</v>
      </c>
      <c r="D176" s="2">
        <f>Storage_modulus_G!D176/1000000</f>
        <v>3.1517419999999997E-2</v>
      </c>
      <c r="E176" s="2">
        <f>Storage_modulus_G!E176/1000000</f>
        <v>3.5540589999999997E-2</v>
      </c>
      <c r="F176" s="2">
        <f>Storage_modulus_G!F176/1000000</f>
        <v>4.4002589999999994E-2</v>
      </c>
      <c r="G176" s="2">
        <f>Storage_modulus_G!G176/1000000</f>
        <v>5.3044170000000002E-2</v>
      </c>
      <c r="H176" s="2">
        <f>Storage_modulus_G!H176/1000000</f>
        <v>6.2259109999999999E-2</v>
      </c>
      <c r="I176" s="2">
        <f>Storage_modulus_G!I176/1000000</f>
        <v>7.9168189999999999E-2</v>
      </c>
      <c r="J176" s="2">
        <f>Storage_modulus_G!J176/1000000</f>
        <v>9.1689339999999994E-2</v>
      </c>
      <c r="K176" s="2">
        <f>Storage_modulus_G!K176/1000000</f>
        <v>0.11504547999999999</v>
      </c>
      <c r="L176" s="2">
        <f>Storage_modulus_G!L176/1000000</f>
        <v>0.1350314</v>
      </c>
      <c r="M176" s="2">
        <f>Storage_modulus_G!M176/1000000</f>
        <v>0.17401220000000001</v>
      </c>
      <c r="N176" s="2">
        <f>Storage_modulus_G!N176/1000000</f>
        <v>0.20698649999999999</v>
      </c>
      <c r="O176" s="2">
        <f>Storage_modulus_G!O176/1000000</f>
        <v>0.23340810999999997</v>
      </c>
      <c r="P176" s="2">
        <f>Storage_modulus_G!P176/1000000</f>
        <v>0.2851494</v>
      </c>
      <c r="Q176" s="2">
        <f>Storage_modulus_G!Q176/1000000</f>
        <v>0.32586932000000002</v>
      </c>
      <c r="R176" s="2">
        <f>Storage_modulus_G!R176/1000000</f>
        <v>0.36746619000000003</v>
      </c>
      <c r="S176" s="2">
        <f>Storage_modulus_G!S176/1000000</f>
        <v>0.42558421000000002</v>
      </c>
      <c r="T176" s="236">
        <f>Storage_modulus_G!T176/1000000</f>
        <v>0.4928941</v>
      </c>
      <c r="U176" s="2"/>
    </row>
    <row r="177" spans="1:28" ht="15.75" customHeight="1">
      <c r="A177" s="228">
        <v>29</v>
      </c>
      <c r="B177" s="75">
        <v>4</v>
      </c>
      <c r="C177" s="2">
        <f>Storage_modulus_G!C177/1000000</f>
        <v>0.19886151000000002</v>
      </c>
      <c r="D177" s="2">
        <f>Storage_modulus_G!D177/1000000</f>
        <v>0.21258676999999998</v>
      </c>
      <c r="E177" s="2">
        <f>Storage_modulus_G!E177/1000000</f>
        <v>0.21258676999999998</v>
      </c>
      <c r="F177" s="2">
        <f>Storage_modulus_G!F177/1000000</f>
        <v>0.23340810999999997</v>
      </c>
      <c r="G177" s="2">
        <f>Storage_modulus_G!G177/1000000</f>
        <v>0.24620924</v>
      </c>
      <c r="H177" s="2">
        <f>Storage_modulus_G!H177/1000000</f>
        <v>0.25971243999999999</v>
      </c>
      <c r="I177" s="2">
        <f>Storage_modulus_G!I177/1000000</f>
        <v>0.27395621999999997</v>
      </c>
      <c r="J177" s="2">
        <f>Storage_modulus_G!J177/1000000</f>
        <v>0.28898118</v>
      </c>
      <c r="K177" s="2">
        <f>Storage_modulus_G!K177/1000000</f>
        <v>0.28898118</v>
      </c>
      <c r="L177" s="2">
        <f>Storage_modulus_G!L177/1000000</f>
        <v>0.30483019</v>
      </c>
      <c r="M177" s="2">
        <f>Storage_modulus_G!M177/1000000</f>
        <v>0.32586932000000002</v>
      </c>
      <c r="N177" s="2">
        <f>Storage_modulus_G!N177/1000000</f>
        <v>0.34374143000000001</v>
      </c>
      <c r="O177" s="2">
        <f>Storage_modulus_G!O177/1000000</f>
        <v>0.36746619000000003</v>
      </c>
      <c r="P177" s="2">
        <f>Storage_modulus_G!P177/1000000</f>
        <v>0.40345685999999997</v>
      </c>
      <c r="Q177" s="2">
        <f>Storage_modulus_G!Q177/1000000</f>
        <v>0.44297254999999996</v>
      </c>
      <c r="R177" s="2">
        <f>Storage_modulus_G!R177/1000000</f>
        <v>0.46107133</v>
      </c>
      <c r="S177" s="2">
        <f>Storage_modulus_G!S177/1000000</f>
        <v>0.51303255999999997</v>
      </c>
      <c r="T177" s="236">
        <f>Storage_modulus_G!T177/1000000</f>
        <v>0.57084964999999999</v>
      </c>
      <c r="U177" s="2"/>
    </row>
    <row r="178" spans="1:28" ht="15.75" customHeight="1">
      <c r="A178" s="230">
        <v>29</v>
      </c>
      <c r="B178" s="231">
        <v>5</v>
      </c>
      <c r="C178" s="34">
        <f>Storage_modulus_G!C178/1000000</f>
        <v>7.2105940000000007E-2</v>
      </c>
      <c r="D178" s="34">
        <f>Storage_modulus_G!D178/1000000</f>
        <v>7.6060539999999996E-2</v>
      </c>
      <c r="E178" s="34">
        <f>Storage_modulus_G!E178/1000000</f>
        <v>7.9168189999999999E-2</v>
      </c>
      <c r="F178" s="34">
        <f>Storage_modulus_G!F178/1000000</f>
        <v>8.5769589999999993E-2</v>
      </c>
      <c r="G178" s="34">
        <f>Storage_modulus_G!G178/1000000</f>
        <v>9.6717990000000004E-2</v>
      </c>
      <c r="H178" s="34">
        <f>Storage_modulus_G!H178/1000000</f>
        <v>0.10478277</v>
      </c>
      <c r="I178" s="34">
        <f>Storage_modulus_G!I178/1000000</f>
        <v>0.11974596000000001</v>
      </c>
      <c r="J178" s="34">
        <f>Storage_modulus_G!J178/1000000</f>
        <v>0.13324094</v>
      </c>
      <c r="K178" s="34">
        <f>Storage_modulus_G!K178/1000000</f>
        <v>0.16277744</v>
      </c>
      <c r="L178" s="34">
        <f>Storage_modulus_G!L178/1000000</f>
        <v>0.18852211999999999</v>
      </c>
      <c r="M178" s="34">
        <f>Storage_modulus_G!M178/1000000</f>
        <v>0.20976795000000001</v>
      </c>
      <c r="N178" s="34">
        <f>Storage_modulus_G!N178/1000000</f>
        <v>0.25287071999999999</v>
      </c>
      <c r="O178" s="34">
        <f>Storage_modulus_G!O178/1000000</f>
        <v>0.2851494</v>
      </c>
      <c r="P178" s="34">
        <f>Storage_modulus_G!P178/1000000</f>
        <v>0.34836055999999999</v>
      </c>
      <c r="Q178" s="34">
        <f>Storage_modulus_G!Q178/1000000</f>
        <v>0.39810717000000001</v>
      </c>
      <c r="R178" s="34">
        <f>Storage_modulus_G!R178/1000000</f>
        <v>0.42558421000000002</v>
      </c>
      <c r="S178" s="34">
        <f>Storage_modulus_G!S178/1000000</f>
        <v>0.47990958</v>
      </c>
      <c r="T178" s="237">
        <f>Storage_modulus_G!T178/1000000</f>
        <v>0.54844166000000005</v>
      </c>
      <c r="U178" s="2"/>
    </row>
    <row r="179" spans="1:28" ht="15.75" customHeight="1">
      <c r="A179" s="228">
        <v>30</v>
      </c>
      <c r="B179" s="75">
        <v>1</v>
      </c>
      <c r="C179" s="2">
        <v>2511.9</v>
      </c>
      <c r="D179" s="2">
        <v>2523.81</v>
      </c>
      <c r="E179" s="2">
        <v>2178.5700000000002</v>
      </c>
      <c r="F179" s="2">
        <v>1702.38</v>
      </c>
      <c r="G179" s="2">
        <v>1333.33</v>
      </c>
      <c r="H179" s="2">
        <v>1095.24</v>
      </c>
      <c r="I179" s="2">
        <v>916.67</v>
      </c>
      <c r="J179" s="2">
        <v>702.38</v>
      </c>
      <c r="K179" s="2">
        <v>547.62</v>
      </c>
      <c r="L179" s="2">
        <v>416.67</v>
      </c>
      <c r="M179" s="2">
        <v>333.33</v>
      </c>
      <c r="N179" s="2">
        <v>250</v>
      </c>
      <c r="O179" s="236">
        <v>202.38</v>
      </c>
      <c r="P179" s="2"/>
      <c r="Q179" s="2"/>
      <c r="R179" s="2"/>
      <c r="S179" s="2"/>
      <c r="T179" s="2"/>
    </row>
    <row r="180" spans="1:28" ht="15.75" customHeight="1">
      <c r="A180" s="228">
        <v>30</v>
      </c>
      <c r="B180" s="75">
        <v>2</v>
      </c>
      <c r="C180" s="2">
        <v>5595.24</v>
      </c>
      <c r="D180" s="2">
        <v>5357.14</v>
      </c>
      <c r="E180" s="2">
        <v>4738.1000000000004</v>
      </c>
      <c r="F180" s="2">
        <v>4035.71</v>
      </c>
      <c r="G180" s="2">
        <v>3416.67</v>
      </c>
      <c r="H180" s="2">
        <v>3000</v>
      </c>
      <c r="I180" s="2">
        <v>2464.29</v>
      </c>
      <c r="J180" s="2">
        <v>1964.29</v>
      </c>
      <c r="K180" s="2">
        <v>1547.62</v>
      </c>
      <c r="L180" s="2">
        <v>1261.9000000000001</v>
      </c>
      <c r="M180" s="2">
        <v>1023.81</v>
      </c>
      <c r="N180" s="2">
        <v>785.71</v>
      </c>
      <c r="O180" s="236">
        <v>559.52</v>
      </c>
      <c r="P180" s="2"/>
    </row>
    <row r="181" spans="1:28" ht="15.75" customHeight="1">
      <c r="A181" s="230">
        <v>30</v>
      </c>
      <c r="B181" s="231">
        <v>3</v>
      </c>
      <c r="C181" s="34">
        <v>5738.1</v>
      </c>
      <c r="D181" s="34">
        <v>5511.9</v>
      </c>
      <c r="E181" s="34">
        <v>4916.67</v>
      </c>
      <c r="F181" s="34">
        <v>4226.1899999999996</v>
      </c>
      <c r="G181" s="34">
        <v>3642.86</v>
      </c>
      <c r="H181" s="34">
        <v>3214.29</v>
      </c>
      <c r="I181" s="34">
        <v>2726.19</v>
      </c>
      <c r="J181" s="34">
        <v>2130.9499999999998</v>
      </c>
      <c r="K181" s="34">
        <v>1773.81</v>
      </c>
      <c r="L181" s="34">
        <v>1452.38</v>
      </c>
      <c r="M181" s="34">
        <v>1178.57</v>
      </c>
      <c r="N181" s="34">
        <v>904.76</v>
      </c>
      <c r="O181" s="237">
        <v>690.48</v>
      </c>
      <c r="P181" s="2"/>
    </row>
    <row r="182" spans="1:28" ht="15.75" customHeight="1">
      <c r="A182" s="228">
        <v>31</v>
      </c>
      <c r="B182" s="75">
        <v>1</v>
      </c>
      <c r="C182" s="22">
        <v>1190.48</v>
      </c>
      <c r="D182" s="22">
        <v>1150.79</v>
      </c>
      <c r="E182" s="22">
        <v>1051.5899999999999</v>
      </c>
      <c r="F182" s="22">
        <v>1001.98</v>
      </c>
      <c r="G182" s="22">
        <v>873.02</v>
      </c>
      <c r="H182" s="22">
        <v>803.57</v>
      </c>
      <c r="I182" s="22">
        <v>694.44</v>
      </c>
      <c r="J182" s="22">
        <v>625</v>
      </c>
      <c r="K182" s="22">
        <v>515.87</v>
      </c>
      <c r="L182" s="226">
        <v>476.19</v>
      </c>
      <c r="M182" s="2"/>
      <c r="N182" s="2"/>
      <c r="O182" s="2"/>
    </row>
    <row r="183" spans="1:28" ht="15.75" customHeight="1">
      <c r="A183" s="228">
        <v>31</v>
      </c>
      <c r="B183" s="75">
        <v>2</v>
      </c>
      <c r="C183" s="22">
        <v>1587.3</v>
      </c>
      <c r="D183" s="22">
        <v>1527.78</v>
      </c>
      <c r="E183" s="22">
        <v>1408.73</v>
      </c>
      <c r="F183" s="22">
        <v>1309.52</v>
      </c>
      <c r="G183" s="22">
        <v>1160.71</v>
      </c>
      <c r="H183" s="22">
        <v>1081.3499999999999</v>
      </c>
      <c r="I183" s="22">
        <v>972.22</v>
      </c>
      <c r="J183" s="22">
        <v>863.1</v>
      </c>
      <c r="K183" s="22">
        <v>833.33</v>
      </c>
      <c r="L183" s="226">
        <v>753.97</v>
      </c>
      <c r="M183" s="2"/>
    </row>
    <row r="184" spans="1:28" ht="15.75" customHeight="1">
      <c r="A184" s="228">
        <v>31</v>
      </c>
      <c r="B184" s="75">
        <v>3</v>
      </c>
      <c r="C184" s="22">
        <v>2371.0300000000002</v>
      </c>
      <c r="D184" s="22">
        <v>2281.75</v>
      </c>
      <c r="E184" s="22">
        <v>2172.62</v>
      </c>
      <c r="F184" s="22">
        <v>2073.41</v>
      </c>
      <c r="G184" s="22">
        <v>1855.16</v>
      </c>
      <c r="H184" s="22">
        <v>1716.27</v>
      </c>
      <c r="I184" s="22">
        <v>1527.78</v>
      </c>
      <c r="J184" s="22">
        <v>1359.13</v>
      </c>
      <c r="K184" s="22">
        <v>1220.24</v>
      </c>
      <c r="L184" s="226">
        <v>1140.8699999999999</v>
      </c>
      <c r="M184" s="2"/>
    </row>
    <row r="185" spans="1:28" ht="15.75" customHeight="1">
      <c r="A185" s="228">
        <v>31</v>
      </c>
      <c r="B185" s="75">
        <v>4</v>
      </c>
      <c r="C185" s="22">
        <v>3541.67</v>
      </c>
      <c r="D185" s="22">
        <v>3353.17</v>
      </c>
      <c r="E185" s="22">
        <v>3115.08</v>
      </c>
      <c r="F185" s="22">
        <v>2867.06</v>
      </c>
      <c r="G185" s="22">
        <v>2609.13</v>
      </c>
      <c r="H185" s="22">
        <v>2311.5100000000002</v>
      </c>
      <c r="I185" s="22">
        <v>2083.33</v>
      </c>
      <c r="J185" s="22">
        <v>1865.08</v>
      </c>
      <c r="K185" s="22">
        <v>1696.43</v>
      </c>
      <c r="L185" s="226">
        <v>1547.62</v>
      </c>
      <c r="M185" s="2"/>
    </row>
    <row r="186" spans="1:28" ht="15.75" customHeight="1">
      <c r="A186" s="228">
        <v>31</v>
      </c>
      <c r="B186" s="75">
        <v>5</v>
      </c>
      <c r="C186" s="22">
        <v>4186.51</v>
      </c>
      <c r="D186" s="22">
        <v>4017.86</v>
      </c>
      <c r="E186" s="22">
        <v>3759.92</v>
      </c>
      <c r="F186" s="22">
        <v>3472.22</v>
      </c>
      <c r="G186" s="22">
        <v>3184.52</v>
      </c>
      <c r="H186" s="22">
        <v>2867.06</v>
      </c>
      <c r="I186" s="22">
        <v>2619.0500000000002</v>
      </c>
      <c r="J186" s="22">
        <v>2380.9499999999998</v>
      </c>
      <c r="K186" s="30">
        <v>2162.6999999999998</v>
      </c>
      <c r="L186" s="232">
        <v>2013.89</v>
      </c>
      <c r="M186" s="2"/>
    </row>
    <row r="187" spans="1:28" ht="15.75" customHeight="1">
      <c r="A187" s="199">
        <v>32</v>
      </c>
      <c r="B187" s="200">
        <v>1</v>
      </c>
      <c r="C187" s="234"/>
      <c r="D187" s="234"/>
      <c r="E187" s="234"/>
      <c r="F187" s="234"/>
      <c r="G187" s="222">
        <v>2054</v>
      </c>
      <c r="H187" s="234"/>
      <c r="I187" s="234"/>
      <c r="J187" s="235"/>
      <c r="K187" s="2"/>
      <c r="L187" s="2"/>
    </row>
    <row r="188" spans="1:28" ht="15.75" customHeight="1">
      <c r="A188" s="196">
        <v>32</v>
      </c>
      <c r="B188" s="201">
        <v>2</v>
      </c>
      <c r="C188" s="2">
        <v>4652.4059999999999</v>
      </c>
      <c r="D188" s="2">
        <v>4625.6679999999997</v>
      </c>
      <c r="E188" s="2">
        <v>4318.1819999999998</v>
      </c>
      <c r="F188" s="2">
        <v>3910.4279999999999</v>
      </c>
      <c r="G188" s="2">
        <v>2627.0050000000001</v>
      </c>
      <c r="H188" s="2">
        <v>1664.4390000000001</v>
      </c>
      <c r="I188" s="2">
        <v>1076.203</v>
      </c>
      <c r="J188" s="236">
        <v>755.34799999999996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8" ht="15.75" customHeight="1">
      <c r="A189" s="229">
        <v>33</v>
      </c>
      <c r="B189" s="200">
        <v>1</v>
      </c>
      <c r="C189" s="234">
        <f>Storage_modulus_G!C189/1000000</f>
        <v>1.6500000000000001E-7</v>
      </c>
      <c r="D189" s="234">
        <f>Storage_modulus_G!D189/1000000</f>
        <v>4.4700000000000002E-7</v>
      </c>
      <c r="E189" s="234">
        <f>Storage_modulus_G!E189/1000000</f>
        <v>1.099E-6</v>
      </c>
      <c r="F189" s="234">
        <f>Storage_modulus_G!F189/1000000</f>
        <v>1.9350000000000001E-6</v>
      </c>
      <c r="G189" s="234">
        <f>Storage_modulus_G!G189/1000000</f>
        <v>4.4480000000000004E-6</v>
      </c>
      <c r="H189" s="234">
        <f>Storage_modulus_G!H189/1000000</f>
        <v>6.8570000000000006E-6</v>
      </c>
      <c r="I189" s="234">
        <f>Storage_modulus_G!I189/1000000</f>
        <v>1.0928000000000001E-5</v>
      </c>
      <c r="J189" s="234">
        <f>Storage_modulus_G!J189/1000000</f>
        <v>1.4746000000000001E-5</v>
      </c>
      <c r="K189" s="234">
        <f>Storage_modulus_G!K189/1000000</f>
        <v>2.0571E-5</v>
      </c>
      <c r="L189" s="234">
        <f>Storage_modulus_G!L189/1000000</f>
        <v>2.5969000000000002E-5</v>
      </c>
      <c r="M189" s="234">
        <f>Storage_modulus_G!M189/1000000</f>
        <v>3.2783999999999996E-5</v>
      </c>
      <c r="N189" s="234">
        <f>Storage_modulus_G!N189/1000000</f>
        <v>5.0537999999999996E-5</v>
      </c>
      <c r="O189" s="234">
        <f>Storage_modulus_G!O189/1000000</f>
        <v>9.201399999999999E-5</v>
      </c>
      <c r="P189" s="234">
        <f>Storage_modulus_G!P189/1000000</f>
        <v>1.5674000000000002E-4</v>
      </c>
      <c r="Q189" s="234">
        <f>Storage_modulus_G!Q189/1000000</f>
        <v>3.1535199999999997E-4</v>
      </c>
      <c r="R189" s="234">
        <f>Storage_modulus_G!R189/1000000</f>
        <v>7.24838E-4</v>
      </c>
      <c r="S189" s="234">
        <f>Storage_modulus_G!S189/1000000</f>
        <v>1.1551829999999999E-3</v>
      </c>
      <c r="T189" s="234">
        <f>Storage_modulus_G!T189/1000000</f>
        <v>2.4841669999999998E-3</v>
      </c>
      <c r="U189" s="234">
        <f>Storage_modulus_G!U189/1000000</f>
        <v>4.2316139999999999E-3</v>
      </c>
      <c r="V189" s="234">
        <f>Storage_modulus_G!V189/1000000</f>
        <v>6.3095730000000006E-3</v>
      </c>
      <c r="W189" s="234">
        <f>Storage_modulus_G!W189/1000000</f>
        <v>1.0055638E-2</v>
      </c>
      <c r="X189" s="234">
        <f>Storage_modulus_G!X189/1000000</f>
        <v>1.5501061999999999E-2</v>
      </c>
      <c r="Y189" s="234">
        <f>Storage_modulus_G!Y189/1000000</f>
        <v>3.6835372000000005E-2</v>
      </c>
      <c r="Z189" s="234">
        <f>Storage_modulus_G!Z189/1000000</f>
        <v>7.1683910000000003E-2</v>
      </c>
      <c r="AA189" s="235">
        <f>Storage_modulus_G!AA189/1000000</f>
        <v>0.245675272</v>
      </c>
      <c r="AB189" s="2"/>
    </row>
    <row r="190" spans="1:28" ht="15.75" customHeight="1">
      <c r="A190" s="228">
        <v>33</v>
      </c>
      <c r="B190" s="201">
        <v>2</v>
      </c>
      <c r="C190" s="2">
        <f>Storage_modulus_G!C190/1000000</f>
        <v>1.0279999999999999E-6</v>
      </c>
      <c r="D190" s="2">
        <f>Storage_modulus_G!D190/1000000</f>
        <v>2.4430000000000002E-6</v>
      </c>
      <c r="E190" s="2">
        <f>Storage_modulus_G!E190/1000000</f>
        <v>4.5990000000000004E-6</v>
      </c>
      <c r="F190" s="2">
        <f>Storage_modulus_G!F190/1000000</f>
        <v>8.6570000000000003E-6</v>
      </c>
      <c r="G190" s="2">
        <f>Storage_modulus_G!G190/1000000</f>
        <v>1.4746000000000001E-5</v>
      </c>
      <c r="H190" s="2">
        <f>Storage_modulus_G!H190/1000000</f>
        <v>2.8697E-5</v>
      </c>
      <c r="I190" s="2">
        <f>Storage_modulus_G!I190/1000000</f>
        <v>5.4017000000000001E-5</v>
      </c>
      <c r="J190" s="2">
        <f>Storage_modulus_G!J190/1000000</f>
        <v>1.01678E-4</v>
      </c>
      <c r="K190" s="2">
        <f>Storage_modulus_G!K190/1000000</f>
        <v>2.2605600000000001E-4</v>
      </c>
      <c r="L190" s="2">
        <f>Storage_modulus_G!L190/1000000</f>
        <v>3.9810700000000003E-4</v>
      </c>
      <c r="M190" s="2">
        <f>Storage_modulus_G!M190/1000000</f>
        <v>6.5594500000000001E-4</v>
      </c>
      <c r="N190" s="2">
        <f>Storage_modulus_G!N190/1000000</f>
        <v>1.1173589999999998E-3</v>
      </c>
      <c r="O190" s="2">
        <f>Storage_modulus_G!O190/1000000</f>
        <v>2.1744499999999996E-3</v>
      </c>
      <c r="P190" s="2">
        <f>Storage_modulus_G!P190/1000000</f>
        <v>3.829416E-3</v>
      </c>
      <c r="Q190" s="2">
        <f>Storage_modulus_G!Q190/1000000</f>
        <v>5.3420860000000002E-3</v>
      </c>
      <c r="R190" s="2">
        <f>Storage_modulus_G!R190/1000000</f>
        <v>7.4522799999999995E-3</v>
      </c>
      <c r="S190" s="2">
        <f>Storage_modulus_G!S190/1000000</f>
        <v>1.0396029000000001E-2</v>
      </c>
      <c r="T190" s="2">
        <f>Storage_modulus_G!T190/1000000</f>
        <v>1.6025784000000001E-2</v>
      </c>
      <c r="U190" s="2">
        <f>Storage_modulus_G!U190/1000000</f>
        <v>2.4704216000000001E-2</v>
      </c>
      <c r="V190" s="2">
        <f>Storage_modulus_G!V190/1000000</f>
        <v>3.1187164999999999E-2</v>
      </c>
      <c r="W190" s="2">
        <f>Storage_modulus_G!W190/1000000</f>
        <v>0.103385071</v>
      </c>
      <c r="X190" s="2">
        <f>Storage_modulus_G!X190/1000000</f>
        <v>0.11424345399999999</v>
      </c>
      <c r="Y190" s="2">
        <f>Storage_modulus_G!Y190/1000000</f>
        <v>0.130515668</v>
      </c>
      <c r="Z190" s="2">
        <f>Storage_modulus_G!Z190/1000000</f>
        <v>0.13950131899999998</v>
      </c>
      <c r="AA190" s="236">
        <f>Storage_modulus_G!AA190/1000000</f>
        <v>0.18823431400000001</v>
      </c>
      <c r="AB190" s="2"/>
    </row>
    <row r="191" spans="1:28" ht="15.75" customHeight="1">
      <c r="A191" s="228">
        <v>33</v>
      </c>
      <c r="B191" s="201">
        <v>3</v>
      </c>
      <c r="C191" s="2">
        <f>Storage_modulus_G!C191/1000000</f>
        <v>1.483E-6</v>
      </c>
      <c r="D191" s="2">
        <f>Storage_modulus_G!D191/1000000</f>
        <v>3.2969999999999999E-6</v>
      </c>
      <c r="E191" s="2">
        <f>Storage_modulus_G!E191/1000000</f>
        <v>6.4150000000000004E-6</v>
      </c>
      <c r="F191" s="2">
        <f>Storage_modulus_G!F191/1000000</f>
        <v>1.2907999999999999E-5</v>
      </c>
      <c r="G191" s="2">
        <f>Storage_modulus_G!G191/1000000</f>
        <v>2.1986999999999998E-5</v>
      </c>
      <c r="H191" s="2">
        <f>Storage_modulus_G!H191/1000000</f>
        <v>4.4237000000000004E-5</v>
      </c>
      <c r="I191" s="2">
        <f>Storage_modulus_G!I191/1000000</f>
        <v>7.7905000000000007E-5</v>
      </c>
      <c r="J191" s="2">
        <f>Storage_modulus_G!J191/1000000</f>
        <v>1.46644E-4</v>
      </c>
      <c r="K191" s="2">
        <f>Storage_modulus_G!K191/1000000</f>
        <v>2.18655E-4</v>
      </c>
      <c r="L191" s="2">
        <f>Storage_modulus_G!L191/1000000</f>
        <v>3.8507200000000003E-4</v>
      </c>
      <c r="M191" s="2">
        <f>Storage_modulus_G!M191/1000000</f>
        <v>6.3446800000000001E-4</v>
      </c>
      <c r="N191" s="2">
        <f>Storage_modulus_G!N191/1000000</f>
        <v>1.3197199999999999E-3</v>
      </c>
      <c r="O191" s="2">
        <f>Storage_modulus_G!O191/1000000</f>
        <v>2.1032530000000002E-3</v>
      </c>
      <c r="P191" s="2">
        <f>Storage_modulus_G!P191/1000000</f>
        <v>3.4654450000000002E-3</v>
      </c>
      <c r="Q191" s="2">
        <f>Storage_modulus_G!Q191/1000000</f>
        <v>6.7439709999999996E-3</v>
      </c>
      <c r="R191" s="2">
        <f>Storage_modulus_G!R191/1000000</f>
        <v>9.7263929999999998E-3</v>
      </c>
      <c r="S191" s="2">
        <f>Storage_modulus_G!S191/1000000</f>
        <v>1.5501061999999999E-2</v>
      </c>
      <c r="T191" s="2">
        <f>Storage_modulus_G!T191/1000000</f>
        <v>2.5540472000000002E-2</v>
      </c>
      <c r="U191" s="2">
        <f>Storage_modulus_G!U191/1000000</f>
        <v>3.4462708000000002E-2</v>
      </c>
      <c r="V191" s="2">
        <f>Storage_modulus_G!V191/1000000</f>
        <v>4.6501811999999997E-2</v>
      </c>
      <c r="W191" s="2">
        <f>Storage_modulus_G!W191/1000000</f>
        <v>0.11811067600000001</v>
      </c>
      <c r="X191" s="2">
        <f>Storage_modulus_G!X191/1000000</f>
        <v>0.13493371599999998</v>
      </c>
      <c r="Y191" s="2">
        <f>Storage_modulus_G!Y191/1000000</f>
        <v>0.17610964100000001</v>
      </c>
      <c r="Z191" s="2">
        <f>Storage_modulus_G!Z191/1000000</f>
        <v>0.19460617899999999</v>
      </c>
      <c r="AA191" s="236">
        <f>Storage_modulus_G!AA191/1000000</f>
        <v>0.23763128400000003</v>
      </c>
      <c r="AB191" s="2"/>
    </row>
    <row r="192" spans="1:28" ht="15.75" customHeight="1">
      <c r="A192" s="228">
        <v>33</v>
      </c>
      <c r="B192" s="201">
        <v>4</v>
      </c>
      <c r="C192" s="2">
        <f>Storage_modulus_G!C192/1000000</f>
        <v>1.234714E-3</v>
      </c>
      <c r="D192" s="2">
        <f>Storage_modulus_G!D192/1000000</f>
        <v>1.1173589999999998E-3</v>
      </c>
      <c r="E192" s="2">
        <f>Storage_modulus_G!E192/1000000</f>
        <v>1.3643940000000001E-3</v>
      </c>
      <c r="F192" s="2">
        <f>Storage_modulus_G!F192/1000000</f>
        <v>1.458329E-3</v>
      </c>
      <c r="G192" s="2">
        <f>Storage_modulus_G!G192/1000000</f>
        <v>1.6114949999999999E-3</v>
      </c>
      <c r="H192" s="2">
        <f>Storage_modulus_G!H192/1000000</f>
        <v>1.780748E-3</v>
      </c>
      <c r="I192" s="2">
        <f>Storage_modulus_G!I192/1000000</f>
        <v>1.967777E-3</v>
      </c>
      <c r="J192" s="2">
        <f>Storage_modulus_G!J192/1000000</f>
        <v>2.4841669999999998E-3</v>
      </c>
      <c r="K192" s="2">
        <f>Storage_modulus_G!K192/1000000</f>
        <v>3.0333859999999999E-3</v>
      </c>
      <c r="L192" s="2">
        <f>Storage_modulus_G!L192/1000000</f>
        <v>3.4654450000000002E-3</v>
      </c>
      <c r="M192" s="2">
        <f>Storage_modulus_G!M192/1000000</f>
        <v>4.5229489999999992E-3</v>
      </c>
      <c r="N192" s="2">
        <f>Storage_modulus_G!N192/1000000</f>
        <v>5.5229190000000003E-3</v>
      </c>
      <c r="O192" s="2">
        <f>Storage_modulus_G!O192/1000000</f>
        <v>8.2349820000000001E-3</v>
      </c>
      <c r="P192" s="2">
        <f>Storage_modulus_G!P192/1000000</f>
        <v>1.0396029000000001E-2</v>
      </c>
      <c r="Q192" s="2">
        <f>Storage_modulus_G!Q192/1000000</f>
        <v>1.3568446E-2</v>
      </c>
      <c r="R192" s="2">
        <f>Storage_modulus_G!R192/1000000</f>
        <v>2.1624186E-2</v>
      </c>
      <c r="S192" s="2">
        <f>Storage_modulus_G!S192/1000000</f>
        <v>2.822295E-2</v>
      </c>
      <c r="T192" s="2">
        <f>Storage_modulus_G!T192/1000000</f>
        <v>3.9371388E-2</v>
      </c>
      <c r="U192" s="2">
        <f>Storage_modulus_G!U192/1000000</f>
        <v>5.3125276999999999E-2</v>
      </c>
      <c r="V192" s="2">
        <f>Storage_modulus_G!V192/1000000</f>
        <v>6.4870642000000006E-2</v>
      </c>
      <c r="W192" s="34">
        <f>Storage_modulus_G!W192/1000000</f>
        <v>9.3558733999999991E-2</v>
      </c>
      <c r="X192" s="34">
        <f>Storage_modulus_G!X192/1000000</f>
        <v>0.10688473</v>
      </c>
      <c r="Y192" s="34">
        <f>Storage_modulus_G!Y192/1000000</f>
        <v>0.130515668</v>
      </c>
      <c r="Z192" s="34">
        <f>Storage_modulus_G!Z192/1000000</f>
        <v>0.14422353800000001</v>
      </c>
      <c r="AA192" s="237">
        <f>Storage_modulus_G!AA192/1000000</f>
        <v>0.14422353800000001</v>
      </c>
      <c r="AB192" s="2"/>
    </row>
    <row r="193" spans="1:35" ht="15.75" customHeight="1">
      <c r="A193" s="199">
        <v>34</v>
      </c>
      <c r="B193" s="200">
        <v>1</v>
      </c>
      <c r="C193" s="234">
        <f>Storage_modulus_G!C193/1000000</f>
        <v>1.2914999999999999E-5</v>
      </c>
      <c r="D193" s="234">
        <f>Storage_modulus_G!D193/1000000</f>
        <v>1.6237999999999999E-5</v>
      </c>
      <c r="E193" s="234">
        <f>Storage_modulus_G!E193/1000000</f>
        <v>2.3045E-5</v>
      </c>
      <c r="F193" s="234">
        <f>Storage_modulus_G!F193/1000000</f>
        <v>3.4514999999999997E-5</v>
      </c>
      <c r="G193" s="234">
        <f>Storage_modulus_G!G193/1000000</f>
        <v>5.0322000000000004E-5</v>
      </c>
      <c r="H193" s="234">
        <f>Storage_modulus_G!H193/1000000</f>
        <v>7.9540000000000001E-5</v>
      </c>
      <c r="I193" s="234">
        <f>Storage_modulus_G!I193/1000000</f>
        <v>1.30906E-4</v>
      </c>
      <c r="J193" s="234">
        <f>Storage_modulus_G!J193/1000000</f>
        <v>2.2432499999999999E-4</v>
      </c>
      <c r="K193" s="234">
        <f>Storage_modulus_G!K193/1000000</f>
        <v>3.9490400000000001E-4</v>
      </c>
      <c r="L193" s="234">
        <f>Storage_modulus_G!L193/1000000</f>
        <v>6.7672100000000003E-4</v>
      </c>
      <c r="M193" s="234">
        <f>Storage_modulus_G!M193/1000000</f>
        <v>1.191306E-3</v>
      </c>
      <c r="N193" s="234">
        <f>Storage_modulus_G!N193/1000000</f>
        <v>2.125619E-3</v>
      </c>
      <c r="O193" s="234">
        <f>Storage_modulus_G!O193/1000000</f>
        <v>3.5938139999999999E-3</v>
      </c>
      <c r="P193" s="234">
        <f>Storage_modulus_G!P193/1000000</f>
        <v>6.0761109999999995E-3</v>
      </c>
      <c r="Q193" s="234">
        <f>Storage_modulus_G!Q193/1000000</f>
        <v>1.0135565000000001E-2</v>
      </c>
      <c r="R193" s="234">
        <f>Storage_modulus_G!R193/1000000</f>
        <v>1.5386311E-2</v>
      </c>
      <c r="S193" s="234">
        <f>Storage_modulus_G!S193/1000000</f>
        <v>2.3994790000000002E-2</v>
      </c>
      <c r="T193" s="234">
        <f>Storage_modulus_G!T193/1000000</f>
        <v>3.4515302999999997E-2</v>
      </c>
      <c r="U193" s="234">
        <f>Storage_modulus_G!U193/1000000</f>
        <v>5.4555948E-2</v>
      </c>
      <c r="V193" s="235">
        <f>Storage_modulus_G!V193/1000000</f>
        <v>7.8475997000000006E-2</v>
      </c>
      <c r="W193" s="2"/>
      <c r="X193" s="2"/>
      <c r="Y193" s="2"/>
      <c r="Z193" s="2"/>
      <c r="AA193" s="2"/>
    </row>
    <row r="194" spans="1:35" ht="15.75" customHeight="1">
      <c r="A194" s="196">
        <v>34</v>
      </c>
      <c r="B194" s="201">
        <v>2</v>
      </c>
      <c r="C194" s="2">
        <f>Storage_modulus_G!C194/1000000</f>
        <v>3.5314000000000001E-5</v>
      </c>
      <c r="D194" s="2">
        <f>Storage_modulus_G!D194/1000000</f>
        <v>4.6612E-5</v>
      </c>
      <c r="E194" s="2">
        <f>Storage_modulus_G!E194/1000000</f>
        <v>6.0752000000000004E-5</v>
      </c>
      <c r="F194" s="2">
        <f>Storage_modulus_G!F194/1000000</f>
        <v>8.3281000000000004E-5</v>
      </c>
      <c r="G194" s="2">
        <f>Storage_modulus_G!G194/1000000</f>
        <v>1.20075E-4</v>
      </c>
      <c r="H194" s="2">
        <f>Storage_modulus_G!H194/1000000</f>
        <v>1.73124E-4</v>
      </c>
      <c r="I194" s="2">
        <f>Storage_modulus_G!I194/1000000</f>
        <v>2.7265699999999999E-4</v>
      </c>
      <c r="J194" s="2">
        <f>Storage_modulus_G!J194/1000000</f>
        <v>4.40388E-4</v>
      </c>
      <c r="K194" s="2">
        <f>Storage_modulus_G!K194/1000000</f>
        <v>7.0238500000000003E-4</v>
      </c>
      <c r="L194" s="2">
        <f>Storage_modulus_G!L194/1000000</f>
        <v>1.1344739999999999E-3</v>
      </c>
      <c r="M194" s="2">
        <f>Storage_modulus_G!M194/1000000</f>
        <v>1.7643119999999999E-3</v>
      </c>
      <c r="N194" s="2">
        <f>Storage_modulus_G!N194/1000000</f>
        <v>2.709422E-3</v>
      </c>
      <c r="O194" s="2">
        <f>Storage_modulus_G!O194/1000000</f>
        <v>3.4871109999999998E-3</v>
      </c>
      <c r="P194" s="2">
        <f>Storage_modulus_G!P194/1000000</f>
        <v>4.4880200000000006E-3</v>
      </c>
      <c r="Q194" s="2">
        <f>Storage_modulus_G!Q194/1000000</f>
        <v>5.423087E-3</v>
      </c>
      <c r="R194" s="2">
        <f>Storage_modulus_G!R194/1000000</f>
        <v>7.2489309999999993E-3</v>
      </c>
      <c r="S194" s="2">
        <f>Storage_modulus_G!S194/1000000</f>
        <v>9.4480559999999998E-3</v>
      </c>
      <c r="T194" s="2">
        <f>Storage_modulus_G!T194/1000000</f>
        <v>1.3116206E-2</v>
      </c>
      <c r="U194" s="2">
        <f>Storage_modulus_G!U194/1000000</f>
        <v>2.2564444999999999E-2</v>
      </c>
      <c r="V194" s="236">
        <f>Storage_modulus_G!V194/1000000</f>
        <v>4.4597968000000002E-2</v>
      </c>
      <c r="W194" s="2"/>
    </row>
    <row r="195" spans="1:35" ht="15.75" customHeight="1">
      <c r="A195" s="196">
        <v>34</v>
      </c>
      <c r="B195" s="201">
        <v>3</v>
      </c>
      <c r="C195" s="2">
        <f>Storage_modulus_G!C195/1000000</f>
        <v>9.0447999999999999E-5</v>
      </c>
      <c r="D195" s="2">
        <f>Storage_modulus_G!D195/1000000</f>
        <v>1.1273E-4</v>
      </c>
      <c r="E195" s="2">
        <f>Storage_modulus_G!E195/1000000</f>
        <v>1.5185700000000001E-4</v>
      </c>
      <c r="F195" s="2">
        <f>Storage_modulus_G!F195/1000000</f>
        <v>2.12671E-4</v>
      </c>
      <c r="G195" s="2">
        <f>Storage_modulus_G!G195/1000000</f>
        <v>2.9022100000000001E-4</v>
      </c>
      <c r="H195" s="2">
        <f>Storage_modulus_G!H195/1000000</f>
        <v>4.1711200000000003E-4</v>
      </c>
      <c r="I195" s="2">
        <f>Storage_modulus_G!I195/1000000</f>
        <v>5.9948400000000006E-4</v>
      </c>
      <c r="J195" s="2">
        <f>Storage_modulus_G!J195/1000000</f>
        <v>8.7282699999999996E-4</v>
      </c>
      <c r="K195" s="2">
        <f>Storage_modulus_G!K195/1000000</f>
        <v>1.321163E-3</v>
      </c>
      <c r="L195" s="2">
        <f>Storage_modulus_G!L195/1000000</f>
        <v>2.025865E-3</v>
      </c>
      <c r="M195" s="2">
        <f>Storage_modulus_G!M195/1000000</f>
        <v>3.027002E-3</v>
      </c>
      <c r="N195" s="2">
        <f>Storage_modulus_G!N195/1000000</f>
        <v>4.6415889999999998E-3</v>
      </c>
      <c r="O195" s="2">
        <f>Storage_modulus_G!O195/1000000</f>
        <v>6.9353590000000003E-3</v>
      </c>
      <c r="P195" s="2">
        <f>Storage_modulus_G!P195/1000000</f>
        <v>1.0634642999999999E-2</v>
      </c>
      <c r="Q195" s="2">
        <f>Storage_modulus_G!Q195/1000000</f>
        <v>1.528437E-2</v>
      </c>
      <c r="R195" s="2">
        <f>Storage_modulus_G!R195/1000000</f>
        <v>2.0857806999999999E-2</v>
      </c>
      <c r="S195" s="2">
        <f>Storage_modulus_G!S195/1000000</f>
        <v>2.8097252E-2</v>
      </c>
      <c r="T195" s="2">
        <f>Storage_modulus_G!T195/1000000</f>
        <v>3.6406710000000002E-2</v>
      </c>
      <c r="U195" s="2">
        <f>Storage_modulus_G!U195/1000000</f>
        <v>4.0908574000000003E-2</v>
      </c>
      <c r="V195" s="236"/>
      <c r="W195" s="2"/>
    </row>
    <row r="196" spans="1:35" ht="15.75" customHeight="1">
      <c r="A196" s="196">
        <v>34</v>
      </c>
      <c r="B196" s="201">
        <v>4</v>
      </c>
      <c r="C196" s="2">
        <f>Storage_modulus_G!C196/1000000</f>
        <v>3.445652E-3</v>
      </c>
      <c r="D196" s="2">
        <f>Storage_modulus_G!D196/1000000</f>
        <v>4.0251489999999996E-3</v>
      </c>
      <c r="E196" s="2">
        <f>Storage_modulus_G!E196/1000000</f>
        <v>4.8255219999999996E-3</v>
      </c>
      <c r="F196" s="2">
        <f>Storage_modulus_G!F196/1000000</f>
        <v>5.4222209999999996E-3</v>
      </c>
      <c r="G196" s="2">
        <f>Storage_modulus_G!G196/1000000</f>
        <v>6.2526180000000006E-3</v>
      </c>
      <c r="H196" s="2">
        <f>Storage_modulus_G!H196/1000000</f>
        <v>6.9353590000000003E-3</v>
      </c>
      <c r="I196" s="2">
        <f>Storage_modulus_G!I196/1000000</f>
        <v>7.8945559999999988E-3</v>
      </c>
      <c r="J196" s="2">
        <f>Storage_modulus_G!J196/1000000</f>
        <v>9.1035830000000002E-3</v>
      </c>
      <c r="K196" s="2">
        <f>Storage_modulus_G!K196/1000000</f>
        <v>1.0097629E-2</v>
      </c>
      <c r="L196" s="2">
        <f>Storage_modulus_G!L196/1000000</f>
        <v>1.1494184999999999E-2</v>
      </c>
      <c r="M196" s="2">
        <f>Storage_modulus_G!M196/1000000</f>
        <v>1.3254485E-2</v>
      </c>
      <c r="N196" s="2">
        <f>Storage_modulus_G!N196/1000000</f>
        <v>1.4893466000000001E-2</v>
      </c>
      <c r="O196" s="2">
        <f>Storage_modulus_G!O196/1000000</f>
        <v>1.7625124999999998E-2</v>
      </c>
      <c r="P196" s="2">
        <f>Storage_modulus_G!P196/1000000</f>
        <v>1.9804556000000001E-2</v>
      </c>
      <c r="Q196" s="2">
        <f>Storage_modulus_G!Q196/1000000</f>
        <v>2.2837564999999997E-2</v>
      </c>
      <c r="R196" s="2">
        <f>Storage_modulus_G!R196/1000000</f>
        <v>2.5661539000000001E-2</v>
      </c>
      <c r="S196" s="2">
        <f>Storage_modulus_G!S196/1000000</f>
        <v>2.9591526999999999E-2</v>
      </c>
      <c r="T196" s="2">
        <f>Storage_modulus_G!T196/1000000</f>
        <v>3.1165268999999999E-2</v>
      </c>
      <c r="U196" s="2">
        <f>Storage_modulus_G!U196/1000000</f>
        <v>3.1571612999999998E-2</v>
      </c>
      <c r="V196" s="236">
        <f>Storage_modulus_G!V196/1000000</f>
        <v>3.0368205000000002E-2</v>
      </c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 spans="1:35" ht="15.75" customHeight="1">
      <c r="A197" s="229">
        <v>35</v>
      </c>
      <c r="B197" s="74">
        <v>1</v>
      </c>
      <c r="C197" s="149">
        <f>Storage_modulus_G!C197/1000000</f>
        <v>4.5000000000000003E-7</v>
      </c>
      <c r="D197" s="234">
        <f>Storage_modulus_G!D197/1000000</f>
        <v>4.2E-7</v>
      </c>
      <c r="E197" s="234">
        <f>Storage_modulus_G!E197/1000000</f>
        <v>4.0999999999999999E-7</v>
      </c>
      <c r="F197" s="234">
        <f>Storage_modulus_G!F197/1000000</f>
        <v>4.2E-7</v>
      </c>
      <c r="G197" s="234">
        <f>Storage_modulus_G!G197/1000000</f>
        <v>4.0999999999999999E-7</v>
      </c>
      <c r="H197" s="234">
        <f>Storage_modulus_G!H197/1000000</f>
        <v>4.6000000000000004E-7</v>
      </c>
      <c r="I197" s="234">
        <f>Storage_modulus_G!I197/1000000</f>
        <v>4.4000000000000002E-7</v>
      </c>
      <c r="J197" s="234">
        <f>Storage_modulus_G!J197/1000000</f>
        <v>4.6000000000000004E-7</v>
      </c>
      <c r="K197" s="234">
        <f>Storage_modulus_G!K197/1000000</f>
        <v>4.9999999999999998E-7</v>
      </c>
      <c r="L197" s="234">
        <f>Storage_modulus_G!L197/1000000</f>
        <v>4.5000000000000003E-7</v>
      </c>
      <c r="M197" s="234">
        <f>Storage_modulus_G!M197/1000000</f>
        <v>4.5000000000000003E-7</v>
      </c>
      <c r="N197" s="234">
        <f>Storage_modulus_G!N197/1000000</f>
        <v>5.5000000000000003E-7</v>
      </c>
      <c r="O197" s="234">
        <f>Storage_modulus_G!O197/1000000</f>
        <v>4.9999999999999998E-7</v>
      </c>
      <c r="P197" s="234">
        <f>Storage_modulus_G!P197/1000000</f>
        <v>4.5000000000000003E-7</v>
      </c>
      <c r="Q197" s="234">
        <f>Storage_modulus_G!Q197/1000000</f>
        <v>4.4000000000000002E-7</v>
      </c>
      <c r="R197" s="234">
        <f>Storage_modulus_G!R197/1000000</f>
        <v>4.4000000000000002E-7</v>
      </c>
      <c r="S197" s="234">
        <f>Storage_modulus_G!S197/1000000</f>
        <v>4.8999999999999997E-7</v>
      </c>
      <c r="T197" s="234">
        <f>Storage_modulus_G!T197/1000000</f>
        <v>4.8999999999999997E-7</v>
      </c>
      <c r="U197" s="234">
        <f>Storage_modulus_G!U197/1000000</f>
        <v>5.2E-7</v>
      </c>
      <c r="V197" s="234">
        <f>Storage_modulus_G!V197/1000000</f>
        <v>5.6999999999999994E-7</v>
      </c>
      <c r="W197" s="234">
        <f>Storage_modulus_G!W197/1000000</f>
        <v>6.3E-7</v>
      </c>
      <c r="X197" s="234">
        <f>Storage_modulus_G!X197/1000000</f>
        <v>6.8000000000000005E-7</v>
      </c>
      <c r="Y197" s="234">
        <f>Storage_modulus_G!Y197/1000000</f>
        <v>7.5000000000000002E-7</v>
      </c>
      <c r="Z197" s="234">
        <f>Storage_modulus_G!Z197/1000000</f>
        <v>8.2999999999999999E-7</v>
      </c>
      <c r="AA197" s="234">
        <f>Storage_modulus_G!AA197/1000000</f>
        <v>8.1999999999999998E-7</v>
      </c>
      <c r="AB197" s="234">
        <f>Storage_modulus_G!AB197/1000000</f>
        <v>9.499999999999999E-7</v>
      </c>
      <c r="AC197" s="234">
        <f>Storage_modulus_G!AC197/1000000</f>
        <v>9.7000000000000003E-7</v>
      </c>
      <c r="AD197" s="234">
        <f>Storage_modulus_G!AD197/1000000</f>
        <v>9.7999999999999993E-7</v>
      </c>
      <c r="AE197" s="234">
        <f>Storage_modulus_G!AE197/1000000</f>
        <v>9.7000000000000003E-7</v>
      </c>
      <c r="AF197" s="234">
        <f>Storage_modulus_G!AF197/1000000</f>
        <v>1.3600000000000001E-6</v>
      </c>
      <c r="AG197" s="234">
        <f>Storage_modulus_G!AG197/1000000</f>
        <v>1.33E-6</v>
      </c>
      <c r="AH197" s="235">
        <f>Storage_modulus_G!AH197/1000000</f>
        <v>2.4900000000000003E-6</v>
      </c>
      <c r="AI197" s="2"/>
    </row>
    <row r="198" spans="1:35" ht="15.75" customHeight="1">
      <c r="A198" s="228">
        <v>35</v>
      </c>
      <c r="B198" s="75">
        <v>2</v>
      </c>
      <c r="C198" s="64">
        <f>Storage_modulus_G!C198/1000000</f>
        <v>4.8999999999999997E-7</v>
      </c>
      <c r="D198" s="2">
        <f>Storage_modulus_G!D198/1000000</f>
        <v>4.7999999999999996E-7</v>
      </c>
      <c r="E198" s="2">
        <f>Storage_modulus_G!E198/1000000</f>
        <v>4.7999999999999996E-7</v>
      </c>
      <c r="F198" s="2">
        <f>Storage_modulus_G!F198/1000000</f>
        <v>4.6000000000000004E-7</v>
      </c>
      <c r="G198" s="2">
        <f>Storage_modulus_G!G198/1000000</f>
        <v>4.6000000000000004E-7</v>
      </c>
      <c r="H198" s="2">
        <f>Storage_modulus_G!H198/1000000</f>
        <v>4.3000000000000001E-7</v>
      </c>
      <c r="I198" s="2">
        <f>Storage_modulus_G!I198/1000000</f>
        <v>4.3000000000000001E-7</v>
      </c>
      <c r="J198" s="2">
        <f>Storage_modulus_G!J198/1000000</f>
        <v>4.3000000000000001E-7</v>
      </c>
      <c r="K198" s="2">
        <f>Storage_modulus_G!K198/1000000</f>
        <v>4.6999999999999995E-7</v>
      </c>
      <c r="L198" s="2">
        <f>Storage_modulus_G!L198/1000000</f>
        <v>4.4000000000000002E-7</v>
      </c>
      <c r="M198" s="2">
        <f>Storage_modulus_G!M198/1000000</f>
        <v>4.2E-7</v>
      </c>
      <c r="N198" s="2">
        <f>Storage_modulus_G!N198/1000000</f>
        <v>4.3000000000000001E-7</v>
      </c>
      <c r="O198" s="2">
        <f>Storage_modulus_G!O198/1000000</f>
        <v>4.3000000000000001E-7</v>
      </c>
      <c r="P198" s="2">
        <f>Storage_modulus_G!P198/1000000</f>
        <v>4.3000000000000001E-7</v>
      </c>
      <c r="Q198" s="2">
        <f>Storage_modulus_G!Q198/1000000</f>
        <v>4.2E-7</v>
      </c>
      <c r="R198" s="2">
        <f>Storage_modulus_G!R198/1000000</f>
        <v>4.7999999999999996E-7</v>
      </c>
      <c r="S198" s="2">
        <f>Storage_modulus_G!S198/1000000</f>
        <v>5.3000000000000001E-7</v>
      </c>
      <c r="T198" s="2">
        <f>Storage_modulus_G!T198/1000000</f>
        <v>6.1999999999999999E-7</v>
      </c>
      <c r="U198" s="2">
        <f>Storage_modulus_G!U198/1000000</f>
        <v>5.6000000000000004E-7</v>
      </c>
      <c r="V198" s="2">
        <f>Storage_modulus_G!V198/1000000</f>
        <v>5.2E-7</v>
      </c>
      <c r="W198" s="2">
        <f>Storage_modulus_G!W198/1000000</f>
        <v>4.8999999999999997E-7</v>
      </c>
      <c r="X198" s="2">
        <f>Storage_modulus_G!X198/1000000</f>
        <v>5.8999999999999996E-7</v>
      </c>
      <c r="Y198" s="2">
        <f>Storage_modulus_G!Y198/1000000</f>
        <v>5.7999999999999995E-7</v>
      </c>
      <c r="Z198" s="2">
        <f>Storage_modulus_G!Z198/1000000</f>
        <v>6.9999999999999997E-7</v>
      </c>
      <c r="AA198" s="2">
        <f>Storage_modulus_G!AA198/1000000</f>
        <v>7.6000000000000003E-7</v>
      </c>
      <c r="AB198" s="2">
        <f>Storage_modulus_G!AB198/1000000</f>
        <v>8.9000000000000006E-7</v>
      </c>
      <c r="AC198" s="2">
        <f>Storage_modulus_G!AC198/1000000</f>
        <v>9.300000000000001E-7</v>
      </c>
      <c r="AD198" s="2">
        <f>Storage_modulus_G!AD198/1000000</f>
        <v>9.7999999999999993E-7</v>
      </c>
      <c r="AE198" s="2">
        <f>Storage_modulus_G!AE198/1000000</f>
        <v>9.2000000000000009E-7</v>
      </c>
      <c r="AF198" s="2">
        <f>Storage_modulus_G!AF198/1000000</f>
        <v>1.3E-6</v>
      </c>
      <c r="AG198" s="2">
        <f>Storage_modulus_G!AG198/1000000</f>
        <v>1.44E-6</v>
      </c>
      <c r="AH198" s="236">
        <f>Storage_modulus_G!AH198/1000000</f>
        <v>2.5799999999999999E-6</v>
      </c>
      <c r="AI198" s="2"/>
    </row>
    <row r="199" spans="1:35" ht="15.75" customHeight="1">
      <c r="A199" s="228">
        <v>35</v>
      </c>
      <c r="B199" s="75">
        <v>3</v>
      </c>
      <c r="C199" s="64">
        <f>Storage_modulus_G!C199/1000000</f>
        <v>1.6E-7</v>
      </c>
      <c r="D199" s="2">
        <f>Storage_modulus_G!D199/1000000</f>
        <v>1.6E-7</v>
      </c>
      <c r="E199" s="2">
        <f>Storage_modulus_G!E199/1000000</f>
        <v>1.6E-7</v>
      </c>
      <c r="F199" s="2">
        <f>Storage_modulus_G!F199/1000000</f>
        <v>1.6E-7</v>
      </c>
      <c r="G199" s="2">
        <f>Storage_modulus_G!G199/1000000</f>
        <v>1.6E-7</v>
      </c>
      <c r="H199" s="2">
        <f>Storage_modulus_G!H199/1000000</f>
        <v>1.7000000000000001E-7</v>
      </c>
      <c r="I199" s="2">
        <f>Storage_modulus_G!I199/1000000</f>
        <v>1.7000000000000001E-7</v>
      </c>
      <c r="J199" s="2">
        <f>Storage_modulus_G!J199/1000000</f>
        <v>1.8E-7</v>
      </c>
      <c r="K199" s="2">
        <f>Storage_modulus_G!K199/1000000</f>
        <v>1.9000000000000001E-7</v>
      </c>
      <c r="L199" s="2">
        <f>Storage_modulus_G!L199/1000000</f>
        <v>2.0000000000000002E-7</v>
      </c>
      <c r="M199" s="2">
        <f>Storage_modulus_G!M199/1000000</f>
        <v>2.1E-7</v>
      </c>
      <c r="N199" s="2">
        <f>Storage_modulus_G!N199/1000000</f>
        <v>2.1E-7</v>
      </c>
      <c r="O199" s="2">
        <f>Storage_modulus_G!O199/1000000</f>
        <v>2.2000000000000001E-7</v>
      </c>
      <c r="P199" s="2">
        <f>Storage_modulus_G!P199/1000000</f>
        <v>2.3000000000000002E-7</v>
      </c>
      <c r="Q199" s="2">
        <f>Storage_modulus_G!Q199/1000000</f>
        <v>2.4999999999999999E-7</v>
      </c>
      <c r="R199" s="2">
        <f>Storage_modulus_G!R199/1000000</f>
        <v>2.4999999999999999E-7</v>
      </c>
      <c r="S199" s="2">
        <f>Storage_modulus_G!S199/1000000</f>
        <v>2.3999999999999998E-7</v>
      </c>
      <c r="T199" s="2">
        <f>Storage_modulus_G!T199/1000000</f>
        <v>2.3999999999999998E-7</v>
      </c>
      <c r="U199" s="2">
        <f>Storage_modulus_G!U199/1000000</f>
        <v>2.8000000000000002E-7</v>
      </c>
      <c r="V199" s="2">
        <f>Storage_modulus_G!V199/1000000</f>
        <v>2.8000000000000002E-7</v>
      </c>
      <c r="W199" s="2">
        <f>Storage_modulus_G!W199/1000000</f>
        <v>3.1E-7</v>
      </c>
      <c r="X199" s="2">
        <f>Storage_modulus_G!X199/1000000</f>
        <v>3.1E-7</v>
      </c>
      <c r="Y199" s="2">
        <f>Storage_modulus_G!Y199/1000000</f>
        <v>3.2000000000000001E-7</v>
      </c>
      <c r="Z199" s="2">
        <f>Storage_modulus_G!Z199/1000000</f>
        <v>3.4999999999999998E-7</v>
      </c>
      <c r="AA199" s="2">
        <f>Storage_modulus_G!AA199/1000000</f>
        <v>3.4000000000000003E-7</v>
      </c>
      <c r="AB199" s="2">
        <f>Storage_modulus_G!AB199/1000000</f>
        <v>3.8000000000000001E-7</v>
      </c>
      <c r="AC199" s="2">
        <f>Storage_modulus_G!AC199/1000000</f>
        <v>3.9000000000000002E-7</v>
      </c>
      <c r="AD199" s="2">
        <f>Storage_modulus_G!AD199/1000000</f>
        <v>4.3000000000000001E-7</v>
      </c>
      <c r="AE199" s="2">
        <f>Storage_modulus_G!AE199/1000000</f>
        <v>4.6999999999999995E-7</v>
      </c>
      <c r="AF199" s="2">
        <f>Storage_modulus_G!AF199/1000000</f>
        <v>5.3000000000000001E-7</v>
      </c>
      <c r="AG199" s="2">
        <f>Storage_modulus_G!AG199/1000000</f>
        <v>5.6999999999999994E-7</v>
      </c>
      <c r="AH199" s="236">
        <f>Storage_modulus_G!AH199/1000000</f>
        <v>8.0000000000000007E-7</v>
      </c>
      <c r="AI199" s="2"/>
    </row>
    <row r="200" spans="1:35" ht="15.75" customHeight="1">
      <c r="A200" s="228">
        <v>35</v>
      </c>
      <c r="B200" s="75">
        <v>4</v>
      </c>
      <c r="C200" s="150">
        <f>Storage_modulus_G!C200/1000000</f>
        <v>1.04E-6</v>
      </c>
      <c r="D200" s="34">
        <f>Storage_modulus_G!D200/1000000</f>
        <v>1.06E-6</v>
      </c>
      <c r="E200" s="34">
        <f>Storage_modulus_G!E200/1000000</f>
        <v>9.7999999999999993E-7</v>
      </c>
      <c r="F200" s="34">
        <f>Storage_modulus_G!F200/1000000</f>
        <v>9.7999999999999993E-7</v>
      </c>
      <c r="G200" s="34">
        <f>Storage_modulus_G!G200/1000000</f>
        <v>1.19E-6</v>
      </c>
      <c r="H200" s="34">
        <f>Storage_modulus_G!H200/1000000</f>
        <v>1.2500000000000001E-6</v>
      </c>
      <c r="I200" s="34">
        <f>Storage_modulus_G!I200/1000000</f>
        <v>1.13E-6</v>
      </c>
      <c r="J200" s="34">
        <f>Storage_modulus_G!J200/1000000</f>
        <v>1.22E-6</v>
      </c>
      <c r="K200" s="34">
        <f>Storage_modulus_G!K200/1000000</f>
        <v>1.3799999999999999E-6</v>
      </c>
      <c r="L200" s="34">
        <f>Storage_modulus_G!L200/1000000</f>
        <v>1.3600000000000001E-6</v>
      </c>
      <c r="M200" s="34">
        <f>Storage_modulus_G!M200/1000000</f>
        <v>1.3799999999999999E-6</v>
      </c>
      <c r="N200" s="34">
        <f>Storage_modulus_G!N200/1000000</f>
        <v>1.53E-6</v>
      </c>
      <c r="O200" s="34">
        <f>Storage_modulus_G!O200/1000000</f>
        <v>1.44E-6</v>
      </c>
      <c r="P200" s="34">
        <f>Storage_modulus_G!P200/1000000</f>
        <v>1.53E-6</v>
      </c>
      <c r="Q200" s="34">
        <f>Storage_modulus_G!Q200/1000000</f>
        <v>1.6699999999999999E-6</v>
      </c>
      <c r="R200" s="34">
        <f>Storage_modulus_G!R200/1000000</f>
        <v>1.66E-6</v>
      </c>
      <c r="S200" s="34">
        <f>Storage_modulus_G!S200/1000000</f>
        <v>1.7E-6</v>
      </c>
      <c r="T200" s="34">
        <f>Storage_modulus_G!T200/1000000</f>
        <v>1.66E-6</v>
      </c>
      <c r="U200" s="34">
        <f>Storage_modulus_G!U200/1000000</f>
        <v>1.81E-6</v>
      </c>
      <c r="V200" s="34">
        <f>Storage_modulus_G!V200/1000000</f>
        <v>1.61E-6</v>
      </c>
      <c r="W200" s="34">
        <f>Storage_modulus_G!W200/1000000</f>
        <v>1.7E-6</v>
      </c>
      <c r="X200" s="34">
        <f>Storage_modulus_G!X200/1000000</f>
        <v>1.8300000000000001E-6</v>
      </c>
      <c r="Y200" s="34">
        <f>Storage_modulus_G!Y200/1000000</f>
        <v>1.72E-6</v>
      </c>
      <c r="Z200" s="34">
        <f>Storage_modulus_G!Z200/1000000</f>
        <v>1.6699999999999999E-6</v>
      </c>
      <c r="AA200" s="34">
        <f>Storage_modulus_G!AA200/1000000</f>
        <v>1.8799999999999998E-6</v>
      </c>
      <c r="AB200" s="34">
        <f>Storage_modulus_G!AB200/1000000</f>
        <v>2.0099999999999998E-6</v>
      </c>
      <c r="AC200" s="34">
        <f>Storage_modulus_G!AC200/1000000</f>
        <v>2.26E-6</v>
      </c>
      <c r="AD200" s="34">
        <f>Storage_modulus_G!AD200/1000000</f>
        <v>2.74E-6</v>
      </c>
      <c r="AE200" s="34">
        <f>Storage_modulus_G!AE200/1000000</f>
        <v>2.8399999999999999E-6</v>
      </c>
      <c r="AF200" s="34">
        <f>Storage_modulus_G!AF200/1000000</f>
        <v>3.2499999999999998E-6</v>
      </c>
      <c r="AG200" s="34">
        <f>Storage_modulus_G!AG200/1000000</f>
        <v>4.2000000000000004E-6</v>
      </c>
      <c r="AH200" s="237">
        <f>Storage_modulus_G!AH200/1000000</f>
        <v>5.3800000000000002E-6</v>
      </c>
      <c r="AI200" s="2"/>
    </row>
    <row r="201" spans="1:35" ht="15.75" customHeight="1">
      <c r="A201" s="229">
        <v>36</v>
      </c>
      <c r="B201" s="74">
        <v>1</v>
      </c>
      <c r="C201" s="2">
        <f>1000*Storage_modulus_G!C201</f>
        <v>4017.0000000000005</v>
      </c>
      <c r="D201" s="2">
        <f>1000*Storage_modulus_G!D201</f>
        <v>3438</v>
      </c>
      <c r="E201" s="2">
        <f>1000*Storage_modulus_G!E201</f>
        <v>2588</v>
      </c>
      <c r="F201" s="2">
        <f>1000*Storage_modulus_G!F201</f>
        <v>1983</v>
      </c>
      <c r="G201" s="2">
        <f>1000*Storage_modulus_G!G201</f>
        <v>1545</v>
      </c>
      <c r="H201" s="2">
        <f>1000*Storage_modulus_G!H201</f>
        <v>1326</v>
      </c>
      <c r="I201" s="2">
        <f>1000*Storage_modulus_G!I201</f>
        <v>966</v>
      </c>
      <c r="J201" s="2">
        <f>1000*Storage_modulus_G!J201</f>
        <v>605</v>
      </c>
      <c r="K201" s="2">
        <f>1000*Storage_modulus_G!K201</f>
        <v>386</v>
      </c>
      <c r="L201" s="2">
        <f>1000*Storage_modulus_G!L201</f>
        <v>309</v>
      </c>
      <c r="M201" s="2">
        <f>1000*Storage_modulus_G!M201</f>
        <v>219</v>
      </c>
      <c r="N201" s="236">
        <f>1000*Storage_modulus_G!N201</f>
        <v>142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 spans="1:35" ht="15.75" customHeight="1">
      <c r="A202" s="228">
        <v>36</v>
      </c>
      <c r="B202" s="75">
        <v>2</v>
      </c>
      <c r="C202" s="2">
        <f>1000*Storage_modulus_G!C202</f>
        <v>8343</v>
      </c>
      <c r="D202" s="2">
        <f>1000*Storage_modulus_G!D202</f>
        <v>8073</v>
      </c>
      <c r="E202" s="2">
        <f>1000*Storage_modulus_G!E202</f>
        <v>7532</v>
      </c>
      <c r="F202" s="2">
        <f>1000*Storage_modulus_G!F202</f>
        <v>6116</v>
      </c>
      <c r="G202" s="2">
        <f>1000*Storage_modulus_G!G202</f>
        <v>4918</v>
      </c>
      <c r="H202" s="2">
        <f>1000*Storage_modulus_G!H202</f>
        <v>4197</v>
      </c>
      <c r="I202" s="2">
        <f>1000*Storage_modulus_G!I202</f>
        <v>3270</v>
      </c>
      <c r="J202" s="2">
        <f>1000*Storage_modulus_G!J202</f>
        <v>2292</v>
      </c>
      <c r="K202" s="2">
        <f>1000*Storage_modulus_G!K202</f>
        <v>1777</v>
      </c>
      <c r="L202" s="2">
        <f>1000*Storage_modulus_G!L202</f>
        <v>1378</v>
      </c>
      <c r="M202" s="2">
        <f>1000*Storage_modulus_G!M202</f>
        <v>1016.9999999999999</v>
      </c>
      <c r="N202" s="236">
        <f>1000*Storage_modulus_G!N202</f>
        <v>502</v>
      </c>
      <c r="O202" s="2"/>
    </row>
    <row r="203" spans="1:35" ht="15.75" customHeight="1">
      <c r="A203" s="228">
        <v>36</v>
      </c>
      <c r="B203" s="75">
        <v>3</v>
      </c>
      <c r="C203" s="2">
        <f>1000*Storage_modulus_G!C203</f>
        <v>5382</v>
      </c>
      <c r="D203" s="2">
        <f>1000*Storage_modulus_G!D203</f>
        <v>4803</v>
      </c>
      <c r="E203" s="2">
        <f>1000*Storage_modulus_G!E203</f>
        <v>3850</v>
      </c>
      <c r="F203" s="2">
        <f>1000*Storage_modulus_G!F203</f>
        <v>3258</v>
      </c>
      <c r="G203" s="2">
        <f>1000*Storage_modulus_G!G203</f>
        <v>2742</v>
      </c>
      <c r="H203" s="2">
        <f>1000*Storage_modulus_G!H203</f>
        <v>2227</v>
      </c>
      <c r="I203" s="2">
        <f>1000*Storage_modulus_G!I203</f>
        <v>1609</v>
      </c>
      <c r="J203" s="2">
        <f>1000*Storage_modulus_G!J203</f>
        <v>1197</v>
      </c>
      <c r="K203" s="2">
        <f>1000*Storage_modulus_G!K203</f>
        <v>940</v>
      </c>
      <c r="L203" s="2">
        <f>1000*Storage_modulus_G!L203</f>
        <v>721</v>
      </c>
      <c r="M203" s="2">
        <f>1000*Storage_modulus_G!M203</f>
        <v>515</v>
      </c>
      <c r="N203" s="236">
        <f>1000*Storage_modulus_G!N203</f>
        <v>335</v>
      </c>
      <c r="O203" s="2"/>
    </row>
    <row r="204" spans="1:35" ht="15.75" customHeight="1">
      <c r="A204" s="230">
        <v>36</v>
      </c>
      <c r="B204" s="231">
        <v>4</v>
      </c>
      <c r="C204" s="34">
        <f>1000*Storage_modulus_G!C204</f>
        <v>7403</v>
      </c>
      <c r="D204" s="34">
        <f>1000*Storage_modulus_G!D204</f>
        <v>7197</v>
      </c>
      <c r="E204" s="34">
        <f>1000*Storage_modulus_G!E204</f>
        <v>6695</v>
      </c>
      <c r="F204" s="34">
        <f>1000*Storage_modulus_G!F204</f>
        <v>5524</v>
      </c>
      <c r="G204" s="34">
        <f>1000*Storage_modulus_G!G204</f>
        <v>4416</v>
      </c>
      <c r="H204" s="34">
        <f>1000*Storage_modulus_G!H204</f>
        <v>3773</v>
      </c>
      <c r="I204" s="34">
        <f>1000*Storage_modulus_G!I204</f>
        <v>2820</v>
      </c>
      <c r="J204" s="34">
        <f>1000*Storage_modulus_G!J204</f>
        <v>2112000</v>
      </c>
      <c r="K204" s="34">
        <f>1000*Storage_modulus_G!K204</f>
        <v>1648</v>
      </c>
      <c r="L204" s="34">
        <f>1000*Storage_modulus_G!L204</f>
        <v>1236</v>
      </c>
      <c r="M204" s="34">
        <f>1000*Storage_modulus_G!M204</f>
        <v>888</v>
      </c>
      <c r="N204" s="237">
        <f>1000*Storage_modulus_G!N204</f>
        <v>451</v>
      </c>
      <c r="O204" s="2"/>
    </row>
    <row r="205" spans="1:35" ht="15.75" customHeight="1">
      <c r="A205" s="228">
        <v>37</v>
      </c>
      <c r="B205" s="201">
        <v>1</v>
      </c>
      <c r="C205" s="2">
        <v>3774.82</v>
      </c>
      <c r="D205" s="2">
        <v>3498.5610000000001</v>
      </c>
      <c r="E205" s="2">
        <v>3135.971</v>
      </c>
      <c r="F205" s="2">
        <v>2796.4029999999998</v>
      </c>
      <c r="G205" s="2">
        <v>2537.41</v>
      </c>
      <c r="H205" s="2">
        <v>2261.1509999999998</v>
      </c>
      <c r="I205" s="2">
        <v>1921.5830000000001</v>
      </c>
      <c r="J205" s="2">
        <v>1570.5039999999999</v>
      </c>
      <c r="K205" s="2">
        <v>1288.489</v>
      </c>
      <c r="L205" s="2">
        <v>1023.741</v>
      </c>
      <c r="M205" s="2">
        <v>799.28099999999995</v>
      </c>
      <c r="N205" s="2">
        <v>551.79899999999998</v>
      </c>
      <c r="O205" s="235">
        <v>402.15800000000002</v>
      </c>
      <c r="P205" s="2"/>
    </row>
    <row r="206" spans="1:35" ht="15.75" customHeight="1">
      <c r="A206" s="228">
        <v>37</v>
      </c>
      <c r="B206" s="201">
        <v>2</v>
      </c>
      <c r="C206" s="2">
        <v>3820.8629999999998</v>
      </c>
      <c r="D206" s="2">
        <v>3579.1370000000002</v>
      </c>
      <c r="E206" s="2">
        <v>3245.3240000000001</v>
      </c>
      <c r="F206" s="2">
        <v>2934.5320000000002</v>
      </c>
      <c r="G206" s="2">
        <v>2664.029</v>
      </c>
      <c r="H206" s="2">
        <v>2416.547</v>
      </c>
      <c r="I206" s="2">
        <v>2094.2449999999999</v>
      </c>
      <c r="J206" s="2">
        <v>1714.3879999999999</v>
      </c>
      <c r="K206" s="2">
        <v>1403.597</v>
      </c>
      <c r="L206" s="2">
        <v>1138.8489999999999</v>
      </c>
      <c r="M206" s="2">
        <v>885.61199999999997</v>
      </c>
      <c r="N206" s="2">
        <v>592.08600000000001</v>
      </c>
      <c r="O206" s="236"/>
      <c r="P206" s="2"/>
    </row>
    <row r="207" spans="1:35" ht="15.75" customHeight="1">
      <c r="A207" s="228">
        <v>37</v>
      </c>
      <c r="B207" s="201">
        <v>3</v>
      </c>
      <c r="C207" s="2">
        <v>3475.54</v>
      </c>
      <c r="D207" s="2">
        <v>3302.8780000000002</v>
      </c>
      <c r="E207" s="2">
        <v>2974.82</v>
      </c>
      <c r="F207" s="2">
        <v>2652.518</v>
      </c>
      <c r="G207" s="2">
        <v>2376.259</v>
      </c>
      <c r="H207" s="2">
        <v>2140.288</v>
      </c>
      <c r="I207" s="2">
        <v>1829.4960000000001</v>
      </c>
      <c r="J207" s="2">
        <v>1478.4169999999999</v>
      </c>
      <c r="K207" s="2">
        <v>1173.3810000000001</v>
      </c>
      <c r="L207" s="2">
        <v>879.85599999999999</v>
      </c>
      <c r="M207" s="2">
        <v>563.30899999999997</v>
      </c>
      <c r="N207" s="2">
        <v>356.11500000000001</v>
      </c>
      <c r="O207" s="236"/>
      <c r="P207" s="2"/>
    </row>
    <row r="208" spans="1:35" ht="15.75" customHeight="1">
      <c r="A208" s="228">
        <v>37</v>
      </c>
      <c r="B208" s="201">
        <v>4</v>
      </c>
      <c r="C208" s="2">
        <v>3999.2809999999999</v>
      </c>
      <c r="D208" s="2">
        <v>3820.8629999999998</v>
      </c>
      <c r="E208" s="2">
        <v>3481.2950000000001</v>
      </c>
      <c r="F208" s="2">
        <v>3124.46</v>
      </c>
      <c r="G208" s="2">
        <v>2836.6909999999998</v>
      </c>
      <c r="H208" s="2">
        <v>2589.2089999999998</v>
      </c>
      <c r="I208" s="2">
        <v>2232.3739999999998</v>
      </c>
      <c r="J208" s="2">
        <v>1846.7629999999999</v>
      </c>
      <c r="K208" s="2">
        <v>1564.748</v>
      </c>
      <c r="L208" s="2">
        <v>1265.4680000000001</v>
      </c>
      <c r="M208" s="2">
        <v>1052.518</v>
      </c>
      <c r="N208" s="2">
        <v>822.30200000000002</v>
      </c>
      <c r="O208" s="236">
        <v>523.02200000000005</v>
      </c>
      <c r="P208" s="2"/>
    </row>
    <row r="209" spans="1:16" ht="15.75" customHeight="1">
      <c r="A209" s="228">
        <v>37</v>
      </c>
      <c r="B209" s="201">
        <v>5</v>
      </c>
      <c r="C209" s="2">
        <v>3653.9569999999999</v>
      </c>
      <c r="D209" s="2">
        <v>3510.0720000000001</v>
      </c>
      <c r="E209" s="2">
        <v>3205.0360000000001</v>
      </c>
      <c r="F209" s="2">
        <v>2894.2449999999999</v>
      </c>
      <c r="G209" s="2">
        <v>2612.23</v>
      </c>
      <c r="H209" s="2">
        <v>2393.5250000000001</v>
      </c>
      <c r="I209" s="2">
        <v>2082.7339999999999</v>
      </c>
      <c r="J209" s="2">
        <v>1708.633</v>
      </c>
      <c r="K209" s="2">
        <v>1426.6189999999999</v>
      </c>
      <c r="L209" s="2">
        <v>1069.7840000000001</v>
      </c>
      <c r="M209" s="2">
        <v>701.43899999999996</v>
      </c>
      <c r="N209" s="2">
        <v>448.20100000000002</v>
      </c>
      <c r="O209" s="236">
        <v>287.05</v>
      </c>
      <c r="P209" s="2"/>
    </row>
    <row r="210" spans="1:16" ht="15.75" customHeight="1">
      <c r="A210" s="228">
        <v>37</v>
      </c>
      <c r="B210" s="201">
        <v>6</v>
      </c>
      <c r="C210" s="2">
        <v>4315.8270000000002</v>
      </c>
      <c r="D210" s="2">
        <v>4171.942</v>
      </c>
      <c r="E210" s="2">
        <v>3838.1289999999999</v>
      </c>
      <c r="F210" s="2">
        <v>3475.54</v>
      </c>
      <c r="G210" s="2">
        <v>3130.2159999999999</v>
      </c>
      <c r="H210" s="2">
        <v>2848.201</v>
      </c>
      <c r="I210" s="2">
        <v>2479.8560000000002</v>
      </c>
      <c r="J210" s="2">
        <v>2036.691</v>
      </c>
      <c r="K210" s="2">
        <v>1593.5250000000001</v>
      </c>
      <c r="L210" s="2">
        <v>1017.986</v>
      </c>
      <c r="M210" s="2">
        <v>626.61900000000003</v>
      </c>
      <c r="N210" s="2">
        <v>384.892</v>
      </c>
      <c r="O210" s="236"/>
      <c r="P210" s="2"/>
    </row>
    <row r="211" spans="1:16" ht="15.75" customHeight="1">
      <c r="A211" s="230">
        <v>37</v>
      </c>
      <c r="B211" s="202">
        <v>7</v>
      </c>
      <c r="C211" s="34">
        <v>3918.7049999999999</v>
      </c>
      <c r="D211" s="34">
        <v>3746.0430000000001</v>
      </c>
      <c r="E211" s="34">
        <v>3458.2730000000001</v>
      </c>
      <c r="F211" s="34">
        <v>3158.9929999999999</v>
      </c>
      <c r="G211" s="34">
        <v>2923.0219999999999</v>
      </c>
      <c r="H211" s="34">
        <v>2692.806</v>
      </c>
      <c r="I211" s="34">
        <v>2428.058</v>
      </c>
      <c r="J211" s="34">
        <v>2030.9349999999999</v>
      </c>
      <c r="K211" s="34">
        <v>1668.345</v>
      </c>
      <c r="L211" s="34">
        <v>1305.7550000000001</v>
      </c>
      <c r="M211" s="34">
        <v>1029.4960000000001</v>
      </c>
      <c r="N211" s="34">
        <v>810.79100000000005</v>
      </c>
      <c r="O211" s="237">
        <v>643.88499999999999</v>
      </c>
      <c r="P211" s="2"/>
    </row>
    <row r="212" spans="1:16" ht="15.75" customHeight="1">
      <c r="A212" s="229">
        <v>38</v>
      </c>
      <c r="B212" s="74">
        <v>1</v>
      </c>
      <c r="C212" s="2"/>
      <c r="D212" s="2"/>
      <c r="E212" s="116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6" ht="15.75" customHeight="1">
      <c r="A213" s="228">
        <v>38</v>
      </c>
      <c r="B213" s="75">
        <v>2</v>
      </c>
      <c r="E213" s="116"/>
    </row>
    <row r="214" spans="1:16" ht="15.75" customHeight="1">
      <c r="A214" s="228">
        <v>38</v>
      </c>
      <c r="B214" s="75">
        <v>3</v>
      </c>
      <c r="E214" s="116"/>
    </row>
    <row r="215" spans="1:16" ht="15.75" customHeight="1">
      <c r="A215" s="228">
        <v>38</v>
      </c>
      <c r="B215" s="75">
        <v>4</v>
      </c>
    </row>
    <row r="216" spans="1:16" ht="15.75" customHeight="1">
      <c r="A216" s="228">
        <v>38</v>
      </c>
      <c r="B216" s="75">
        <v>5</v>
      </c>
    </row>
    <row r="217" spans="1:16" ht="15.75" customHeight="1">
      <c r="A217" s="228">
        <v>38</v>
      </c>
      <c r="B217" s="75">
        <v>6</v>
      </c>
    </row>
    <row r="218" spans="1:16" ht="15.75" customHeight="1">
      <c r="A218" s="229">
        <v>39</v>
      </c>
      <c r="B218" s="74">
        <v>1</v>
      </c>
    </row>
    <row r="219" spans="1:16" ht="15.75" customHeight="1">
      <c r="A219" s="228">
        <v>39</v>
      </c>
      <c r="B219" s="75">
        <v>2</v>
      </c>
    </row>
    <row r="220" spans="1:16" ht="15.75" customHeight="1">
      <c r="A220" s="228">
        <v>39</v>
      </c>
      <c r="B220" s="75">
        <v>3</v>
      </c>
    </row>
    <row r="221" spans="1:16" ht="15.75" customHeight="1">
      <c r="A221" s="228">
        <v>39</v>
      </c>
      <c r="B221" s="75">
        <v>4</v>
      </c>
    </row>
    <row r="222" spans="1:16" ht="15.75" customHeight="1">
      <c r="A222" s="228">
        <v>39</v>
      </c>
      <c r="B222" s="75">
        <v>5</v>
      </c>
      <c r="E222" s="116"/>
    </row>
    <row r="223" spans="1:16" ht="15.75" customHeight="1">
      <c r="A223" s="228">
        <v>39</v>
      </c>
      <c r="B223" s="75">
        <v>6</v>
      </c>
      <c r="E223" s="116"/>
    </row>
    <row r="224" spans="1:16" ht="15.75" customHeight="1">
      <c r="A224" s="228">
        <v>39</v>
      </c>
      <c r="B224" s="75">
        <v>7</v>
      </c>
      <c r="E224" s="116"/>
    </row>
    <row r="225" spans="1:27" ht="15.75" customHeight="1">
      <c r="A225" s="228">
        <v>39</v>
      </c>
      <c r="B225" s="75">
        <v>8</v>
      </c>
      <c r="C225" s="2"/>
      <c r="D225" s="2"/>
      <c r="E225" s="116"/>
      <c r="F225" s="2"/>
      <c r="G225" s="2"/>
      <c r="H225" s="2"/>
    </row>
    <row r="226" spans="1:27" ht="15.75" customHeight="1">
      <c r="A226" s="229">
        <v>40</v>
      </c>
      <c r="B226" s="74">
        <v>1</v>
      </c>
      <c r="C226" s="376">
        <v>1953.087</v>
      </c>
      <c r="D226" s="376">
        <v>1622.9649999999999</v>
      </c>
      <c r="E226" s="376">
        <v>7.45</v>
      </c>
      <c r="F226" s="376">
        <v>2.2519999999999998</v>
      </c>
      <c r="G226" s="376">
        <v>1.3879999999999999</v>
      </c>
      <c r="H226" s="386">
        <v>0.95799999999999996</v>
      </c>
      <c r="I226" s="2"/>
    </row>
    <row r="227" spans="1:27" ht="15.75" customHeight="1">
      <c r="A227" s="228">
        <v>40</v>
      </c>
      <c r="B227" s="75">
        <v>2</v>
      </c>
      <c r="C227" s="97">
        <v>2127.3310000000001</v>
      </c>
      <c r="D227" s="97">
        <v>1818.837</v>
      </c>
      <c r="E227" s="97">
        <v>13.942</v>
      </c>
      <c r="F227" s="97">
        <v>3.7069999999999999</v>
      </c>
      <c r="G227" s="97">
        <v>2.35</v>
      </c>
      <c r="H227" s="387">
        <v>1.49</v>
      </c>
      <c r="I227" s="2"/>
    </row>
    <row r="228" spans="1:27" ht="15.75" customHeight="1">
      <c r="A228" s="228">
        <v>40</v>
      </c>
      <c r="B228" s="75">
        <v>3</v>
      </c>
      <c r="C228" s="97">
        <v>2384.0729999999999</v>
      </c>
      <c r="D228" s="97">
        <v>1981.104</v>
      </c>
      <c r="E228" s="97">
        <v>31.398</v>
      </c>
      <c r="F228" s="97">
        <v>11.101000000000001</v>
      </c>
      <c r="G228" s="97">
        <v>6.84</v>
      </c>
      <c r="H228" s="387">
        <v>4.59</v>
      </c>
      <c r="I228" s="2"/>
      <c r="L228" s="116"/>
    </row>
    <row r="229" spans="1:27" ht="15.75" customHeight="1">
      <c r="A229" s="228">
        <v>40</v>
      </c>
      <c r="B229" s="75">
        <v>4</v>
      </c>
      <c r="C229" s="97">
        <v>2523.84</v>
      </c>
      <c r="D229" s="97">
        <v>2252.0459999999998</v>
      </c>
      <c r="E229" s="97">
        <v>74.855999999999995</v>
      </c>
      <c r="F229" s="97">
        <v>22.952000000000002</v>
      </c>
      <c r="G229" s="97">
        <v>15.186</v>
      </c>
      <c r="H229" s="387">
        <v>10.048</v>
      </c>
      <c r="I229" s="2"/>
      <c r="L229" s="116"/>
    </row>
    <row r="230" spans="1:27" ht="15.75" customHeight="1">
      <c r="A230" s="230">
        <v>40</v>
      </c>
      <c r="B230" s="231">
        <v>5</v>
      </c>
      <c r="C230" s="102">
        <v>2560.0439999999999</v>
      </c>
      <c r="D230" s="102">
        <v>2220.1979999999999</v>
      </c>
      <c r="E230" s="102">
        <v>163.845</v>
      </c>
      <c r="F230" s="102">
        <v>67.753</v>
      </c>
      <c r="G230" s="102">
        <v>44.828000000000003</v>
      </c>
      <c r="H230" s="388">
        <v>31.398</v>
      </c>
      <c r="I230" s="97"/>
      <c r="J230" s="2"/>
      <c r="K230" s="2"/>
      <c r="L230" s="116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7" ht="15.75" customHeight="1">
      <c r="A231" s="196">
        <v>41</v>
      </c>
      <c r="B231" s="201">
        <v>1</v>
      </c>
      <c r="C231" s="2">
        <v>0.43099999999999999</v>
      </c>
      <c r="D231" s="2">
        <v>0.82899999999999996</v>
      </c>
      <c r="E231" s="2">
        <v>1.4950000000000001</v>
      </c>
      <c r="F231" s="2">
        <v>2.8140000000000001</v>
      </c>
      <c r="G231" s="2">
        <v>4.8540000000000001</v>
      </c>
      <c r="H231" s="2">
        <v>9.1359999999999992</v>
      </c>
      <c r="I231" s="234">
        <v>15.087999999999999</v>
      </c>
      <c r="J231" s="234">
        <v>27.187999999999999</v>
      </c>
      <c r="K231" s="234">
        <v>45.889000000000003</v>
      </c>
      <c r="L231" s="234">
        <v>79.161000000000001</v>
      </c>
      <c r="M231" s="234">
        <v>152.29300000000001</v>
      </c>
      <c r="N231" s="234">
        <v>257.048</v>
      </c>
      <c r="O231" s="234">
        <v>463.19600000000003</v>
      </c>
      <c r="P231" s="234">
        <v>764.93899999999996</v>
      </c>
      <c r="Q231" s="234">
        <v>1263.248</v>
      </c>
      <c r="R231" s="234">
        <v>1997.1279999999999</v>
      </c>
      <c r="S231" s="234">
        <v>3022.5880000000002</v>
      </c>
      <c r="T231" s="234">
        <v>4475.8919999999998</v>
      </c>
      <c r="U231" s="234">
        <v>7076.15</v>
      </c>
      <c r="V231" s="234">
        <v>10031.207</v>
      </c>
      <c r="W231" s="234">
        <v>14533.880999999999</v>
      </c>
      <c r="X231" s="234">
        <v>21521.982</v>
      </c>
      <c r="Y231" s="234">
        <v>29207.468000000001</v>
      </c>
      <c r="Z231" s="235">
        <v>36325.911</v>
      </c>
      <c r="AA231" s="2"/>
    </row>
    <row r="232" spans="1:27" ht="15.75" customHeight="1">
      <c r="A232" s="196">
        <v>41</v>
      </c>
      <c r="B232" s="201">
        <v>2</v>
      </c>
      <c r="C232" s="2">
        <v>98.453999999999994</v>
      </c>
      <c r="D232" s="2">
        <v>112.21899999999999</v>
      </c>
      <c r="E232" s="2">
        <v>145.792</v>
      </c>
      <c r="F232" s="2">
        <v>189.41</v>
      </c>
      <c r="G232" s="2">
        <v>230.49</v>
      </c>
      <c r="H232" s="2">
        <v>312.798</v>
      </c>
      <c r="I232" s="2">
        <v>406.37900000000002</v>
      </c>
      <c r="J232" s="2">
        <v>527.95600000000002</v>
      </c>
      <c r="K232" s="2">
        <v>685.90700000000004</v>
      </c>
      <c r="L232" s="2">
        <v>853.07600000000002</v>
      </c>
      <c r="M232" s="2">
        <v>1060.9880000000001</v>
      </c>
      <c r="N232" s="2">
        <v>1471.615</v>
      </c>
      <c r="O232" s="2">
        <v>1830.277</v>
      </c>
      <c r="P232" s="2">
        <v>2326.547</v>
      </c>
      <c r="Q232" s="2">
        <v>3298.1309999999999</v>
      </c>
      <c r="R232" s="2">
        <v>4675.4570000000003</v>
      </c>
      <c r="S232" s="2">
        <v>6208.1679999999997</v>
      </c>
      <c r="T232" s="2">
        <v>7891.4769999999999</v>
      </c>
      <c r="U232" s="2">
        <v>11187.022000000001</v>
      </c>
      <c r="V232" s="2">
        <v>15181.9</v>
      </c>
      <c r="W232" s="2">
        <v>21057.654999999999</v>
      </c>
      <c r="X232" s="2">
        <v>29207.468000000001</v>
      </c>
      <c r="Y232" s="2">
        <v>39637.434999999998</v>
      </c>
      <c r="Z232" s="236">
        <v>47193.656000000003</v>
      </c>
      <c r="AA232" s="2"/>
    </row>
    <row r="233" spans="1:27" ht="15.75" customHeight="1">
      <c r="A233" s="196">
        <v>41</v>
      </c>
      <c r="B233" s="201">
        <v>3</v>
      </c>
      <c r="C233" s="2">
        <v>1408.8009999999999</v>
      </c>
      <c r="D233" s="2">
        <v>1471.615</v>
      </c>
      <c r="E233" s="2">
        <v>1537.23</v>
      </c>
      <c r="F233" s="2">
        <v>1677.366</v>
      </c>
      <c r="G233" s="2">
        <v>1870.636</v>
      </c>
      <c r="H233" s="2">
        <v>2377.848</v>
      </c>
      <c r="I233" s="2">
        <v>2770.0639999999999</v>
      </c>
      <c r="J233" s="2">
        <v>3521.1509999999998</v>
      </c>
      <c r="K233" s="2">
        <v>4574.5860000000002</v>
      </c>
      <c r="L233" s="2">
        <v>5566.7560000000003</v>
      </c>
      <c r="M233" s="2">
        <v>6774.1139999999996</v>
      </c>
      <c r="N233" s="2">
        <v>8610.8770000000004</v>
      </c>
      <c r="O233" s="2">
        <v>10478.466</v>
      </c>
      <c r="P233" s="2">
        <v>13319.642</v>
      </c>
      <c r="Q233" s="2">
        <v>16931.187000000002</v>
      </c>
      <c r="R233" s="2">
        <v>22481.578000000001</v>
      </c>
      <c r="S233" s="2">
        <v>29207.468000000001</v>
      </c>
      <c r="T233" s="2">
        <v>37126.906999999999</v>
      </c>
      <c r="U233" s="2">
        <v>51495.902000000002</v>
      </c>
      <c r="V233" s="2">
        <v>71426.038</v>
      </c>
      <c r="W233" s="2">
        <v>92794.808999999994</v>
      </c>
      <c r="X233" s="2">
        <v>128708.603</v>
      </c>
      <c r="Y233" s="2">
        <v>163607.209</v>
      </c>
      <c r="Z233" s="236">
        <v>217241.01</v>
      </c>
      <c r="AA233" s="2"/>
    </row>
    <row r="234" spans="1:27" ht="15.75" customHeight="1">
      <c r="A234" s="196">
        <v>41</v>
      </c>
      <c r="B234" s="201">
        <v>4</v>
      </c>
      <c r="C234" s="2">
        <v>15181.9</v>
      </c>
      <c r="D234" s="2">
        <v>14220.319</v>
      </c>
      <c r="E234" s="2">
        <v>13032.277</v>
      </c>
      <c r="F234" s="2">
        <v>11685.815000000001</v>
      </c>
      <c r="G234" s="2">
        <v>11187.022000000001</v>
      </c>
      <c r="H234" s="2">
        <v>11187.022000000001</v>
      </c>
      <c r="I234" s="2">
        <v>10945.666999999999</v>
      </c>
      <c r="J234" s="2">
        <v>11433.699000000001</v>
      </c>
      <c r="K234" s="2">
        <v>11433.699000000001</v>
      </c>
      <c r="L234" s="2">
        <v>12476.012000000001</v>
      </c>
      <c r="M234" s="2">
        <v>13913.522000000001</v>
      </c>
      <c r="N234" s="2">
        <v>15181.9</v>
      </c>
      <c r="O234" s="2">
        <v>16931.187000000002</v>
      </c>
      <c r="P234" s="2">
        <v>18882.030999999999</v>
      </c>
      <c r="Q234" s="2">
        <v>21521.982</v>
      </c>
      <c r="R234" s="2">
        <v>24001.787</v>
      </c>
      <c r="S234" s="2">
        <v>26189.826000000001</v>
      </c>
      <c r="T234" s="2">
        <v>32572.809000000001</v>
      </c>
      <c r="U234" s="2">
        <v>37126.906999999999</v>
      </c>
      <c r="V234" s="2">
        <v>42317.726999999999</v>
      </c>
      <c r="W234" s="2">
        <v>52631.4</v>
      </c>
      <c r="X234" s="2">
        <v>65458.722000000002</v>
      </c>
      <c r="Y234" s="2">
        <v>101254.124</v>
      </c>
      <c r="Z234" s="236">
        <v>194796.215</v>
      </c>
      <c r="AA234" s="2"/>
    </row>
    <row r="235" spans="1:27" ht="15.75" customHeight="1">
      <c r="A235" s="196">
        <v>41</v>
      </c>
      <c r="B235" s="201">
        <v>5</v>
      </c>
      <c r="C235" s="2">
        <v>48234.29</v>
      </c>
      <c r="D235" s="2">
        <v>45179.258999999998</v>
      </c>
      <c r="E235" s="2">
        <v>45179.258999999998</v>
      </c>
      <c r="F235" s="2">
        <v>43250.843999999997</v>
      </c>
      <c r="G235" s="2">
        <v>41404.741000000002</v>
      </c>
      <c r="H235" s="2">
        <v>40511.451999999997</v>
      </c>
      <c r="I235" s="2">
        <v>37945.565000000002</v>
      </c>
      <c r="J235" s="2">
        <v>37945.565000000002</v>
      </c>
      <c r="K235" s="2">
        <v>38782.275999999998</v>
      </c>
      <c r="L235" s="2">
        <v>39637.434999999998</v>
      </c>
      <c r="M235" s="2">
        <v>38782.275999999998</v>
      </c>
      <c r="N235" s="2">
        <v>40511.451999999997</v>
      </c>
      <c r="O235" s="2">
        <v>40511.451999999997</v>
      </c>
      <c r="P235" s="2">
        <v>43250.843999999997</v>
      </c>
      <c r="Q235" s="2">
        <v>46175.474000000002</v>
      </c>
      <c r="R235" s="2">
        <v>45179.258999999998</v>
      </c>
      <c r="S235" s="2">
        <v>49297.868999999999</v>
      </c>
      <c r="T235" s="2">
        <v>52631.4</v>
      </c>
      <c r="U235" s="2">
        <v>54978.063999999998</v>
      </c>
      <c r="V235" s="2">
        <v>65458.722000000002</v>
      </c>
      <c r="W235" s="2">
        <v>76255.880999999994</v>
      </c>
      <c r="X235" s="2">
        <v>83207.482000000004</v>
      </c>
      <c r="Y235" s="2">
        <v>203481.54800000001</v>
      </c>
      <c r="Z235" s="236">
        <v>307962.59499999997</v>
      </c>
      <c r="AA235" s="2"/>
    </row>
    <row r="236" spans="1:27" ht="15.75" customHeight="1">
      <c r="A236" s="196">
        <v>41</v>
      </c>
      <c r="B236" s="201">
        <v>6</v>
      </c>
      <c r="C236" s="2">
        <v>222031.234</v>
      </c>
      <c r="D236" s="2">
        <v>222031.234</v>
      </c>
      <c r="E236" s="2">
        <v>203481.54800000001</v>
      </c>
      <c r="F236" s="2">
        <v>194796.215</v>
      </c>
      <c r="G236" s="2">
        <v>182458.34599999999</v>
      </c>
      <c r="H236" s="2">
        <v>170901.92499999999</v>
      </c>
      <c r="I236" s="2">
        <v>163607.209</v>
      </c>
      <c r="J236" s="2">
        <v>156623.85800000001</v>
      </c>
      <c r="K236" s="2">
        <v>149938.58100000001</v>
      </c>
      <c r="L236" s="2">
        <v>146703.723</v>
      </c>
      <c r="M236" s="2">
        <v>137411.90400000001</v>
      </c>
      <c r="N236" s="2">
        <v>134447.304</v>
      </c>
      <c r="O236" s="2">
        <v>134447.304</v>
      </c>
      <c r="P236" s="2">
        <v>125931.773</v>
      </c>
      <c r="Q236" s="2">
        <v>120556.546</v>
      </c>
      <c r="R236" s="2">
        <v>117955.59299999999</v>
      </c>
      <c r="S236" s="2">
        <v>112920.819</v>
      </c>
      <c r="T236" s="2">
        <v>110484.603</v>
      </c>
      <c r="U236" s="2">
        <v>103486.80499999999</v>
      </c>
      <c r="V236" s="2">
        <v>105768.71799999999</v>
      </c>
      <c r="W236" s="2">
        <v>103486.80499999999</v>
      </c>
      <c r="X236" s="34">
        <v>108100.947</v>
      </c>
      <c r="Y236" s="34">
        <v>237045.02900000001</v>
      </c>
      <c r="Z236" s="237">
        <v>417935.83199999999</v>
      </c>
      <c r="AA236" s="2"/>
    </row>
    <row r="237" spans="1:27" ht="15.75" customHeight="1">
      <c r="A237" s="199">
        <v>42</v>
      </c>
      <c r="B237" s="200" t="s">
        <v>221</v>
      </c>
      <c r="C237" s="149">
        <f>Storage_modulus_G!C237/1000000</f>
        <v>3.6699999999999999E-7</v>
      </c>
      <c r="D237" s="234">
        <f>Storage_modulus_G!D237/1000000</f>
        <v>5.3600000000000004E-7</v>
      </c>
      <c r="E237" s="234">
        <f>Storage_modulus_G!E237/1000000</f>
        <v>1.1759999999999998E-6</v>
      </c>
      <c r="F237" s="234">
        <f>Storage_modulus_G!F237/1000000</f>
        <v>2.3159999999999999E-6</v>
      </c>
      <c r="G237" s="234">
        <f>Storage_modulus_G!G237/1000000</f>
        <v>3.67E-6</v>
      </c>
      <c r="H237" s="234">
        <f>Storage_modulus_G!H237/1000000</f>
        <v>5.0800000000000005E-6</v>
      </c>
      <c r="I237" s="234">
        <f>Storage_modulus_G!I237/1000000</f>
        <v>1.0557000000000001E-5</v>
      </c>
      <c r="J237" s="234">
        <f>Storage_modulus_G!J237/1000000</f>
        <v>2.1350999999999999E-5</v>
      </c>
      <c r="K237" s="234">
        <f>Storage_modulus_G!K237/1000000</f>
        <v>4.5584999999999998E-5</v>
      </c>
      <c r="L237" s="234">
        <f>Storage_modulus_G!L237/1000000</f>
        <v>1.0846599999999999E-4</v>
      </c>
      <c r="M237" s="234">
        <f>Storage_modulus_G!M237/1000000</f>
        <v>2.5118899999999997E-4</v>
      </c>
      <c r="N237" s="234">
        <f>Storage_modulus_G!N237/1000000</f>
        <v>5.21972E-4</v>
      </c>
      <c r="O237" s="234">
        <f>Storage_modulus_G!O237/1000000</f>
        <v>1.208796E-3</v>
      </c>
      <c r="P237" s="234">
        <f>Storage_modulus_G!P237/1000000</f>
        <v>2.315826E-3</v>
      </c>
      <c r="Q237" s="234">
        <f>Storage_modulus_G!Q237/1000000</f>
        <v>4.6836909999999994E-3</v>
      </c>
      <c r="R237" s="234">
        <f>Storage_modulus_G!R237/1000000</f>
        <v>8.9730720000000003E-3</v>
      </c>
      <c r="S237" s="234">
        <f>Storage_modulus_G!S237/1000000</f>
        <v>1.5848932E-2</v>
      </c>
      <c r="T237" s="234">
        <f>Storage_modulus_G!T237/1000000</f>
        <v>2.8762294999999997E-2</v>
      </c>
      <c r="U237" s="234">
        <f>Storage_modulus_G!U237/1000000</f>
        <v>4.6836910000000002E-2</v>
      </c>
      <c r="V237" s="234">
        <f>Storage_modulus_G!V237/1000000</f>
        <v>0.1</v>
      </c>
      <c r="W237" s="235">
        <f>Storage_modulus_G!W237/1000000</f>
        <v>0.10274594899999999</v>
      </c>
      <c r="X237" s="2"/>
      <c r="Y237" s="2"/>
      <c r="Z237" s="2"/>
    </row>
    <row r="238" spans="1:27" ht="15.75" customHeight="1">
      <c r="A238" s="196">
        <v>42</v>
      </c>
      <c r="B238" s="201" t="s">
        <v>222</v>
      </c>
      <c r="C238" s="64">
        <f>Storage_modulus_G!C238/1000000</f>
        <v>1.4610000000000001E-6</v>
      </c>
      <c r="D238" s="2">
        <f>Storage_modulus_G!D238/1000000</f>
        <v>3.67E-6</v>
      </c>
      <c r="E238" s="2">
        <f>Storage_modulus_G!E238/1000000</f>
        <v>6.844E-6</v>
      </c>
      <c r="F238" s="2">
        <f>Storage_modulus_G!F238/1000000</f>
        <v>1.6283999999999999E-5</v>
      </c>
      <c r="G238" s="2">
        <f>Storage_modulus_G!G238/1000000</f>
        <v>3.4768000000000003E-5</v>
      </c>
      <c r="H238" s="2">
        <f>Storage_modulus_G!H238/1000000</f>
        <v>5.9768000000000001E-5</v>
      </c>
      <c r="I238" s="2">
        <f>Storage_modulus_G!I238/1000000</f>
        <v>1.17649E-4</v>
      </c>
      <c r="J238" s="2">
        <f>Storage_modulus_G!J238/1000000</f>
        <v>1.9158099999999999E-4</v>
      </c>
      <c r="K238" s="2">
        <f>Storage_modulus_G!K238/1000000</f>
        <v>3.0363600000000003E-4</v>
      </c>
      <c r="L238" s="2">
        <f>Storage_modulus_G!L238/1000000</f>
        <v>4.3181099999999999E-4</v>
      </c>
      <c r="M238" s="2">
        <f>Storage_modulus_G!M238/1000000</f>
        <v>7.03168E-4</v>
      </c>
      <c r="N238" s="2">
        <f>Storage_modulus_G!N238/1000000</f>
        <v>1.1144449999999999E-3</v>
      </c>
      <c r="O238" s="2">
        <f>Storage_modulus_G!O238/1000000</f>
        <v>1.9158119999999998E-3</v>
      </c>
      <c r="P238" s="2">
        <f>Storage_modulus_G!P238/1000000</f>
        <v>3.5722449999999999E-3</v>
      </c>
      <c r="Q238" s="2">
        <f>Storage_modulus_G!Q238/1000000</f>
        <v>6.4828310000000005E-3</v>
      </c>
      <c r="R238" s="2">
        <f>Storage_modulus_G!R238/1000000</f>
        <v>1.17649E-2</v>
      </c>
      <c r="S238" s="2">
        <f>Storage_modulus_G!S238/1000000</f>
        <v>2.0780073E-2</v>
      </c>
      <c r="T238" s="2">
        <f>Storage_modulus_G!T238/1000000</f>
        <v>3.6703364999999995E-2</v>
      </c>
      <c r="U238" s="2">
        <f>Storage_modulus_G!U238/1000000</f>
        <v>5.6616260000000002E-2</v>
      </c>
      <c r="V238" s="2">
        <f>Storage_modulus_G!V238/1000000</f>
        <v>0.10274594899999999</v>
      </c>
      <c r="W238" s="236">
        <f>Storage_modulus_G!W238/1000000</f>
        <v>0.114504757</v>
      </c>
      <c r="X238" s="2"/>
    </row>
    <row r="239" spans="1:27" ht="15.75" customHeight="1">
      <c r="A239" s="196">
        <v>42</v>
      </c>
      <c r="B239" s="201" t="s">
        <v>223</v>
      </c>
      <c r="C239" s="64">
        <f>Storage_modulus_G!C239/1000000</f>
        <v>1.241989E-3</v>
      </c>
      <c r="D239" s="2">
        <f>Storage_modulus_G!D239/1000000</f>
        <v>8.4998599999999995E-4</v>
      </c>
      <c r="E239" s="2">
        <f>Storage_modulus_G!E239/1000000</f>
        <v>5.3630499999999994E-4</v>
      </c>
      <c r="F239" s="2">
        <f>Storage_modulus_G!F239/1000000</f>
        <v>4.20271E-4</v>
      </c>
      <c r="G239" s="2">
        <f>Storage_modulus_G!G239/1000000</f>
        <v>4.3181099999999999E-4</v>
      </c>
      <c r="H239" s="2">
        <f>Storage_modulus_G!H239/1000000</f>
        <v>5.6616300000000006E-4</v>
      </c>
      <c r="I239" s="2">
        <f>Storage_modulus_G!I239/1000000</f>
        <v>6.1409500000000005E-4</v>
      </c>
      <c r="J239" s="2">
        <f>Storage_modulus_G!J239/1000000</f>
        <v>9.4726300000000005E-4</v>
      </c>
      <c r="K239" s="2">
        <f>Storage_modulus_G!K239/1000000</f>
        <v>1.208796E-3</v>
      </c>
      <c r="L239" s="2">
        <f>Storage_modulus_G!L239/1000000</f>
        <v>1.7190719999999999E-3</v>
      </c>
      <c r="M239" s="2">
        <f>Storage_modulus_G!M239/1000000</f>
        <v>2.6517310000000001E-3</v>
      </c>
      <c r="N239" s="2">
        <f>Storage_modulus_G!N239/1000000</f>
        <v>3.9810720000000004E-3</v>
      </c>
      <c r="O239" s="2">
        <f>Storage_modulus_G!O239/1000000</f>
        <v>6.84375E-3</v>
      </c>
      <c r="P239" s="2">
        <f>Storage_modulus_G!P239/1000000</f>
        <v>1.1144454999999999E-2</v>
      </c>
      <c r="Q239" s="2">
        <f>Storage_modulus_G!Q239/1000000</f>
        <v>1.864611E-2</v>
      </c>
      <c r="R239" s="2">
        <f>Storage_modulus_G!R239/1000000</f>
        <v>2.7245458E-2</v>
      </c>
      <c r="S239" s="2">
        <f>Storage_modulus_G!S239/1000000</f>
        <v>4.6836910000000002E-2</v>
      </c>
      <c r="T239" s="2">
        <f>Storage_modulus_G!T239/1000000</f>
        <v>6.1409461999999998E-2</v>
      </c>
      <c r="U239" s="2">
        <f>Storage_modulus_G!U239/1000000</f>
        <v>4.2027099000000005E-2</v>
      </c>
      <c r="V239" s="2">
        <f>Storage_modulus_G!V239/1000000</f>
        <v>0.105567299</v>
      </c>
      <c r="W239" s="236">
        <f>Storage_modulus_G!W239/1000000</f>
        <v>0.114504757</v>
      </c>
      <c r="X239" s="2"/>
    </row>
    <row r="240" spans="1:27" ht="15.75" customHeight="1">
      <c r="A240" s="196">
        <v>42</v>
      </c>
      <c r="B240" s="201" t="s">
        <v>225</v>
      </c>
      <c r="C240" s="64">
        <f>Storage_modulus_G!C240/1000000</f>
        <v>0.17256529400000001</v>
      </c>
      <c r="D240" s="2">
        <f>Storage_modulus_G!D240/1000000</f>
        <v>0.1771075</v>
      </c>
      <c r="E240" s="2">
        <f>Storage_modulus_G!E240/1000000</f>
        <v>0.19271180600000001</v>
      </c>
      <c r="F240" s="2">
        <f>Storage_modulus_G!F240/1000000</f>
        <v>0.241901704</v>
      </c>
      <c r="G240" s="2">
        <f>Storage_modulus_G!G240/1000000</f>
        <v>0.33255369499999998</v>
      </c>
      <c r="H240" s="2">
        <f>Storage_modulus_G!H240/1000000</f>
        <v>0.30962224699999996</v>
      </c>
      <c r="I240" s="2">
        <f>Storage_modulus_G!I240/1000000</f>
        <v>0.249886791</v>
      </c>
      <c r="J240" s="2">
        <f>Storage_modulus_G!J240/1000000</f>
        <v>0.23723365799999999</v>
      </c>
      <c r="K240" s="2">
        <f>Storage_modulus_G!K240/1000000</f>
        <v>0.25646422800000002</v>
      </c>
      <c r="L240" s="2">
        <f>Storage_modulus_G!L240/1000000</f>
        <v>0.31367066700000001</v>
      </c>
      <c r="M240" s="2">
        <f>Storage_modulus_G!M240/1000000</f>
        <v>0.436856201</v>
      </c>
      <c r="N240" s="2">
        <f>Storage_modulus_G!N240/1000000</f>
        <v>0.68833478599999998</v>
      </c>
      <c r="O240" s="2">
        <f>Storage_modulus_G!O240/1000000</f>
        <v>1.0636489299999998</v>
      </c>
      <c r="P240" s="2">
        <f>Storage_modulus_G!P240/1000000</f>
        <v>1.8117989939999999</v>
      </c>
      <c r="Q240" s="2">
        <f>Storage_modulus_G!Q240/1000000</f>
        <v>3.2297420809999999</v>
      </c>
      <c r="R240" s="2"/>
      <c r="S240" s="2"/>
      <c r="T240" s="2"/>
      <c r="U240" s="2"/>
      <c r="V240" s="2"/>
      <c r="W240" s="236"/>
      <c r="X240" s="2"/>
    </row>
    <row r="241" spans="1:24" ht="15.75" customHeight="1">
      <c r="A241" s="196">
        <v>42</v>
      </c>
      <c r="B241" s="201" t="s">
        <v>226</v>
      </c>
      <c r="C241" s="64">
        <f>Storage_modulus_G!C241/1000000</f>
        <v>0.32402482100000002</v>
      </c>
      <c r="D241" s="2">
        <f>Storage_modulus_G!D241/1000000</f>
        <v>0.35257348399999999</v>
      </c>
      <c r="E241" s="2">
        <f>Storage_modulus_G!E241/1000000</f>
        <v>0.33690195099999998</v>
      </c>
      <c r="F241" s="2">
        <f>Storage_modulus_G!F241/1000000</f>
        <v>0.40148297799999999</v>
      </c>
      <c r="G241" s="2">
        <f>Storage_modulus_G!G241/1000000</f>
        <v>0.46315502000000003</v>
      </c>
      <c r="H241" s="2">
        <f>Storage_modulus_G!H241/1000000</f>
        <v>0.40938295899999999</v>
      </c>
      <c r="I241" s="2">
        <f>Storage_modulus_G!I241/1000000</f>
        <v>0.31367066700000001</v>
      </c>
      <c r="J241" s="2">
        <f>Storage_modulus_G!J241/1000000</f>
        <v>0.28270918300000003</v>
      </c>
      <c r="K241" s="2">
        <f>Storage_modulus_G!K241/1000000</f>
        <v>0.30168148700000003</v>
      </c>
      <c r="L241" s="2">
        <f>Storage_modulus_G!L241/1000000</f>
        <v>0.39630120000000002</v>
      </c>
      <c r="M241" s="2">
        <f>Storage_modulus_G!M241/1000000</f>
        <v>0.57387226100000011</v>
      </c>
      <c r="N241" s="2">
        <f>Storage_modulus_G!N241/1000000</f>
        <v>0.94015983299999994</v>
      </c>
      <c r="O241" s="2">
        <f>Storage_modulus_G!O241/1000000</f>
        <v>1.6978576249999999</v>
      </c>
      <c r="P241" s="2">
        <f>Storage_modulus_G!P241/1000000</f>
        <v>2.873373629</v>
      </c>
      <c r="Q241" s="2">
        <f>Storage_modulus_G!Q241/1000000</f>
        <v>5.1890956780000002</v>
      </c>
      <c r="R241" s="2"/>
      <c r="S241" s="2"/>
      <c r="T241" s="2"/>
      <c r="U241" s="2"/>
      <c r="V241" s="2"/>
      <c r="W241" s="236"/>
      <c r="X241" s="2"/>
    </row>
    <row r="242" spans="1:24" ht="15.75" customHeight="1">
      <c r="A242" s="196">
        <v>42</v>
      </c>
      <c r="B242" s="201" t="s">
        <v>227</v>
      </c>
      <c r="C242" s="150">
        <f>Storage_modulus_G!C242/1000000</f>
        <v>0.32402482100000002</v>
      </c>
      <c r="D242" s="34">
        <f>Storage_modulus_G!D242/1000000</f>
        <v>0.35257348399999999</v>
      </c>
      <c r="E242" s="34">
        <f>Storage_modulus_G!E242/1000000</f>
        <v>0.33690195099999998</v>
      </c>
      <c r="F242" s="34">
        <f>Storage_modulus_G!F242/1000000</f>
        <v>0.40148297799999999</v>
      </c>
      <c r="G242" s="34">
        <f>Storage_modulus_G!G242/1000000</f>
        <v>0.5483642219999999</v>
      </c>
      <c r="H242" s="34">
        <f>Storage_modulus_G!H242/1000000</f>
        <v>0.472268521</v>
      </c>
      <c r="I242" s="34">
        <f>Storage_modulus_G!I242/1000000</f>
        <v>0.31367066700000001</v>
      </c>
      <c r="J242" s="34">
        <f>Storage_modulus_G!J242/1000000</f>
        <v>0.28270918300000003</v>
      </c>
      <c r="K242" s="34">
        <f>Storage_modulus_G!K242/1000000</f>
        <v>0.30168148700000003</v>
      </c>
      <c r="L242" s="34">
        <f>Storage_modulus_G!L242/1000000</f>
        <v>0.39630120000000002</v>
      </c>
      <c r="M242" s="34">
        <f>Storage_modulus_G!M242/1000000</f>
        <v>0.57387226100000011</v>
      </c>
      <c r="N242" s="34">
        <f>Storage_modulus_G!N242/1000000</f>
        <v>0.94015983299999994</v>
      </c>
      <c r="O242" s="34">
        <f>Storage_modulus_G!O242/1000000</f>
        <v>1.6978576249999999</v>
      </c>
      <c r="P242" s="34">
        <f>Storage_modulus_G!P242/1000000</f>
        <v>2.873373629</v>
      </c>
      <c r="Q242" s="34">
        <f>Storage_modulus_G!Q242/1000000</f>
        <v>10.065164437</v>
      </c>
      <c r="R242" s="34"/>
      <c r="S242" s="34"/>
      <c r="T242" s="34"/>
      <c r="U242" s="34"/>
      <c r="V242" s="34"/>
      <c r="W242" s="237"/>
      <c r="X242" s="2"/>
    </row>
    <row r="243" spans="1:24" ht="15.75" customHeight="1">
      <c r="A243" s="229">
        <v>43</v>
      </c>
      <c r="B243" s="74">
        <v>1</v>
      </c>
      <c r="C243" s="2">
        <f>Storage_modulus_G!C243/1000000</f>
        <v>3.5999999999999999E-7</v>
      </c>
      <c r="D243" s="2">
        <f>Storage_modulus_G!D243/1000000</f>
        <v>6.5000000000000002E-7</v>
      </c>
      <c r="E243" s="2">
        <f>Storage_modulus_G!E243/1000000</f>
        <v>1.085E-6</v>
      </c>
      <c r="F243" s="2">
        <f>Storage_modulus_G!F243/1000000</f>
        <v>1.858E-6</v>
      </c>
      <c r="G243" s="2">
        <f>Storage_modulus_G!G243/1000000</f>
        <v>3.2650000000000001E-6</v>
      </c>
      <c r="H243" s="2">
        <f>Storage_modulus_G!H243/1000000</f>
        <v>6.1970000000000001E-6</v>
      </c>
      <c r="I243" s="2">
        <f>Storage_modulus_G!I243/1000000</f>
        <v>1.1763000000000001E-5</v>
      </c>
      <c r="J243" s="2">
        <f>Storage_modulus_G!J243/1000000</f>
        <v>2.4109999999999998E-5</v>
      </c>
      <c r="K243" s="2">
        <f>Storage_modulus_G!K243/1000000</f>
        <v>4.2372999999999996E-5</v>
      </c>
      <c r="L243" s="2">
        <f>Storage_modulus_G!L243/1000000</f>
        <v>9.8727000000000005E-5</v>
      </c>
      <c r="M243" s="2">
        <f>Storage_modulus_G!M243/1000000</f>
        <v>2.0235900000000002E-4</v>
      </c>
      <c r="N243" s="2">
        <f>Storage_modulus_G!N243/1000000</f>
        <v>3.94046E-4</v>
      </c>
      <c r="O243" s="2">
        <f>Storage_modulus_G!O243/1000000</f>
        <v>8.5015700000000004E-4</v>
      </c>
      <c r="P243" s="2">
        <f>Storage_modulus_G!P243/1000000</f>
        <v>1.7425589999999999E-3</v>
      </c>
      <c r="Q243" s="2">
        <f>Storage_modulus_G!Q243/1000000</f>
        <v>2.8358950000000002E-3</v>
      </c>
      <c r="R243" s="236">
        <f>Storage_modulus_G!R243/1000000</f>
        <v>4.7350510000000005E-3</v>
      </c>
      <c r="S243" s="2"/>
      <c r="T243" s="2"/>
      <c r="U243" s="2"/>
      <c r="V243" s="2"/>
      <c r="W243" s="2"/>
    </row>
    <row r="244" spans="1:24" ht="15.75" customHeight="1">
      <c r="A244" s="228">
        <v>43</v>
      </c>
      <c r="B244" s="75">
        <v>2</v>
      </c>
      <c r="C244" s="2">
        <f>Storage_modulus_G!C244/1000000</f>
        <v>1.5900000000000001E-7</v>
      </c>
      <c r="D244" s="2">
        <f>Storage_modulus_G!D244/1000000</f>
        <v>3.1699999999999999E-7</v>
      </c>
      <c r="E244" s="2">
        <f>Storage_modulus_G!E244/1000000</f>
        <v>5.7099999999999991E-7</v>
      </c>
      <c r="F244" s="2">
        <f>Storage_modulus_G!F244/1000000</f>
        <v>9.300000000000001E-7</v>
      </c>
      <c r="G244" s="2">
        <f>Storage_modulus_G!G244/1000000</f>
        <v>1.593E-6</v>
      </c>
      <c r="H244" s="2">
        <f>Storage_modulus_G!H244/1000000</f>
        <v>2.6599999999999999E-6</v>
      </c>
      <c r="I244" s="2">
        <f>Storage_modulus_G!I244/1000000</f>
        <v>4.4409999999999995E-6</v>
      </c>
      <c r="J244" s="2">
        <f>Storage_modulus_G!J244/1000000</f>
        <v>8.0079999999999985E-6</v>
      </c>
      <c r="K244" s="2">
        <f>Storage_modulus_G!K244/1000000</f>
        <v>1.2381000000000001E-5</v>
      </c>
      <c r="L244" s="2">
        <f>Storage_modulus_G!L244/1000000</f>
        <v>2.4736000000000002E-5</v>
      </c>
      <c r="M244" s="2">
        <f>Storage_modulus_G!M244/1000000</f>
        <v>4.2372999999999996E-5</v>
      </c>
      <c r="N244" s="2">
        <f>Storage_modulus_G!N244/1000000</f>
        <v>8.6850999999999999E-5</v>
      </c>
      <c r="O244" s="2">
        <f>Storage_modulus_G!O244/1000000</f>
        <v>1.5660499999999998E-4</v>
      </c>
      <c r="P244" s="2">
        <f>Storage_modulus_G!P244/1000000</f>
        <v>3.3787599999999997E-4</v>
      </c>
      <c r="Q244" s="2">
        <f>Storage_modulus_G!Q244/1000000</f>
        <v>7.1052099999999998E-4</v>
      </c>
      <c r="R244" s="236">
        <f>Storage_modulus_G!R244/1000000</f>
        <v>1.2811700000000001E-3</v>
      </c>
      <c r="S244" s="2"/>
    </row>
    <row r="245" spans="1:24" ht="15.75" customHeight="1">
      <c r="A245" s="230">
        <v>43</v>
      </c>
      <c r="B245" s="231">
        <v>3</v>
      </c>
      <c r="C245" s="34">
        <f>Storage_modulus_G!C245/1000000</f>
        <v>4.1477300000000001E-4</v>
      </c>
      <c r="D245" s="34">
        <f>Storage_modulus_G!D245/1000000</f>
        <v>4.4792599999999997E-4</v>
      </c>
      <c r="E245" s="34">
        <f>Storage_modulus_G!E245/1000000</f>
        <v>5.4987000000000005E-4</v>
      </c>
      <c r="F245" s="34">
        <f>Storage_modulus_G!F245/1000000</f>
        <v>6.4128399999999999E-4</v>
      </c>
      <c r="G245" s="34">
        <f>Storage_modulus_G!G245/1000000</f>
        <v>6.7501499999999995E-4</v>
      </c>
      <c r="H245" s="34">
        <f>Storage_modulus_G!H245/1000000</f>
        <v>7.8723400000000005E-4</v>
      </c>
      <c r="I245" s="34">
        <f>Storage_modulus_G!I245/1000000</f>
        <v>9.4194600000000004E-4</v>
      </c>
      <c r="J245" s="34">
        <f>Storage_modulus_G!J245/1000000</f>
        <v>1.0707410000000001E-3</v>
      </c>
      <c r="K245" s="34">
        <f>Storage_modulus_G!K245/1000000</f>
        <v>1.1270630000000002E-3</v>
      </c>
      <c r="L245" s="34">
        <f>Storage_modulus_G!L245/1000000</f>
        <v>1.3485599999999999E-3</v>
      </c>
      <c r="M245" s="34">
        <f>Storage_modulus_G!M245/1000000</f>
        <v>1.5329529999999999E-3</v>
      </c>
      <c r="N245" s="34">
        <f>Storage_modulus_G!N245/1000000</f>
        <v>2.0322529999999999E-3</v>
      </c>
      <c r="O245" s="34">
        <f>Storage_modulus_G!O245/1000000</f>
        <v>2.3701080000000001E-3</v>
      </c>
      <c r="P245" s="34">
        <f>Storage_modulus_G!P245/1000000</f>
        <v>2.9850639999999999E-3</v>
      </c>
      <c r="Q245" s="34">
        <f>Storage_modulus_G!Q245/1000000</f>
        <v>3.857189E-3</v>
      </c>
      <c r="R245" s="237">
        <f>Storage_modulus_G!R245/1000000</f>
        <v>4.9841160000000002E-3</v>
      </c>
      <c r="S245" s="2"/>
    </row>
    <row r="246" spans="1:24" ht="15.75" customHeight="1">
      <c r="A246" s="228">
        <v>44</v>
      </c>
      <c r="B246" s="75" t="s">
        <v>221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</row>
    <row r="247" spans="1:24" ht="15.75" customHeight="1">
      <c r="A247" s="228">
        <v>44</v>
      </c>
      <c r="B247" s="75" t="s">
        <v>222</v>
      </c>
    </row>
    <row r="248" spans="1:24" ht="15.75" customHeight="1">
      <c r="A248" s="228">
        <v>44</v>
      </c>
      <c r="B248" s="75" t="s">
        <v>223</v>
      </c>
    </row>
    <row r="249" spans="1:24" ht="15.75" customHeight="1">
      <c r="A249" s="228">
        <v>44</v>
      </c>
      <c r="B249" s="75" t="s">
        <v>224</v>
      </c>
    </row>
    <row r="250" spans="1:24" ht="15.75" customHeight="1">
      <c r="A250" s="228">
        <v>44</v>
      </c>
      <c r="B250" s="75" t="s">
        <v>229</v>
      </c>
    </row>
    <row r="251" spans="1:24" ht="15.75" customHeight="1">
      <c r="A251" s="228">
        <v>44</v>
      </c>
      <c r="B251" s="75" t="s">
        <v>225</v>
      </c>
    </row>
    <row r="252" spans="1:24" ht="15.75" customHeight="1">
      <c r="A252" s="228">
        <v>44</v>
      </c>
      <c r="B252" s="75" t="s">
        <v>226</v>
      </c>
    </row>
    <row r="253" spans="1:24" ht="15.75" customHeight="1">
      <c r="A253" s="228">
        <v>44</v>
      </c>
      <c r="B253" s="75" t="s">
        <v>227</v>
      </c>
    </row>
    <row r="254" spans="1:24" ht="15.75" customHeight="1">
      <c r="A254" s="228">
        <v>44</v>
      </c>
      <c r="B254" s="75" t="s">
        <v>228</v>
      </c>
    </row>
    <row r="255" spans="1:24" ht="15.75" customHeight="1">
      <c r="A255" s="228">
        <v>44</v>
      </c>
      <c r="B255" s="75" t="s">
        <v>230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24" ht="15.75" customHeight="1">
      <c r="A256" s="199">
        <v>45</v>
      </c>
      <c r="B256" s="200" t="s">
        <v>221</v>
      </c>
      <c r="C256" s="234">
        <f>Storage_modulus_G!C256/1000000</f>
        <v>1.1370000000000001E-6</v>
      </c>
      <c r="D256" s="234">
        <f>Storage_modulus_G!D256/1000000</f>
        <v>2.3740000000000001E-6</v>
      </c>
      <c r="E256" s="234">
        <f>Storage_modulus_G!E256/1000000</f>
        <v>4.8799999999999999E-6</v>
      </c>
      <c r="F256" s="234">
        <f>Storage_modulus_G!F256/1000000</f>
        <v>1.0526000000000001E-5</v>
      </c>
      <c r="G256" s="234">
        <f>Storage_modulus_G!G256/1000000</f>
        <v>2.1985999999999999E-5</v>
      </c>
      <c r="H256" s="234">
        <f>Storage_modulus_G!H256/1000000</f>
        <v>4.6663999999999999E-5</v>
      </c>
      <c r="I256" s="234">
        <f>Storage_modulus_G!I256/1000000</f>
        <v>1.09032E-4</v>
      </c>
      <c r="J256" s="234">
        <f>Storage_modulus_G!J256/1000000</f>
        <v>2.6304399999999998E-4</v>
      </c>
      <c r="K256" s="234">
        <f>Storage_modulus_G!K256/1000000</f>
        <v>9.6229900000000001E-4</v>
      </c>
      <c r="L256" s="235">
        <f>Storage_modulus_G!L256/1000000</f>
        <v>1.5557260000000001E-3</v>
      </c>
      <c r="M256" s="2"/>
    </row>
    <row r="257" spans="1:28" ht="15.75" customHeight="1">
      <c r="A257" s="196">
        <v>45</v>
      </c>
      <c r="B257" s="201" t="s">
        <v>222</v>
      </c>
      <c r="C257" s="2">
        <f>Storage_modulus_G!C257/1000000</f>
        <v>4.092E-6</v>
      </c>
      <c r="D257" s="2">
        <f>Storage_modulus_G!D257/1000000</f>
        <v>8.5480000000000002E-6</v>
      </c>
      <c r="E257" s="2">
        <f>Storage_modulus_G!E257/1000000</f>
        <v>1.9035E-5</v>
      </c>
      <c r="F257" s="2">
        <f>Storage_modulus_G!F257/1000000</f>
        <v>3.9128000000000002E-5</v>
      </c>
      <c r="G257" s="2">
        <f>Storage_modulus_G!G257/1000000</f>
        <v>8.997100000000001E-5</v>
      </c>
      <c r="H257" s="2">
        <f>Storage_modulus_G!H257/1000000</f>
        <v>2.0359299999999999E-4</v>
      </c>
      <c r="I257" s="2">
        <f>Storage_modulus_G!I257/1000000</f>
        <v>4.6070299999999997E-4</v>
      </c>
      <c r="J257" s="2">
        <f>Storage_modulus_G!J257/1000000</f>
        <v>1.2837599999999999E-3</v>
      </c>
      <c r="K257" s="2">
        <f>Storage_modulus_G!K257/1000000</f>
        <v>2.5557029999999999E-3</v>
      </c>
      <c r="L257" s="236">
        <f>Storage_modulus_G!L257/1000000</f>
        <v>4.4050410000000002E-3</v>
      </c>
      <c r="M257" s="2"/>
    </row>
    <row r="258" spans="1:28" ht="15.75" customHeight="1">
      <c r="A258" s="196">
        <v>45</v>
      </c>
      <c r="B258" s="201" t="s">
        <v>223</v>
      </c>
      <c r="C258" s="2">
        <f>Storage_modulus_G!C258/1000000</f>
        <v>1.0359E-5</v>
      </c>
      <c r="D258" s="2">
        <f>Storage_modulus_G!D258/1000000</f>
        <v>2.2701000000000002E-5</v>
      </c>
      <c r="E258" s="2">
        <f>Storage_modulus_G!E258/1000000</f>
        <v>4.8183000000000003E-5</v>
      </c>
      <c r="F258" s="2">
        <f>Storage_modulus_G!F258/1000000</f>
        <v>1.0729999999999999E-4</v>
      </c>
      <c r="G258" s="2">
        <f>Storage_modulus_G!G258/1000000</f>
        <v>2.5475299999999998E-4</v>
      </c>
      <c r="H258" s="2">
        <f>Storage_modulus_G!H258/1000000</f>
        <v>5.67316E-4</v>
      </c>
      <c r="I258" s="2">
        <f>Storage_modulus_G!I258/1000000</f>
        <v>1.2041140000000001E-3</v>
      </c>
      <c r="J258" s="2">
        <f>Storage_modulus_G!J258/1000000</f>
        <v>2.8134229999999998E-3</v>
      </c>
      <c r="K258" s="2">
        <f>Storage_modulus_G!K258/1000000</f>
        <v>6.0678100000000007E-3</v>
      </c>
      <c r="L258" s="236">
        <f>Storage_modulus_G!L258/1000000</f>
        <v>1.0798904E-2</v>
      </c>
      <c r="M258" s="2"/>
    </row>
    <row r="259" spans="1:28" ht="15.75" customHeight="1">
      <c r="A259" s="196">
        <v>45</v>
      </c>
      <c r="B259" s="201" t="s">
        <v>224</v>
      </c>
      <c r="C259" s="2">
        <f>Storage_modulus_G!C259/1000000</f>
        <v>4.4475999999999999E-5</v>
      </c>
      <c r="D259" s="2">
        <f>Storage_modulus_G!D259/1000000</f>
        <v>8.0431000000000003E-5</v>
      </c>
      <c r="E259" s="2">
        <f>Storage_modulus_G!E259/1000000</f>
        <v>1.76269E-4</v>
      </c>
      <c r="F259" s="2">
        <f>Storage_modulus_G!F259/1000000</f>
        <v>3.4534099999999999E-4</v>
      </c>
      <c r="G259" s="2">
        <f>Storage_modulus_G!G259/1000000</f>
        <v>6.9859900000000005E-4</v>
      </c>
      <c r="H259" s="2">
        <f>Storage_modulus_G!H259/1000000</f>
        <v>1.390767E-3</v>
      </c>
      <c r="I259" s="2">
        <f>Storage_modulus_G!I259/1000000</f>
        <v>3.7532620000000003E-3</v>
      </c>
      <c r="J259" s="2">
        <f>Storage_modulus_G!J259/1000000</f>
        <v>6.8970730000000001E-3</v>
      </c>
      <c r="K259" s="2">
        <f>Storage_modulus_G!K259/1000000</f>
        <v>1.2878783E-2</v>
      </c>
      <c r="L259" s="236">
        <f>Storage_modulus_G!L259/1000000</f>
        <v>2.4830932999999999E-2</v>
      </c>
      <c r="M259" s="2"/>
    </row>
    <row r="260" spans="1:28" ht="15.75" customHeight="1">
      <c r="A260" s="196">
        <v>45</v>
      </c>
      <c r="B260" s="201" t="s">
        <v>225</v>
      </c>
      <c r="C260" s="503">
        <f>converted_MPa_Loss_modulus_G!C260/Tandelta!C260</f>
        <v>6672.2682926829266</v>
      </c>
      <c r="D260" s="503">
        <f>converted_MPa_Loss_modulus_G!D260/Tandelta!D260</f>
        <v>6034.4838709677415</v>
      </c>
      <c r="E260" s="503">
        <f>converted_MPa_Loss_modulus_G!E260/Tandelta!E260</f>
        <v>6173.2068965517237</v>
      </c>
      <c r="F260" s="503">
        <f>converted_MPa_Loss_modulus_G!F260/Tandelta!F260</f>
        <v>5973.515151515151</v>
      </c>
      <c r="G260" s="503">
        <f>converted_MPa_Loss_modulus_G!G260/Tandelta!G260</f>
        <v>5828.1794871794873</v>
      </c>
      <c r="H260" s="503">
        <f>converted_MPa_Loss_modulus_G!H260/Tandelta!H260</f>
        <v>5229.8909090909092</v>
      </c>
      <c r="I260" s="503">
        <f>converted_MPa_Loss_modulus_G!I260/Tandelta!I260</f>
        <v>4022.9878048780483</v>
      </c>
      <c r="J260" s="503">
        <f>converted_MPa_Loss_modulus_G!J260/Tandelta!J260</f>
        <v>3123.1052631578946</v>
      </c>
      <c r="K260" s="503">
        <f>converted_MPa_Loss_modulus_G!K260/Tandelta!K260</f>
        <v>2627.2653061224487</v>
      </c>
      <c r="L260" s="503">
        <f>converted_MPa_Loss_modulus_G!L260/Tandelta!L260</f>
        <v>2170.2894736842109</v>
      </c>
      <c r="M260" s="503">
        <f>converted_MPa_Loss_modulus_G!M260/Tandelta!M260</f>
        <v>1661.6739130434783</v>
      </c>
      <c r="N260" s="503">
        <f>converted_MPa_Loss_modulus_G!N260/Tandelta!N260</f>
        <v>1330.1774193548388</v>
      </c>
      <c r="O260" s="503">
        <f>converted_MPa_Loss_modulus_G!O260/Tandelta!O260</f>
        <v>1167.1604938271605</v>
      </c>
      <c r="P260" s="503">
        <f>converted_MPa_Loss_modulus_G!P260/Tandelta!P260</f>
        <v>914.31313131313118</v>
      </c>
      <c r="Q260" s="503">
        <f>converted_MPa_Loss_modulus_G!Q260/Tandelta!Q260</f>
        <v>776.36842105263156</v>
      </c>
    </row>
    <row r="261" spans="1:28" ht="15.75" customHeight="1">
      <c r="A261" s="196">
        <v>45</v>
      </c>
      <c r="B261" s="201" t="s">
        <v>226</v>
      </c>
      <c r="C261" s="503">
        <f>converted_MPa_Loss_modulus_G!C261/Tandelta!C261</f>
        <v>10446.806451612903</v>
      </c>
      <c r="D261" s="503">
        <f>converted_MPa_Loss_modulus_G!D261/Tandelta!D261</f>
        <v>10757.130434782608</v>
      </c>
      <c r="E261" s="503">
        <f>converted_MPa_Loss_modulus_G!E261/Tandelta!E261</f>
        <v>10407.304347826086</v>
      </c>
      <c r="F261" s="503">
        <f>converted_MPa_Loss_modulus_G!F261/Tandelta!F261</f>
        <v>9610.4814814814818</v>
      </c>
      <c r="G261" s="503">
        <f>converted_MPa_Loss_modulus_G!G261/Tandelta!G261</f>
        <v>9003.8333333333321</v>
      </c>
      <c r="H261" s="503">
        <f>converted_MPa_Loss_modulus_G!H261/Tandelta!H261</f>
        <v>7935.7534246575342</v>
      </c>
      <c r="I261" s="503">
        <f>converted_MPa_Loss_modulus_G!I261/Tandelta!I261</f>
        <v>4821.1984126984125</v>
      </c>
      <c r="J261" s="503">
        <f>converted_MPa_Loss_modulus_G!J261/Tandelta!J261</f>
        <v>3151.3444444444444</v>
      </c>
      <c r="K261" s="503">
        <f>converted_MPa_Loss_modulus_G!K261/Tandelta!K261</f>
        <v>2369.088888888889</v>
      </c>
      <c r="L261" s="503">
        <f>converted_MPa_Loss_modulus_G!L261/Tandelta!L261</f>
        <v>1828.6363636363635</v>
      </c>
      <c r="M261" s="503">
        <f>converted_MPa_Loss_modulus_G!M261/Tandelta!M261</f>
        <v>1444.1538461538462</v>
      </c>
      <c r="N261" s="503">
        <f>converted_MPa_Loss_modulus_G!N261/Tandelta!N261</f>
        <v>1199.1538461538462</v>
      </c>
      <c r="O261" s="503">
        <f>converted_MPa_Loss_modulus_G!O261/Tandelta!O261</f>
        <v>1019.5205479452055</v>
      </c>
      <c r="P261" s="503">
        <f>converted_MPa_Loss_modulus_G!P261/Tandelta!P261</f>
        <v>826.94444444444446</v>
      </c>
      <c r="Q261" s="503">
        <f>converted_MPa_Loss_modulus_G!Q261/Tandelta!Q261</f>
        <v>650.77450980392166</v>
      </c>
    </row>
    <row r="262" spans="1:28" ht="15.75" customHeight="1">
      <c r="A262" s="196">
        <v>45</v>
      </c>
      <c r="B262" s="201" t="s">
        <v>227</v>
      </c>
      <c r="C262" s="503">
        <f>converted_MPa_Loss_modulus_G!C262/Tandelta!C262</f>
        <v>15360.5</v>
      </c>
      <c r="D262" s="503">
        <f>converted_MPa_Loss_modulus_G!D262/Tandelta!D262</f>
        <v>15567.217391304348</v>
      </c>
      <c r="E262" s="503">
        <f>converted_MPa_Loss_modulus_G!E262/Tandelta!E262</f>
        <v>13714.727272727274</v>
      </c>
      <c r="F262" s="503">
        <f>converted_MPa_Loss_modulus_G!F262/Tandelta!F262</f>
        <v>13447.203703703704</v>
      </c>
      <c r="G262" s="503">
        <f>converted_MPa_Loss_modulus_G!G262/Tandelta!G262</f>
        <v>11609.199999999999</v>
      </c>
      <c r="H262" s="503">
        <f>converted_MPa_Loss_modulus_G!H262/Tandelta!H262</f>
        <v>8762.9405940594061</v>
      </c>
      <c r="I262" s="503">
        <f>converted_MPa_Loss_modulus_G!I262/Tandelta!I262</f>
        <v>5666.1830985915494</v>
      </c>
      <c r="J262" s="503">
        <f>converted_MPa_Loss_modulus_G!J262/Tandelta!J262</f>
        <v>3531.9921259842517</v>
      </c>
      <c r="K262" s="503">
        <f>converted_MPa_Loss_modulus_G!K262/Tandelta!K262</f>
        <v>2248.1411764705881</v>
      </c>
      <c r="L262" s="503">
        <f>converted_MPa_Loss_modulus_G!L262/Tandelta!L262</f>
        <v>1885.78125</v>
      </c>
      <c r="M262" s="503">
        <f>converted_MPa_Loss_modulus_G!M262/Tandelta!M262</f>
        <v>1595.3275862068965</v>
      </c>
      <c r="N262" s="503">
        <f>converted_MPa_Loss_modulus_G!N262/Tandelta!N262</f>
        <v>1232.8548387096773</v>
      </c>
      <c r="O262" s="503">
        <f>converted_MPa_Loss_modulus_G!O262/Tandelta!O262</f>
        <v>891.16455696202536</v>
      </c>
      <c r="P262" s="503">
        <f>converted_MPa_Loss_modulus_G!P262/Tandelta!P262</f>
        <v>670.49999999999989</v>
      </c>
      <c r="Q262" s="503">
        <f>converted_MPa_Loss_modulus_G!Q262/Tandelta!Q262</f>
        <v>678.03370786516859</v>
      </c>
    </row>
    <row r="263" spans="1:28" ht="15.75" customHeight="1">
      <c r="A263" s="196">
        <v>45</v>
      </c>
      <c r="B263" s="201" t="s">
        <v>228</v>
      </c>
      <c r="C263" s="503">
        <f>converted_MPa_Loss_modulus_G!C263/Tandelta!C263</f>
        <v>17879.944444444445</v>
      </c>
      <c r="D263" s="503">
        <f>converted_MPa_Loss_modulus_G!D263/Tandelta!D263</f>
        <v>17841.08695652174</v>
      </c>
      <c r="E263" s="503">
        <f>converted_MPa_Loss_modulus_G!E263/Tandelta!E263</f>
        <v>17536.102564102566</v>
      </c>
      <c r="F263" s="503">
        <f>converted_MPa_Loss_modulus_G!F263/Tandelta!F263</f>
        <v>14942.523809523809</v>
      </c>
      <c r="G263" s="503">
        <f>converted_MPa_Loss_modulus_G!G263/Tandelta!G263</f>
        <v>13440.439393939392</v>
      </c>
      <c r="H263" s="503">
        <f>converted_MPa_Loss_modulus_G!H263/Tandelta!H263</f>
        <v>10524.136</v>
      </c>
      <c r="I263" s="503">
        <f>converted_MPa_Loss_modulus_G!I263/Tandelta!I263</f>
        <v>5639.161849710983</v>
      </c>
      <c r="J263" s="503">
        <f>converted_MPa_Loss_modulus_G!J263/Tandelta!J263</f>
        <v>3138.6206896551721</v>
      </c>
      <c r="K263" s="503">
        <f>converted_MPa_Loss_modulus_G!K263/Tandelta!K263</f>
        <v>2357.21875</v>
      </c>
      <c r="L263" s="503">
        <f>converted_MPa_Loss_modulus_G!L263/Tandelta!L263</f>
        <v>1749.1304347826085</v>
      </c>
      <c r="M263" s="503">
        <f>converted_MPa_Loss_modulus_G!M263/Tandelta!M263</f>
        <v>1475.088888888889</v>
      </c>
      <c r="N263" s="503">
        <f>converted_MPa_Loss_modulus_G!N263/Tandelta!N263</f>
        <v>1301.5490196078433</v>
      </c>
      <c r="O263" s="503">
        <f>converted_MPa_Loss_modulus_G!O263/Tandelta!O263</f>
        <v>1200.8955223880596</v>
      </c>
      <c r="P263" s="503">
        <f>converted_MPa_Loss_modulus_G!P263/Tandelta!P263</f>
        <v>883.09756097560978</v>
      </c>
      <c r="Q263" s="503">
        <f>converted_MPa_Loss_modulus_G!Q263/Tandelta!Q263</f>
        <v>655.92391304347825</v>
      </c>
      <c r="R263" s="2"/>
      <c r="S263" s="2"/>
      <c r="T263" s="2"/>
      <c r="U263" s="2"/>
    </row>
    <row r="264" spans="1:28" ht="15.75" customHeight="1">
      <c r="A264" s="199">
        <v>46</v>
      </c>
      <c r="B264" s="200">
        <v>1</v>
      </c>
      <c r="C264" s="234">
        <f>Storage_modulus_G!C264/1000000</f>
        <v>1.1877E-5</v>
      </c>
      <c r="D264" s="234">
        <f>Storage_modulus_G!D264/1000000</f>
        <v>1.2689999999999999E-5</v>
      </c>
      <c r="E264" s="234">
        <f>Storage_modulus_G!E264/1000000</f>
        <v>1.4484999999999999E-5</v>
      </c>
      <c r="F264" s="234">
        <f>Storage_modulus_G!F264/1000000</f>
        <v>1.5476000000000002E-5</v>
      </c>
      <c r="G264" s="234">
        <f>Storage_modulus_G!G264/1000000</f>
        <v>1.6754999999999998E-5</v>
      </c>
      <c r="H264" s="234">
        <f>Storage_modulus_G!H264/1000000</f>
        <v>1.6533999999999998E-5</v>
      </c>
      <c r="I264" s="234">
        <f>Storage_modulus_G!I264/1000000</f>
        <v>1.7433000000000001E-5</v>
      </c>
      <c r="J264" s="234">
        <f>Storage_modulus_G!J264/1000000</f>
        <v>1.7433000000000001E-5</v>
      </c>
      <c r="K264" s="234">
        <f>Storage_modulus_G!K264/1000000</f>
        <v>1.8626000000000001E-5</v>
      </c>
      <c r="L264" s="234">
        <f>Storage_modulus_G!L264/1000000</f>
        <v>2.0164999999999998E-5</v>
      </c>
      <c r="M264" s="234">
        <f>Storage_modulus_G!M264/1000000</f>
        <v>2.0434000000000001E-5</v>
      </c>
      <c r="N264" s="234">
        <f>Storage_modulus_G!N264/1000000</f>
        <v>2.1260999999999999E-5</v>
      </c>
      <c r="O264" s="234">
        <f>Storage_modulus_G!O264/1000000</f>
        <v>2.4268999999999998E-5</v>
      </c>
      <c r="P264" s="234">
        <f>Storage_modulus_G!P264/1000000</f>
        <v>2.8071999999999998E-5</v>
      </c>
      <c r="Q264" s="234">
        <f>Storage_modulus_G!Q264/1000000</f>
        <v>3.6578000000000001E-5</v>
      </c>
      <c r="R264" s="234">
        <f>Storage_modulus_G!R264/1000000</f>
        <v>6.0479999999999997E-5</v>
      </c>
      <c r="S264" s="234">
        <f>Storage_modulus_G!S264/1000000</f>
        <v>7.1833000000000002E-5</v>
      </c>
      <c r="T264" s="234">
        <f>Storage_modulus_G!T264/1000000</f>
        <v>1.3557599999999999E-4</v>
      </c>
      <c r="U264" s="235">
        <f>Storage_modulus_G!U264/1000000</f>
        <v>2.3018100000000001E-4</v>
      </c>
      <c r="V264" s="2"/>
    </row>
    <row r="265" spans="1:28" ht="15.75" customHeight="1">
      <c r="A265" s="196">
        <v>46</v>
      </c>
      <c r="B265" s="201">
        <v>2</v>
      </c>
      <c r="C265" s="2">
        <f>Storage_modulus_G!C265/1000000</f>
        <v>1.2358165999999999E-2</v>
      </c>
      <c r="D265" s="2">
        <f>Storage_modulus_G!D265/1000000</f>
        <v>1.2858651E-2</v>
      </c>
      <c r="E265" s="2">
        <f>Storage_modulus_G!E265/1000000</f>
        <v>1.3203518000000001E-2</v>
      </c>
      <c r="F265" s="2">
        <f>Storage_modulus_G!F265/1000000</f>
        <v>1.3203518000000001E-2</v>
      </c>
      <c r="G265" s="2">
        <f>Storage_modulus_G!G265/1000000</f>
        <v>1.3029942999999999E-2</v>
      </c>
      <c r="H265" s="2">
        <f>Storage_modulus_G!H265/1000000</f>
        <v>1.3557634000000001E-2</v>
      </c>
      <c r="I265" s="2">
        <f>Storage_modulus_G!I265/1000000</f>
        <v>1.3557634000000001E-2</v>
      </c>
      <c r="J265" s="2">
        <f>Storage_modulus_G!J265/1000000</f>
        <v>1.4873521000000001E-2</v>
      </c>
      <c r="K265" s="2">
        <f>Storage_modulus_G!K265/1000000</f>
        <v>1.4294612999999999E-2</v>
      </c>
      <c r="L265" s="2">
        <f>Storage_modulus_G!L265/1000000</f>
        <v>1.4294612999999999E-2</v>
      </c>
      <c r="M265" s="2">
        <f>Storage_modulus_G!M265/1000000</f>
        <v>1.4677993E-2</v>
      </c>
      <c r="N265" s="2">
        <f>Storage_modulus_G!N265/1000000</f>
        <v>1.4677993E-2</v>
      </c>
      <c r="O265" s="2">
        <f>Storage_modulus_G!O265/1000000</f>
        <v>1.4873521000000001E-2</v>
      </c>
      <c r="P265" s="2">
        <f>Storage_modulus_G!P265/1000000</f>
        <v>1.5272427E-2</v>
      </c>
      <c r="Q265" s="2">
        <f>Storage_modulus_G!Q265/1000000</f>
        <v>1.5475874000000001E-2</v>
      </c>
      <c r="R265" s="2">
        <f>Storage_modulus_G!R265/1000000</f>
        <v>1.5890933999999999E-2</v>
      </c>
      <c r="S265" s="2">
        <f>Storage_modulus_G!S265/1000000</f>
        <v>1.6977941999999999E-2</v>
      </c>
      <c r="T265" s="2">
        <f>Storage_modulus_G!T265/1000000</f>
        <v>1.7900846000000002E-2</v>
      </c>
      <c r="U265" s="236">
        <f>Storage_modulus_G!U265/1000000</f>
        <v>1.9125341000000001E-2</v>
      </c>
      <c r="V265" s="2"/>
    </row>
    <row r="266" spans="1:28" ht="15.75" customHeight="1">
      <c r="A266" s="196">
        <v>46</v>
      </c>
      <c r="B266" s="201">
        <v>3</v>
      </c>
      <c r="C266" s="2">
        <f>Storage_modulus_G!C266/1000000</f>
        <v>1.3921247999999999E-2</v>
      </c>
      <c r="D266" s="2">
        <f>Storage_modulus_G!D266/1000000</f>
        <v>1.4485035E-2</v>
      </c>
      <c r="E266" s="2">
        <f>Storage_modulus_G!E266/1000000</f>
        <v>1.4485035E-2</v>
      </c>
      <c r="F266" s="2">
        <f>Storage_modulus_G!F266/1000000</f>
        <v>1.4677993E-2</v>
      </c>
      <c r="G266" s="2">
        <f>Storage_modulus_G!G266/1000000</f>
        <v>1.5071654E-2</v>
      </c>
      <c r="H266" s="2">
        <f>Storage_modulus_G!H266/1000000</f>
        <v>1.5071654E-2</v>
      </c>
      <c r="I266" s="2">
        <f>Storage_modulus_G!I266/1000000</f>
        <v>1.5272427E-2</v>
      </c>
      <c r="J266" s="2">
        <f>Storage_modulus_G!J266/1000000</f>
        <v>1.3921247999999999E-2</v>
      </c>
      <c r="K266" s="2">
        <f>Storage_modulus_G!K266/1000000</f>
        <v>1.5682031000000003E-2</v>
      </c>
      <c r="L266" s="2">
        <f>Storage_modulus_G!L266/1000000</f>
        <v>1.5890933999999999E-2</v>
      </c>
      <c r="M266" s="2">
        <f>Storage_modulus_G!M266/1000000</f>
        <v>1.6534490000000002E-2</v>
      </c>
      <c r="N266" s="2">
        <f>Storage_modulus_G!N266/1000000</f>
        <v>1.6317126000000001E-2</v>
      </c>
      <c r="O266" s="2">
        <f>Storage_modulus_G!O266/1000000</f>
        <v>1.6977941999999999E-2</v>
      </c>
      <c r="P266" s="2">
        <f>Storage_modulus_G!P266/1000000</f>
        <v>1.6977941999999999E-2</v>
      </c>
      <c r="Q266" s="2">
        <f>Storage_modulus_G!Q266/1000000</f>
        <v>1.7433288000000002E-2</v>
      </c>
      <c r="R266" s="2">
        <f>Storage_modulus_G!R266/1000000</f>
        <v>1.8380944E-2</v>
      </c>
      <c r="S266" s="2">
        <f>Storage_modulus_G!S266/1000000</f>
        <v>1.9380114E-2</v>
      </c>
      <c r="T266" s="2">
        <f>Storage_modulus_G!T266/1000000</f>
        <v>2.0433597000000001E-2</v>
      </c>
      <c r="U266" s="236">
        <f>Storage_modulus_G!U266/1000000</f>
        <v>2.1831343E-2</v>
      </c>
      <c r="V266" s="2"/>
    </row>
    <row r="267" spans="1:28" ht="15.75" customHeight="1">
      <c r="A267" s="196">
        <v>46</v>
      </c>
      <c r="B267" s="201">
        <v>4</v>
      </c>
      <c r="C267" s="2">
        <f>Storage_modulus_G!C267/1000000</f>
        <v>1.7433288000000002E-2</v>
      </c>
      <c r="D267" s="2">
        <f>Storage_modulus_G!D267/1000000</f>
        <v>1.8380944E-2</v>
      </c>
      <c r="E267" s="2">
        <f>Storage_modulus_G!E267/1000000</f>
        <v>1.8625799999999998E-2</v>
      </c>
      <c r="F267" s="2">
        <f>Storage_modulus_G!F267/1000000</f>
        <v>1.9125341000000001E-2</v>
      </c>
      <c r="G267" s="2">
        <f>Storage_modulus_G!G267/1000000</f>
        <v>1.9638279999999998E-2</v>
      </c>
      <c r="H267" s="2">
        <f>Storage_modulus_G!H267/1000000</f>
        <v>1.9380114E-2</v>
      </c>
      <c r="I267" s="2">
        <f>Storage_modulus_G!I267/1000000</f>
        <v>2.0164975999999998E-2</v>
      </c>
      <c r="J267" s="2">
        <f>Storage_modulus_G!J267/1000000</f>
        <v>1.9899884999999999E-2</v>
      </c>
      <c r="K267" s="2">
        <f>Storage_modulus_G!K267/1000000</f>
        <v>2.0433597000000001E-2</v>
      </c>
      <c r="L267" s="2">
        <f>Storage_modulus_G!L267/1000000</f>
        <v>2.0433597000000001E-2</v>
      </c>
      <c r="M267" s="2">
        <f>Storage_modulus_G!M267/1000000</f>
        <v>2.0705796999999998E-2</v>
      </c>
      <c r="N267" s="2">
        <f>Storage_modulus_G!N267/1000000</f>
        <v>2.0981622999999998E-2</v>
      </c>
      <c r="O267" s="2">
        <f>Storage_modulus_G!O267/1000000</f>
        <v>2.1544347000000002E-2</v>
      </c>
      <c r="P267" s="2">
        <f>Storage_modulus_G!P267/1000000</f>
        <v>2.1544347000000002E-2</v>
      </c>
      <c r="Q267" s="2">
        <f>Storage_modulus_G!Q267/1000000</f>
        <v>2.2416856999999998E-2</v>
      </c>
      <c r="R267" s="2">
        <f>Storage_modulus_G!R267/1000000</f>
        <v>2.2715475999999998E-2</v>
      </c>
      <c r="S267" s="2">
        <f>Storage_modulus_G!S267/1000000</f>
        <v>2.4269312000000001E-2</v>
      </c>
      <c r="T267" s="2">
        <f>Storage_modulus_G!T267/1000000</f>
        <v>2.5929437999999999E-2</v>
      </c>
      <c r="U267" s="236">
        <f>Storage_modulus_G!U267/1000000</f>
        <v>2.7338936000000001E-2</v>
      </c>
      <c r="V267" s="2"/>
    </row>
    <row r="268" spans="1:28" ht="15.75" customHeight="1">
      <c r="A268" s="196">
        <v>46</v>
      </c>
      <c r="B268" s="201">
        <v>5</v>
      </c>
      <c r="C268" s="2">
        <f>Storage_modulus_G!C268/1000000</f>
        <v>8.8771969999999999E-3</v>
      </c>
      <c r="D268" s="2">
        <f>Storage_modulus_G!D268/1000000</f>
        <v>9.8685390000000008E-3</v>
      </c>
      <c r="E268" s="2">
        <f>Storage_modulus_G!E268/1000000</f>
        <v>0.01</v>
      </c>
      <c r="F268" s="2">
        <f>Storage_modulus_G!F268/1000000</f>
        <v>9.7388070000000004E-3</v>
      </c>
      <c r="G268" s="2">
        <f>Storage_modulus_G!G268/1000000</f>
        <v>1.0133211999999999E-2</v>
      </c>
      <c r="H268" s="2">
        <f>Storage_modulus_G!H268/1000000</f>
        <v>0.01</v>
      </c>
      <c r="I268" s="2">
        <f>Storage_modulus_G!I268/1000000</f>
        <v>9.8685390000000008E-3</v>
      </c>
      <c r="J268" s="2">
        <f>Storage_modulus_G!J268/1000000</f>
        <v>1.0133211999999999E-2</v>
      </c>
      <c r="K268" s="2">
        <f>Storage_modulus_G!K268/1000000</f>
        <v>1.054359E-2</v>
      </c>
      <c r="L268" s="2">
        <f>Storage_modulus_G!L268/1000000</f>
        <v>1.054359E-2</v>
      </c>
      <c r="M268" s="2">
        <f>Storage_modulus_G!M268/1000000</f>
        <v>1.0826367E-2</v>
      </c>
      <c r="N268" s="2">
        <f>Storage_modulus_G!N268/1000000</f>
        <v>1.0970587E-2</v>
      </c>
      <c r="O268" s="2">
        <f>Storage_modulus_G!O268/1000000</f>
        <v>1.1116728999999999E-2</v>
      </c>
      <c r="P268" s="2">
        <f>Storage_modulus_G!P268/1000000</f>
        <v>1.1721022999999999E-2</v>
      </c>
      <c r="Q268" s="2">
        <f>Storage_modulus_G!Q268/1000000</f>
        <v>1.2035379000000001E-2</v>
      </c>
      <c r="R268" s="2">
        <f>Storage_modulus_G!R268/1000000</f>
        <v>1.2358165999999999E-2</v>
      </c>
      <c r="S268" s="2">
        <f>Storage_modulus_G!S268/1000000</f>
        <v>1.2858651E-2</v>
      </c>
      <c r="T268" s="2">
        <f>Storage_modulus_G!T268/1000000</f>
        <v>1.3738238E-2</v>
      </c>
      <c r="U268" s="236">
        <f>Storage_modulus_G!U268/1000000</f>
        <v>1.4873521000000001E-2</v>
      </c>
      <c r="V268" s="2"/>
    </row>
    <row r="269" spans="1:28" ht="15.75" customHeight="1">
      <c r="A269" s="196">
        <v>46</v>
      </c>
      <c r="B269" s="201">
        <v>6</v>
      </c>
      <c r="C269" s="2">
        <f>Storage_modulus_G!C269/1000000</f>
        <v>2.6624859999999999E-3</v>
      </c>
      <c r="D269" s="2">
        <f>Storage_modulus_G!D269/1000000</f>
        <v>3.2044029999999998E-3</v>
      </c>
      <c r="E269" s="2">
        <f>Storage_modulus_G!E269/1000000</f>
        <v>3.3785909999999998E-3</v>
      </c>
      <c r="F269" s="2">
        <f>Storage_modulus_G!F269/1000000</f>
        <v>3.3785909999999998E-3</v>
      </c>
      <c r="G269" s="2">
        <f>Storage_modulus_G!G269/1000000</f>
        <v>3.4235979999999999E-3</v>
      </c>
      <c r="H269" s="2">
        <f>Storage_modulus_G!H269/1000000</f>
        <v>3.5622480000000001E-3</v>
      </c>
      <c r="I269" s="2">
        <f>Storage_modulus_G!I269/1000000</f>
        <v>3.7558879999999998E-3</v>
      </c>
      <c r="J269" s="2">
        <f>Storage_modulus_G!J269/1000000</f>
        <v>3.7558879999999998E-3</v>
      </c>
      <c r="K269" s="2">
        <f>Storage_modulus_G!K269/1000000</f>
        <v>3.7558879999999998E-3</v>
      </c>
      <c r="L269" s="2">
        <f>Storage_modulus_G!L269/1000000</f>
        <v>4.0662620000000002E-3</v>
      </c>
      <c r="M269" s="2">
        <f>Storage_modulus_G!M269/1000000</f>
        <v>4.2873E-3</v>
      </c>
      <c r="N269" s="2">
        <f>Storage_modulus_G!N269/1000000</f>
        <v>4.6415889999999998E-3</v>
      </c>
      <c r="O269" s="2">
        <f>Storage_modulus_G!O269/1000000</f>
        <v>5.2286650000000004E-3</v>
      </c>
      <c r="P269" s="2">
        <f>Storage_modulus_G!P269/1000000</f>
        <v>5.5863280000000006E-3</v>
      </c>
      <c r="Q269" s="2">
        <f>Storage_modulus_G!Q269/1000000</f>
        <v>6.2101689999999998E-3</v>
      </c>
      <c r="R269" s="2">
        <f>Storage_modulus_G!R269/1000000</f>
        <v>6.5477479999999999E-3</v>
      </c>
      <c r="S269" s="2">
        <f>Storage_modulus_G!S269/1000000</f>
        <v>7.880462999999999E-3</v>
      </c>
      <c r="T269" s="2">
        <f>Storage_modulus_G!T269/1000000</f>
        <v>9.2367090000000009E-3</v>
      </c>
      <c r="U269" s="236">
        <f>Storage_modulus_G!U269/1000000</f>
        <v>0.01</v>
      </c>
      <c r="V269" s="2"/>
      <c r="W269" s="2"/>
      <c r="X269" s="2"/>
      <c r="Y269" s="2"/>
      <c r="Z269" s="2"/>
      <c r="AA269" s="2"/>
    </row>
    <row r="270" spans="1:28" ht="15.75" customHeight="1">
      <c r="A270" s="199">
        <v>47</v>
      </c>
      <c r="B270" s="200" t="s">
        <v>221</v>
      </c>
      <c r="C270" s="234">
        <f>Storage_modulus_G!C270/1000000</f>
        <v>4.8399999999999994E-7</v>
      </c>
      <c r="D270" s="234">
        <f>Storage_modulus_G!D270/1000000</f>
        <v>6.6000000000000003E-7</v>
      </c>
      <c r="E270" s="234">
        <f>Storage_modulus_G!E270/1000000</f>
        <v>7.0299999999999998E-7</v>
      </c>
      <c r="F270" s="234">
        <f>Storage_modulus_G!F270/1000000</f>
        <v>5.0399999999999996E-7</v>
      </c>
      <c r="G270" s="234">
        <f>Storage_modulus_G!G270/1000000</f>
        <v>3.77E-7</v>
      </c>
      <c r="H270" s="234">
        <f>Storage_modulus_G!H270/1000000</f>
        <v>6.6000000000000003E-7</v>
      </c>
      <c r="I270" s="234">
        <f>Storage_modulus_G!I270/1000000</f>
        <v>7.9600000000000009E-7</v>
      </c>
      <c r="J270" s="234">
        <f>Storage_modulus_G!J270/1000000</f>
        <v>4.01E-7</v>
      </c>
      <c r="K270" s="234">
        <f>Storage_modulus_G!K270/1000000</f>
        <v>1.133E-6</v>
      </c>
      <c r="L270" s="234">
        <f>Storage_modulus_G!L270/1000000</f>
        <v>1.0869999999999999E-6</v>
      </c>
      <c r="M270" s="234">
        <f>Storage_modulus_G!M270/1000000</f>
        <v>2.2460000000000002E-6</v>
      </c>
      <c r="N270" s="234">
        <f>Storage_modulus_G!N270/1000000</f>
        <v>2.5969999999999999E-6</v>
      </c>
      <c r="O270" s="234">
        <f>Storage_modulus_G!O270/1000000</f>
        <v>5.3669999999999996E-6</v>
      </c>
      <c r="P270" s="234">
        <f>Storage_modulus_G!P270/1000000</f>
        <v>8.1270000000000003E-6</v>
      </c>
      <c r="Q270" s="234">
        <f>Storage_modulus_G!Q270/1000000</f>
        <v>1.4228E-5</v>
      </c>
      <c r="R270" s="234">
        <f>Storage_modulus_G!R270/1000000</f>
        <v>2.3898999999999999E-5</v>
      </c>
      <c r="S270" s="234">
        <f>Storage_modulus_G!S270/1000000</f>
        <v>4.3615000000000002E-5</v>
      </c>
      <c r="T270" s="234">
        <f>Storage_modulus_G!T270/1000000</f>
        <v>7.326E-5</v>
      </c>
      <c r="U270" s="234">
        <f>Storage_modulus_G!U270/1000000</f>
        <v>1.39362E-4</v>
      </c>
      <c r="V270" s="234">
        <f>Storage_modulus_G!V270/1000000</f>
        <v>2.7066500000000001E-4</v>
      </c>
      <c r="W270" s="234">
        <f>Storage_modulus_G!W270/1000000</f>
        <v>4.3615400000000001E-4</v>
      </c>
      <c r="X270" s="234">
        <f>Storage_modulus_G!X270/1000000</f>
        <v>7.79636E-4</v>
      </c>
      <c r="Y270" s="234"/>
      <c r="Z270" s="234"/>
      <c r="AA270" s="235"/>
      <c r="AB270" s="2"/>
    </row>
    <row r="271" spans="1:28" ht="15.75" customHeight="1">
      <c r="A271" s="196">
        <v>47</v>
      </c>
      <c r="B271" s="201">
        <v>2</v>
      </c>
      <c r="C271" s="2">
        <f>Storage_modulus_G!C271/1000000</f>
        <v>3.6190000000000004E-6</v>
      </c>
      <c r="D271" s="2">
        <f>Storage_modulus_G!D271/1000000</f>
        <v>2.543E-6</v>
      </c>
      <c r="E271" s="2">
        <f>Storage_modulus_G!E271/1000000</f>
        <v>3.6949999999999998E-6</v>
      </c>
      <c r="F271" s="2">
        <f>Storage_modulus_G!F271/1000000</f>
        <v>5.4790000000000004E-6</v>
      </c>
      <c r="G271" s="2">
        <f>Storage_modulus_G!G271/1000000</f>
        <v>3.9319999999999998E-6</v>
      </c>
      <c r="H271" s="2">
        <f>Storage_modulus_G!H271/1000000</f>
        <v>5.9540000000000001E-6</v>
      </c>
      <c r="I271" s="2">
        <f>Storage_modulus_G!I271/1000000</f>
        <v>7.96E-6</v>
      </c>
      <c r="J271" s="2">
        <f>Storage_modulus_G!J271/1000000</f>
        <v>9.2040000000000003E-6</v>
      </c>
      <c r="K271" s="2">
        <f>Storage_modulus_G!K271/1000000</f>
        <v>1.3369999999999999E-5</v>
      </c>
      <c r="L271" s="2">
        <f>Storage_modulus_G!L271/1000000</f>
        <v>1.7149000000000001E-5</v>
      </c>
      <c r="M271" s="2">
        <f>Storage_modulus_G!M271/1000000</f>
        <v>1.9828999999999999E-5</v>
      </c>
      <c r="N271" s="2">
        <f>Storage_modulus_G!N271/1000000</f>
        <v>2.6511000000000001E-5</v>
      </c>
      <c r="O271" s="2">
        <f>Storage_modulus_G!O271/1000000</f>
        <v>3.4003999999999995E-5</v>
      </c>
      <c r="P271" s="2">
        <f>Storage_modulus_G!P271/1000000</f>
        <v>4.0983999999999999E-5</v>
      </c>
      <c r="Q271" s="2">
        <f>Storage_modulus_G!Q271/1000000</f>
        <v>5.1488999999999994E-5</v>
      </c>
      <c r="R271" s="2">
        <f>Storage_modulus_G!R271/1000000</f>
        <v>7.9597999999999992E-5</v>
      </c>
      <c r="S271" s="2">
        <f>Storage_modulus_G!S271/1000000</f>
        <v>1.0209600000000001E-4</v>
      </c>
      <c r="T271" s="2">
        <f>Storage_modulus_G!T271/1000000</f>
        <v>1.45265E-4</v>
      </c>
      <c r="U271" s="2">
        <f>Storage_modulus_G!U271/1000000</f>
        <v>2.2457E-4</v>
      </c>
      <c r="V271" s="2">
        <f>Storage_modulus_G!V271/1000000</f>
        <v>3.61875E-4</v>
      </c>
      <c r="W271" s="2">
        <f>Storage_modulus_G!W271/1000000</f>
        <v>5.7115900000000001E-4</v>
      </c>
      <c r="X271" s="2">
        <f>Storage_modulus_G!X271/1000000</f>
        <v>9.7947000000000008E-4</v>
      </c>
      <c r="Y271" s="2">
        <f>Storage_modulus_G!Y271/1000000</f>
        <v>1.787526E-3</v>
      </c>
      <c r="Z271" s="2">
        <f>Storage_modulus_G!Z271/1000000</f>
        <v>3.4716869999999998E-3</v>
      </c>
      <c r="AA271" s="236">
        <f>Storage_modulus_G!AA271/1000000</f>
        <v>7.3259650000000003E-3</v>
      </c>
      <c r="AB271" s="2"/>
    </row>
    <row r="272" spans="1:28" ht="15.75" customHeight="1">
      <c r="A272" s="196">
        <v>47</v>
      </c>
      <c r="B272" s="201">
        <v>3</v>
      </c>
      <c r="C272" s="2">
        <f>Storage_modulus_G!C272/1000000</f>
        <v>2.3408E-5</v>
      </c>
      <c r="D272" s="2">
        <f>Storage_modulus_G!D272/1000000</f>
        <v>2.44E-5</v>
      </c>
      <c r="E272" s="2">
        <f>Storage_modulus_G!E272/1000000</f>
        <v>3.0024999999999998E-5</v>
      </c>
      <c r="F272" s="2">
        <f>Storage_modulus_G!F272/1000000</f>
        <v>3.0024999999999998E-5</v>
      </c>
      <c r="G272" s="2">
        <f>Storage_modulus_G!G272/1000000</f>
        <v>3.3305999999999996E-5</v>
      </c>
      <c r="H272" s="2">
        <f>Storage_modulus_G!H272/1000000</f>
        <v>3.7719999999999998E-5</v>
      </c>
      <c r="I272" s="2">
        <f>Storage_modulus_G!I272/1000000</f>
        <v>3.3305999999999996E-5</v>
      </c>
      <c r="J272" s="2">
        <f>Storage_modulus_G!J272/1000000</f>
        <v>3.6186999999999998E-5</v>
      </c>
      <c r="K272" s="2">
        <f>Storage_modulus_G!K272/1000000</f>
        <v>4.0983999999999999E-5</v>
      </c>
      <c r="L272" s="2">
        <f>Storage_modulus_G!L272/1000000</f>
        <v>4.0983999999999999E-5</v>
      </c>
      <c r="M272" s="2">
        <f>Storage_modulus_G!M272/1000000</f>
        <v>4.0983999999999999E-5</v>
      </c>
      <c r="N272" s="2">
        <f>Storage_modulus_G!N272/1000000</f>
        <v>4.8381999999999999E-5</v>
      </c>
      <c r="O272" s="2">
        <f>Storage_modulus_G!O272/1000000</f>
        <v>5.4795E-5</v>
      </c>
      <c r="P272" s="2">
        <f>Storage_modulus_G!P272/1000000</f>
        <v>5.9534999999999998E-5</v>
      </c>
      <c r="Q272" s="2">
        <f>Storage_modulus_G!Q272/1000000</f>
        <v>6.8839999999999998E-5</v>
      </c>
      <c r="R272" s="2">
        <f>Storage_modulus_G!R272/1000000</f>
        <v>7.326E-5</v>
      </c>
      <c r="S272" s="2">
        <f>Storage_modulus_G!S272/1000000</f>
        <v>8.6483999999999994E-5</v>
      </c>
      <c r="T272" s="2">
        <f>Storage_modulus_G!T272/1000000</f>
        <v>1.1092900000000001E-4</v>
      </c>
      <c r="U272" s="2">
        <f>Storage_modulus_G!U272/1000000</f>
        <v>1.6451900000000002E-4</v>
      </c>
      <c r="V272" s="2">
        <f>Storage_modulus_G!V272/1000000</f>
        <v>2.1995900000000001E-4</v>
      </c>
      <c r="W272" s="2">
        <f>Storage_modulus_G!W272/1000000</f>
        <v>3.4004100000000002E-4</v>
      </c>
      <c r="X272" s="2">
        <f>Storage_modulus_G!X272/1000000</f>
        <v>5.8313099999999997E-4</v>
      </c>
      <c r="Y272" s="2">
        <f>Storage_modulus_G!Y272/1000000</f>
        <v>1.10929E-3</v>
      </c>
      <c r="Z272" s="2">
        <f>Storage_modulus_G!Z272/1000000</f>
        <v>2.1995929999999997E-3</v>
      </c>
      <c r="AA272" s="236">
        <f>Storage_modulus_G!AA272/1000000</f>
        <v>4.6415889999999998E-3</v>
      </c>
      <c r="AB272" s="2"/>
    </row>
    <row r="273" spans="1:28" ht="15.75" customHeight="1">
      <c r="A273" s="196">
        <v>47</v>
      </c>
      <c r="B273" s="201" t="s">
        <v>224</v>
      </c>
      <c r="C273" s="2">
        <f>Storage_modulus_G!C273/1000000</f>
        <v>1.0209600000000001E-4</v>
      </c>
      <c r="D273" s="2">
        <f>Storage_modulus_G!D273/1000000</f>
        <v>1.6114099999999998E-4</v>
      </c>
      <c r="E273" s="2">
        <f>Storage_modulus_G!E273/1000000</f>
        <v>1.6114099999999998E-4</v>
      </c>
      <c r="F273" s="2">
        <f>Storage_modulus_G!F273/1000000</f>
        <v>2.15443E-4</v>
      </c>
      <c r="G273" s="2">
        <f>Storage_modulus_G!G273/1000000</f>
        <v>2.5966599999999998E-4</v>
      </c>
      <c r="H273" s="2">
        <f>Storage_modulus_G!H273/1000000</f>
        <v>3.0654E-4</v>
      </c>
      <c r="I273" s="2">
        <f>Storage_modulus_G!I273/1000000</f>
        <v>4.01424E-4</v>
      </c>
      <c r="J273" s="2">
        <f>Storage_modulus_G!J273/1000000</f>
        <v>4.73888E-4</v>
      </c>
      <c r="K273" s="2">
        <f>Storage_modulus_G!K273/1000000</f>
        <v>5.8313099999999997E-4</v>
      </c>
      <c r="L273" s="2">
        <f>Storage_modulus_G!L273/1000000</f>
        <v>7.4795199999999997E-4</v>
      </c>
      <c r="M273" s="2">
        <f>Storage_modulus_G!M273/1000000</f>
        <v>9.5936099999999994E-4</v>
      </c>
      <c r="N273" s="2">
        <f>Storage_modulus_G!N273/1000000</f>
        <v>1.1805170000000001E-3</v>
      </c>
      <c r="O273" s="2">
        <f>Storage_modulus_G!O273/1000000</f>
        <v>1.4831030000000002E-3</v>
      </c>
      <c r="P273" s="2">
        <f>Storage_modulus_G!P273/1000000</f>
        <v>1.824993E-3</v>
      </c>
      <c r="Q273" s="2">
        <f>Storage_modulus_G!Q273/1000000</f>
        <v>2.1544350000000001E-3</v>
      </c>
      <c r="R273" s="2">
        <f>Storage_modulus_G!R273/1000000</f>
        <v>2.5966560000000001E-3</v>
      </c>
      <c r="S273" s="2">
        <f>Storage_modulus_G!S273/1000000</f>
        <v>3.1296480000000001E-3</v>
      </c>
      <c r="T273" s="2">
        <f>Storage_modulus_G!T273/1000000</f>
        <v>3.7720419999999998E-3</v>
      </c>
      <c r="U273" s="2">
        <f>Storage_modulus_G!U273/1000000</f>
        <v>4.2719939999999994E-3</v>
      </c>
      <c r="V273" s="2">
        <f>Storage_modulus_G!V273/1000000</f>
        <v>5.1488670000000005E-3</v>
      </c>
      <c r="W273" s="2">
        <f>Storage_modulus_G!W273/1000000</f>
        <v>6.0783230000000001E-3</v>
      </c>
      <c r="X273" s="2">
        <f>Storage_modulus_G!X273/1000000</f>
        <v>7.9597769999999995E-3</v>
      </c>
      <c r="Y273" s="2"/>
      <c r="Z273" s="2"/>
      <c r="AA273" s="236"/>
      <c r="AB273" s="2"/>
    </row>
    <row r="274" spans="1:28" ht="15.75" customHeight="1">
      <c r="A274" s="196">
        <v>47</v>
      </c>
      <c r="B274" s="201">
        <v>5</v>
      </c>
      <c r="C274" s="2">
        <f>Storage_modulus_G!C274/1000000</f>
        <v>1.365008E-3</v>
      </c>
      <c r="D274" s="2">
        <f>Storage_modulus_G!D274/1000000</f>
        <v>9.0147799999999994E-4</v>
      </c>
      <c r="E274" s="2">
        <f>Storage_modulus_G!E274/1000000</f>
        <v>8.8297000000000007E-4</v>
      </c>
      <c r="F274" s="2">
        <f>Storage_modulus_G!F274/1000000</f>
        <v>1.1805170000000001E-3</v>
      </c>
      <c r="G274" s="2">
        <f>Storage_modulus_G!G274/1000000</f>
        <v>1.230524E-3</v>
      </c>
      <c r="H274" s="2">
        <f>Storage_modulus_G!H274/1000000</f>
        <v>1.2563170000000001E-3</v>
      </c>
      <c r="I274" s="2">
        <f>Storage_modulus_G!I274/1000000</f>
        <v>1.4831030000000002E-3</v>
      </c>
      <c r="J274" s="2">
        <f>Storage_modulus_G!J274/1000000</f>
        <v>1.7508269999999999E-3</v>
      </c>
      <c r="K274" s="2">
        <f>Storage_modulus_G!K274/1000000</f>
        <v>1.9023009999999999E-3</v>
      </c>
      <c r="L274" s="2">
        <f>Storage_modulus_G!L274/1000000</f>
        <v>2.1995929999999997E-3</v>
      </c>
      <c r="M274" s="2">
        <f>Storage_modulus_G!M274/1000000</f>
        <v>2.4399859999999999E-3</v>
      </c>
      <c r="N274" s="2">
        <f>Storage_modulus_G!N274/1000000</f>
        <v>2.9408200000000002E-3</v>
      </c>
      <c r="O274" s="2">
        <f>Storage_modulus_G!O274/1000000</f>
        <v>3.0653949999999998E-3</v>
      </c>
      <c r="P274" s="2">
        <f>Storage_modulus_G!P274/1000000</f>
        <v>3.4004119999999998E-3</v>
      </c>
      <c r="Q274" s="2">
        <f>Storage_modulus_G!Q274/1000000</f>
        <v>3.8511069999999999E-3</v>
      </c>
      <c r="R274" s="2">
        <f>Storage_modulus_G!R274/1000000</f>
        <v>4.2719939999999994E-3</v>
      </c>
      <c r="S274" s="2">
        <f>Storage_modulus_G!S274/1000000</f>
        <v>4.73888E-3</v>
      </c>
      <c r="T274" s="2">
        <f>Storage_modulus_G!T274/1000000</f>
        <v>5.0431589999999993E-3</v>
      </c>
      <c r="U274" s="2">
        <f>Storage_modulus_G!U274/1000000</f>
        <v>5.7115860000000003E-3</v>
      </c>
      <c r="V274" s="2">
        <f>Storage_modulus_G!V274/1000000</f>
        <v>5.7115860000000003E-3</v>
      </c>
      <c r="W274" s="2">
        <f>Storage_modulus_G!W274/1000000</f>
        <v>6.2057290000000001E-3</v>
      </c>
      <c r="X274" s="2">
        <f>Storage_modulus_G!X274/1000000</f>
        <v>7.7963599999999996E-3</v>
      </c>
      <c r="Y274" s="2">
        <f>Storage_modulus_G!Y274/1000000</f>
        <v>9.7946969999999998E-3</v>
      </c>
      <c r="Z274" s="2">
        <f>Storage_modulus_G!Z274/1000000</f>
        <v>1.309535E-2</v>
      </c>
      <c r="AA274" s="236">
        <f>Storage_modulus_G!AA274/1000000</f>
        <v>2.1102033999999999E-2</v>
      </c>
      <c r="AB274" s="2"/>
    </row>
    <row r="275" spans="1:28" ht="15.75" customHeight="1">
      <c r="A275" s="196">
        <v>47</v>
      </c>
      <c r="B275" s="201" t="s">
        <v>225</v>
      </c>
      <c r="C275" s="2">
        <f>1000*Storage_modulus_G!C275</f>
        <v>1131</v>
      </c>
      <c r="D275" s="2">
        <f>1000*Storage_modulus_G!D275</f>
        <v>1105</v>
      </c>
      <c r="E275" s="2">
        <f>1000*Storage_modulus_G!E275</f>
        <v>1082</v>
      </c>
      <c r="F275" s="2">
        <f>1000*Storage_modulus_G!F275</f>
        <v>1059</v>
      </c>
      <c r="G275" s="2">
        <f>1000*Storage_modulus_G!G275</f>
        <v>1026</v>
      </c>
      <c r="H275" s="2">
        <f>1000*Storage_modulus_G!H275</f>
        <v>957</v>
      </c>
      <c r="I275" s="2">
        <f>1000*Storage_modulus_G!I275</f>
        <v>852</v>
      </c>
      <c r="J275" s="2">
        <f>1000*Storage_modulus_G!J275</f>
        <v>780</v>
      </c>
      <c r="K275" s="2">
        <f>1000*Storage_modulus_G!K275</f>
        <v>701</v>
      </c>
      <c r="L275" s="2">
        <f>1000*Storage_modulus_G!L275</f>
        <v>685</v>
      </c>
      <c r="M275" s="2">
        <f>1000*Storage_modulus_G!M275</f>
        <v>634</v>
      </c>
      <c r="N275" s="2">
        <f>1000*Storage_modulus_G!N275</f>
        <v>539</v>
      </c>
      <c r="O275" s="2">
        <f>1000*Storage_modulus_G!O275</f>
        <v>436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36"/>
      <c r="AB275" s="2"/>
    </row>
    <row r="276" spans="1:28" ht="15.75" customHeight="1">
      <c r="A276" s="197">
        <v>47</v>
      </c>
      <c r="B276" s="202" t="s">
        <v>228</v>
      </c>
      <c r="C276" s="34">
        <f>1000*Storage_modulus_G!C276</f>
        <v>1395</v>
      </c>
      <c r="D276" s="34">
        <f>1000*Storage_modulus_G!D276</f>
        <v>1370</v>
      </c>
      <c r="E276" s="34">
        <f>1000*Storage_modulus_G!E276</f>
        <v>1349</v>
      </c>
      <c r="F276" s="34">
        <f>1000*Storage_modulus_G!F276</f>
        <v>1328</v>
      </c>
      <c r="G276" s="34">
        <f>1000*Storage_modulus_G!G276</f>
        <v>1307</v>
      </c>
      <c r="H276" s="34">
        <f>1000*Storage_modulus_G!H276</f>
        <v>1254</v>
      </c>
      <c r="I276" s="34">
        <f>1000*Storage_modulus_G!I276</f>
        <v>1168</v>
      </c>
      <c r="J276" s="34">
        <f>1000*Storage_modulus_G!J276</f>
        <v>1121</v>
      </c>
      <c r="K276" s="34">
        <f>1000*Storage_modulus_G!K276</f>
        <v>1077</v>
      </c>
      <c r="L276" s="34">
        <f>1000*Storage_modulus_G!L276</f>
        <v>982</v>
      </c>
      <c r="M276" s="34">
        <f>1000*Storage_modulus_G!M276</f>
        <v>824</v>
      </c>
      <c r="N276" s="34">
        <f>1000*Storage_modulus_G!N276</f>
        <v>680</v>
      </c>
      <c r="O276" s="34">
        <f>1000*Storage_modulus_G!O276</f>
        <v>580</v>
      </c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237"/>
      <c r="AB276" s="2"/>
    </row>
    <row r="277" spans="1:28" ht="15.75" customHeight="1">
      <c r="A277" s="196">
        <v>48</v>
      </c>
      <c r="B277" s="201">
        <v>1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8" ht="15.75" customHeight="1">
      <c r="A278" s="196">
        <v>48</v>
      </c>
      <c r="B278" s="201">
        <v>2</v>
      </c>
    </row>
    <row r="279" spans="1:28" ht="15.75" customHeight="1">
      <c r="A279" s="196">
        <v>48</v>
      </c>
      <c r="B279" s="201">
        <v>3</v>
      </c>
    </row>
    <row r="280" spans="1:28" ht="15.75" customHeight="1">
      <c r="A280" s="196">
        <v>48</v>
      </c>
      <c r="B280" s="201">
        <v>4</v>
      </c>
    </row>
    <row r="281" spans="1:28" ht="15.75" customHeight="1">
      <c r="A281" s="196">
        <v>48</v>
      </c>
      <c r="B281" s="201">
        <v>5</v>
      </c>
    </row>
    <row r="282" spans="1:28" ht="15.75" customHeight="1">
      <c r="A282" s="196">
        <v>48</v>
      </c>
      <c r="B282" s="201">
        <v>6</v>
      </c>
    </row>
    <row r="283" spans="1:28" ht="15.75" customHeight="1">
      <c r="A283" s="196">
        <v>48</v>
      </c>
      <c r="B283" s="201">
        <v>7</v>
      </c>
    </row>
    <row r="284" spans="1:28" ht="15.75" customHeight="1">
      <c r="A284" s="196">
        <v>48</v>
      </c>
      <c r="B284" s="201">
        <v>8</v>
      </c>
    </row>
    <row r="285" spans="1:28" ht="15.75" customHeight="1">
      <c r="A285" s="196">
        <v>48</v>
      </c>
      <c r="B285" s="201">
        <v>9</v>
      </c>
    </row>
    <row r="286" spans="1:28" ht="15.75" customHeight="1">
      <c r="A286" s="196">
        <v>48</v>
      </c>
      <c r="B286" s="201">
        <v>10</v>
      </c>
    </row>
    <row r="287" spans="1:28" ht="15.75" customHeight="1">
      <c r="A287" s="196">
        <v>48</v>
      </c>
      <c r="B287" s="201">
        <v>11</v>
      </c>
    </row>
    <row r="288" spans="1:28" ht="15.75" customHeight="1">
      <c r="A288" s="196">
        <v>48</v>
      </c>
      <c r="B288" s="201">
        <v>12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</row>
    <row r="289" spans="1:19" ht="15.75" customHeight="1">
      <c r="A289" s="309">
        <v>49</v>
      </c>
      <c r="B289" s="74">
        <v>1</v>
      </c>
      <c r="C289" s="234"/>
      <c r="D289" s="234"/>
      <c r="E289" s="234"/>
      <c r="F289" s="234"/>
      <c r="G289" s="234"/>
      <c r="H289" s="234"/>
      <c r="I289" s="234"/>
      <c r="J289" s="234"/>
      <c r="K289" s="234"/>
      <c r="L289" s="234"/>
      <c r="M289" s="234"/>
      <c r="N289" s="234"/>
      <c r="O289" s="234"/>
      <c r="P289" s="234"/>
      <c r="Q289" s="234"/>
      <c r="R289" s="235"/>
      <c r="S289" s="2"/>
    </row>
    <row r="290" spans="1:19" ht="15.75" customHeight="1">
      <c r="A290" s="238">
        <v>49</v>
      </c>
      <c r="B290" s="75">
        <v>2</v>
      </c>
      <c r="C290" s="2">
        <f>Storage_modulus_G!C290/1000000</f>
        <v>3.1729999999999999E-6</v>
      </c>
      <c r="D290" s="2">
        <f>Storage_modulus_G!D290/1000000</f>
        <v>3.1099999999999999E-6</v>
      </c>
      <c r="E290" s="2">
        <f>Storage_modulus_G!E290/1000000</f>
        <v>3.0489999999999999E-6</v>
      </c>
      <c r="F290" s="2">
        <f>Storage_modulus_G!F290/1000000</f>
        <v>2.3070000000000001E-6</v>
      </c>
      <c r="G290" s="2">
        <f>Storage_modulus_G!G290/1000000</f>
        <v>1.3301999999999999E-5</v>
      </c>
      <c r="H290" s="2">
        <f>Storage_modulus_G!H290/1000000</f>
        <v>1.7577000000000001E-5</v>
      </c>
      <c r="I290" s="2">
        <f>Storage_modulus_G!I290/1000000</f>
        <v>2.6699999999999998E-5</v>
      </c>
      <c r="J290" s="2">
        <f>Storage_modulus_G!J290/1000000</f>
        <v>7.9802999999999995E-5</v>
      </c>
      <c r="K290" s="2">
        <f>Storage_modulus_G!K290/1000000</f>
        <v>9.9338999999999992E-5</v>
      </c>
      <c r="L290" s="2">
        <f>Storage_modulus_G!L290/1000000</f>
        <v>1.9161099999999998E-4</v>
      </c>
      <c r="M290" s="2">
        <f>Storage_modulus_G!M290/1000000</f>
        <v>3.77024E-4</v>
      </c>
      <c r="N290" s="2">
        <f>Storage_modulus_G!N290/1000000</f>
        <v>7.7198400000000008E-4</v>
      </c>
      <c r="O290" s="2">
        <f>Storage_modulus_G!O290/1000000</f>
        <v>1.549536E-3</v>
      </c>
      <c r="P290" s="2">
        <f>Storage_modulus_G!P290/1000000</f>
        <v>3.1727869999999998E-3</v>
      </c>
      <c r="Q290" s="2">
        <f>Storage_modulus_G!Q290/1000000</f>
        <v>5.6514690000000001E-3</v>
      </c>
      <c r="R290" s="236">
        <f>Storage_modulus_G!R290/1000000</f>
        <v>8.5845509999999993E-3</v>
      </c>
      <c r="S290" s="2"/>
    </row>
    <row r="291" spans="1:19" ht="15.75" customHeight="1">
      <c r="A291" s="238">
        <v>49</v>
      </c>
      <c r="B291" s="75">
        <v>3</v>
      </c>
      <c r="C291" s="2">
        <f>Storage_modulus_G!C291/1000000</f>
        <v>1.4694E-5</v>
      </c>
      <c r="D291" s="2">
        <f>Storage_modulus_G!D291/1000000</f>
        <v>1.7931000000000002E-5</v>
      </c>
      <c r="E291" s="2">
        <f>Storage_modulus_G!E291/1000000</f>
        <v>3.2581000000000005E-5</v>
      </c>
      <c r="F291" s="2">
        <f>Storage_modulus_G!F291/1000000</f>
        <v>4.6622000000000002E-5</v>
      </c>
      <c r="G291" s="2">
        <f>Storage_modulus_G!G291/1000000</f>
        <v>7.6688000000000008E-5</v>
      </c>
      <c r="H291" s="2">
        <f>Storage_modulus_G!H291/1000000</f>
        <v>1.6340199999999999E-4</v>
      </c>
      <c r="I291" s="2">
        <f>Storage_modulus_G!I291/1000000</f>
        <v>3.4130399999999996E-4</v>
      </c>
      <c r="J291" s="2">
        <f>Storage_modulus_G!J291/1000000</f>
        <v>6.5833000000000005E-4</v>
      </c>
      <c r="K291" s="2">
        <f>Storage_modulus_G!K291/1000000</f>
        <v>1.295364E-3</v>
      </c>
      <c r="L291" s="2">
        <f>Storage_modulus_G!L291/1000000</f>
        <v>2.4493399999999999E-3</v>
      </c>
      <c r="M291" s="2">
        <f>Storage_modulus_G!M291/1000000</f>
        <v>4.3628419999999996E-3</v>
      </c>
      <c r="N291" s="2">
        <f>Storage_modulus_G!N291/1000000</f>
        <v>7.6180600000000003E-3</v>
      </c>
      <c r="O291" s="2">
        <f>Storage_modulus_G!O291/1000000</f>
        <v>1.3842367E-2</v>
      </c>
      <c r="P291" s="2">
        <f>Storage_modulus_G!P291/1000000</f>
        <v>2.2320461999999999E-2</v>
      </c>
      <c r="Q291" s="2">
        <f>Storage_modulus_G!Q291/1000000</f>
        <v>3.3904658000000004E-2</v>
      </c>
      <c r="R291" s="236">
        <f>Storage_modulus_G!R291/1000000</f>
        <v>5.4670389E-2</v>
      </c>
      <c r="S291" s="2"/>
    </row>
    <row r="292" spans="1:19" ht="15.75" customHeight="1">
      <c r="A292" s="311">
        <v>49</v>
      </c>
      <c r="B292" s="231">
        <v>4</v>
      </c>
      <c r="C292" s="34">
        <f>Storage_modulus_G!C292/1000000</f>
        <v>5.5770000000000003E-5</v>
      </c>
      <c r="D292" s="34">
        <f>Storage_modulus_G!D292/1000000</f>
        <v>9.3579999999999995E-5</v>
      </c>
      <c r="E292" s="34">
        <f>Storage_modulus_G!E292/1000000</f>
        <v>1.36599E-4</v>
      </c>
      <c r="F292" s="34">
        <f>Storage_modulus_G!F292/1000000</f>
        <v>2.4331399999999998E-4</v>
      </c>
      <c r="G292" s="34">
        <f>Storage_modulus_G!G292/1000000</f>
        <v>4.0827300000000001E-4</v>
      </c>
      <c r="H292" s="34">
        <f>Storage_modulus_G!H292/1000000</f>
        <v>7.4185199999999998E-4</v>
      </c>
      <c r="I292" s="34">
        <f>Storage_modulus_G!I292/1000000</f>
        <v>1.269832E-3</v>
      </c>
      <c r="J292" s="34">
        <f>Storage_modulus_G!J292/1000000</f>
        <v>2.130739E-3</v>
      </c>
      <c r="K292" s="34">
        <f>Storage_modulus_G!K292/1000000</f>
        <v>3.5048429999999997E-3</v>
      </c>
      <c r="L292" s="34">
        <f>Storage_modulus_G!L292/1000000</f>
        <v>5.1160370000000004E-3</v>
      </c>
      <c r="M292" s="34">
        <f>Storage_modulus_G!M292/1000000</f>
        <v>8.0868799999999994E-3</v>
      </c>
      <c r="N292" s="34">
        <f>Storage_modulus_G!N292/1000000</f>
        <v>1.2041806E-2</v>
      </c>
      <c r="O292" s="34">
        <f>Storage_modulus_G!O292/1000000</f>
        <v>1.9034387E-2</v>
      </c>
      <c r="P292" s="34">
        <f>Storage_modulus_G!P292/1000000</f>
        <v>3.0087504000000001E-2</v>
      </c>
      <c r="Q292" s="34">
        <f>Storage_modulus_G!Q292/1000000</f>
        <v>4.4801940999999998E-2</v>
      </c>
      <c r="R292" s="237">
        <f>Storage_modulus_G!R292/1000000</f>
        <v>6.8053901E-2</v>
      </c>
      <c r="S292" s="2"/>
    </row>
    <row r="293" spans="1:19" ht="15.75" customHeight="1">
      <c r="A293" s="228">
        <v>50</v>
      </c>
      <c r="B293" s="75">
        <v>1</v>
      </c>
      <c r="C293" s="2">
        <v>3950.7959999999998</v>
      </c>
      <c r="D293" s="2">
        <v>3933.43</v>
      </c>
      <c r="E293" s="2">
        <v>3916.0639999999999</v>
      </c>
      <c r="F293" s="2">
        <v>3855.2820000000002</v>
      </c>
      <c r="G293" s="2">
        <v>3768.4520000000002</v>
      </c>
      <c r="H293" s="2">
        <v>3612.1559999999999</v>
      </c>
      <c r="I293" s="2">
        <v>3455.8609999999999</v>
      </c>
      <c r="J293" s="2">
        <v>3195.3690000000001</v>
      </c>
      <c r="K293" s="2">
        <v>2943.56</v>
      </c>
      <c r="L293" s="2">
        <v>2709.1170000000002</v>
      </c>
      <c r="M293" s="2">
        <v>2483.357</v>
      </c>
      <c r="N293" s="2">
        <v>2301.0129999999999</v>
      </c>
      <c r="O293" s="2">
        <v>2092.6190000000001</v>
      </c>
      <c r="P293" s="2">
        <v>1892.9090000000001</v>
      </c>
      <c r="Q293" s="2">
        <v>1727.931</v>
      </c>
      <c r="R293" s="236">
        <v>1554.269</v>
      </c>
      <c r="S293" s="2"/>
    </row>
    <row r="294" spans="1:19" ht="15.75" customHeight="1">
      <c r="A294" s="228">
        <v>50</v>
      </c>
      <c r="B294" s="75">
        <v>2</v>
      </c>
      <c r="C294" s="2">
        <v>4619.3919999999998</v>
      </c>
      <c r="D294" s="2">
        <v>4602.0259999999998</v>
      </c>
      <c r="E294" s="2">
        <v>4567.2939999999999</v>
      </c>
      <c r="F294" s="2">
        <v>4497.8289999999997</v>
      </c>
      <c r="G294" s="2">
        <v>4350.2169999999996</v>
      </c>
      <c r="H294" s="2">
        <v>4202.6049999999996</v>
      </c>
      <c r="I294" s="2">
        <v>4028.944</v>
      </c>
      <c r="J294" s="2">
        <v>3785.8180000000002</v>
      </c>
      <c r="K294" s="2">
        <v>3455.8609999999999</v>
      </c>
      <c r="L294" s="2">
        <v>3186.6860000000001</v>
      </c>
      <c r="M294" s="2">
        <v>2978.2919999999999</v>
      </c>
      <c r="N294" s="2">
        <v>2795.9479999999999</v>
      </c>
      <c r="O294" s="2">
        <v>2604.92</v>
      </c>
      <c r="P294" s="2">
        <v>2422.576</v>
      </c>
      <c r="Q294" s="2">
        <v>2179.4499999999998</v>
      </c>
      <c r="R294" s="236">
        <v>1918.9580000000001</v>
      </c>
      <c r="S294" s="2"/>
    </row>
    <row r="295" spans="1:19" ht="15.75" customHeight="1">
      <c r="A295" s="228">
        <v>50</v>
      </c>
      <c r="B295" s="75">
        <v>3</v>
      </c>
      <c r="C295" s="2">
        <v>4489.1459999999997</v>
      </c>
      <c r="D295" s="2">
        <v>4497.8289999999997</v>
      </c>
      <c r="E295" s="2">
        <v>4419.6819999999998</v>
      </c>
      <c r="F295" s="2">
        <v>4358.8999999999996</v>
      </c>
      <c r="G295" s="2">
        <v>4228.6540000000005</v>
      </c>
      <c r="H295" s="2">
        <v>4107.0910000000003</v>
      </c>
      <c r="I295" s="2">
        <v>3924.7469999999998</v>
      </c>
      <c r="J295" s="2">
        <v>3672.9380000000001</v>
      </c>
      <c r="K295" s="2">
        <v>3316.9319999999998</v>
      </c>
      <c r="L295" s="2">
        <v>3021.7080000000001</v>
      </c>
      <c r="M295" s="2">
        <v>2787.2649999999999</v>
      </c>
      <c r="N295" s="2">
        <v>2587.5540000000001</v>
      </c>
      <c r="O295" s="2">
        <v>2361.7950000000001</v>
      </c>
      <c r="P295" s="2">
        <v>2179.4499999999998</v>
      </c>
      <c r="Q295" s="2">
        <v>1971.056</v>
      </c>
      <c r="R295" s="236">
        <v>1745.297</v>
      </c>
      <c r="S295" s="2"/>
    </row>
    <row r="296" spans="1:19" ht="15.75" customHeight="1">
      <c r="A296" s="228">
        <v>50</v>
      </c>
      <c r="B296" s="75">
        <v>4</v>
      </c>
      <c r="C296" s="2">
        <v>5253.2560000000003</v>
      </c>
      <c r="D296" s="2">
        <v>5227.2070000000003</v>
      </c>
      <c r="E296" s="2">
        <v>5201.1580000000004</v>
      </c>
      <c r="F296" s="2">
        <v>5157.7420000000002</v>
      </c>
      <c r="G296" s="2">
        <v>5027.4960000000001</v>
      </c>
      <c r="H296" s="2">
        <v>4897.25</v>
      </c>
      <c r="I296" s="2">
        <v>4723.5889999999999</v>
      </c>
      <c r="J296" s="34">
        <v>4419.6819999999998</v>
      </c>
      <c r="K296" s="34">
        <v>3959.4789999999998</v>
      </c>
      <c r="L296" s="34">
        <v>3707.67</v>
      </c>
      <c r="M296" s="34">
        <v>3386.3969999999999</v>
      </c>
      <c r="N296" s="34">
        <v>3151.9540000000002</v>
      </c>
      <c r="O296" s="34">
        <v>2926.194</v>
      </c>
      <c r="P296" s="34">
        <v>2648.3359999999998</v>
      </c>
      <c r="Q296" s="34">
        <v>2405.21</v>
      </c>
      <c r="R296" s="237">
        <v>2127.3519999999999</v>
      </c>
      <c r="S296" s="2"/>
    </row>
    <row r="297" spans="1:19" ht="15.75" customHeight="1">
      <c r="A297" s="229">
        <v>51</v>
      </c>
      <c r="B297" s="74">
        <v>1</v>
      </c>
      <c r="C297" s="234">
        <v>4591.2049999999999</v>
      </c>
      <c r="D297" s="234">
        <v>4281.759</v>
      </c>
      <c r="E297" s="234">
        <v>3410.4229999999998</v>
      </c>
      <c r="F297" s="234">
        <v>1757.329</v>
      </c>
      <c r="G297" s="234">
        <v>1203.5830000000001</v>
      </c>
      <c r="H297" s="234">
        <v>674.26700000000005</v>
      </c>
      <c r="I297" s="235">
        <v>454.39699999999999</v>
      </c>
      <c r="J297" s="2"/>
      <c r="K297" s="2"/>
      <c r="L297" s="2"/>
      <c r="M297" s="2"/>
      <c r="N297" s="2"/>
      <c r="O297" s="2"/>
      <c r="P297" s="2"/>
      <c r="Q297" s="2"/>
      <c r="R297" s="2"/>
    </row>
    <row r="298" spans="1:19" ht="15.75" customHeight="1">
      <c r="A298" s="228">
        <v>51</v>
      </c>
      <c r="B298" s="75">
        <v>2</v>
      </c>
      <c r="C298" s="2">
        <v>6228.0129999999999</v>
      </c>
      <c r="D298" s="2">
        <v>5983.7129999999997</v>
      </c>
      <c r="E298" s="2">
        <v>5169.3810000000003</v>
      </c>
      <c r="F298" s="2">
        <v>3809.4459999999999</v>
      </c>
      <c r="G298" s="2">
        <v>3019.5439999999999</v>
      </c>
      <c r="H298" s="2">
        <v>2099.3490000000002</v>
      </c>
      <c r="I298" s="236">
        <v>1504.886</v>
      </c>
      <c r="J298" s="2"/>
    </row>
    <row r="299" spans="1:19" ht="15.75" customHeight="1">
      <c r="A299" s="228">
        <v>51</v>
      </c>
      <c r="B299" s="75">
        <v>3</v>
      </c>
      <c r="C299" s="2">
        <v>6081.433</v>
      </c>
      <c r="D299" s="2">
        <v>5837.134</v>
      </c>
      <c r="E299" s="2">
        <v>4973.9409999999998</v>
      </c>
      <c r="F299" s="2">
        <v>3459.2829999999999</v>
      </c>
      <c r="G299" s="2">
        <v>2775.2440000000001</v>
      </c>
      <c r="H299" s="2">
        <v>1887.6220000000001</v>
      </c>
      <c r="I299" s="236">
        <v>1342.02</v>
      </c>
      <c r="J299" s="2"/>
    </row>
    <row r="300" spans="1:19" ht="15.75" customHeight="1">
      <c r="A300" s="228">
        <v>51</v>
      </c>
      <c r="B300" s="75">
        <v>4</v>
      </c>
      <c r="C300" s="2">
        <v>5902.28</v>
      </c>
      <c r="D300" s="2">
        <v>5657.98</v>
      </c>
      <c r="E300" s="2">
        <v>4794.7879999999996</v>
      </c>
      <c r="F300" s="2">
        <v>3296.4169999999999</v>
      </c>
      <c r="G300" s="2">
        <v>2522.8009999999999</v>
      </c>
      <c r="H300" s="2">
        <v>1773.616</v>
      </c>
      <c r="I300" s="236">
        <v>1244.3</v>
      </c>
      <c r="J300" s="2"/>
    </row>
    <row r="301" spans="1:19" ht="15.75" customHeight="1">
      <c r="A301" s="228">
        <v>51</v>
      </c>
      <c r="B301" s="75">
        <v>5</v>
      </c>
      <c r="C301" s="2">
        <v>6089.5770000000002</v>
      </c>
      <c r="D301" s="2">
        <v>5771.9870000000001</v>
      </c>
      <c r="E301" s="2">
        <v>4876.2209999999995</v>
      </c>
      <c r="F301" s="2">
        <v>3565.1469999999999</v>
      </c>
      <c r="G301" s="2">
        <v>2889.2510000000002</v>
      </c>
      <c r="H301" s="2">
        <v>1952.769</v>
      </c>
      <c r="I301" s="236">
        <v>1325.7329999999999</v>
      </c>
      <c r="J301" s="2"/>
    </row>
    <row r="302" spans="1:19" ht="15.75" customHeight="1">
      <c r="A302" s="228">
        <v>51</v>
      </c>
      <c r="B302" s="75">
        <v>6</v>
      </c>
      <c r="C302" s="2">
        <v>6016.2870000000003</v>
      </c>
      <c r="D302" s="2">
        <v>5739.4139999999998</v>
      </c>
      <c r="E302" s="2">
        <v>4436.482</v>
      </c>
      <c r="F302" s="2">
        <v>3060.261</v>
      </c>
      <c r="G302" s="2">
        <v>2522.8009999999999</v>
      </c>
      <c r="H302" s="2">
        <v>1757.329</v>
      </c>
      <c r="I302" s="236">
        <v>1154.723</v>
      </c>
      <c r="J302" s="2"/>
    </row>
    <row r="303" spans="1:19" ht="15.75" customHeight="1">
      <c r="A303" s="230">
        <v>51</v>
      </c>
      <c r="B303" s="231">
        <v>7</v>
      </c>
      <c r="C303" s="34">
        <v>5723.1270000000004</v>
      </c>
      <c r="D303" s="34">
        <v>5478.8270000000002</v>
      </c>
      <c r="E303" s="34">
        <v>4697.0680000000002</v>
      </c>
      <c r="F303" s="34">
        <v>3141.694</v>
      </c>
      <c r="G303" s="34">
        <v>2408.7950000000001</v>
      </c>
      <c r="H303" s="34">
        <v>1578.4559999999999</v>
      </c>
      <c r="I303" s="237">
        <v>1138.4359999999999</v>
      </c>
      <c r="J303" s="2"/>
    </row>
    <row r="304" spans="1:19" ht="15.75" customHeight="1">
      <c r="A304" s="233">
        <v>52</v>
      </c>
      <c r="B304" s="201">
        <v>1</v>
      </c>
    </row>
    <row r="305" spans="1:11" ht="15.75" customHeight="1">
      <c r="A305" s="233">
        <v>52</v>
      </c>
      <c r="B305" s="201">
        <v>2</v>
      </c>
    </row>
    <row r="306" spans="1:11" ht="15.75" customHeight="1">
      <c r="A306" s="233">
        <v>52</v>
      </c>
      <c r="B306" s="201">
        <v>3</v>
      </c>
    </row>
    <row r="307" spans="1:11" ht="15.75" customHeight="1">
      <c r="A307" s="241">
        <v>52</v>
      </c>
      <c r="B307" s="202">
        <v>4</v>
      </c>
    </row>
    <row r="308" spans="1:11" ht="15.75" customHeight="1">
      <c r="A308" s="233">
        <v>53</v>
      </c>
      <c r="B308" s="201">
        <v>1</v>
      </c>
    </row>
    <row r="309" spans="1:11" ht="15.75" customHeight="1">
      <c r="A309" s="233">
        <v>53</v>
      </c>
      <c r="B309" s="201">
        <v>2</v>
      </c>
    </row>
    <row r="310" spans="1:11" ht="15.75" customHeight="1">
      <c r="A310" s="233">
        <v>53</v>
      </c>
      <c r="B310" s="201">
        <v>3</v>
      </c>
    </row>
    <row r="311" spans="1:11" ht="15.75" customHeight="1">
      <c r="A311" s="233">
        <v>53</v>
      </c>
      <c r="B311" s="201">
        <v>4</v>
      </c>
    </row>
    <row r="312" spans="1:11" ht="15.75" customHeight="1">
      <c r="A312" s="233">
        <v>53</v>
      </c>
      <c r="B312" s="201">
        <v>5</v>
      </c>
    </row>
    <row r="313" spans="1:11" ht="15.75" customHeight="1">
      <c r="A313" s="229">
        <v>54</v>
      </c>
      <c r="B313" s="200">
        <v>1</v>
      </c>
      <c r="C313" s="234">
        <v>355.04300000000001</v>
      </c>
      <c r="D313" s="234">
        <v>335.15899999999999</v>
      </c>
      <c r="E313" s="234">
        <v>297.11799999999999</v>
      </c>
      <c r="F313" s="234">
        <v>276.36900000000003</v>
      </c>
      <c r="G313" s="234">
        <v>210.66300000000001</v>
      </c>
      <c r="H313" s="234">
        <v>142.363</v>
      </c>
      <c r="I313" s="234">
        <v>108.646</v>
      </c>
      <c r="J313" s="235">
        <v>87.031999999999996</v>
      </c>
      <c r="K313" s="2"/>
    </row>
    <row r="314" spans="1:11" ht="15.75" customHeight="1">
      <c r="A314" s="228">
        <v>54</v>
      </c>
      <c r="B314" s="201">
        <v>2</v>
      </c>
      <c r="C314" s="2">
        <v>662.82399999999996</v>
      </c>
      <c r="D314" s="2">
        <v>632.56500000000005</v>
      </c>
      <c r="E314" s="2">
        <v>559.07799999999997</v>
      </c>
      <c r="F314" s="2">
        <v>389.625</v>
      </c>
      <c r="G314" s="2">
        <v>302.30500000000001</v>
      </c>
      <c r="H314" s="2">
        <v>248.703</v>
      </c>
      <c r="I314" s="2">
        <v>198.559</v>
      </c>
      <c r="J314" s="236">
        <v>150.14400000000001</v>
      </c>
      <c r="K314" s="2"/>
    </row>
    <row r="315" spans="1:11" ht="15.75" customHeight="1">
      <c r="A315" s="228">
        <v>54</v>
      </c>
      <c r="B315" s="201">
        <v>3</v>
      </c>
      <c r="C315" s="2">
        <v>523.63099999999997</v>
      </c>
      <c r="D315" s="2">
        <v>495.101</v>
      </c>
      <c r="E315" s="2">
        <v>418.15600000000001</v>
      </c>
      <c r="F315" s="2">
        <v>340.346</v>
      </c>
      <c r="G315" s="2">
        <v>265.99400000000003</v>
      </c>
      <c r="H315" s="2">
        <v>208.06899999999999</v>
      </c>
      <c r="I315" s="2">
        <v>168.3</v>
      </c>
      <c r="J315" s="236">
        <v>141.499</v>
      </c>
      <c r="K315" s="2"/>
    </row>
    <row r="316" spans="1:11" ht="15.75" customHeight="1">
      <c r="A316" s="230">
        <v>54</v>
      </c>
      <c r="B316" s="202">
        <v>4</v>
      </c>
      <c r="C316" s="34">
        <v>292.79500000000002</v>
      </c>
      <c r="D316" s="34">
        <v>284.14999999999998</v>
      </c>
      <c r="E316" s="34">
        <v>260.80700000000002</v>
      </c>
      <c r="F316" s="34">
        <v>256.48399999999998</v>
      </c>
      <c r="G316" s="34">
        <v>164.84100000000001</v>
      </c>
      <c r="H316" s="34">
        <v>109.51</v>
      </c>
      <c r="I316" s="34">
        <v>87.896000000000001</v>
      </c>
      <c r="J316" s="237">
        <v>76.656999999999996</v>
      </c>
      <c r="K316" s="2"/>
    </row>
    <row r="317" spans="1:11" ht="15.75" customHeight="1">
      <c r="A317" s="228">
        <v>55</v>
      </c>
      <c r="B317" s="201" t="s">
        <v>221</v>
      </c>
    </row>
    <row r="318" spans="1:11" ht="15.75" customHeight="1">
      <c r="A318" s="228">
        <v>55</v>
      </c>
      <c r="B318" s="201" t="s">
        <v>222</v>
      </c>
    </row>
    <row r="319" spans="1:11" ht="15.75" customHeight="1">
      <c r="A319" s="228">
        <v>55</v>
      </c>
      <c r="B319" s="201" t="s">
        <v>223</v>
      </c>
    </row>
    <row r="320" spans="1:11" ht="15.75" customHeight="1">
      <c r="A320" s="228">
        <v>55</v>
      </c>
      <c r="B320" s="201" t="s">
        <v>225</v>
      </c>
    </row>
    <row r="321" spans="1:19" ht="15.75" customHeight="1">
      <c r="A321" s="228">
        <v>55</v>
      </c>
      <c r="B321" s="201" t="s">
        <v>226</v>
      </c>
    </row>
    <row r="322" spans="1:19" ht="15.75" customHeight="1">
      <c r="A322" s="228">
        <v>55</v>
      </c>
      <c r="B322" s="201" t="s">
        <v>227</v>
      </c>
    </row>
    <row r="323" spans="1:19" ht="15.75" customHeight="1">
      <c r="A323" s="228">
        <v>55</v>
      </c>
      <c r="B323" s="201" t="s">
        <v>231</v>
      </c>
    </row>
    <row r="324" spans="1:19" ht="15.75" customHeight="1">
      <c r="A324" s="228">
        <v>55</v>
      </c>
      <c r="B324" s="201" t="s">
        <v>232</v>
      </c>
    </row>
    <row r="325" spans="1:19" ht="15.75" customHeight="1">
      <c r="A325" s="228">
        <v>55</v>
      </c>
      <c r="B325" s="201" t="s">
        <v>233</v>
      </c>
    </row>
    <row r="326" spans="1:19" ht="15.75" customHeight="1">
      <c r="A326" s="199">
        <v>56</v>
      </c>
      <c r="B326" s="200" t="s">
        <v>221</v>
      </c>
      <c r="C326" s="234">
        <v>895279196.13399994</v>
      </c>
      <c r="D326" s="234">
        <v>929148434.91199994</v>
      </c>
      <c r="E326" s="234">
        <v>774315798.45200002</v>
      </c>
      <c r="F326" s="234">
        <v>654056643.97599995</v>
      </c>
      <c r="G326" s="234">
        <v>579211765.89300001</v>
      </c>
      <c r="H326" s="234">
        <v>539573008.81299996</v>
      </c>
      <c r="I326" s="234">
        <v>490908635.60100001</v>
      </c>
      <c r="J326" s="234">
        <v>428902388.64200002</v>
      </c>
      <c r="K326" s="234">
        <v>375995210.76700002</v>
      </c>
      <c r="L326" s="234">
        <v>331847287.21100003</v>
      </c>
      <c r="M326" s="234">
        <v>293873405.31199998</v>
      </c>
      <c r="N326" s="234">
        <v>265569765.59799999</v>
      </c>
      <c r="O326" s="234">
        <v>244077221.56999999</v>
      </c>
      <c r="P326" s="234">
        <v>221315408.13800001</v>
      </c>
      <c r="Q326" s="235">
        <v>204092162.19299999</v>
      </c>
      <c r="R326" s="2"/>
    </row>
    <row r="327" spans="1:19" ht="15.75" customHeight="1">
      <c r="A327" s="196">
        <v>56</v>
      </c>
      <c r="B327" s="201" t="s">
        <v>225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34"/>
      <c r="N327" s="34"/>
      <c r="O327" s="34"/>
      <c r="P327" s="34"/>
      <c r="Q327" s="237"/>
      <c r="R327" s="2"/>
    </row>
    <row r="328" spans="1:19" ht="15.75" customHeight="1">
      <c r="A328" s="199">
        <v>57</v>
      </c>
      <c r="B328" s="200">
        <v>1</v>
      </c>
      <c r="C328" s="234">
        <v>928105386.37800002</v>
      </c>
      <c r="D328" s="234">
        <v>903340775.10399997</v>
      </c>
      <c r="E328" s="234">
        <v>852888081.50899994</v>
      </c>
      <c r="F328" s="234">
        <v>783766682.38</v>
      </c>
      <c r="G328" s="234">
        <v>691612814.23800004</v>
      </c>
      <c r="H328" s="234">
        <v>578159819.69200003</v>
      </c>
      <c r="I328" s="234">
        <v>470421434.57099998</v>
      </c>
      <c r="J328" s="234">
        <v>354125719.44300002</v>
      </c>
      <c r="K328" s="234">
        <v>281396827.09100002</v>
      </c>
      <c r="L328" s="235">
        <v>224361912.04800001</v>
      </c>
      <c r="M328" s="2"/>
      <c r="N328" s="2"/>
      <c r="O328" s="2"/>
      <c r="P328" s="2"/>
      <c r="Q328" s="2"/>
    </row>
    <row r="329" spans="1:19" ht="15.75" customHeight="1">
      <c r="A329" s="196">
        <v>57</v>
      </c>
      <c r="B329" s="201">
        <v>2</v>
      </c>
      <c r="C329" s="2">
        <v>818980434.62699997</v>
      </c>
      <c r="D329" s="2">
        <v>773239369.829</v>
      </c>
      <c r="E329" s="2">
        <v>708174852.30799997</v>
      </c>
      <c r="F329" s="2">
        <v>578159819.69200003</v>
      </c>
      <c r="G329" s="2">
        <v>453248935.73400003</v>
      </c>
      <c r="H329" s="2">
        <v>354125719.44300002</v>
      </c>
      <c r="I329" s="2">
        <v>288135431.21600002</v>
      </c>
      <c r="J329" s="2">
        <v>240869349.91499999</v>
      </c>
      <c r="K329" s="2">
        <v>208985774.22099999</v>
      </c>
      <c r="L329" s="236">
        <v>190110825.248</v>
      </c>
      <c r="M329" s="2"/>
    </row>
    <row r="330" spans="1:19" ht="15.75" customHeight="1">
      <c r="A330" s="229">
        <v>58</v>
      </c>
      <c r="B330" s="74">
        <v>1</v>
      </c>
      <c r="C330" s="234">
        <f>Storage_modulus_G!C330/10000000</f>
        <v>2.6465518999999999E-3</v>
      </c>
      <c r="D330" s="234">
        <f>Storage_modulus_G!D330/10000000</f>
        <v>3.0828637999999998E-3</v>
      </c>
      <c r="E330" s="234">
        <f>Storage_modulus_G!E330/10000000</f>
        <v>3.9756751999999998E-3</v>
      </c>
      <c r="F330" s="234">
        <f>Storage_modulus_G!F330/10000000</f>
        <v>4.9560982999999996E-3</v>
      </c>
      <c r="G330" s="234">
        <f>Storage_modulus_G!G330/10000000</f>
        <v>6.2839495999999998E-3</v>
      </c>
      <c r="H330" s="234">
        <f>Storage_modulus_G!H330/10000000</f>
        <v>8.3833343999999994E-3</v>
      </c>
      <c r="I330" s="234">
        <f>Storage_modulus_G!I330/10000000</f>
        <v>1.0996060300000001E-2</v>
      </c>
      <c r="J330" s="234">
        <f>Storage_modulus_G!J330/10000000</f>
        <v>1.4669699200000001E-2</v>
      </c>
      <c r="K330" s="234">
        <f>Storage_modulus_G!K330/10000000</f>
        <v>1.9570652299999998E-2</v>
      </c>
      <c r="L330" s="234">
        <f>Storage_modulus_G!L330/10000000</f>
        <v>2.5669985699999998E-2</v>
      </c>
      <c r="M330" s="235">
        <f>Storage_modulus_G!M330/10000000</f>
        <v>3.2547558000000004E-2</v>
      </c>
      <c r="N330" s="2"/>
    </row>
    <row r="331" spans="1:19" ht="15.75" customHeight="1">
      <c r="A331" s="228">
        <v>58</v>
      </c>
      <c r="B331" s="75">
        <v>2</v>
      </c>
      <c r="C331" s="2">
        <f>Storage_modulus_G!C331/10000000</f>
        <v>1.3661342E-3</v>
      </c>
      <c r="D331" s="2">
        <f>Storage_modulus_G!D331/10000000</f>
        <v>1.7918997E-3</v>
      </c>
      <c r="E331" s="2">
        <f>Storage_modulus_G!E331/10000000</f>
        <v>2.4314288000000001E-3</v>
      </c>
      <c r="F331" s="2">
        <f>Storage_modulus_G!F331/10000000</f>
        <v>3.3556233E-3</v>
      </c>
      <c r="G331" s="2">
        <f>Storage_modulus_G!G331/10000000</f>
        <v>4.1831381999999995E-3</v>
      </c>
      <c r="H331" s="2">
        <f>Storage_modulus_G!H331/10000000</f>
        <v>5.4868429999999999E-3</v>
      </c>
      <c r="I331" s="2">
        <f>Storage_modulus_G!I331/10000000</f>
        <v>6.8399283E-3</v>
      </c>
      <c r="J331" s="2">
        <f>Storage_modulus_G!J331/10000000</f>
        <v>9.1250580999999997E-3</v>
      </c>
      <c r="K331" s="2">
        <f>Storage_modulus_G!K331/10000000</f>
        <v>1.15698685E-2</v>
      </c>
      <c r="L331" s="2">
        <f>Storage_modulus_G!L331/10000000</f>
        <v>1.51757005E-2</v>
      </c>
      <c r="M331" s="236">
        <f>Storage_modulus_G!M331/10000000</f>
        <v>1.8918110699999997E-2</v>
      </c>
      <c r="N331" s="2"/>
    </row>
    <row r="332" spans="1:19" ht="15.75" customHeight="1">
      <c r="A332" s="228">
        <v>58</v>
      </c>
      <c r="B332" s="75">
        <v>3</v>
      </c>
      <c r="C332" s="2">
        <f>Storage_modulus_G!C332/10000000</f>
        <v>2.1086600000000002E-5</v>
      </c>
      <c r="D332" s="2">
        <f>Storage_modulus_G!D332/10000000</f>
        <v>2.62866E-5</v>
      </c>
      <c r="E332" s="2">
        <f>Storage_modulus_G!E332/10000000</f>
        <v>3.6278300000000001E-5</v>
      </c>
      <c r="F332" s="2">
        <f>Storage_modulus_G!F332/10000000</f>
        <v>4.9225999999999999E-5</v>
      </c>
      <c r="G332" s="2">
        <f>Storage_modulus_G!G332/10000000</f>
        <v>6.9098700000000003E-5</v>
      </c>
      <c r="H332" s="2">
        <f>Storage_modulus_G!H332/10000000</f>
        <v>1.3615090000000001E-4</v>
      </c>
      <c r="I332" s="2">
        <f>Storage_modulus_G!I332/10000000</f>
        <v>2.0108849999999999E-4</v>
      </c>
      <c r="J332" s="2">
        <f>Storage_modulus_G!J332/10000000</f>
        <v>3.4014510000000001E-4</v>
      </c>
      <c r="K332" s="2">
        <f>Storage_modulus_G!K332/10000000</f>
        <v>5.4682679999999999E-4</v>
      </c>
      <c r="L332" s="2">
        <f>Storage_modulus_G!L332/10000000</f>
        <v>9.4078510000000001E-4</v>
      </c>
      <c r="M332" s="236">
        <f>Storage_modulus_G!M332/10000000</f>
        <v>1.4870043E-3</v>
      </c>
      <c r="N332" s="2"/>
    </row>
    <row r="333" spans="1:19" ht="15.75" customHeight="1">
      <c r="A333" s="228">
        <v>58</v>
      </c>
      <c r="B333" s="75">
        <v>4</v>
      </c>
      <c r="C333" s="2">
        <f>Storage_modulus_G!C333/10000000</f>
        <v>3.3899400000000003E-5</v>
      </c>
      <c r="D333" s="2">
        <f>Storage_modulus_G!D333/10000000</f>
        <v>3.8171399999999998E-5</v>
      </c>
      <c r="E333" s="2">
        <f>Storage_modulus_G!E333/10000000</f>
        <v>4.7584599999999998E-5</v>
      </c>
      <c r="F333" s="2">
        <f>Storage_modulus_G!F333/10000000</f>
        <v>6.1365399999999994E-5</v>
      </c>
      <c r="G333" s="2">
        <f>Storage_modulus_G!G333/10000000</f>
        <v>8.18667E-5</v>
      </c>
      <c r="H333" s="2">
        <f>Storage_modulus_G!H333/10000000</f>
        <v>1.0380070000000001E-4</v>
      </c>
      <c r="I333" s="2">
        <f>Storage_modulus_G!I333/10000000</f>
        <v>1.5330880000000001E-4</v>
      </c>
      <c r="J333" s="2">
        <f>Storage_modulus_G!J333/10000000</f>
        <v>2.3030189999999998E-4</v>
      </c>
      <c r="K333" s="2">
        <f>Storage_modulus_G!K333/10000000</f>
        <v>3.4596170000000001E-4</v>
      </c>
      <c r="L333" s="2">
        <f>Storage_modulus_G!L333/10000000</f>
        <v>5.1096919999999997E-4</v>
      </c>
      <c r="M333" s="236">
        <f>Storage_modulus_G!M333/10000000</f>
        <v>7.9405890000000003E-4</v>
      </c>
      <c r="N333" s="2"/>
    </row>
    <row r="334" spans="1:19" ht="15.75" customHeight="1">
      <c r="A334" s="230">
        <v>58</v>
      </c>
      <c r="B334" s="231">
        <v>5</v>
      </c>
      <c r="C334" s="34">
        <f>Storage_modulus_G!C334/10000000</f>
        <v>1.2896000000000002E-5</v>
      </c>
      <c r="D334" s="34">
        <f>Storage_modulus_G!D334/10000000</f>
        <v>1.3800999999999999E-5</v>
      </c>
      <c r="E334" s="34">
        <f>Storage_modulus_G!E334/10000000</f>
        <v>1.5279000000000001E-5</v>
      </c>
      <c r="F334" s="34">
        <f>Storage_modulus_G!F334/10000000</f>
        <v>1.9372600000000002E-5</v>
      </c>
      <c r="G334" s="34">
        <f>Storage_modulus_G!G334/10000000</f>
        <v>1.8726599999999998E-5</v>
      </c>
      <c r="H334" s="34">
        <f>Storage_modulus_G!H334/10000000</f>
        <v>2.67361E-5</v>
      </c>
      <c r="I334" s="34">
        <f>Storage_modulus_G!I334/10000000</f>
        <v>2.8612400000000001E-5</v>
      </c>
      <c r="J334" s="34">
        <f>Storage_modulus_G!J334/10000000</f>
        <v>3.5068599999999998E-5</v>
      </c>
      <c r="K334" s="34">
        <f>Storage_modulus_G!K334/10000000</f>
        <v>4.6784599999999999E-5</v>
      </c>
      <c r="L334" s="34">
        <f>Storage_modulus_G!L334/10000000</f>
        <v>5.73414E-5</v>
      </c>
      <c r="M334" s="237">
        <f>Storage_modulus_G!M334/10000000</f>
        <v>8.18667E-5</v>
      </c>
      <c r="N334" s="2"/>
    </row>
    <row r="335" spans="1:19" ht="15.75" customHeight="1">
      <c r="A335" s="229">
        <v>59</v>
      </c>
      <c r="B335" s="74">
        <v>1</v>
      </c>
      <c r="C335" s="234">
        <v>6256.3739999999998</v>
      </c>
      <c r="D335" s="234">
        <v>5889.518</v>
      </c>
      <c r="E335" s="234">
        <v>5433.4279999999999</v>
      </c>
      <c r="F335" s="234">
        <v>4808.7820000000002</v>
      </c>
      <c r="G335" s="234">
        <v>4174.2209999999995</v>
      </c>
      <c r="H335" s="234">
        <v>3618.98</v>
      </c>
      <c r="I335" s="234">
        <v>3133.1439999999998</v>
      </c>
      <c r="J335" s="234">
        <v>2736.5439999999999</v>
      </c>
      <c r="K335" s="234">
        <v>2439.0929999999998</v>
      </c>
      <c r="L335" s="234">
        <v>2191.2179999999998</v>
      </c>
      <c r="M335" s="234">
        <v>1883.8530000000001</v>
      </c>
      <c r="N335" s="234">
        <v>1507.0820000000001</v>
      </c>
      <c r="O335" s="234">
        <v>1279.037</v>
      </c>
      <c r="P335" s="234">
        <v>1100.567</v>
      </c>
      <c r="Q335" s="234">
        <v>961.75599999999997</v>
      </c>
      <c r="R335" s="234">
        <v>832.86099999999999</v>
      </c>
      <c r="S335" s="235">
        <v>713.88099999999997</v>
      </c>
    </row>
    <row r="336" spans="1:19" ht="15.75" customHeight="1">
      <c r="A336" s="228">
        <v>59</v>
      </c>
      <c r="B336" s="75">
        <v>2</v>
      </c>
      <c r="C336" s="2">
        <v>6603.3990000000003</v>
      </c>
      <c r="D336" s="2">
        <v>6266.2889999999998</v>
      </c>
      <c r="E336" s="2">
        <v>5790.3680000000004</v>
      </c>
      <c r="F336" s="2">
        <v>5235.1270000000004</v>
      </c>
      <c r="G336" s="2">
        <v>4541.076</v>
      </c>
      <c r="H336" s="2">
        <v>3946.1759999999999</v>
      </c>
      <c r="I336" s="2">
        <v>3420.68</v>
      </c>
      <c r="J336" s="2">
        <v>2984.4189999999999</v>
      </c>
      <c r="K336" s="2">
        <v>2667.1390000000001</v>
      </c>
      <c r="L336" s="2">
        <v>2379.6030000000001</v>
      </c>
      <c r="M336" s="2">
        <v>2082.1529999999998</v>
      </c>
      <c r="N336" s="2">
        <v>1665.722</v>
      </c>
      <c r="O336" s="2">
        <v>1437.6769999999999</v>
      </c>
      <c r="P336" s="2">
        <v>1259.2070000000001</v>
      </c>
      <c r="Q336" s="2">
        <v>1090.652</v>
      </c>
      <c r="R336" s="2">
        <v>932.01099999999997</v>
      </c>
      <c r="S336" s="236">
        <v>753.54100000000005</v>
      </c>
    </row>
    <row r="337" spans="1:19" ht="15.75" customHeight="1">
      <c r="A337" s="228">
        <v>59</v>
      </c>
      <c r="B337" s="75">
        <v>3</v>
      </c>
      <c r="C337" s="2">
        <v>5611.8980000000001</v>
      </c>
      <c r="D337" s="2">
        <v>5145.8919999999998</v>
      </c>
      <c r="E337" s="2">
        <v>4610.482</v>
      </c>
      <c r="F337" s="2">
        <v>4104.8159999999998</v>
      </c>
      <c r="G337" s="2">
        <v>3609.0650000000001</v>
      </c>
      <c r="H337" s="2">
        <v>3143.0590000000002</v>
      </c>
      <c r="I337" s="2">
        <v>2686.9690000000001</v>
      </c>
      <c r="J337" s="2">
        <v>2330.0279999999998</v>
      </c>
      <c r="K337" s="2">
        <v>2042.4929999999999</v>
      </c>
      <c r="L337" s="2">
        <v>1794.6179999999999</v>
      </c>
      <c r="M337" s="2">
        <v>1546.742</v>
      </c>
      <c r="N337" s="2">
        <v>1259.2070000000001</v>
      </c>
      <c r="O337" s="2">
        <v>1120.3969999999999</v>
      </c>
      <c r="P337" s="2">
        <v>991.50099999999998</v>
      </c>
      <c r="Q337" s="2">
        <v>852.69100000000003</v>
      </c>
      <c r="R337" s="2">
        <v>723.79600000000005</v>
      </c>
      <c r="S337" s="236">
        <v>634.56100000000004</v>
      </c>
    </row>
    <row r="338" spans="1:19" ht="15.75" customHeight="1">
      <c r="A338" s="228">
        <v>59</v>
      </c>
      <c r="B338" s="75">
        <v>4</v>
      </c>
      <c r="C338" s="2">
        <v>5175.6369999999997</v>
      </c>
      <c r="D338" s="2">
        <v>4600.567</v>
      </c>
      <c r="E338" s="2">
        <v>3926.346</v>
      </c>
      <c r="F338" s="2">
        <v>3420.68</v>
      </c>
      <c r="G338" s="2">
        <v>2984.4189999999999</v>
      </c>
      <c r="H338" s="2">
        <v>2577.904</v>
      </c>
      <c r="I338" s="2">
        <v>2230.8780000000002</v>
      </c>
      <c r="J338" s="2">
        <v>1923.5129999999999</v>
      </c>
      <c r="K338" s="2">
        <v>1645.8920000000001</v>
      </c>
      <c r="L338" s="2">
        <v>1447.5920000000001</v>
      </c>
      <c r="M338" s="2">
        <v>1199.7170000000001</v>
      </c>
      <c r="N338" s="2">
        <v>961.75599999999997</v>
      </c>
      <c r="O338" s="2">
        <v>793.20100000000002</v>
      </c>
      <c r="P338" s="2">
        <v>694.05100000000004</v>
      </c>
      <c r="Q338" s="2">
        <v>624.64599999999996</v>
      </c>
      <c r="R338" s="2">
        <v>545.32600000000002</v>
      </c>
      <c r="S338" s="236">
        <v>456.09100000000001</v>
      </c>
    </row>
    <row r="339" spans="1:19" ht="15.75" customHeight="1">
      <c r="A339" s="228">
        <v>59</v>
      </c>
      <c r="B339" s="75">
        <v>5</v>
      </c>
      <c r="C339" s="2">
        <v>4630.3119999999999</v>
      </c>
      <c r="D339" s="2">
        <v>4342.7759999999998</v>
      </c>
      <c r="E339" s="2">
        <v>4055.241</v>
      </c>
      <c r="F339" s="2">
        <v>3668.5549999999998</v>
      </c>
      <c r="G339" s="2">
        <v>3172.8049999999998</v>
      </c>
      <c r="H339" s="2">
        <v>2667.1390000000001</v>
      </c>
      <c r="I339" s="2">
        <v>2201.1329999999998</v>
      </c>
      <c r="J339" s="2">
        <v>1745.0419999999999</v>
      </c>
      <c r="K339" s="2">
        <v>1477.337</v>
      </c>
      <c r="L339" s="2">
        <v>1259.2070000000001</v>
      </c>
      <c r="M339" s="2">
        <v>1050.992</v>
      </c>
      <c r="N339" s="2">
        <v>793.20100000000002</v>
      </c>
      <c r="O339" s="2">
        <v>644.476</v>
      </c>
      <c r="P339" s="2">
        <v>555.24099999999999</v>
      </c>
      <c r="Q339" s="2">
        <v>495.75099999999998</v>
      </c>
      <c r="R339" s="2">
        <v>446.17599999999999</v>
      </c>
      <c r="S339" s="236">
        <v>376.77100000000002</v>
      </c>
    </row>
    <row r="340" spans="1:19" ht="15.75" customHeight="1">
      <c r="A340" s="228">
        <v>59</v>
      </c>
      <c r="B340" s="75">
        <v>6</v>
      </c>
      <c r="C340" s="2">
        <v>5046.7420000000002</v>
      </c>
      <c r="D340" s="2">
        <v>4590.652</v>
      </c>
      <c r="E340" s="2">
        <v>4233.7110000000002</v>
      </c>
      <c r="F340" s="2">
        <v>3807.3649999999998</v>
      </c>
      <c r="G340" s="2">
        <v>3281.87</v>
      </c>
      <c r="H340" s="2">
        <v>2558.0740000000001</v>
      </c>
      <c r="I340" s="2">
        <v>2111.8980000000001</v>
      </c>
      <c r="J340" s="2">
        <v>1695.4670000000001</v>
      </c>
      <c r="K340" s="2">
        <v>1388.1020000000001</v>
      </c>
      <c r="L340" s="2">
        <v>1120.3969999999999</v>
      </c>
      <c r="M340" s="2">
        <v>912.18100000000004</v>
      </c>
      <c r="N340" s="34">
        <v>654.39099999999996</v>
      </c>
      <c r="O340" s="34">
        <v>466.00599999999997</v>
      </c>
      <c r="P340" s="34">
        <v>406.51600000000002</v>
      </c>
      <c r="Q340" s="34">
        <v>366.85599999999999</v>
      </c>
      <c r="R340" s="34">
        <v>327.19499999999999</v>
      </c>
      <c r="S340" s="237">
        <v>277.62</v>
      </c>
    </row>
    <row r="341" spans="1:19" ht="15.75" customHeight="1">
      <c r="A341" s="229">
        <v>60</v>
      </c>
      <c r="B341" s="74">
        <v>1</v>
      </c>
      <c r="C341" s="306">
        <v>20090928126.087399</v>
      </c>
      <c r="D341" s="306">
        <v>19364219639.46611</v>
      </c>
      <c r="E341" s="306">
        <v>18030177408.595783</v>
      </c>
      <c r="F341" s="306">
        <v>16180800376.430729</v>
      </c>
      <c r="G341" s="306">
        <v>14521116175.877472</v>
      </c>
      <c r="H341" s="306">
        <v>12560299636.948816</v>
      </c>
      <c r="I341" s="306">
        <v>9397233105.6464005</v>
      </c>
      <c r="J341" s="306">
        <v>7568328950.2097473</v>
      </c>
      <c r="K341" s="306">
        <v>4560369159.5129728</v>
      </c>
      <c r="L341" s="306">
        <v>2382319469.3586988</v>
      </c>
      <c r="M341" s="389">
        <v>303389118.4194265</v>
      </c>
      <c r="N341" s="2"/>
    </row>
    <row r="342" spans="1:19" ht="15.75" customHeight="1">
      <c r="A342" s="228">
        <v>60</v>
      </c>
      <c r="B342" s="75">
        <v>2</v>
      </c>
      <c r="C342" s="96">
        <v>1336595516.5464447</v>
      </c>
      <c r="D342" s="96">
        <v>1241652307.592412</v>
      </c>
      <c r="E342" s="96">
        <v>1156112242.1921031</v>
      </c>
      <c r="F342" s="96">
        <v>1037528415.8180156</v>
      </c>
      <c r="G342" s="96">
        <v>671428852.92595363</v>
      </c>
      <c r="H342" s="96">
        <v>561047976.03247273</v>
      </c>
      <c r="I342" s="96">
        <v>435511873.68557084</v>
      </c>
      <c r="J342" s="96">
        <v>314774831.41013223</v>
      </c>
      <c r="K342" s="96">
        <v>152756605.82380763</v>
      </c>
      <c r="L342" s="96">
        <v>68865229.634427696</v>
      </c>
      <c r="M342" s="390">
        <v>6109420.2490557386</v>
      </c>
      <c r="N342" s="2"/>
    </row>
    <row r="343" spans="1:19" ht="15.75" customHeight="1">
      <c r="A343" s="228">
        <v>60</v>
      </c>
      <c r="B343" s="75">
        <v>3</v>
      </c>
      <c r="C343" s="96">
        <v>92044957.175317541</v>
      </c>
      <c r="D343" s="96">
        <v>95499258.602143735</v>
      </c>
      <c r="E343" s="96">
        <v>92044957.175317541</v>
      </c>
      <c r="F343" s="96">
        <v>71449632.60755147</v>
      </c>
      <c r="G343" s="96">
        <v>57543993.733715899</v>
      </c>
      <c r="H343" s="96">
        <v>59703528.658383928</v>
      </c>
      <c r="I343" s="96">
        <v>47973344.863668986</v>
      </c>
      <c r="J343" s="96">
        <v>38636697.705407038</v>
      </c>
      <c r="K343" s="96">
        <v>27925438.412373483</v>
      </c>
      <c r="L343" s="96">
        <v>13061708.881318459</v>
      </c>
      <c r="M343" s="390">
        <v>1853531.6234148219</v>
      </c>
      <c r="N343" s="2"/>
    </row>
    <row r="344" spans="1:19" ht="15.75" customHeight="1">
      <c r="A344" s="228">
        <v>60</v>
      </c>
      <c r="B344" s="75">
        <v>4</v>
      </c>
      <c r="C344" s="153">
        <v>11297959.146728039</v>
      </c>
      <c r="D344" s="153">
        <v>10914403.364487587</v>
      </c>
      <c r="E344" s="153">
        <v>9440608.7628592383</v>
      </c>
      <c r="F344" s="153">
        <v>6576578.3735542083</v>
      </c>
      <c r="G344" s="153">
        <v>4111497.2110452354</v>
      </c>
      <c r="H344" s="153">
        <v>2660725.0597988246</v>
      </c>
      <c r="I344" s="153">
        <v>1995262.3149688863</v>
      </c>
      <c r="J344" s="153">
        <v>1606941.2530128793</v>
      </c>
      <c r="K344" s="153">
        <v>1158777.3561551275</v>
      </c>
      <c r="L344" s="153">
        <v>751622.89401820616</v>
      </c>
      <c r="M344" s="391">
        <v>74301.913789670391</v>
      </c>
      <c r="N344" s="2"/>
    </row>
    <row r="345" spans="1:19" ht="15.75" customHeight="1">
      <c r="A345" s="228">
        <v>60</v>
      </c>
      <c r="B345" s="75">
        <v>5</v>
      </c>
      <c r="C345" s="96">
        <v>1492794.4095789965</v>
      </c>
      <c r="D345" s="96">
        <v>1492794.4095789965</v>
      </c>
      <c r="E345" s="96">
        <v>1247383.5142429459</v>
      </c>
      <c r="F345" s="96">
        <v>779830.11052325985</v>
      </c>
      <c r="G345" s="96">
        <v>293764.96519615385</v>
      </c>
      <c r="H345" s="96">
        <v>164816.23915255154</v>
      </c>
      <c r="I345" s="96">
        <v>118850.22274370193</v>
      </c>
      <c r="J345" s="96">
        <v>79983.425500703204</v>
      </c>
      <c r="K345" s="96">
        <v>69183.097091893855</v>
      </c>
      <c r="L345" s="96">
        <v>50003.453497698036</v>
      </c>
      <c r="M345" s="390">
        <v>8491.8047503631715</v>
      </c>
      <c r="N345" s="2"/>
    </row>
    <row r="346" spans="1:19" ht="15.75" customHeight="1">
      <c r="A346" s="228">
        <v>60</v>
      </c>
      <c r="B346" s="75">
        <v>6</v>
      </c>
      <c r="C346" s="96">
        <v>137404.19750125185</v>
      </c>
      <c r="D346" s="96">
        <v>114815.36214968879</v>
      </c>
      <c r="E346" s="96">
        <v>103038.61204416197</v>
      </c>
      <c r="F346" s="96">
        <v>40179.081084894038</v>
      </c>
      <c r="G346" s="96">
        <v>1610.6456351782742</v>
      </c>
      <c r="H346" s="96">
        <v>781.62780458833163</v>
      </c>
      <c r="I346" s="96">
        <v>153.81546403030367</v>
      </c>
      <c r="J346" s="2"/>
      <c r="K346" s="2"/>
      <c r="L346" s="2"/>
      <c r="M346" s="236"/>
      <c r="N346" s="2"/>
    </row>
    <row r="347" spans="1:19" ht="15.75" customHeight="1">
      <c r="A347" s="228">
        <v>60</v>
      </c>
      <c r="B347" s="75">
        <v>7</v>
      </c>
      <c r="C347" s="96">
        <v>27989.813196343654</v>
      </c>
      <c r="D347" s="96">
        <v>24266.100950824162</v>
      </c>
      <c r="E347" s="96">
        <v>22542.392121524354</v>
      </c>
      <c r="F347" s="96">
        <v>4275.6288615158664</v>
      </c>
      <c r="G347" s="96">
        <v>506.99070827470541</v>
      </c>
      <c r="H347" s="96">
        <v>316.95674630434951</v>
      </c>
      <c r="I347" s="96">
        <v>26.181830082189915</v>
      </c>
      <c r="J347" s="2"/>
      <c r="K347" s="2"/>
      <c r="L347" s="2"/>
      <c r="M347" s="236"/>
      <c r="N347" s="2"/>
    </row>
    <row r="348" spans="1:19" ht="15.75" customHeight="1">
      <c r="A348" s="230">
        <v>60</v>
      </c>
      <c r="B348" s="231">
        <v>8</v>
      </c>
      <c r="C348" s="103">
        <v>2398.8329190194968</v>
      </c>
      <c r="D348" s="103">
        <v>2152.7817347243767</v>
      </c>
      <c r="E348" s="103">
        <v>1862.087136662868</v>
      </c>
      <c r="F348" s="103">
        <v>438.53069777498598</v>
      </c>
      <c r="G348" s="103">
        <v>37.583740428844507</v>
      </c>
      <c r="H348" s="103">
        <v>18.23895702319642</v>
      </c>
      <c r="I348" s="103">
        <v>1.5031419660900238</v>
      </c>
      <c r="J348" s="34"/>
      <c r="K348" s="34"/>
      <c r="L348" s="34"/>
      <c r="M348" s="237"/>
      <c r="N348" s="2"/>
    </row>
    <row r="349" spans="1:19" ht="15.75" customHeight="1">
      <c r="A349" s="124">
        <v>61</v>
      </c>
      <c r="B349" s="281">
        <v>1</v>
      </c>
      <c r="C349" s="127">
        <v>16503.866000000002</v>
      </c>
      <c r="D349" s="127">
        <v>15675.846</v>
      </c>
      <c r="E349" s="127">
        <v>12758.87</v>
      </c>
      <c r="F349" s="127">
        <v>5051.5860000000002</v>
      </c>
      <c r="G349" s="127">
        <v>1116.066</v>
      </c>
      <c r="H349" s="127">
        <v>506.89499999999998</v>
      </c>
      <c r="I349" s="127">
        <v>80.834999999999994</v>
      </c>
      <c r="J349" s="127">
        <v>2.6589999999999998</v>
      </c>
      <c r="K349" s="127">
        <v>1.9530000000000001</v>
      </c>
      <c r="L349" s="127">
        <v>1.409</v>
      </c>
      <c r="M349" s="154">
        <v>1.1279999999999999</v>
      </c>
    </row>
    <row r="350" spans="1:19" ht="15.75" customHeight="1"/>
    <row r="351" spans="1:19" ht="15.75" customHeight="1"/>
    <row r="352" spans="1:19" ht="15.75" customHeight="1"/>
    <row r="353" spans="5:10" ht="15.75" customHeight="1"/>
    <row r="354" spans="5:10" ht="15.75" customHeight="1"/>
    <row r="355" spans="5:10" ht="15.75" customHeight="1"/>
    <row r="356" spans="5:10" ht="15.75" customHeight="1">
      <c r="E356" s="475"/>
      <c r="J356" s="475"/>
    </row>
    <row r="357" spans="5:10" ht="15.75" customHeight="1"/>
    <row r="358" spans="5:10" ht="15.75" customHeight="1"/>
    <row r="359" spans="5:10" ht="15.75" customHeight="1"/>
    <row r="360" spans="5:10" ht="15.75" customHeight="1"/>
    <row r="361" spans="5:10" ht="15.75" customHeight="1"/>
    <row r="362" spans="5:10" ht="15.75" customHeight="1"/>
    <row r="363" spans="5:10" ht="15.75" customHeight="1"/>
    <row r="364" spans="5:10" ht="15.75" customHeight="1"/>
    <row r="365" spans="5:10" ht="15.75" customHeight="1"/>
    <row r="366" spans="5:10" ht="15.75" customHeight="1"/>
    <row r="367" spans="5:10" ht="15.75" customHeight="1"/>
    <row r="368" spans="5:10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S350"/>
  <sheetViews>
    <sheetView workbookViewId="0">
      <selection activeCell="O333" sqref="O333"/>
    </sheetView>
  </sheetViews>
  <sheetFormatPr defaultColWidth="12.5546875" defaultRowHeight="15" customHeight="1"/>
  <sheetData>
    <row r="1" spans="1:25" ht="14.4">
      <c r="A1" s="16" t="s">
        <v>219</v>
      </c>
      <c r="B1" s="15" t="s">
        <v>220</v>
      </c>
    </row>
    <row r="2" spans="1:25" ht="14.4">
      <c r="A2" s="380">
        <v>1</v>
      </c>
      <c r="B2" s="295">
        <v>1</v>
      </c>
    </row>
    <row r="3" spans="1:25" ht="14.4">
      <c r="A3" s="380">
        <v>1</v>
      </c>
      <c r="B3" s="295">
        <v>2</v>
      </c>
    </row>
    <row r="4" spans="1:25" ht="14.4">
      <c r="A4" s="381">
        <v>1</v>
      </c>
      <c r="B4" s="295">
        <v>3</v>
      </c>
    </row>
    <row r="5" spans="1:25" ht="14.4">
      <c r="A5" s="381">
        <v>1</v>
      </c>
      <c r="B5" s="295">
        <v>4</v>
      </c>
    </row>
    <row r="6" spans="1:25" ht="14.4">
      <c r="A6" s="381">
        <v>1</v>
      </c>
      <c r="B6" s="295">
        <v>5</v>
      </c>
    </row>
    <row r="7" spans="1:25" ht="14.4">
      <c r="A7" s="199">
        <v>2</v>
      </c>
      <c r="B7" s="200">
        <v>1</v>
      </c>
      <c r="C7" s="404">
        <v>262.82830311377899</v>
      </c>
      <c r="D7" s="404">
        <v>377.614950334892</v>
      </c>
      <c r="E7" s="404">
        <v>554.96078407263701</v>
      </c>
      <c r="F7" s="404">
        <v>779.476952771985</v>
      </c>
      <c r="G7" s="404">
        <v>1094.82388186761</v>
      </c>
      <c r="H7" s="404">
        <v>1469.6472784789401</v>
      </c>
      <c r="I7" s="404">
        <v>1972.79503937762</v>
      </c>
      <c r="J7" s="404">
        <v>2474.2445535888401</v>
      </c>
      <c r="K7" s="404">
        <v>2770.91338680335</v>
      </c>
      <c r="L7" s="404">
        <v>3475.2304314022999</v>
      </c>
      <c r="M7" s="405">
        <v>3475.2304314022999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4.4">
      <c r="A8" s="196">
        <v>2</v>
      </c>
      <c r="B8" s="201">
        <v>2</v>
      </c>
      <c r="C8" s="151">
        <v>35.0156582609117</v>
      </c>
      <c r="D8" s="151">
        <v>49.181670820452403</v>
      </c>
      <c r="E8" s="151">
        <v>67.531779958544206</v>
      </c>
      <c r="F8" s="151">
        <v>90.651928835906403</v>
      </c>
      <c r="G8" s="151">
        <v>136.278150061747</v>
      </c>
      <c r="H8" s="151">
        <v>209.56148891540099</v>
      </c>
      <c r="I8" s="151">
        <v>301.08458750973301</v>
      </c>
      <c r="J8" s="151">
        <v>432.57914087688999</v>
      </c>
      <c r="K8" s="151">
        <v>680.43537700758895</v>
      </c>
      <c r="L8" s="151">
        <v>1000</v>
      </c>
      <c r="M8" s="384">
        <v>1469.6472784789401</v>
      </c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4.4">
      <c r="A9" s="196">
        <v>2</v>
      </c>
      <c r="B9" s="201">
        <v>3</v>
      </c>
      <c r="C9" s="151">
        <v>1145.55618227841</v>
      </c>
      <c r="D9" s="151">
        <v>1469.6472784789401</v>
      </c>
      <c r="E9" s="151">
        <v>2209.3386751530702</v>
      </c>
      <c r="F9" s="151">
        <v>2965.7268396796098</v>
      </c>
      <c r="G9" s="151">
        <v>4358.5723786471199</v>
      </c>
      <c r="H9" s="151">
        <v>6262.1189300962196</v>
      </c>
      <c r="I9" s="151">
        <v>8598.5699673633499</v>
      </c>
      <c r="J9" s="151">
        <v>12353.8771612865</v>
      </c>
      <c r="K9" s="151">
        <v>16583.344818690501</v>
      </c>
      <c r="L9" s="151">
        <v>25501.009735072501</v>
      </c>
      <c r="M9" s="384">
        <v>40112.403797335501</v>
      </c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14.4">
      <c r="A10" s="197">
        <v>2</v>
      </c>
      <c r="B10" s="202">
        <v>4</v>
      </c>
      <c r="C10" s="152">
        <v>3719.5620092518702</v>
      </c>
      <c r="D10" s="152">
        <v>5466.4441840306899</v>
      </c>
      <c r="E10" s="152">
        <v>7506.0220532017502</v>
      </c>
      <c r="F10" s="152">
        <v>11031.204882690899</v>
      </c>
      <c r="G10" s="152">
        <v>16963.2161773558</v>
      </c>
      <c r="H10" s="152">
        <v>25501.009735072501</v>
      </c>
      <c r="I10" s="152">
        <v>38335.978903361101</v>
      </c>
      <c r="J10" s="152">
        <v>58951.085074002702</v>
      </c>
      <c r="K10" s="152">
        <v>88621.885062810601</v>
      </c>
      <c r="L10" s="152">
        <v>124474.95192494</v>
      </c>
      <c r="M10" s="385">
        <v>200280.81235439301</v>
      </c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4.4">
      <c r="A11" s="203">
        <v>3</v>
      </c>
      <c r="B11" s="200">
        <v>1</v>
      </c>
      <c r="C11" s="223">
        <v>18.1071975453401</v>
      </c>
      <c r="D11" s="223">
        <v>22.579743714185</v>
      </c>
      <c r="E11" s="223">
        <v>28.157025675653699</v>
      </c>
      <c r="F11" s="223">
        <v>36.197425750983598</v>
      </c>
      <c r="G11" s="223">
        <v>52.560702000401001</v>
      </c>
      <c r="H11" s="223">
        <v>64.063633990005101</v>
      </c>
      <c r="I11" s="223">
        <v>75.742361764966404</v>
      </c>
      <c r="J11" s="223">
        <v>88.197148756035702</v>
      </c>
      <c r="K11" s="223">
        <v>101.921184626301</v>
      </c>
      <c r="L11" s="223">
        <v>113.382350121784</v>
      </c>
      <c r="M11" s="223">
        <v>128.067230110281</v>
      </c>
      <c r="N11" s="223">
        <v>138.196125673382</v>
      </c>
      <c r="O11" s="223">
        <v>153.73645394747601</v>
      </c>
      <c r="P11" s="223">
        <v>167.16313057451299</v>
      </c>
      <c r="Q11" s="223">
        <v>176.31164267971599</v>
      </c>
      <c r="R11" s="223">
        <v>180.38413871322501</v>
      </c>
      <c r="S11" s="223">
        <v>187.38174228603799</v>
      </c>
      <c r="T11" s="223">
        <v>194.65080240770001</v>
      </c>
      <c r="U11" s="223">
        <v>199.14690152331301</v>
      </c>
      <c r="V11" s="223">
        <v>203.74685280397</v>
      </c>
      <c r="W11" s="223">
        <v>199.14690152331301</v>
      </c>
      <c r="X11" s="223">
        <v>203.74685280397</v>
      </c>
      <c r="Y11" s="293">
        <v>208.45305505626001</v>
      </c>
    </row>
    <row r="12" spans="1:25" ht="14.4">
      <c r="A12" s="204">
        <v>3</v>
      </c>
      <c r="B12" s="201">
        <v>2</v>
      </c>
      <c r="C12" s="21">
        <v>65.543393870584296</v>
      </c>
      <c r="D12" s="21">
        <v>62.142458327544702</v>
      </c>
      <c r="E12" s="21">
        <v>65.543393870584296</v>
      </c>
      <c r="F12" s="21">
        <v>70.727250746341497</v>
      </c>
      <c r="G12" s="21">
        <v>82.357371883085307</v>
      </c>
      <c r="H12" s="21">
        <v>93.734793388480597</v>
      </c>
      <c r="I12" s="21">
        <v>106.68397121819299</v>
      </c>
      <c r="J12" s="21">
        <v>124.226679234179</v>
      </c>
      <c r="K12" s="21">
        <v>138.196125673382</v>
      </c>
      <c r="L12" s="21">
        <v>156.09479789360901</v>
      </c>
      <c r="M12" s="21">
        <v>169.72744207568601</v>
      </c>
      <c r="N12" s="21">
        <v>183.151262779051</v>
      </c>
      <c r="O12" s="21">
        <v>206.87236496790999</v>
      </c>
      <c r="P12" s="21">
        <v>218.19408602348301</v>
      </c>
      <c r="Q12" s="21">
        <v>231.89386346913901</v>
      </c>
      <c r="R12" s="21">
        <v>244.58496233632701</v>
      </c>
      <c r="S12" s="21">
        <v>259.941746801151</v>
      </c>
      <c r="T12" s="21">
        <v>270.02561176352901</v>
      </c>
      <c r="U12" s="21">
        <v>276.26273947749598</v>
      </c>
      <c r="V12" s="21">
        <v>289.17252340757102</v>
      </c>
      <c r="W12" s="21">
        <v>293.60848021843299</v>
      </c>
      <c r="X12" s="21">
        <v>314.42760027141099</v>
      </c>
      <c r="Y12" s="211">
        <v>321.69033763503001</v>
      </c>
    </row>
    <row r="13" spans="1:25" ht="14.4">
      <c r="A13" s="204">
        <v>3</v>
      </c>
      <c r="B13" s="201">
        <v>3</v>
      </c>
      <c r="C13" s="21">
        <v>151.41374082468499</v>
      </c>
      <c r="D13" s="21">
        <v>151.41374082468499</v>
      </c>
      <c r="E13" s="21">
        <v>152.570677370552</v>
      </c>
      <c r="F13" s="21">
        <v>152.570677370552</v>
      </c>
      <c r="G13" s="21">
        <v>168.44040655904399</v>
      </c>
      <c r="H13" s="21">
        <v>184.55070240835201</v>
      </c>
      <c r="I13" s="21">
        <v>191.709938601457</v>
      </c>
      <c r="J13" s="21">
        <v>206.87236496790999</v>
      </c>
      <c r="K13" s="21">
        <v>221.54122125811799</v>
      </c>
      <c r="L13" s="21">
        <v>237.25021330979499</v>
      </c>
      <c r="M13" s="21">
        <v>252.146470034777</v>
      </c>
      <c r="N13" s="21">
        <v>272.08884920068601</v>
      </c>
      <c r="O13" s="21">
        <v>286.979741241581</v>
      </c>
      <c r="P13" s="21">
        <v>307.32883225297297</v>
      </c>
      <c r="Q13" s="21">
        <v>321.69033763503001</v>
      </c>
      <c r="R13" s="21">
        <v>334.16960256393298</v>
      </c>
      <c r="S13" s="21">
        <v>341.888346262742</v>
      </c>
      <c r="T13" s="21">
        <v>355.15114824953201</v>
      </c>
      <c r="U13" s="21">
        <v>363.35452960631397</v>
      </c>
      <c r="V13" s="21">
        <v>371.74739497860901</v>
      </c>
      <c r="W13" s="21">
        <v>371.74739497860901</v>
      </c>
      <c r="X13" s="21">
        <v>380.33412112163501</v>
      </c>
      <c r="Y13" s="211">
        <v>389.11918588613003</v>
      </c>
    </row>
    <row r="14" spans="1:25" ht="14.4">
      <c r="A14" s="303">
        <v>3</v>
      </c>
      <c r="B14" s="202">
        <v>4</v>
      </c>
      <c r="C14" s="23">
        <v>42.796175387416397</v>
      </c>
      <c r="D14" s="23">
        <v>60.278895942635998</v>
      </c>
      <c r="E14" s="23">
        <v>90.234351365101304</v>
      </c>
      <c r="F14" s="23">
        <v>108.320521894442</v>
      </c>
      <c r="G14" s="23">
        <v>130.03180369756899</v>
      </c>
      <c r="H14" s="23">
        <v>157.28750190659599</v>
      </c>
      <c r="I14" s="23">
        <v>168.44040655904399</v>
      </c>
      <c r="J14" s="23">
        <v>188.81350656646799</v>
      </c>
      <c r="K14" s="23">
        <v>205.30366118100801</v>
      </c>
      <c r="L14" s="23">
        <v>223.23399454206</v>
      </c>
      <c r="M14" s="23">
        <v>235.451155672878</v>
      </c>
      <c r="N14" s="23">
        <v>252.146470034777</v>
      </c>
      <c r="O14" s="23">
        <v>270.02561176352901</v>
      </c>
      <c r="P14" s="23">
        <v>278.37363415470401</v>
      </c>
      <c r="Q14" s="23">
        <v>284.80358684357998</v>
      </c>
      <c r="R14" s="23">
        <v>295.851911885145</v>
      </c>
      <c r="S14" s="23">
        <v>302.68558276102101</v>
      </c>
      <c r="T14" s="23">
        <v>302.68558276102101</v>
      </c>
      <c r="U14" s="23">
        <v>307.32883225297297</v>
      </c>
      <c r="V14" s="23">
        <v>316.830108655407</v>
      </c>
      <c r="W14" s="23">
        <v>316.830108655407</v>
      </c>
      <c r="X14" s="23">
        <v>314.42760027141099</v>
      </c>
      <c r="Y14" s="212">
        <v>331.63560958187799</v>
      </c>
    </row>
    <row r="15" spans="1:25" ht="14.4">
      <c r="A15" s="419">
        <v>4</v>
      </c>
      <c r="B15" s="200">
        <v>1</v>
      </c>
      <c r="C15" s="223">
        <v>6.0388241190619603</v>
      </c>
      <c r="D15" s="223">
        <v>9.78309319017829</v>
      </c>
      <c r="E15" s="223">
        <v>17.301957388458899</v>
      </c>
      <c r="F15" s="223">
        <v>29.935772947204899</v>
      </c>
      <c r="G15" s="223">
        <v>47.445002755086598</v>
      </c>
      <c r="H15" s="223">
        <v>70.407520066064393</v>
      </c>
      <c r="I15" s="223">
        <v>97.830931901782904</v>
      </c>
      <c r="J15" s="223">
        <v>155.05157798326201</v>
      </c>
      <c r="K15" s="223">
        <v>230.09371807784601</v>
      </c>
      <c r="L15" s="223">
        <v>319.71418455272999</v>
      </c>
      <c r="M15" s="223">
        <v>474.45002755086603</v>
      </c>
      <c r="N15" s="223">
        <v>735.642254459642</v>
      </c>
      <c r="O15" s="223">
        <v>1115.88399250775</v>
      </c>
      <c r="P15" s="223">
        <v>1516.8840366944501</v>
      </c>
      <c r="Q15" s="223">
        <v>2154.4346900318801</v>
      </c>
      <c r="R15" s="223">
        <v>2865.1202696637802</v>
      </c>
      <c r="S15" s="223">
        <v>4069.3384271671498</v>
      </c>
      <c r="T15" s="223">
        <v>4957.2188818532704</v>
      </c>
      <c r="U15" s="223">
        <v>6592.4617558713999</v>
      </c>
      <c r="V15" s="223">
        <v>7686.2461003977396</v>
      </c>
      <c r="W15" s="293">
        <v>8767.1238729686793</v>
      </c>
    </row>
    <row r="16" spans="1:25" ht="14.4">
      <c r="A16" s="403">
        <v>4</v>
      </c>
      <c r="B16" s="201">
        <v>2</v>
      </c>
      <c r="C16" s="21">
        <v>23.519526350709501</v>
      </c>
      <c r="D16" s="21">
        <v>34.145488738335999</v>
      </c>
      <c r="E16" s="21">
        <v>50.671283463087697</v>
      </c>
      <c r="F16" s="21">
        <v>76.862461003977401</v>
      </c>
      <c r="G16" s="21">
        <v>109.167970881315</v>
      </c>
      <c r="H16" s="21">
        <v>162.00328072641301</v>
      </c>
      <c r="I16" s="21">
        <v>225.10282864301701</v>
      </c>
      <c r="J16" s="21">
        <v>334.04849835132399</v>
      </c>
      <c r="K16" s="21">
        <v>474.45002755086603</v>
      </c>
      <c r="L16" s="21">
        <v>630.957344480193</v>
      </c>
      <c r="M16" s="21">
        <v>916.01959066105201</v>
      </c>
      <c r="N16" s="21">
        <v>1359.35639087852</v>
      </c>
      <c r="O16" s="21">
        <v>1807.7686769634299</v>
      </c>
      <c r="P16" s="21">
        <v>2511.8864315095798</v>
      </c>
      <c r="Q16" s="21">
        <v>3646.73967409644</v>
      </c>
      <c r="R16" s="21">
        <v>4957.2188818532704</v>
      </c>
      <c r="S16" s="21">
        <v>6309.5734448019402</v>
      </c>
      <c r="T16" s="21">
        <v>8030.8572213915204</v>
      </c>
      <c r="U16" s="21">
        <v>10221.715980421701</v>
      </c>
      <c r="V16" s="21">
        <v>13010.2521691083</v>
      </c>
      <c r="W16" s="211">
        <v>15505.1577983262</v>
      </c>
    </row>
    <row r="17" spans="1:45" ht="14.4">
      <c r="A17" s="303">
        <v>4</v>
      </c>
      <c r="B17" s="202">
        <v>3</v>
      </c>
      <c r="C17" s="23">
        <v>60.388241190619603</v>
      </c>
      <c r="D17" s="23">
        <v>75.195261882835595</v>
      </c>
      <c r="E17" s="23">
        <v>104.48347758440801</v>
      </c>
      <c r="F17" s="23">
        <v>132.98710250629</v>
      </c>
      <c r="G17" s="23">
        <v>188.881958037304</v>
      </c>
      <c r="H17" s="23">
        <v>274.21754481220802</v>
      </c>
      <c r="I17" s="23">
        <v>372.75937203149402</v>
      </c>
      <c r="J17" s="23">
        <v>517.94746792312105</v>
      </c>
      <c r="K17" s="23">
        <v>704.07520066064501</v>
      </c>
      <c r="L17" s="23">
        <v>957.08912367712901</v>
      </c>
      <c r="M17" s="23">
        <v>1329.8710250628999</v>
      </c>
      <c r="N17" s="23">
        <v>1847.8497974222901</v>
      </c>
      <c r="O17" s="23">
        <v>2511.8864315095798</v>
      </c>
      <c r="P17" s="23">
        <v>3268.0275894101301</v>
      </c>
      <c r="Q17" s="23">
        <v>4641.58883361278</v>
      </c>
      <c r="R17" s="23">
        <v>6038.8241190619601</v>
      </c>
      <c r="S17" s="23">
        <v>7856.6624593889501</v>
      </c>
      <c r="T17" s="23">
        <v>10221.715980421701</v>
      </c>
      <c r="U17" s="23">
        <v>13010.2521691083</v>
      </c>
      <c r="V17" s="23">
        <v>15848.931924611101</v>
      </c>
      <c r="W17" s="212">
        <v>18077.6867696343</v>
      </c>
    </row>
    <row r="18" spans="1:45" ht="14.4">
      <c r="A18" s="203">
        <v>5</v>
      </c>
      <c r="B18" s="200">
        <v>1</v>
      </c>
      <c r="C18" s="349">
        <v>34.087379834759098</v>
      </c>
      <c r="D18" s="349">
        <v>32.492952949915697</v>
      </c>
      <c r="E18" s="349">
        <v>35.760045133175801</v>
      </c>
      <c r="F18" s="349">
        <v>38.732196104047702</v>
      </c>
      <c r="G18" s="349">
        <v>43.312755253265202</v>
      </c>
      <c r="H18" s="349">
        <v>50.006807121025403</v>
      </c>
      <c r="I18" s="349">
        <v>57.735434834774601</v>
      </c>
      <c r="J18" s="349">
        <v>66.658533657090501</v>
      </c>
      <c r="K18" s="349">
        <v>74.541726115276504</v>
      </c>
      <c r="L18" s="349">
        <v>87.447535174092096</v>
      </c>
      <c r="M18" s="349">
        <v>104.23906643385899</v>
      </c>
      <c r="N18" s="349">
        <v>118.44289535865499</v>
      </c>
      <c r="O18" s="349">
        <v>138.94954943731301</v>
      </c>
      <c r="P18" s="349">
        <v>160.42441256935001</v>
      </c>
      <c r="Q18" s="349">
        <v>182.28417196139799</v>
      </c>
      <c r="R18" s="349">
        <v>213.844008852484</v>
      </c>
      <c r="S18" s="349">
        <v>246.893924021766</v>
      </c>
      <c r="T18" s="349">
        <v>289.63999400516002</v>
      </c>
      <c r="U18" s="349">
        <v>339.78692047485799</v>
      </c>
      <c r="V18" s="349">
        <v>398.61605342986701</v>
      </c>
      <c r="W18" s="349">
        <v>460.22276769633498</v>
      </c>
      <c r="X18" s="349">
        <v>531.35089287953201</v>
      </c>
      <c r="Y18" s="349">
        <v>633.380013653829</v>
      </c>
      <c r="Z18" s="349">
        <v>755.00059766922902</v>
      </c>
      <c r="AA18" s="349">
        <v>844.28871564808799</v>
      </c>
      <c r="AB18" s="349">
        <v>990.46495173116705</v>
      </c>
      <c r="AC18" s="349">
        <v>1143.5428088501001</v>
      </c>
      <c r="AD18" s="349">
        <v>1341.5305119893901</v>
      </c>
      <c r="AE18" s="349">
        <v>1430.0124081209001</v>
      </c>
      <c r="AF18" s="349">
        <v>1846.2767895079801</v>
      </c>
      <c r="AG18" s="349">
        <v>2272.21475599732</v>
      </c>
      <c r="AH18" s="349">
        <v>2581.8313976146901</v>
      </c>
      <c r="AI18" s="349">
        <v>2933.6370376589998</v>
      </c>
      <c r="AJ18" s="349">
        <v>3387.0350811785502</v>
      </c>
      <c r="AK18" s="349">
        <v>3910.5064784321999</v>
      </c>
      <c r="AL18" s="349">
        <v>4514.8811722786304</v>
      </c>
      <c r="AM18" s="349">
        <v>5048.82146850546</v>
      </c>
      <c r="AN18" s="349">
        <v>5556.4689322449003</v>
      </c>
      <c r="AO18" s="349">
        <v>6115.1591886536198</v>
      </c>
      <c r="AP18" s="349">
        <v>6518.4902164031901</v>
      </c>
      <c r="AQ18" s="349">
        <v>6518.4902164031901</v>
      </c>
      <c r="AR18" s="349">
        <v>5130.08813815754</v>
      </c>
      <c r="AS18" s="148">
        <v>17265.159562230299</v>
      </c>
    </row>
    <row r="19" spans="1:45" ht="14.4">
      <c r="A19" s="204">
        <v>5</v>
      </c>
      <c r="B19" s="201">
        <v>2</v>
      </c>
      <c r="C19" s="344">
        <v>356.46024043929202</v>
      </c>
      <c r="D19" s="344">
        <v>398.61605342986701</v>
      </c>
      <c r="E19" s="344">
        <v>431.74652308656101</v>
      </c>
      <c r="F19" s="344">
        <v>452.93229419539102</v>
      </c>
      <c r="G19" s="344">
        <v>475.15764958220598</v>
      </c>
      <c r="H19" s="344">
        <v>482.805866098107</v>
      </c>
      <c r="I19" s="344">
        <v>460.22276769633498</v>
      </c>
      <c r="J19" s="344">
        <v>482.805866098107</v>
      </c>
      <c r="K19" s="344">
        <v>482.805866098107</v>
      </c>
      <c r="L19" s="344">
        <v>531.35089287953201</v>
      </c>
      <c r="M19" s="344">
        <v>531.35089287953201</v>
      </c>
      <c r="N19" s="344">
        <v>557.42424331334803</v>
      </c>
      <c r="O19" s="344">
        <v>548.59398336119102</v>
      </c>
      <c r="P19" s="344">
        <v>643.57500364405303</v>
      </c>
      <c r="Q19" s="344">
        <v>623.34652437496402</v>
      </c>
      <c r="R19" s="344">
        <v>623.34652437496402</v>
      </c>
      <c r="S19" s="344">
        <v>653.93409388793202</v>
      </c>
      <c r="T19" s="344">
        <v>653.93409388793202</v>
      </c>
      <c r="U19" s="344">
        <v>719.68567300115205</v>
      </c>
      <c r="V19" s="344">
        <v>779.50143843900105</v>
      </c>
      <c r="W19" s="344">
        <v>857.87852716619398</v>
      </c>
      <c r="X19" s="344">
        <v>817.75151845287303</v>
      </c>
      <c r="Y19" s="344">
        <v>844.28871564808799</v>
      </c>
      <c r="Z19" s="344">
        <v>944.13625309869099</v>
      </c>
      <c r="AA19" s="344">
        <v>1022.60694492338</v>
      </c>
      <c r="AB19" s="344">
        <v>1107.5996291567301</v>
      </c>
      <c r="AC19" s="344">
        <v>1218.96624136269</v>
      </c>
      <c r="AD19" s="344">
        <v>1320.27908043305</v>
      </c>
      <c r="AE19" s="344">
        <v>1430.0124081209001</v>
      </c>
      <c r="AF19" s="344">
        <v>1599.1289849841501</v>
      </c>
      <c r="AG19" s="344">
        <v>1788.2456796138799</v>
      </c>
      <c r="AH19" s="344">
        <v>1968.04969713795</v>
      </c>
      <c r="AI19" s="344">
        <v>2131.6216612193298</v>
      </c>
      <c r="AJ19" s="344">
        <v>2345.9513491911298</v>
      </c>
      <c r="AK19" s="344">
        <v>2540.9321316300202</v>
      </c>
      <c r="AL19" s="344">
        <v>2796.4170522599902</v>
      </c>
      <c r="AM19" s="344">
        <v>2887.1647538310999</v>
      </c>
      <c r="AN19" s="344">
        <v>3127.1278046105099</v>
      </c>
      <c r="AO19" s="344">
        <v>3177.46257359421</v>
      </c>
      <c r="AP19" s="344">
        <v>3177.46257359421</v>
      </c>
      <c r="AQ19" s="344">
        <v>2980.8573470927399</v>
      </c>
      <c r="AR19" s="344">
        <v>3610.4301389638499</v>
      </c>
      <c r="AS19" s="132">
        <v>4736.42606953836</v>
      </c>
    </row>
    <row r="20" spans="1:45" ht="14.4">
      <c r="A20" s="204">
        <v>5</v>
      </c>
      <c r="B20" s="201">
        <v>3</v>
      </c>
      <c r="C20" s="343">
        <v>188.199552009922</v>
      </c>
      <c r="D20" s="343">
        <v>220.78355039276701</v>
      </c>
      <c r="E20" s="343">
        <v>259.00899127255002</v>
      </c>
      <c r="F20" s="343">
        <v>299.03922282111898</v>
      </c>
      <c r="G20" s="343">
        <v>350.81348821520902</v>
      </c>
      <c r="H20" s="343">
        <v>386.08698296026301</v>
      </c>
      <c r="I20" s="343">
        <v>482.805866098107</v>
      </c>
      <c r="J20" s="343">
        <v>539.90360518087698</v>
      </c>
      <c r="K20" s="343">
        <v>603.75385502891902</v>
      </c>
      <c r="L20" s="343">
        <v>664.45992577042796</v>
      </c>
      <c r="M20" s="343">
        <v>731.26985323132305</v>
      </c>
      <c r="N20" s="343">
        <v>830.91418283349196</v>
      </c>
      <c r="O20" s="343">
        <v>929.18001708074905</v>
      </c>
      <c r="P20" s="343">
        <v>1055.7919914054301</v>
      </c>
      <c r="Q20" s="343">
        <v>1180.6523957293</v>
      </c>
      <c r="R20" s="343">
        <v>1407.3593185755601</v>
      </c>
      <c r="S20" s="343">
        <v>1548.8660826989601</v>
      </c>
      <c r="T20" s="343">
        <v>1759.91775093347</v>
      </c>
      <c r="U20" s="343">
        <v>1999.7277522234499</v>
      </c>
      <c r="V20" s="343">
        <v>2236.2201841729602</v>
      </c>
      <c r="W20" s="343">
        <v>2500.6807584394401</v>
      </c>
      <c r="X20" s="343">
        <v>2752.1184954564301</v>
      </c>
      <c r="Y20" s="343">
        <v>3228.6075393869</v>
      </c>
      <c r="Z20" s="343">
        <v>3553.2366511516698</v>
      </c>
      <c r="AA20" s="343">
        <v>3973.4506407753302</v>
      </c>
      <c r="AB20" s="343">
        <v>4443.3601093134703</v>
      </c>
      <c r="AC20" s="343">
        <v>4890.1298166689003</v>
      </c>
      <c r="AD20" s="343">
        <v>5296.5667780366603</v>
      </c>
      <c r="AE20" s="343">
        <v>6518.4902164031901</v>
      </c>
      <c r="AF20" s="343">
        <v>7060.26629507284</v>
      </c>
      <c r="AG20" s="343">
        <v>7770.1599406248897</v>
      </c>
      <c r="AH20" s="343">
        <v>8971.0499177042002</v>
      </c>
      <c r="AI20" s="343">
        <v>10193.463573794599</v>
      </c>
      <c r="AJ20" s="343">
        <v>11040.6804199863</v>
      </c>
      <c r="AK20" s="343">
        <v>11768.878794463601</v>
      </c>
      <c r="AL20" s="343">
        <v>12952.212669177699</v>
      </c>
      <c r="AM20" s="343">
        <v>13587.7768214965</v>
      </c>
      <c r="AN20" s="343">
        <v>15194.698754609601</v>
      </c>
      <c r="AO20" s="343">
        <v>16196.8792827</v>
      </c>
      <c r="AP20" s="343">
        <v>17265.159562230299</v>
      </c>
      <c r="AQ20" s="343">
        <v>17543.0624406321</v>
      </c>
      <c r="AR20" s="343">
        <v>16991.658994433401</v>
      </c>
      <c r="AS20" s="131">
        <v>12747.034286291801</v>
      </c>
    </row>
    <row r="21" spans="1:45" ht="14.4">
      <c r="A21" s="204">
        <v>5</v>
      </c>
      <c r="B21" s="201">
        <v>4</v>
      </c>
      <c r="C21" s="344">
        <v>38.986037025490702</v>
      </c>
      <c r="D21" s="344">
        <v>44.435213657817997</v>
      </c>
      <c r="E21" s="344">
        <v>49.8245266926534</v>
      </c>
      <c r="F21" s="344">
        <v>54.961277427812099</v>
      </c>
      <c r="G21" s="344">
        <v>61.627241299031198</v>
      </c>
      <c r="H21" s="344">
        <v>70.241036104127801</v>
      </c>
      <c r="I21" s="344">
        <v>76.225849440713702</v>
      </c>
      <c r="J21" s="344">
        <v>84.084492846761506</v>
      </c>
      <c r="K21" s="344">
        <v>94.282658131083394</v>
      </c>
      <c r="L21" s="344">
        <v>102.315912494746</v>
      </c>
      <c r="M21" s="344">
        <v>114.72527064761201</v>
      </c>
      <c r="N21" s="344">
        <v>124.50031623204001</v>
      </c>
      <c r="O21" s="344">
        <v>139.600303874215</v>
      </c>
      <c r="P21" s="344">
        <v>151.494800407257</v>
      </c>
      <c r="Q21" s="344">
        <v>167.113434020478</v>
      </c>
      <c r="R21" s="344">
        <v>193.61179803308301</v>
      </c>
      <c r="S21" s="344">
        <v>210.10828691276001</v>
      </c>
      <c r="T21" s="344">
        <v>235.59121444194199</v>
      </c>
      <c r="U21" s="344">
        <v>268.52039212879498</v>
      </c>
      <c r="V21" s="344">
        <v>301.08781625693899</v>
      </c>
      <c r="W21" s="344">
        <v>332.12901552503399</v>
      </c>
      <c r="X21" s="344">
        <v>384.79309728552198</v>
      </c>
      <c r="Y21" s="344">
        <v>438.576598097317</v>
      </c>
      <c r="Z21" s="344">
        <v>475.94505418780102</v>
      </c>
      <c r="AA21" s="344">
        <v>533.66992312062996</v>
      </c>
      <c r="AB21" s="344">
        <v>588.68960021324199</v>
      </c>
      <c r="AC21" s="344">
        <v>628.48577808521998</v>
      </c>
      <c r="AD21" s="344">
        <v>740.14733853775601</v>
      </c>
      <c r="AE21" s="344">
        <v>843.59959707334804</v>
      </c>
      <c r="AF21" s="344">
        <v>915.47761025952002</v>
      </c>
      <c r="AG21" s="344">
        <v>1060.64043995203</v>
      </c>
      <c r="AH21" s="344">
        <v>1169.9891065890599</v>
      </c>
      <c r="AI21" s="344">
        <v>1269.6767934049899</v>
      </c>
      <c r="AJ21" s="344">
        <v>1519.91108295293</v>
      </c>
      <c r="AK21" s="344">
        <v>1622.6590366875901</v>
      </c>
      <c r="AL21" s="344">
        <v>1732.3528848992801</v>
      </c>
      <c r="AM21" s="344">
        <v>1974.48821281593</v>
      </c>
      <c r="AN21" s="344">
        <v>2007.0436517512301</v>
      </c>
      <c r="AO21" s="344">
        <v>2107.9661680828199</v>
      </c>
      <c r="AP21" s="344">
        <v>1789.95003878849</v>
      </c>
      <c r="AQ21" s="344">
        <v>1249.08188243771</v>
      </c>
      <c r="AR21" s="344">
        <v>660.08866133473805</v>
      </c>
      <c r="AS21" s="132">
        <v>6622.5115937785704</v>
      </c>
    </row>
    <row r="22" spans="1:45" ht="14.4">
      <c r="A22" s="204">
        <v>5</v>
      </c>
      <c r="B22" s="201">
        <v>5</v>
      </c>
      <c r="C22" s="343">
        <v>6.0429639023813202</v>
      </c>
      <c r="D22" s="343">
        <v>6.8876041941176496</v>
      </c>
      <c r="E22" s="343">
        <v>7.8503019877601696</v>
      </c>
      <c r="F22" s="343">
        <v>8.2450478767578392</v>
      </c>
      <c r="G22" s="343">
        <v>9.7099257531189895</v>
      </c>
      <c r="H22" s="343">
        <v>11.2495814286165</v>
      </c>
      <c r="I22" s="343">
        <v>12.8219637716641</v>
      </c>
      <c r="J22" s="343">
        <v>13.466705527539601</v>
      </c>
      <c r="K22" s="343">
        <v>15.3489808926176</v>
      </c>
      <c r="L22" s="343">
        <v>18.075997505543199</v>
      </c>
      <c r="M22" s="343">
        <v>19.939575539070599</v>
      </c>
      <c r="N22" s="343">
        <v>22.3579416391938</v>
      </c>
      <c r="O22" s="343">
        <v>25.903131645015399</v>
      </c>
      <c r="P22" s="343">
        <v>28.110180634136398</v>
      </c>
      <c r="Q22" s="343">
        <v>33.104448990969097</v>
      </c>
      <c r="R22" s="343">
        <v>35.925078623023097</v>
      </c>
      <c r="S22" s="343">
        <v>40.946417386414197</v>
      </c>
      <c r="T22" s="343">
        <v>45.912592696152799</v>
      </c>
      <c r="U22" s="343">
        <v>53.192729096653302</v>
      </c>
      <c r="V22" s="343">
        <v>63.676219732818303</v>
      </c>
      <c r="W22" s="343">
        <v>71.399173056679501</v>
      </c>
      <c r="X22" s="343">
        <v>81.378815386921005</v>
      </c>
      <c r="Y22" s="343">
        <v>89.768713244731401</v>
      </c>
      <c r="Z22" s="343">
        <v>100.656287683683</v>
      </c>
      <c r="AA22" s="343">
        <v>116.616865400451</v>
      </c>
      <c r="AB22" s="343">
        <v>128.63969449369699</v>
      </c>
      <c r="AC22" s="343">
        <v>151.494800407257</v>
      </c>
      <c r="AD22" s="343">
        <v>167.113434020478</v>
      </c>
      <c r="AE22" s="343">
        <v>187.38174228603799</v>
      </c>
      <c r="AF22" s="343">
        <v>224.311878678825</v>
      </c>
      <c r="AG22" s="343">
        <v>255.66451518432299</v>
      </c>
      <c r="AH22" s="343">
        <v>291.39938869677502</v>
      </c>
      <c r="AI22" s="343">
        <v>326.74168582040602</v>
      </c>
      <c r="AJ22" s="343">
        <v>366.37046402267299</v>
      </c>
      <c r="AK22" s="343">
        <v>404.14209729914899</v>
      </c>
      <c r="AL22" s="343">
        <v>404.14209729914899</v>
      </c>
      <c r="AM22" s="343">
        <v>417.578986961846</v>
      </c>
      <c r="AN22" s="343">
        <v>378.55152492586302</v>
      </c>
      <c r="AO22" s="343">
        <v>224.311878678825</v>
      </c>
      <c r="AP22" s="343">
        <v>255.66451518432299</v>
      </c>
      <c r="AQ22" s="343">
        <v>1026.51106800466</v>
      </c>
      <c r="AR22" s="343">
        <v>3121.1754468334302</v>
      </c>
      <c r="AS22" s="131">
        <v>9646.6161991119898</v>
      </c>
    </row>
    <row r="23" spans="1:45" ht="14.4">
      <c r="A23" s="204">
        <v>5</v>
      </c>
      <c r="B23" s="201">
        <v>6</v>
      </c>
      <c r="C23" s="344">
        <v>7.9797380741988198</v>
      </c>
      <c r="D23" s="344">
        <v>6.5578482628834198</v>
      </c>
      <c r="E23" s="344">
        <v>6.1426005277281996</v>
      </c>
      <c r="F23" s="344">
        <v>5.8485129320805296</v>
      </c>
      <c r="G23" s="344">
        <v>6.2438799656536199</v>
      </c>
      <c r="H23" s="344">
        <v>6.6659743217190703</v>
      </c>
      <c r="I23" s="344">
        <v>7.4744552390961401</v>
      </c>
      <c r="J23" s="344">
        <v>8.2450478767578392</v>
      </c>
      <c r="K23" s="344">
        <v>8.9475584778323807</v>
      </c>
      <c r="L23" s="344">
        <v>11.067106542767601</v>
      </c>
      <c r="M23" s="344">
        <v>13.466705527539601</v>
      </c>
      <c r="N23" s="344">
        <v>14.8550801717277</v>
      </c>
      <c r="O23" s="344">
        <v>17.494346628442599</v>
      </c>
      <c r="P23" s="344">
        <v>20.942220467212099</v>
      </c>
      <c r="Q23" s="344">
        <v>23.869367392260202</v>
      </c>
      <c r="R23" s="344">
        <v>28.573662392677601</v>
      </c>
      <c r="S23" s="344">
        <v>32.039211413589101</v>
      </c>
      <c r="T23" s="344">
        <v>37.119513255809998</v>
      </c>
      <c r="U23" s="344">
        <v>45.167863199823003</v>
      </c>
      <c r="V23" s="344">
        <v>53.192729096653302</v>
      </c>
      <c r="W23" s="344">
        <v>63.676219732818303</v>
      </c>
      <c r="X23" s="344">
        <v>72.576405416634799</v>
      </c>
      <c r="Y23" s="344">
        <v>84.084492846761506</v>
      </c>
      <c r="Z23" s="344">
        <v>100.656287683683</v>
      </c>
      <c r="AA23" s="344">
        <v>122.480847228971</v>
      </c>
      <c r="AB23" s="344">
        <v>137.335904111828</v>
      </c>
      <c r="AC23" s="344">
        <v>159.11259011248501</v>
      </c>
      <c r="AD23" s="344">
        <v>196.80407693710799</v>
      </c>
      <c r="AE23" s="344">
        <v>228.01034171415199</v>
      </c>
      <c r="AF23" s="344">
        <v>255.66451518432299</v>
      </c>
      <c r="AG23" s="344">
        <v>296.20399322311499</v>
      </c>
      <c r="AH23" s="344">
        <v>343.17161901824699</v>
      </c>
      <c r="AI23" s="344">
        <v>410.80560801772702</v>
      </c>
      <c r="AJ23" s="344">
        <v>460.63005659858601</v>
      </c>
      <c r="AK23" s="344">
        <v>516.49745013427605</v>
      </c>
      <c r="AL23" s="344">
        <v>551.41334535056797</v>
      </c>
      <c r="AM23" s="344">
        <v>588.68960021324199</v>
      </c>
      <c r="AN23" s="344">
        <v>588.68960021324199</v>
      </c>
      <c r="AO23" s="344">
        <v>475.94505418780102</v>
      </c>
      <c r="AP23" s="344">
        <v>508.11955502302101</v>
      </c>
      <c r="AQ23" s="344">
        <v>716.33081895081898</v>
      </c>
      <c r="AR23" s="344">
        <v>2923.5403410236199</v>
      </c>
      <c r="AS23" s="132">
        <v>9336.2066202466394</v>
      </c>
    </row>
    <row r="24" spans="1:45" ht="14.4">
      <c r="A24" s="203">
        <v>6</v>
      </c>
      <c r="B24" s="200">
        <v>1</v>
      </c>
      <c r="C24" s="257"/>
      <c r="D24" s="257"/>
      <c r="E24" s="257"/>
      <c r="F24" s="257"/>
      <c r="G24" s="257"/>
      <c r="H24" s="257"/>
      <c r="I24" s="257"/>
      <c r="J24" s="257"/>
      <c r="K24" s="257"/>
      <c r="L24" s="257"/>
      <c r="M24" s="257"/>
      <c r="N24" s="257"/>
      <c r="O24" s="257"/>
      <c r="P24" s="257"/>
      <c r="Q24" s="257"/>
      <c r="R24" s="257"/>
      <c r="S24" s="257"/>
      <c r="T24" s="257"/>
      <c r="U24" s="257"/>
      <c r="V24" s="257"/>
      <c r="W24" s="257"/>
      <c r="X24" s="257"/>
      <c r="Y24" s="349"/>
      <c r="Z24" s="349"/>
      <c r="AA24" s="349"/>
      <c r="AB24" s="349"/>
      <c r="AC24" s="349"/>
      <c r="AD24" s="349"/>
      <c r="AE24" s="349"/>
      <c r="AF24" s="349"/>
      <c r="AG24" s="349"/>
      <c r="AH24" s="349"/>
      <c r="AI24" s="349"/>
      <c r="AJ24" s="349"/>
      <c r="AK24" s="349"/>
      <c r="AL24" s="349"/>
      <c r="AM24" s="349"/>
      <c r="AN24" s="349"/>
      <c r="AO24" s="349"/>
      <c r="AP24" s="349"/>
      <c r="AQ24" s="349"/>
      <c r="AR24" s="349"/>
      <c r="AS24" s="349"/>
    </row>
    <row r="25" spans="1:45" ht="14.4">
      <c r="A25" s="204">
        <v>6</v>
      </c>
      <c r="B25" s="201">
        <v>2</v>
      </c>
      <c r="C25" s="369"/>
      <c r="D25" s="369"/>
      <c r="E25" s="369"/>
      <c r="F25" s="369"/>
      <c r="G25" s="369"/>
      <c r="H25" s="369"/>
      <c r="I25" s="369"/>
      <c r="J25" s="369"/>
      <c r="K25" s="369"/>
      <c r="L25" s="369"/>
      <c r="M25" s="369"/>
      <c r="N25" s="369"/>
      <c r="O25" s="369"/>
      <c r="P25" s="369"/>
      <c r="Q25" s="369"/>
      <c r="R25" s="369"/>
      <c r="S25" s="369"/>
      <c r="T25" s="369"/>
      <c r="U25" s="369"/>
      <c r="V25" s="369"/>
      <c r="W25" s="369"/>
      <c r="X25" s="369"/>
      <c r="Y25" s="326"/>
      <c r="Z25" s="326"/>
      <c r="AA25" s="326"/>
      <c r="AB25" s="326"/>
      <c r="AC25" s="326"/>
      <c r="AD25" s="326"/>
      <c r="AE25" s="326"/>
      <c r="AF25" s="326"/>
      <c r="AG25" s="326"/>
      <c r="AH25" s="326"/>
      <c r="AI25" s="326"/>
      <c r="AJ25" s="326"/>
      <c r="AK25" s="326"/>
      <c r="AL25" s="326"/>
      <c r="AM25" s="326"/>
      <c r="AN25" s="326"/>
      <c r="AO25" s="326"/>
      <c r="AP25" s="326"/>
      <c r="AQ25" s="326"/>
      <c r="AR25" s="326"/>
      <c r="AS25" s="326"/>
    </row>
    <row r="26" spans="1:45" ht="14.4">
      <c r="A26" s="204">
        <v>6</v>
      </c>
      <c r="B26" s="201">
        <v>3</v>
      </c>
      <c r="C26" s="408"/>
      <c r="D26" s="343"/>
      <c r="E26" s="343"/>
      <c r="F26" s="408"/>
      <c r="G26" s="408"/>
      <c r="H26" s="408"/>
      <c r="I26" s="408"/>
      <c r="J26" s="408"/>
      <c r="K26" s="259"/>
      <c r="L26" s="259"/>
      <c r="M26" s="259"/>
      <c r="N26" s="274"/>
      <c r="O26" s="274"/>
      <c r="P26" s="274"/>
      <c r="Q26" s="274"/>
      <c r="R26" s="274"/>
      <c r="S26" s="274"/>
      <c r="T26" s="274"/>
      <c r="U26" s="274"/>
      <c r="V26" s="274"/>
      <c r="W26" s="274"/>
      <c r="X26" s="274"/>
      <c r="Y26" s="274"/>
      <c r="Z26" s="274"/>
      <c r="AA26" s="274"/>
      <c r="AB26" s="274"/>
      <c r="AC26" s="274"/>
      <c r="AD26" s="274"/>
      <c r="AE26" s="274"/>
      <c r="AF26" s="274"/>
      <c r="AG26" s="274"/>
      <c r="AH26" s="274"/>
      <c r="AI26" s="274"/>
      <c r="AJ26" s="274"/>
      <c r="AK26" s="274"/>
      <c r="AL26" s="274"/>
      <c r="AM26" s="274"/>
      <c r="AN26" s="274"/>
      <c r="AO26" s="274"/>
      <c r="AP26" s="274"/>
      <c r="AQ26" s="274"/>
      <c r="AR26" s="274"/>
      <c r="AS26" s="274"/>
    </row>
    <row r="27" spans="1:45" ht="14.4">
      <c r="A27" s="204">
        <v>6</v>
      </c>
      <c r="B27" s="201">
        <v>4</v>
      </c>
      <c r="C27" s="407"/>
      <c r="D27" s="344"/>
      <c r="E27" s="344"/>
      <c r="F27" s="344"/>
      <c r="G27" s="407"/>
      <c r="H27" s="407"/>
      <c r="I27" s="407"/>
      <c r="J27" s="407"/>
      <c r="K27" s="407"/>
      <c r="L27" s="369"/>
      <c r="M27" s="369"/>
      <c r="N27" s="326"/>
      <c r="O27" s="326"/>
      <c r="P27" s="326"/>
      <c r="Q27" s="326"/>
      <c r="R27" s="326"/>
      <c r="S27" s="326"/>
      <c r="T27" s="326"/>
      <c r="U27" s="326"/>
      <c r="V27" s="326"/>
      <c r="W27" s="326"/>
      <c r="X27" s="326"/>
      <c r="Y27" s="326"/>
      <c r="Z27" s="326"/>
      <c r="AA27" s="326"/>
      <c r="AB27" s="326"/>
      <c r="AC27" s="326"/>
      <c r="AD27" s="326"/>
      <c r="AE27" s="326"/>
      <c r="AF27" s="326"/>
      <c r="AG27" s="326"/>
      <c r="AH27" s="326"/>
      <c r="AI27" s="326"/>
      <c r="AJ27" s="326"/>
      <c r="AK27" s="326"/>
      <c r="AL27" s="326"/>
      <c r="AM27" s="326"/>
      <c r="AN27" s="326"/>
      <c r="AO27" s="326"/>
      <c r="AP27" s="326"/>
      <c r="AQ27" s="326"/>
      <c r="AR27" s="326"/>
      <c r="AS27" s="326"/>
    </row>
    <row r="28" spans="1:45" ht="14.4">
      <c r="A28" s="203">
        <v>7</v>
      </c>
      <c r="B28" s="200">
        <v>1</v>
      </c>
      <c r="C28" s="350">
        <v>39.483219301736</v>
      </c>
      <c r="D28" s="350">
        <v>113.19093808077599</v>
      </c>
      <c r="E28" s="350">
        <v>317.86459154047998</v>
      </c>
      <c r="F28" s="350">
        <v>756.70005723424902</v>
      </c>
      <c r="G28" s="350">
        <v>1465.2754811771999</v>
      </c>
      <c r="H28" s="350">
        <v>2506.7044904611398</v>
      </c>
      <c r="I28" s="350">
        <v>4030.7064091391599</v>
      </c>
      <c r="J28" s="350">
        <v>6091.9083819704301</v>
      </c>
      <c r="K28" s="350">
        <v>8477.1744611583399</v>
      </c>
      <c r="L28" s="350">
        <v>11796.383389086899</v>
      </c>
      <c r="M28" s="350">
        <v>16079.7031500018</v>
      </c>
      <c r="N28" s="350">
        <v>21031.485800943701</v>
      </c>
      <c r="O28" s="350">
        <v>26395.182169172302</v>
      </c>
      <c r="P28" s="350">
        <v>33126.791342175697</v>
      </c>
      <c r="Q28" s="350">
        <v>40725.410527238302</v>
      </c>
      <c r="R28" s="350">
        <v>40725.410527238302</v>
      </c>
      <c r="S28" s="350">
        <v>46097.474213028298</v>
      </c>
      <c r="T28" s="350">
        <v>50067.000014591802</v>
      </c>
      <c r="U28" s="350">
        <v>59060.952731354402</v>
      </c>
      <c r="V28" s="350">
        <v>64146.7839994323</v>
      </c>
      <c r="W28" s="350">
        <v>66851.646436063995</v>
      </c>
      <c r="X28" s="350">
        <v>71124.2888782542</v>
      </c>
      <c r="Y28" s="340"/>
      <c r="Z28" s="274"/>
      <c r="AA28" s="274"/>
      <c r="AB28" s="274"/>
      <c r="AC28" s="274"/>
      <c r="AD28" s="274"/>
      <c r="AE28" s="274"/>
      <c r="AF28" s="274"/>
      <c r="AG28" s="274"/>
      <c r="AH28" s="274"/>
      <c r="AI28" s="274"/>
      <c r="AJ28" s="274"/>
      <c r="AK28" s="274"/>
      <c r="AL28" s="274"/>
      <c r="AM28" s="274"/>
      <c r="AN28" s="274"/>
      <c r="AO28" s="274"/>
      <c r="AP28" s="274"/>
      <c r="AQ28" s="274"/>
      <c r="AR28" s="274"/>
      <c r="AS28" s="274"/>
    </row>
    <row r="29" spans="1:45" ht="14.4">
      <c r="A29" s="204">
        <v>7</v>
      </c>
      <c r="B29" s="201">
        <v>2</v>
      </c>
      <c r="C29" s="344">
        <v>7186.2486844915302</v>
      </c>
      <c r="D29" s="344">
        <v>11087.7404047073</v>
      </c>
      <c r="E29" s="344">
        <v>19364.0196953706</v>
      </c>
      <c r="F29" s="344">
        <v>33818.004848265402</v>
      </c>
      <c r="G29" s="344">
        <v>56671.306985418902</v>
      </c>
      <c r="H29" s="344">
        <v>91125.779344815994</v>
      </c>
      <c r="I29" s="344">
        <v>129451.659825589</v>
      </c>
      <c r="J29" s="344">
        <v>152706.140965631</v>
      </c>
      <c r="K29" s="344">
        <v>180138.01846985301</v>
      </c>
      <c r="L29" s="344">
        <v>221458.05423683999</v>
      </c>
      <c r="M29" s="344">
        <v>277936.88661547302</v>
      </c>
      <c r="N29" s="395"/>
      <c r="O29" s="250"/>
      <c r="P29" s="250"/>
      <c r="Q29" s="250"/>
      <c r="R29" s="250"/>
      <c r="S29" s="250"/>
      <c r="T29" s="250"/>
      <c r="U29" s="250"/>
      <c r="V29" s="250"/>
      <c r="W29" s="250"/>
      <c r="X29" s="250"/>
      <c r="Y29" s="326"/>
      <c r="Z29" s="326"/>
      <c r="AA29" s="326"/>
      <c r="AB29" s="326"/>
      <c r="AC29" s="326"/>
      <c r="AD29" s="326"/>
      <c r="AE29" s="326"/>
      <c r="AF29" s="326"/>
      <c r="AG29" s="326"/>
      <c r="AH29" s="326"/>
      <c r="AI29" s="326"/>
      <c r="AJ29" s="326"/>
      <c r="AK29" s="326"/>
      <c r="AL29" s="326"/>
      <c r="AM29" s="326"/>
      <c r="AN29" s="326"/>
      <c r="AO29" s="326"/>
      <c r="AP29" s="326"/>
      <c r="AQ29" s="326"/>
      <c r="AR29" s="326"/>
      <c r="AS29" s="326"/>
    </row>
    <row r="30" spans="1:45" ht="14.4">
      <c r="A30" s="203">
        <v>8</v>
      </c>
      <c r="B30" s="200">
        <v>1</v>
      </c>
      <c r="C30" s="349"/>
      <c r="D30" s="349"/>
      <c r="E30" s="349"/>
      <c r="F30" s="349"/>
      <c r="G30" s="349"/>
      <c r="H30" s="349"/>
      <c r="I30" s="349"/>
      <c r="J30" s="349"/>
      <c r="K30" s="349"/>
      <c r="L30" s="244"/>
      <c r="M30" s="244"/>
      <c r="N30" s="274"/>
      <c r="O30" s="274"/>
      <c r="P30" s="274"/>
      <c r="Q30" s="274"/>
      <c r="R30" s="274"/>
      <c r="S30" s="274"/>
      <c r="T30" s="274"/>
      <c r="U30" s="274"/>
      <c r="V30" s="274"/>
      <c r="W30" s="274"/>
      <c r="X30" s="274"/>
      <c r="Y30" s="274"/>
      <c r="Z30" s="274"/>
      <c r="AA30" s="274"/>
      <c r="AB30" s="274"/>
      <c r="AC30" s="274"/>
      <c r="AD30" s="274"/>
      <c r="AE30" s="274"/>
      <c r="AF30" s="274"/>
      <c r="AG30" s="274"/>
      <c r="AH30" s="274"/>
      <c r="AI30" s="274"/>
      <c r="AJ30" s="274"/>
      <c r="AK30" s="274"/>
      <c r="AL30" s="274"/>
      <c r="AM30" s="274"/>
      <c r="AN30" s="274"/>
      <c r="AO30" s="274"/>
      <c r="AP30" s="274"/>
      <c r="AQ30" s="274"/>
      <c r="AR30" s="274"/>
      <c r="AS30" s="274"/>
    </row>
    <row r="31" spans="1:45" ht="14.4">
      <c r="A31" s="204">
        <v>8</v>
      </c>
      <c r="B31" s="201">
        <v>2</v>
      </c>
      <c r="C31" s="344"/>
      <c r="D31" s="344"/>
      <c r="E31" s="344"/>
      <c r="F31" s="344"/>
      <c r="G31" s="344"/>
      <c r="H31" s="344"/>
      <c r="I31" s="344"/>
      <c r="J31" s="344"/>
      <c r="K31" s="344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V31" s="326"/>
      <c r="W31" s="326"/>
      <c r="X31" s="326"/>
      <c r="Y31" s="326"/>
      <c r="Z31" s="326"/>
      <c r="AA31" s="326"/>
      <c r="AB31" s="326"/>
      <c r="AC31" s="326"/>
      <c r="AD31" s="326"/>
      <c r="AE31" s="326"/>
      <c r="AF31" s="326"/>
      <c r="AG31" s="326"/>
      <c r="AH31" s="326"/>
      <c r="AI31" s="326"/>
      <c r="AJ31" s="326"/>
      <c r="AK31" s="326"/>
      <c r="AL31" s="326"/>
      <c r="AM31" s="326"/>
      <c r="AN31" s="326"/>
      <c r="AO31" s="326"/>
      <c r="AP31" s="326"/>
      <c r="AQ31" s="326"/>
      <c r="AR31" s="326"/>
      <c r="AS31" s="326"/>
    </row>
    <row r="32" spans="1:45" ht="14.4">
      <c r="A32" s="204">
        <v>8</v>
      </c>
      <c r="B32" s="201">
        <v>3</v>
      </c>
      <c r="C32" s="343"/>
      <c r="D32" s="343"/>
      <c r="E32" s="343"/>
      <c r="F32" s="343"/>
      <c r="G32" s="343"/>
      <c r="H32" s="343"/>
      <c r="I32" s="343"/>
      <c r="J32" s="343"/>
      <c r="K32" s="343"/>
      <c r="L32" s="274"/>
      <c r="M32" s="274"/>
      <c r="N32" s="274"/>
      <c r="O32" s="274"/>
      <c r="P32" s="274"/>
      <c r="Q32" s="274"/>
      <c r="R32" s="274"/>
      <c r="S32" s="274"/>
      <c r="T32" s="274"/>
      <c r="U32" s="274"/>
      <c r="V32" s="274"/>
      <c r="W32" s="274"/>
      <c r="X32" s="274"/>
      <c r="Y32" s="274"/>
      <c r="Z32" s="274"/>
      <c r="AA32" s="274"/>
      <c r="AB32" s="274"/>
      <c r="AC32" s="274"/>
      <c r="AD32" s="274"/>
      <c r="AE32" s="274"/>
      <c r="AF32" s="274"/>
      <c r="AG32" s="274"/>
      <c r="AH32" s="274"/>
      <c r="AI32" s="274"/>
      <c r="AJ32" s="274"/>
      <c r="AK32" s="274"/>
      <c r="AL32" s="274"/>
      <c r="AM32" s="274"/>
      <c r="AN32" s="274"/>
      <c r="AO32" s="274"/>
      <c r="AP32" s="274"/>
      <c r="AQ32" s="274"/>
      <c r="AR32" s="274"/>
      <c r="AS32" s="274"/>
    </row>
    <row r="33" spans="1:45" ht="14.4">
      <c r="A33" s="204">
        <v>8</v>
      </c>
      <c r="B33" s="201">
        <v>4</v>
      </c>
      <c r="C33" s="344"/>
      <c r="D33" s="344"/>
      <c r="E33" s="344"/>
      <c r="F33" s="344"/>
      <c r="G33" s="344"/>
      <c r="H33" s="344"/>
      <c r="I33" s="344"/>
      <c r="J33" s="344"/>
      <c r="K33" s="344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V33" s="326"/>
      <c r="W33" s="326"/>
      <c r="X33" s="326"/>
      <c r="Y33" s="326"/>
      <c r="Z33" s="326"/>
      <c r="AA33" s="326"/>
      <c r="AB33" s="326"/>
      <c r="AC33" s="326"/>
      <c r="AD33" s="326"/>
      <c r="AE33" s="326"/>
      <c r="AF33" s="326"/>
      <c r="AG33" s="326"/>
      <c r="AH33" s="326"/>
      <c r="AI33" s="326"/>
      <c r="AJ33" s="326"/>
      <c r="AK33" s="326"/>
      <c r="AL33" s="326"/>
      <c r="AM33" s="326"/>
      <c r="AN33" s="326"/>
      <c r="AO33" s="326"/>
      <c r="AP33" s="326"/>
      <c r="AQ33" s="326"/>
      <c r="AR33" s="326"/>
      <c r="AS33" s="326"/>
    </row>
    <row r="34" spans="1:45" ht="14.4">
      <c r="A34" s="203">
        <v>9</v>
      </c>
      <c r="B34" s="200">
        <v>1</v>
      </c>
      <c r="C34" s="343"/>
      <c r="D34" s="343"/>
      <c r="E34" s="343"/>
      <c r="F34" s="343"/>
      <c r="G34" s="343"/>
      <c r="H34" s="343"/>
      <c r="I34" s="343"/>
      <c r="J34" s="343"/>
      <c r="K34" s="343"/>
      <c r="L34" s="274"/>
      <c r="M34" s="274"/>
      <c r="N34" s="274"/>
      <c r="O34" s="274"/>
      <c r="P34" s="274"/>
      <c r="Q34" s="274"/>
      <c r="R34" s="274"/>
      <c r="S34" s="274"/>
      <c r="T34" s="274"/>
      <c r="U34" s="274"/>
      <c r="V34" s="274"/>
      <c r="W34" s="274"/>
      <c r="X34" s="274"/>
      <c r="Y34" s="274"/>
      <c r="Z34" s="274"/>
      <c r="AA34" s="274"/>
      <c r="AB34" s="274"/>
      <c r="AC34" s="274"/>
      <c r="AD34" s="274"/>
      <c r="AE34" s="274"/>
      <c r="AF34" s="274"/>
      <c r="AG34" s="274"/>
      <c r="AH34" s="274"/>
      <c r="AI34" s="274"/>
      <c r="AJ34" s="274"/>
      <c r="AK34" s="274"/>
      <c r="AL34" s="274"/>
      <c r="AM34" s="274"/>
      <c r="AN34" s="274"/>
      <c r="AO34" s="274"/>
      <c r="AP34" s="274"/>
      <c r="AQ34" s="274"/>
      <c r="AR34" s="274"/>
      <c r="AS34" s="274"/>
    </row>
    <row r="35" spans="1:45" ht="14.4">
      <c r="A35" s="204">
        <v>9</v>
      </c>
      <c r="B35" s="201">
        <v>2</v>
      </c>
      <c r="C35" s="344"/>
      <c r="D35" s="344"/>
      <c r="E35" s="344"/>
      <c r="F35" s="344"/>
      <c r="G35" s="344"/>
      <c r="H35" s="344"/>
      <c r="I35" s="344"/>
      <c r="J35" s="344"/>
      <c r="K35" s="344"/>
      <c r="L35" s="326"/>
      <c r="M35" s="326"/>
      <c r="N35" s="326"/>
      <c r="O35" s="326"/>
      <c r="P35" s="326"/>
      <c r="Q35" s="326"/>
      <c r="R35" s="326"/>
      <c r="S35" s="326"/>
      <c r="T35" s="326"/>
      <c r="U35" s="326"/>
      <c r="V35" s="326"/>
      <c r="W35" s="326"/>
      <c r="X35" s="326"/>
      <c r="Y35" s="326"/>
      <c r="Z35" s="326"/>
      <c r="AA35" s="326"/>
      <c r="AB35" s="326"/>
      <c r="AC35" s="326"/>
      <c r="AD35" s="326"/>
      <c r="AE35" s="326"/>
      <c r="AF35" s="326"/>
      <c r="AG35" s="326"/>
      <c r="AH35" s="326"/>
      <c r="AI35" s="326"/>
      <c r="AJ35" s="326"/>
      <c r="AK35" s="326"/>
      <c r="AL35" s="326"/>
      <c r="AM35" s="326"/>
      <c r="AN35" s="326"/>
      <c r="AO35" s="326"/>
      <c r="AP35" s="326"/>
      <c r="AQ35" s="326"/>
      <c r="AR35" s="326"/>
      <c r="AS35" s="326"/>
    </row>
    <row r="36" spans="1:45" ht="14.4">
      <c r="A36" s="204">
        <v>9</v>
      </c>
      <c r="B36" s="201">
        <v>3</v>
      </c>
      <c r="C36" s="343"/>
      <c r="D36" s="343"/>
      <c r="E36" s="343"/>
      <c r="F36" s="343"/>
      <c r="G36" s="343"/>
      <c r="H36" s="343"/>
      <c r="I36" s="343"/>
      <c r="J36" s="343"/>
      <c r="K36" s="343"/>
      <c r="L36" s="274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  <c r="Z36" s="274"/>
      <c r="AA36" s="274"/>
      <c r="AB36" s="274"/>
      <c r="AC36" s="274"/>
      <c r="AD36" s="274"/>
      <c r="AE36" s="274"/>
      <c r="AF36" s="274"/>
      <c r="AG36" s="274"/>
      <c r="AH36" s="274"/>
      <c r="AI36" s="274"/>
      <c r="AJ36" s="274"/>
      <c r="AK36" s="274"/>
      <c r="AL36" s="274"/>
      <c r="AM36" s="274"/>
      <c r="AN36" s="274"/>
      <c r="AO36" s="274"/>
      <c r="AP36" s="274"/>
      <c r="AQ36" s="274"/>
      <c r="AR36" s="274"/>
      <c r="AS36" s="274"/>
    </row>
    <row r="37" spans="1:45" ht="14.4">
      <c r="A37" s="204">
        <v>9</v>
      </c>
      <c r="B37" s="201">
        <v>4</v>
      </c>
      <c r="C37" s="344"/>
      <c r="D37" s="344"/>
      <c r="E37" s="344"/>
      <c r="F37" s="344"/>
      <c r="G37" s="344"/>
      <c r="H37" s="344"/>
      <c r="I37" s="344"/>
      <c r="J37" s="344"/>
      <c r="K37" s="344"/>
      <c r="L37" s="326"/>
      <c r="M37" s="326"/>
      <c r="N37" s="326"/>
      <c r="O37" s="326"/>
      <c r="P37" s="326"/>
      <c r="Q37" s="326"/>
      <c r="R37" s="326"/>
      <c r="S37" s="326"/>
      <c r="T37" s="326"/>
      <c r="U37" s="326"/>
      <c r="V37" s="326"/>
      <c r="W37" s="326"/>
      <c r="X37" s="326"/>
      <c r="Y37" s="326"/>
      <c r="Z37" s="326"/>
      <c r="AA37" s="326"/>
      <c r="AB37" s="326"/>
      <c r="AC37" s="326"/>
      <c r="AD37" s="326"/>
      <c r="AE37" s="326"/>
      <c r="AF37" s="326"/>
      <c r="AG37" s="326"/>
      <c r="AH37" s="326"/>
      <c r="AI37" s="326"/>
      <c r="AJ37" s="326"/>
      <c r="AK37" s="326"/>
      <c r="AL37" s="326"/>
      <c r="AM37" s="326"/>
      <c r="AN37" s="326"/>
      <c r="AO37" s="326"/>
      <c r="AP37" s="326"/>
      <c r="AQ37" s="326"/>
      <c r="AR37" s="326"/>
      <c r="AS37" s="326"/>
    </row>
    <row r="38" spans="1:45" ht="14.4">
      <c r="A38" s="203">
        <v>11</v>
      </c>
      <c r="B38" s="200" t="s">
        <v>221</v>
      </c>
      <c r="C38" s="343"/>
      <c r="D38" s="343"/>
      <c r="E38" s="343"/>
      <c r="F38" s="343"/>
      <c r="G38" s="343"/>
      <c r="H38" s="343"/>
      <c r="I38" s="343"/>
      <c r="J38" s="343"/>
      <c r="K38" s="343"/>
      <c r="L38" s="274"/>
      <c r="M38" s="274"/>
      <c r="N38" s="274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  <c r="Z38" s="274"/>
      <c r="AA38" s="274"/>
      <c r="AB38" s="274"/>
      <c r="AC38" s="274"/>
      <c r="AD38" s="274"/>
      <c r="AE38" s="274"/>
      <c r="AF38" s="274"/>
      <c r="AG38" s="274"/>
      <c r="AH38" s="274"/>
      <c r="AI38" s="274"/>
      <c r="AJ38" s="274"/>
      <c r="AK38" s="274"/>
      <c r="AL38" s="274"/>
      <c r="AM38" s="274"/>
      <c r="AN38" s="274"/>
      <c r="AO38" s="274"/>
      <c r="AP38" s="274"/>
      <c r="AQ38" s="274"/>
      <c r="AR38" s="274"/>
      <c r="AS38" s="274"/>
    </row>
    <row r="39" spans="1:45" ht="14.4">
      <c r="A39" s="204">
        <v>11</v>
      </c>
      <c r="B39" s="201" t="s">
        <v>222</v>
      </c>
      <c r="C39" s="344"/>
      <c r="D39" s="344"/>
      <c r="E39" s="344"/>
      <c r="F39" s="344"/>
      <c r="G39" s="344"/>
      <c r="H39" s="344"/>
      <c r="I39" s="344"/>
      <c r="J39" s="344"/>
      <c r="K39" s="344"/>
      <c r="L39" s="326"/>
      <c r="M39" s="326"/>
      <c r="N39" s="326"/>
      <c r="O39" s="326"/>
      <c r="P39" s="326"/>
      <c r="Q39" s="326"/>
      <c r="R39" s="326"/>
      <c r="S39" s="326"/>
      <c r="T39" s="326"/>
      <c r="U39" s="326"/>
      <c r="V39" s="326"/>
      <c r="W39" s="326"/>
      <c r="X39" s="326"/>
      <c r="Y39" s="326"/>
      <c r="Z39" s="326"/>
      <c r="AA39" s="326"/>
      <c r="AB39" s="326"/>
      <c r="AC39" s="326"/>
      <c r="AD39" s="326"/>
      <c r="AE39" s="326"/>
      <c r="AF39" s="326"/>
      <c r="AG39" s="326"/>
      <c r="AH39" s="326"/>
      <c r="AI39" s="326"/>
      <c r="AJ39" s="326"/>
      <c r="AK39" s="326"/>
      <c r="AL39" s="326"/>
      <c r="AM39" s="326"/>
      <c r="AN39" s="326"/>
      <c r="AO39" s="326"/>
      <c r="AP39" s="326"/>
      <c r="AQ39" s="326"/>
      <c r="AR39" s="326"/>
      <c r="AS39" s="326"/>
    </row>
    <row r="40" spans="1:45" ht="14.4">
      <c r="A40" s="204">
        <v>11</v>
      </c>
      <c r="B40" s="201" t="s">
        <v>223</v>
      </c>
      <c r="C40" s="343"/>
      <c r="D40" s="343"/>
      <c r="E40" s="343"/>
      <c r="F40" s="343"/>
      <c r="G40" s="343"/>
      <c r="H40" s="343"/>
      <c r="I40" s="343"/>
      <c r="J40" s="343"/>
      <c r="K40" s="343"/>
      <c r="L40" s="274"/>
      <c r="M40" s="274"/>
      <c r="N40" s="274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  <c r="Z40" s="274"/>
      <c r="AA40" s="274"/>
      <c r="AB40" s="274"/>
      <c r="AC40" s="274"/>
      <c r="AD40" s="274"/>
      <c r="AE40" s="274"/>
      <c r="AF40" s="274"/>
      <c r="AG40" s="274"/>
      <c r="AH40" s="274"/>
      <c r="AI40" s="274"/>
      <c r="AJ40" s="274"/>
      <c r="AK40" s="274"/>
      <c r="AL40" s="274"/>
      <c r="AM40" s="274"/>
      <c r="AN40" s="274"/>
      <c r="AO40" s="274"/>
      <c r="AP40" s="274"/>
      <c r="AQ40" s="274"/>
      <c r="AR40" s="274"/>
      <c r="AS40" s="274"/>
    </row>
    <row r="41" spans="1:45" ht="14.4">
      <c r="A41" s="204">
        <v>11</v>
      </c>
      <c r="B41" s="201" t="s">
        <v>224</v>
      </c>
      <c r="C41" s="344"/>
      <c r="D41" s="344"/>
      <c r="E41" s="344"/>
      <c r="F41" s="344"/>
      <c r="G41" s="344"/>
      <c r="H41" s="344"/>
      <c r="I41" s="344"/>
      <c r="J41" s="344"/>
      <c r="K41" s="344"/>
      <c r="L41" s="326"/>
      <c r="M41" s="326"/>
      <c r="N41" s="326"/>
      <c r="O41" s="326"/>
      <c r="P41" s="326"/>
      <c r="Q41" s="326"/>
      <c r="R41" s="326"/>
      <c r="S41" s="326"/>
      <c r="T41" s="326"/>
      <c r="U41" s="326"/>
      <c r="V41" s="326"/>
      <c r="W41" s="326"/>
      <c r="X41" s="326"/>
      <c r="Y41" s="326"/>
      <c r="Z41" s="326"/>
      <c r="AA41" s="326"/>
      <c r="AB41" s="326"/>
      <c r="AC41" s="326"/>
      <c r="AD41" s="326"/>
      <c r="AE41" s="326"/>
      <c r="AF41" s="326"/>
      <c r="AG41" s="326"/>
      <c r="AH41" s="326"/>
      <c r="AI41" s="326"/>
      <c r="AJ41" s="326"/>
      <c r="AK41" s="326"/>
      <c r="AL41" s="326"/>
      <c r="AM41" s="326"/>
      <c r="AN41" s="326"/>
      <c r="AO41" s="326"/>
      <c r="AP41" s="326"/>
      <c r="AQ41" s="326"/>
      <c r="AR41" s="326"/>
      <c r="AS41" s="326"/>
    </row>
    <row r="42" spans="1:45" ht="14.4">
      <c r="A42" s="203">
        <v>11</v>
      </c>
      <c r="B42" s="200" t="s">
        <v>225</v>
      </c>
      <c r="C42" s="343"/>
      <c r="D42" s="343"/>
      <c r="E42" s="343"/>
      <c r="F42" s="343"/>
      <c r="G42" s="343"/>
      <c r="H42" s="343"/>
      <c r="I42" s="343"/>
      <c r="J42" s="343"/>
      <c r="K42" s="343"/>
      <c r="L42" s="274"/>
      <c r="M42" s="274"/>
      <c r="N42" s="274"/>
      <c r="O42" s="274"/>
      <c r="P42" s="274"/>
      <c r="Q42" s="274"/>
      <c r="R42" s="274"/>
      <c r="S42" s="274"/>
      <c r="T42" s="274"/>
      <c r="U42" s="274"/>
      <c r="V42" s="274"/>
      <c r="W42" s="274"/>
      <c r="X42" s="274"/>
      <c r="Y42" s="274"/>
      <c r="Z42" s="274"/>
      <c r="AA42" s="274"/>
      <c r="AB42" s="274"/>
      <c r="AC42" s="274"/>
      <c r="AD42" s="274"/>
      <c r="AE42" s="274"/>
      <c r="AF42" s="274"/>
      <c r="AG42" s="274"/>
      <c r="AH42" s="274"/>
      <c r="AI42" s="274"/>
      <c r="AJ42" s="274"/>
      <c r="AK42" s="274"/>
      <c r="AL42" s="274"/>
      <c r="AM42" s="274"/>
      <c r="AN42" s="274"/>
      <c r="AO42" s="274"/>
      <c r="AP42" s="274"/>
      <c r="AQ42" s="274"/>
      <c r="AR42" s="274"/>
      <c r="AS42" s="274"/>
    </row>
    <row r="43" spans="1:45" ht="14.4">
      <c r="A43" s="204">
        <v>11</v>
      </c>
      <c r="B43" s="201" t="s">
        <v>226</v>
      </c>
      <c r="C43" s="344"/>
      <c r="D43" s="344"/>
      <c r="E43" s="344"/>
      <c r="F43" s="344"/>
      <c r="G43" s="344"/>
      <c r="H43" s="344"/>
      <c r="I43" s="344"/>
      <c r="J43" s="344"/>
      <c r="K43" s="344"/>
      <c r="L43" s="326"/>
      <c r="M43" s="326"/>
      <c r="N43" s="326"/>
      <c r="O43" s="326"/>
      <c r="P43" s="326"/>
      <c r="Q43" s="326"/>
      <c r="R43" s="326"/>
      <c r="S43" s="326"/>
      <c r="T43" s="326"/>
      <c r="U43" s="326"/>
      <c r="V43" s="326"/>
      <c r="W43" s="326"/>
      <c r="X43" s="326"/>
      <c r="Y43" s="326"/>
      <c r="Z43" s="326"/>
      <c r="AA43" s="326"/>
      <c r="AB43" s="326"/>
      <c r="AC43" s="326"/>
      <c r="AD43" s="326"/>
      <c r="AE43" s="326"/>
      <c r="AF43" s="326"/>
      <c r="AG43" s="326"/>
      <c r="AH43" s="326"/>
      <c r="AI43" s="326"/>
      <c r="AJ43" s="326"/>
      <c r="AK43" s="326"/>
      <c r="AL43" s="326"/>
      <c r="AM43" s="326"/>
      <c r="AN43" s="326"/>
      <c r="AO43" s="326"/>
      <c r="AP43" s="326"/>
      <c r="AQ43" s="326"/>
      <c r="AR43" s="326"/>
      <c r="AS43" s="326"/>
    </row>
    <row r="44" spans="1:45" ht="14.4">
      <c r="A44" s="204">
        <v>11</v>
      </c>
      <c r="B44" s="201" t="s">
        <v>227</v>
      </c>
      <c r="C44" s="343"/>
      <c r="D44" s="343"/>
      <c r="E44" s="343"/>
      <c r="F44" s="343"/>
      <c r="G44" s="343"/>
      <c r="H44" s="343"/>
      <c r="I44" s="343"/>
      <c r="J44" s="343"/>
      <c r="K44" s="343"/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  <c r="Z44" s="274"/>
      <c r="AA44" s="274"/>
      <c r="AB44" s="274"/>
      <c r="AC44" s="274"/>
      <c r="AD44" s="274"/>
      <c r="AE44" s="274"/>
      <c r="AF44" s="274"/>
      <c r="AG44" s="274"/>
      <c r="AH44" s="274"/>
      <c r="AI44" s="274"/>
      <c r="AJ44" s="274"/>
      <c r="AK44" s="274"/>
      <c r="AL44" s="274"/>
      <c r="AM44" s="274"/>
      <c r="AN44" s="274"/>
      <c r="AO44" s="274"/>
      <c r="AP44" s="274"/>
      <c r="AQ44" s="274"/>
      <c r="AR44" s="274"/>
      <c r="AS44" s="274"/>
    </row>
    <row r="45" spans="1:45" ht="14.4">
      <c r="A45" s="204">
        <v>11</v>
      </c>
      <c r="B45" s="201" t="s">
        <v>228</v>
      </c>
      <c r="C45" s="344"/>
      <c r="D45" s="344"/>
      <c r="E45" s="344"/>
      <c r="F45" s="344"/>
      <c r="G45" s="344"/>
      <c r="H45" s="344"/>
      <c r="I45" s="344"/>
      <c r="J45" s="344"/>
      <c r="K45" s="344"/>
      <c r="L45" s="326"/>
      <c r="M45" s="326"/>
      <c r="N45" s="326"/>
      <c r="O45" s="326"/>
      <c r="P45" s="326"/>
      <c r="Q45" s="326"/>
      <c r="R45" s="326"/>
      <c r="S45" s="326"/>
      <c r="T45" s="326"/>
      <c r="U45" s="326"/>
      <c r="V45" s="326"/>
      <c r="W45" s="326"/>
      <c r="X45" s="326"/>
      <c r="Y45" s="326"/>
      <c r="Z45" s="326"/>
      <c r="AA45" s="326"/>
      <c r="AB45" s="326"/>
      <c r="AC45" s="326"/>
      <c r="AD45" s="326"/>
      <c r="AE45" s="326"/>
      <c r="AF45" s="326"/>
      <c r="AG45" s="326"/>
      <c r="AH45" s="326"/>
      <c r="AI45" s="326"/>
      <c r="AJ45" s="326"/>
      <c r="AK45" s="326"/>
      <c r="AL45" s="326"/>
      <c r="AM45" s="326"/>
      <c r="AN45" s="326"/>
      <c r="AO45" s="326"/>
      <c r="AP45" s="326"/>
      <c r="AQ45" s="326"/>
      <c r="AR45" s="326"/>
      <c r="AS45" s="326"/>
    </row>
    <row r="46" spans="1:45" ht="14.4">
      <c r="A46" s="203">
        <v>12</v>
      </c>
      <c r="B46" s="200" t="s">
        <v>221</v>
      </c>
      <c r="C46" s="343"/>
      <c r="D46" s="343"/>
      <c r="E46" s="343"/>
      <c r="F46" s="343"/>
      <c r="G46" s="343"/>
      <c r="H46" s="343"/>
      <c r="I46" s="343"/>
      <c r="J46" s="343"/>
      <c r="K46" s="343"/>
      <c r="L46" s="274"/>
      <c r="M46" s="274"/>
      <c r="N46" s="274"/>
      <c r="O46" s="274"/>
      <c r="P46" s="274"/>
      <c r="Q46" s="274"/>
      <c r="R46" s="274"/>
      <c r="S46" s="274"/>
      <c r="T46" s="274"/>
      <c r="U46" s="274"/>
      <c r="V46" s="274"/>
      <c r="W46" s="274"/>
      <c r="X46" s="274"/>
      <c r="Y46" s="274"/>
      <c r="Z46" s="274"/>
      <c r="AA46" s="274"/>
      <c r="AB46" s="274"/>
      <c r="AC46" s="274"/>
      <c r="AD46" s="274"/>
      <c r="AE46" s="274"/>
      <c r="AF46" s="274"/>
      <c r="AG46" s="274"/>
      <c r="AH46" s="274"/>
      <c r="AI46" s="274"/>
      <c r="AJ46" s="274"/>
      <c r="AK46" s="274"/>
      <c r="AL46" s="274"/>
      <c r="AM46" s="274"/>
      <c r="AN46" s="274"/>
      <c r="AO46" s="274"/>
      <c r="AP46" s="274"/>
      <c r="AQ46" s="274"/>
      <c r="AR46" s="274"/>
      <c r="AS46" s="274"/>
    </row>
    <row r="47" spans="1:45" ht="14.4">
      <c r="A47" s="204">
        <v>12</v>
      </c>
      <c r="B47" s="201" t="s">
        <v>222</v>
      </c>
      <c r="C47" s="344"/>
      <c r="D47" s="344"/>
      <c r="E47" s="344"/>
      <c r="F47" s="344"/>
      <c r="G47" s="344"/>
      <c r="H47" s="344"/>
      <c r="I47" s="344"/>
      <c r="J47" s="344"/>
      <c r="K47" s="344"/>
      <c r="L47" s="326"/>
      <c r="M47" s="326"/>
      <c r="N47" s="326"/>
      <c r="O47" s="326"/>
      <c r="P47" s="326"/>
      <c r="Q47" s="326"/>
      <c r="R47" s="326"/>
      <c r="S47" s="326"/>
      <c r="T47" s="326"/>
      <c r="U47" s="326"/>
      <c r="V47" s="326"/>
      <c r="W47" s="326"/>
      <c r="X47" s="326"/>
      <c r="Y47" s="326"/>
      <c r="Z47" s="326"/>
      <c r="AA47" s="326"/>
      <c r="AB47" s="326"/>
      <c r="AC47" s="326"/>
      <c r="AD47" s="326"/>
      <c r="AE47" s="326"/>
      <c r="AF47" s="326"/>
      <c r="AG47" s="326"/>
      <c r="AH47" s="326"/>
      <c r="AI47" s="326"/>
      <c r="AJ47" s="326"/>
      <c r="AK47" s="326"/>
      <c r="AL47" s="326"/>
      <c r="AM47" s="326"/>
      <c r="AN47" s="326"/>
      <c r="AO47" s="326"/>
      <c r="AP47" s="326"/>
      <c r="AQ47" s="326"/>
      <c r="AR47" s="326"/>
      <c r="AS47" s="326"/>
    </row>
    <row r="48" spans="1:45" ht="14.4">
      <c r="A48" s="204">
        <v>12</v>
      </c>
      <c r="B48" s="201" t="s">
        <v>223</v>
      </c>
      <c r="C48" s="343"/>
      <c r="D48" s="343"/>
      <c r="E48" s="343"/>
      <c r="F48" s="343"/>
      <c r="G48" s="343"/>
      <c r="H48" s="343"/>
      <c r="I48" s="343"/>
      <c r="J48" s="343"/>
      <c r="K48" s="343"/>
      <c r="L48" s="274"/>
      <c r="M48" s="274"/>
      <c r="N48" s="274"/>
      <c r="O48" s="274"/>
      <c r="P48" s="274"/>
      <c r="Q48" s="274"/>
      <c r="R48" s="274"/>
      <c r="S48" s="274"/>
      <c r="T48" s="274"/>
      <c r="U48" s="274"/>
      <c r="V48" s="274"/>
      <c r="W48" s="274"/>
      <c r="X48" s="274"/>
      <c r="Y48" s="274"/>
      <c r="Z48" s="274"/>
      <c r="AA48" s="274"/>
      <c r="AB48" s="274"/>
      <c r="AC48" s="274"/>
      <c r="AD48" s="274"/>
      <c r="AE48" s="274"/>
      <c r="AF48" s="274"/>
      <c r="AG48" s="274"/>
      <c r="AH48" s="274"/>
      <c r="AI48" s="274"/>
      <c r="AJ48" s="274"/>
      <c r="AK48" s="274"/>
      <c r="AL48" s="274"/>
      <c r="AM48" s="274"/>
      <c r="AN48" s="274"/>
      <c r="AO48" s="274"/>
      <c r="AP48" s="274"/>
      <c r="AQ48" s="274"/>
      <c r="AR48" s="274"/>
      <c r="AS48" s="274"/>
    </row>
    <row r="49" spans="1:45" ht="14.4">
      <c r="A49" s="204">
        <v>12</v>
      </c>
      <c r="B49" s="201" t="s">
        <v>224</v>
      </c>
      <c r="C49" s="344"/>
      <c r="D49" s="344"/>
      <c r="E49" s="344"/>
      <c r="F49" s="344"/>
      <c r="G49" s="344"/>
      <c r="H49" s="344"/>
      <c r="I49" s="344"/>
      <c r="J49" s="344"/>
      <c r="K49" s="344"/>
      <c r="L49" s="326"/>
      <c r="M49" s="326"/>
      <c r="N49" s="326"/>
      <c r="O49" s="326"/>
      <c r="P49" s="326"/>
      <c r="Q49" s="326"/>
      <c r="R49" s="326"/>
      <c r="S49" s="326"/>
      <c r="T49" s="326"/>
      <c r="U49" s="326"/>
      <c r="V49" s="326"/>
      <c r="W49" s="326"/>
      <c r="X49" s="326"/>
      <c r="Y49" s="326"/>
      <c r="Z49" s="326"/>
      <c r="AA49" s="326"/>
      <c r="AB49" s="326"/>
      <c r="AC49" s="326"/>
      <c r="AD49" s="326"/>
      <c r="AE49" s="326"/>
      <c r="AF49" s="326"/>
      <c r="AG49" s="326"/>
      <c r="AH49" s="326"/>
      <c r="AI49" s="326"/>
      <c r="AJ49" s="326"/>
      <c r="AK49" s="326"/>
      <c r="AL49" s="326"/>
      <c r="AM49" s="326"/>
      <c r="AN49" s="326"/>
      <c r="AO49" s="326"/>
      <c r="AP49" s="326"/>
      <c r="AQ49" s="326"/>
      <c r="AR49" s="326"/>
      <c r="AS49" s="326"/>
    </row>
    <row r="50" spans="1:45" ht="14.4">
      <c r="A50" s="204">
        <v>12</v>
      </c>
      <c r="B50" s="201" t="s">
        <v>229</v>
      </c>
      <c r="C50" s="343"/>
      <c r="D50" s="343"/>
      <c r="E50" s="343"/>
      <c r="F50" s="343"/>
      <c r="G50" s="343"/>
      <c r="H50" s="343"/>
      <c r="I50" s="343"/>
      <c r="J50" s="343"/>
      <c r="K50" s="343"/>
      <c r="L50" s="274"/>
      <c r="M50" s="274"/>
      <c r="N50" s="274"/>
      <c r="O50" s="274"/>
      <c r="P50" s="274"/>
      <c r="Q50" s="274"/>
      <c r="R50" s="274"/>
      <c r="S50" s="274"/>
      <c r="T50" s="274"/>
      <c r="U50" s="274"/>
      <c r="V50" s="274"/>
      <c r="W50" s="274"/>
      <c r="X50" s="274"/>
      <c r="Y50" s="274"/>
      <c r="Z50" s="274"/>
      <c r="AA50" s="274"/>
      <c r="AB50" s="274"/>
      <c r="AC50" s="274"/>
      <c r="AD50" s="274"/>
      <c r="AE50" s="274"/>
      <c r="AF50" s="274"/>
      <c r="AG50" s="274"/>
      <c r="AH50" s="274"/>
      <c r="AI50" s="274"/>
      <c r="AJ50" s="274"/>
      <c r="AK50" s="274"/>
      <c r="AL50" s="274"/>
      <c r="AM50" s="274"/>
      <c r="AN50" s="274"/>
      <c r="AO50" s="274"/>
      <c r="AP50" s="274"/>
      <c r="AQ50" s="274"/>
      <c r="AR50" s="274"/>
      <c r="AS50" s="274"/>
    </row>
    <row r="51" spans="1:45" ht="14.4">
      <c r="A51" s="203">
        <v>12</v>
      </c>
      <c r="B51" s="200" t="s">
        <v>225</v>
      </c>
      <c r="C51" s="344"/>
      <c r="D51" s="344"/>
      <c r="E51" s="344"/>
      <c r="F51" s="344"/>
      <c r="G51" s="344"/>
      <c r="H51" s="344"/>
      <c r="I51" s="344"/>
      <c r="J51" s="344"/>
      <c r="K51" s="344"/>
      <c r="L51" s="326"/>
      <c r="M51" s="326"/>
      <c r="N51" s="326"/>
      <c r="O51" s="326"/>
      <c r="P51" s="326"/>
      <c r="Q51" s="326"/>
      <c r="R51" s="326"/>
      <c r="S51" s="326"/>
      <c r="T51" s="326"/>
      <c r="U51" s="326"/>
      <c r="V51" s="326"/>
      <c r="W51" s="326"/>
      <c r="X51" s="326"/>
      <c r="Y51" s="326"/>
      <c r="Z51" s="326"/>
      <c r="AA51" s="326"/>
      <c r="AB51" s="326"/>
      <c r="AC51" s="326"/>
      <c r="AD51" s="326"/>
      <c r="AE51" s="326"/>
      <c r="AF51" s="326"/>
      <c r="AG51" s="326"/>
      <c r="AH51" s="326"/>
      <c r="AI51" s="326"/>
      <c r="AJ51" s="326"/>
      <c r="AK51" s="326"/>
      <c r="AL51" s="326"/>
      <c r="AM51" s="326"/>
      <c r="AN51" s="326"/>
      <c r="AO51" s="326"/>
      <c r="AP51" s="326"/>
      <c r="AQ51" s="326"/>
      <c r="AR51" s="326"/>
      <c r="AS51" s="326"/>
    </row>
    <row r="52" spans="1:45" ht="14.4">
      <c r="A52" s="204">
        <v>12</v>
      </c>
      <c r="B52" s="201" t="s">
        <v>226</v>
      </c>
      <c r="C52" s="343"/>
      <c r="D52" s="343"/>
      <c r="E52" s="343"/>
      <c r="F52" s="343"/>
      <c r="G52" s="343"/>
      <c r="H52" s="343"/>
      <c r="I52" s="343"/>
      <c r="J52" s="343"/>
      <c r="K52" s="343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  <c r="Z52" s="274"/>
      <c r="AA52" s="274"/>
      <c r="AB52" s="274"/>
      <c r="AC52" s="274"/>
      <c r="AD52" s="274"/>
      <c r="AE52" s="274"/>
      <c r="AF52" s="274"/>
      <c r="AG52" s="274"/>
      <c r="AH52" s="274"/>
      <c r="AI52" s="274"/>
      <c r="AJ52" s="274"/>
      <c r="AK52" s="274"/>
      <c r="AL52" s="274"/>
      <c r="AM52" s="274"/>
      <c r="AN52" s="274"/>
      <c r="AO52" s="274"/>
      <c r="AP52" s="274"/>
      <c r="AQ52" s="274"/>
      <c r="AR52" s="274"/>
      <c r="AS52" s="274"/>
    </row>
    <row r="53" spans="1:45" ht="14.4">
      <c r="A53" s="204">
        <v>12</v>
      </c>
      <c r="B53" s="201" t="s">
        <v>227</v>
      </c>
      <c r="C53" s="344"/>
      <c r="D53" s="344"/>
      <c r="E53" s="344"/>
      <c r="F53" s="344"/>
      <c r="G53" s="344"/>
      <c r="H53" s="344"/>
      <c r="I53" s="344"/>
      <c r="J53" s="344"/>
      <c r="K53" s="344"/>
      <c r="L53" s="326"/>
      <c r="M53" s="326"/>
      <c r="N53" s="326"/>
      <c r="O53" s="326"/>
      <c r="P53" s="326"/>
      <c r="Q53" s="326"/>
      <c r="R53" s="326"/>
      <c r="S53" s="326"/>
      <c r="T53" s="326"/>
      <c r="U53" s="326"/>
      <c r="V53" s="326"/>
      <c r="W53" s="326"/>
      <c r="X53" s="326"/>
      <c r="Y53" s="326"/>
      <c r="Z53" s="326"/>
      <c r="AA53" s="326"/>
      <c r="AB53" s="326"/>
      <c r="AC53" s="326"/>
      <c r="AD53" s="326"/>
      <c r="AE53" s="326"/>
      <c r="AF53" s="326"/>
      <c r="AG53" s="326"/>
      <c r="AH53" s="326"/>
      <c r="AI53" s="326"/>
      <c r="AJ53" s="326"/>
      <c r="AK53" s="326"/>
      <c r="AL53" s="326"/>
      <c r="AM53" s="326"/>
      <c r="AN53" s="326"/>
      <c r="AO53" s="326"/>
      <c r="AP53" s="326"/>
      <c r="AQ53" s="326"/>
      <c r="AR53" s="326"/>
      <c r="AS53" s="326"/>
    </row>
    <row r="54" spans="1:45" ht="14.4">
      <c r="A54" s="204">
        <v>12</v>
      </c>
      <c r="B54" s="201" t="s">
        <v>228</v>
      </c>
      <c r="C54" s="343"/>
      <c r="D54" s="343"/>
      <c r="E54" s="343"/>
      <c r="F54" s="343"/>
      <c r="G54" s="343"/>
      <c r="H54" s="343"/>
      <c r="I54" s="343"/>
      <c r="J54" s="343"/>
      <c r="K54" s="343"/>
      <c r="L54" s="274"/>
      <c r="M54" s="274"/>
      <c r="N54" s="274"/>
      <c r="O54" s="274"/>
      <c r="P54" s="274"/>
      <c r="Q54" s="274"/>
      <c r="R54" s="274"/>
      <c r="S54" s="274"/>
      <c r="T54" s="274"/>
      <c r="U54" s="274"/>
      <c r="V54" s="274"/>
      <c r="W54" s="274"/>
      <c r="X54" s="274"/>
      <c r="Y54" s="274"/>
      <c r="Z54" s="274"/>
      <c r="AA54" s="274"/>
      <c r="AB54" s="274"/>
      <c r="AC54" s="274"/>
      <c r="AD54" s="274"/>
      <c r="AE54" s="274"/>
      <c r="AF54" s="274"/>
      <c r="AG54" s="274"/>
      <c r="AH54" s="274"/>
      <c r="AI54" s="274"/>
      <c r="AJ54" s="274"/>
      <c r="AK54" s="274"/>
      <c r="AL54" s="274"/>
      <c r="AM54" s="274"/>
      <c r="AN54" s="274"/>
      <c r="AO54" s="274"/>
      <c r="AP54" s="274"/>
      <c r="AQ54" s="274"/>
      <c r="AR54" s="274"/>
      <c r="AS54" s="274"/>
    </row>
    <row r="55" spans="1:45" ht="14.4">
      <c r="A55" s="204">
        <v>12</v>
      </c>
      <c r="B55" s="201" t="s">
        <v>230</v>
      </c>
      <c r="C55" s="344"/>
      <c r="D55" s="344"/>
      <c r="E55" s="344"/>
      <c r="F55" s="344"/>
      <c r="G55" s="344"/>
      <c r="H55" s="344"/>
      <c r="I55" s="344"/>
      <c r="J55" s="344"/>
      <c r="K55" s="344"/>
      <c r="L55" s="326"/>
      <c r="M55" s="326"/>
      <c r="N55" s="326"/>
      <c r="O55" s="326"/>
      <c r="P55" s="326"/>
      <c r="Q55" s="326"/>
      <c r="R55" s="326"/>
      <c r="S55" s="326"/>
      <c r="T55" s="326"/>
      <c r="U55" s="326"/>
      <c r="V55" s="326"/>
      <c r="W55" s="326"/>
      <c r="X55" s="326"/>
      <c r="Y55" s="326"/>
      <c r="Z55" s="326"/>
      <c r="AA55" s="326"/>
      <c r="AB55" s="326"/>
      <c r="AC55" s="326"/>
      <c r="AD55" s="326"/>
      <c r="AE55" s="326"/>
      <c r="AF55" s="326"/>
      <c r="AG55" s="326"/>
      <c r="AH55" s="326"/>
      <c r="AI55" s="326"/>
      <c r="AJ55" s="326"/>
      <c r="AK55" s="326"/>
      <c r="AL55" s="326"/>
      <c r="AM55" s="326"/>
      <c r="AN55" s="326"/>
      <c r="AO55" s="326"/>
      <c r="AP55" s="326"/>
      <c r="AQ55" s="326"/>
      <c r="AR55" s="326"/>
      <c r="AS55" s="326"/>
    </row>
    <row r="56" spans="1:45" ht="14.4">
      <c r="A56" s="203">
        <v>13</v>
      </c>
      <c r="B56" s="200">
        <v>1</v>
      </c>
      <c r="C56" s="343"/>
      <c r="D56" s="343"/>
      <c r="E56" s="343"/>
      <c r="F56" s="343"/>
      <c r="G56" s="343"/>
      <c r="H56" s="343"/>
      <c r="I56" s="343"/>
      <c r="J56" s="343"/>
      <c r="K56" s="343"/>
      <c r="L56" s="274"/>
      <c r="M56" s="274"/>
      <c r="N56" s="274"/>
      <c r="O56" s="274"/>
      <c r="P56" s="274"/>
      <c r="Q56" s="274"/>
      <c r="R56" s="274"/>
      <c r="S56" s="274"/>
      <c r="T56" s="274"/>
      <c r="U56" s="274"/>
      <c r="V56" s="274"/>
      <c r="W56" s="274"/>
      <c r="X56" s="274"/>
      <c r="Y56" s="274"/>
      <c r="Z56" s="274"/>
      <c r="AA56" s="274"/>
      <c r="AB56" s="274"/>
      <c r="AC56" s="274"/>
      <c r="AD56" s="274"/>
      <c r="AE56" s="274"/>
      <c r="AF56" s="274"/>
      <c r="AG56" s="274"/>
      <c r="AH56" s="274"/>
      <c r="AI56" s="274"/>
      <c r="AJ56" s="274"/>
      <c r="AK56" s="274"/>
      <c r="AL56" s="274"/>
      <c r="AM56" s="274"/>
      <c r="AN56" s="274"/>
      <c r="AO56" s="274"/>
      <c r="AP56" s="274"/>
      <c r="AQ56" s="274"/>
      <c r="AR56" s="274"/>
      <c r="AS56" s="274"/>
    </row>
    <row r="57" spans="1:45" ht="14.4">
      <c r="A57" s="204">
        <v>13</v>
      </c>
      <c r="B57" s="201">
        <v>2</v>
      </c>
      <c r="C57" s="344"/>
      <c r="D57" s="344"/>
      <c r="E57" s="344"/>
      <c r="F57" s="344"/>
      <c r="G57" s="344"/>
      <c r="H57" s="344"/>
      <c r="I57" s="344"/>
      <c r="J57" s="344"/>
      <c r="K57" s="344"/>
      <c r="L57" s="326"/>
      <c r="M57" s="326"/>
      <c r="N57" s="326"/>
      <c r="O57" s="326"/>
      <c r="P57" s="326"/>
      <c r="Q57" s="326"/>
      <c r="R57" s="326"/>
      <c r="S57" s="326"/>
      <c r="T57" s="326"/>
      <c r="U57" s="326"/>
      <c r="V57" s="326"/>
      <c r="W57" s="326"/>
      <c r="X57" s="326"/>
      <c r="Y57" s="326"/>
      <c r="Z57" s="326"/>
      <c r="AA57" s="326"/>
      <c r="AB57" s="326"/>
      <c r="AC57" s="326"/>
      <c r="AD57" s="326"/>
      <c r="AE57" s="326"/>
      <c r="AF57" s="326"/>
      <c r="AG57" s="326"/>
      <c r="AH57" s="326"/>
      <c r="AI57" s="326"/>
      <c r="AJ57" s="326"/>
      <c r="AK57" s="326"/>
      <c r="AL57" s="326"/>
      <c r="AM57" s="326"/>
      <c r="AN57" s="326"/>
      <c r="AO57" s="326"/>
      <c r="AP57" s="326"/>
      <c r="AQ57" s="326"/>
      <c r="AR57" s="326"/>
      <c r="AS57" s="326"/>
    </row>
    <row r="58" spans="1:45" ht="14.4">
      <c r="A58" s="204">
        <v>13</v>
      </c>
      <c r="B58" s="201">
        <v>3</v>
      </c>
      <c r="C58" s="343"/>
      <c r="D58" s="343"/>
      <c r="E58" s="343"/>
      <c r="F58" s="343"/>
      <c r="G58" s="343"/>
      <c r="H58" s="343"/>
      <c r="I58" s="343"/>
      <c r="J58" s="343"/>
      <c r="K58" s="343"/>
      <c r="L58" s="274"/>
      <c r="M58" s="274"/>
      <c r="N58" s="274"/>
      <c r="O58" s="274"/>
      <c r="P58" s="274"/>
      <c r="Q58" s="274"/>
      <c r="R58" s="274"/>
      <c r="S58" s="274"/>
      <c r="T58" s="274"/>
      <c r="U58" s="274"/>
      <c r="V58" s="274"/>
      <c r="W58" s="274"/>
      <c r="X58" s="274"/>
      <c r="Y58" s="274"/>
      <c r="Z58" s="274"/>
      <c r="AA58" s="274"/>
      <c r="AB58" s="274"/>
      <c r="AC58" s="274"/>
      <c r="AD58" s="274"/>
      <c r="AE58" s="274"/>
      <c r="AF58" s="274"/>
      <c r="AG58" s="274"/>
      <c r="AH58" s="274"/>
      <c r="AI58" s="274"/>
      <c r="AJ58" s="274"/>
      <c r="AK58" s="274"/>
      <c r="AL58" s="274"/>
      <c r="AM58" s="274"/>
      <c r="AN58" s="274"/>
      <c r="AO58" s="274"/>
      <c r="AP58" s="274"/>
      <c r="AQ58" s="274"/>
      <c r="AR58" s="274"/>
      <c r="AS58" s="274"/>
    </row>
    <row r="59" spans="1:45" ht="14.4">
      <c r="A59" s="204">
        <v>13</v>
      </c>
      <c r="B59" s="201">
        <v>4</v>
      </c>
      <c r="C59" s="344"/>
      <c r="D59" s="344"/>
      <c r="E59" s="344"/>
      <c r="F59" s="344"/>
      <c r="G59" s="344"/>
      <c r="H59" s="344"/>
      <c r="I59" s="344"/>
      <c r="J59" s="344"/>
      <c r="K59" s="344"/>
      <c r="L59" s="326"/>
      <c r="M59" s="326"/>
      <c r="N59" s="326"/>
      <c r="O59" s="326"/>
      <c r="P59" s="326"/>
      <c r="Q59" s="326"/>
      <c r="R59" s="326"/>
      <c r="S59" s="326"/>
      <c r="T59" s="326"/>
      <c r="U59" s="326"/>
      <c r="V59" s="326"/>
      <c r="W59" s="326"/>
      <c r="X59" s="326"/>
      <c r="Y59" s="326"/>
      <c r="Z59" s="326"/>
      <c r="AA59" s="326"/>
      <c r="AB59" s="326"/>
      <c r="AC59" s="326"/>
      <c r="AD59" s="326"/>
      <c r="AE59" s="326"/>
      <c r="AF59" s="326"/>
      <c r="AG59" s="326"/>
      <c r="AH59" s="326"/>
      <c r="AI59" s="326"/>
      <c r="AJ59" s="326"/>
      <c r="AK59" s="326"/>
      <c r="AL59" s="326"/>
      <c r="AM59" s="326"/>
      <c r="AN59" s="326"/>
      <c r="AO59" s="326"/>
      <c r="AP59" s="326"/>
      <c r="AQ59" s="326"/>
      <c r="AR59" s="326"/>
      <c r="AS59" s="326"/>
    </row>
    <row r="60" spans="1:45" ht="14.4">
      <c r="A60" s="204">
        <v>13</v>
      </c>
      <c r="B60" s="201">
        <v>5</v>
      </c>
      <c r="C60" s="343"/>
      <c r="D60" s="343"/>
      <c r="E60" s="343"/>
      <c r="F60" s="343"/>
      <c r="G60" s="343"/>
      <c r="H60" s="343"/>
      <c r="I60" s="343"/>
      <c r="J60" s="343"/>
      <c r="K60" s="343"/>
      <c r="L60" s="274"/>
      <c r="M60" s="274"/>
      <c r="N60" s="274"/>
      <c r="O60" s="274"/>
      <c r="P60" s="274"/>
      <c r="Q60" s="274"/>
      <c r="R60" s="274"/>
      <c r="S60" s="274"/>
      <c r="T60" s="274"/>
      <c r="U60" s="274"/>
      <c r="V60" s="274"/>
      <c r="W60" s="274"/>
      <c r="X60" s="274"/>
      <c r="Y60" s="274"/>
      <c r="Z60" s="274"/>
      <c r="AA60" s="274"/>
      <c r="AB60" s="274"/>
      <c r="AC60" s="274"/>
      <c r="AD60" s="274"/>
      <c r="AE60" s="274"/>
      <c r="AF60" s="274"/>
      <c r="AG60" s="274"/>
      <c r="AH60" s="274"/>
      <c r="AI60" s="274"/>
      <c r="AJ60" s="274"/>
      <c r="AK60" s="274"/>
      <c r="AL60" s="274"/>
      <c r="AM60" s="274"/>
      <c r="AN60" s="274"/>
      <c r="AO60" s="274"/>
      <c r="AP60" s="274"/>
      <c r="AQ60" s="274"/>
      <c r="AR60" s="274"/>
      <c r="AS60" s="274"/>
    </row>
    <row r="61" spans="1:45" ht="14.4">
      <c r="A61" s="204">
        <v>13</v>
      </c>
      <c r="B61" s="201">
        <v>6</v>
      </c>
      <c r="C61" s="344"/>
      <c r="D61" s="344"/>
      <c r="E61" s="344"/>
      <c r="F61" s="344"/>
      <c r="G61" s="344"/>
      <c r="H61" s="344"/>
      <c r="I61" s="344"/>
      <c r="J61" s="344"/>
      <c r="K61" s="344"/>
      <c r="L61" s="326"/>
      <c r="M61" s="326"/>
      <c r="N61" s="326"/>
      <c r="O61" s="326"/>
      <c r="P61" s="326"/>
      <c r="Q61" s="326"/>
      <c r="R61" s="326"/>
      <c r="S61" s="326"/>
      <c r="T61" s="326"/>
      <c r="U61" s="326"/>
      <c r="V61" s="326"/>
      <c r="W61" s="326"/>
      <c r="X61" s="326"/>
      <c r="Y61" s="326"/>
      <c r="Z61" s="326"/>
      <c r="AA61" s="326"/>
      <c r="AB61" s="326"/>
      <c r="AC61" s="326"/>
      <c r="AD61" s="326"/>
      <c r="AE61" s="326"/>
      <c r="AF61" s="326"/>
      <c r="AG61" s="326"/>
      <c r="AH61" s="326"/>
      <c r="AI61" s="326"/>
      <c r="AJ61" s="326"/>
      <c r="AK61" s="326"/>
      <c r="AL61" s="326"/>
      <c r="AM61" s="326"/>
      <c r="AN61" s="326"/>
      <c r="AO61" s="326"/>
      <c r="AP61" s="326"/>
      <c r="AQ61" s="326"/>
      <c r="AR61" s="326"/>
      <c r="AS61" s="326"/>
    </row>
    <row r="62" spans="1:45" ht="14.4">
      <c r="A62" s="204">
        <v>13</v>
      </c>
      <c r="B62" s="201">
        <v>7</v>
      </c>
      <c r="C62" s="343"/>
      <c r="D62" s="343"/>
      <c r="E62" s="343"/>
      <c r="F62" s="343"/>
      <c r="G62" s="343"/>
      <c r="H62" s="343"/>
      <c r="I62" s="343"/>
      <c r="J62" s="343"/>
      <c r="K62" s="343"/>
      <c r="L62" s="274"/>
      <c r="M62" s="274"/>
      <c r="N62" s="274"/>
      <c r="O62" s="274"/>
      <c r="P62" s="274"/>
      <c r="Q62" s="274"/>
      <c r="R62" s="274"/>
      <c r="S62" s="274"/>
      <c r="T62" s="274"/>
      <c r="U62" s="274"/>
      <c r="V62" s="274"/>
      <c r="W62" s="274"/>
      <c r="X62" s="274"/>
      <c r="Y62" s="274"/>
      <c r="Z62" s="274"/>
      <c r="AA62" s="274"/>
      <c r="AB62" s="274"/>
      <c r="AC62" s="274"/>
      <c r="AD62" s="274"/>
      <c r="AE62" s="274"/>
      <c r="AF62" s="274"/>
      <c r="AG62" s="274"/>
      <c r="AH62" s="274"/>
      <c r="AI62" s="274"/>
      <c r="AJ62" s="274"/>
      <c r="AK62" s="274"/>
      <c r="AL62" s="274"/>
      <c r="AM62" s="274"/>
      <c r="AN62" s="274"/>
      <c r="AO62" s="274"/>
      <c r="AP62" s="274"/>
      <c r="AQ62" s="274"/>
      <c r="AR62" s="274"/>
      <c r="AS62" s="274"/>
    </row>
    <row r="63" spans="1:45" ht="14.4">
      <c r="A63" s="204">
        <v>13</v>
      </c>
      <c r="B63" s="201">
        <v>8</v>
      </c>
      <c r="C63" s="344"/>
      <c r="D63" s="344"/>
      <c r="E63" s="344"/>
      <c r="F63" s="344"/>
      <c r="G63" s="344"/>
      <c r="H63" s="344"/>
      <c r="I63" s="344"/>
      <c r="J63" s="344"/>
      <c r="K63" s="344"/>
      <c r="L63" s="326"/>
      <c r="M63" s="326"/>
      <c r="N63" s="326"/>
      <c r="O63" s="326"/>
      <c r="P63" s="326"/>
      <c r="Q63" s="326"/>
      <c r="R63" s="326"/>
      <c r="S63" s="326"/>
      <c r="T63" s="326"/>
      <c r="U63" s="326"/>
      <c r="V63" s="326"/>
      <c r="W63" s="326"/>
      <c r="X63" s="326"/>
      <c r="Y63" s="326"/>
      <c r="Z63" s="326"/>
      <c r="AA63" s="326"/>
      <c r="AB63" s="326"/>
      <c r="AC63" s="326"/>
      <c r="AD63" s="326"/>
      <c r="AE63" s="326"/>
      <c r="AF63" s="326"/>
      <c r="AG63" s="326"/>
      <c r="AH63" s="326"/>
      <c r="AI63" s="326"/>
      <c r="AJ63" s="326"/>
      <c r="AK63" s="326"/>
      <c r="AL63" s="326"/>
      <c r="AM63" s="326"/>
      <c r="AN63" s="326"/>
      <c r="AO63" s="326"/>
      <c r="AP63" s="326"/>
      <c r="AQ63" s="326"/>
      <c r="AR63" s="326"/>
      <c r="AS63" s="326"/>
    </row>
    <row r="64" spans="1:45" ht="14.4">
      <c r="A64" s="203">
        <v>14</v>
      </c>
      <c r="B64" s="200">
        <v>1</v>
      </c>
      <c r="C64" s="349">
        <v>1294.1039544084299</v>
      </c>
      <c r="D64" s="349">
        <v>1863.24624361837</v>
      </c>
      <c r="E64" s="349">
        <v>2755.2085224235998</v>
      </c>
      <c r="F64" s="349">
        <v>3862.5376794457502</v>
      </c>
      <c r="G64" s="406">
        <v>5414.9031132843902</v>
      </c>
      <c r="H64" s="406">
        <v>7727.3571086088396</v>
      </c>
      <c r="I64" s="406">
        <v>10270.2964936111</v>
      </c>
      <c r="J64" s="406">
        <v>14019.034632327701</v>
      </c>
      <c r="K64" s="406">
        <v>17822.360997014999</v>
      </c>
      <c r="L64" s="406">
        <v>22258.214688227999</v>
      </c>
      <c r="M64" s="406">
        <v>27308.2192569621</v>
      </c>
      <c r="N64" s="406">
        <v>31763.655150792401</v>
      </c>
      <c r="O64" s="406">
        <v>36946.011713350199</v>
      </c>
      <c r="P64" s="340"/>
      <c r="Q64" s="274"/>
      <c r="R64" s="274"/>
      <c r="S64" s="274"/>
      <c r="T64" s="274"/>
      <c r="U64" s="274"/>
      <c r="V64" s="274"/>
      <c r="W64" s="274"/>
      <c r="X64" s="274"/>
      <c r="Y64" s="274"/>
      <c r="Z64" s="274"/>
      <c r="AA64" s="274"/>
      <c r="AB64" s="274"/>
      <c r="AC64" s="274"/>
      <c r="AD64" s="274"/>
      <c r="AE64" s="274"/>
      <c r="AF64" s="274"/>
      <c r="AG64" s="274"/>
      <c r="AH64" s="274"/>
      <c r="AI64" s="274"/>
      <c r="AJ64" s="274"/>
      <c r="AK64" s="274"/>
      <c r="AL64" s="274"/>
      <c r="AM64" s="274"/>
      <c r="AN64" s="274"/>
      <c r="AO64" s="274"/>
      <c r="AP64" s="274"/>
      <c r="AQ64" s="274"/>
      <c r="AR64" s="274"/>
      <c r="AS64" s="274"/>
    </row>
    <row r="65" spans="1:45" ht="14.4">
      <c r="A65" s="204">
        <v>14</v>
      </c>
      <c r="B65" s="201">
        <v>2</v>
      </c>
      <c r="C65" s="409">
        <v>1102.7345482190599</v>
      </c>
      <c r="D65" s="409">
        <v>1491.9187205819201</v>
      </c>
      <c r="E65" s="409">
        <v>2148.0592362295301</v>
      </c>
      <c r="F65" s="409">
        <v>2984.7197872225001</v>
      </c>
      <c r="G65" s="409">
        <v>4147.25349074923</v>
      </c>
      <c r="H65" s="409">
        <v>5918.3511143303504</v>
      </c>
      <c r="I65" s="409">
        <v>8150.7327085643901</v>
      </c>
      <c r="J65" s="409">
        <v>11125.8135723045</v>
      </c>
      <c r="K65" s="409">
        <v>14787.1411621528</v>
      </c>
      <c r="L65" s="409">
        <v>18798.852761086899</v>
      </c>
      <c r="M65" s="409">
        <v>23063.987843131901</v>
      </c>
      <c r="N65" s="409">
        <v>29061.6612368356</v>
      </c>
      <c r="O65" s="409">
        <v>35339.674528287302</v>
      </c>
      <c r="P65" s="338"/>
      <c r="Q65" s="326"/>
      <c r="R65" s="326"/>
      <c r="S65" s="326"/>
      <c r="T65" s="326"/>
      <c r="U65" s="326"/>
      <c r="V65" s="326"/>
      <c r="W65" s="326"/>
      <c r="X65" s="326"/>
      <c r="Y65" s="326"/>
      <c r="Z65" s="326"/>
      <c r="AA65" s="326"/>
      <c r="AB65" s="326"/>
      <c r="AC65" s="326"/>
      <c r="AD65" s="326"/>
      <c r="AE65" s="326"/>
      <c r="AF65" s="326"/>
      <c r="AG65" s="326"/>
      <c r="AH65" s="326"/>
      <c r="AI65" s="326"/>
      <c r="AJ65" s="326"/>
      <c r="AK65" s="326"/>
      <c r="AL65" s="326"/>
      <c r="AM65" s="326"/>
      <c r="AN65" s="326"/>
      <c r="AO65" s="326"/>
      <c r="AP65" s="326"/>
      <c r="AQ65" s="326"/>
      <c r="AR65" s="326"/>
      <c r="AS65" s="326"/>
    </row>
    <row r="66" spans="1:45" ht="14.4">
      <c r="A66" s="204">
        <v>14</v>
      </c>
      <c r="B66" s="201">
        <v>3</v>
      </c>
      <c r="C66" s="408">
        <v>1846.7551109948699</v>
      </c>
      <c r="D66" s="408">
        <v>2326.9944377424699</v>
      </c>
      <c r="E66" s="408">
        <v>3011.37270376896</v>
      </c>
      <c r="F66" s="408">
        <v>3862.5376794457502</v>
      </c>
      <c r="G66" s="408">
        <v>5272.3939888692903</v>
      </c>
      <c r="H66" s="408">
        <v>6702.7780146759496</v>
      </c>
      <c r="I66" s="408">
        <v>8908.5431445663999</v>
      </c>
      <c r="J66" s="408">
        <v>11426.5481623633</v>
      </c>
      <c r="K66" s="408">
        <v>14526.5300722213</v>
      </c>
      <c r="L66" s="408">
        <v>17664.619678672199</v>
      </c>
      <c r="M66" s="408">
        <v>21672.416859702302</v>
      </c>
      <c r="N66" s="408">
        <v>26120.913617840601</v>
      </c>
      <c r="O66" s="408">
        <v>30927.6905204748</v>
      </c>
      <c r="P66" s="340"/>
      <c r="Q66" s="274"/>
      <c r="R66" s="274"/>
      <c r="S66" s="274"/>
      <c r="T66" s="274"/>
      <c r="U66" s="274"/>
      <c r="V66" s="274"/>
      <c r="W66" s="274"/>
      <c r="X66" s="274"/>
      <c r="Y66" s="274"/>
      <c r="Z66" s="274"/>
      <c r="AA66" s="274"/>
      <c r="AB66" s="274"/>
      <c r="AC66" s="274"/>
      <c r="AD66" s="274"/>
      <c r="AE66" s="274"/>
      <c r="AF66" s="274"/>
      <c r="AG66" s="274"/>
      <c r="AH66" s="274"/>
      <c r="AI66" s="274"/>
      <c r="AJ66" s="274"/>
      <c r="AK66" s="274"/>
      <c r="AL66" s="274"/>
      <c r="AM66" s="274"/>
      <c r="AN66" s="274"/>
      <c r="AO66" s="274"/>
      <c r="AP66" s="274"/>
      <c r="AQ66" s="274"/>
      <c r="AR66" s="274"/>
      <c r="AS66" s="274"/>
    </row>
    <row r="67" spans="1:45" ht="14.4">
      <c r="A67" s="204">
        <v>14</v>
      </c>
      <c r="B67" s="201">
        <v>4</v>
      </c>
      <c r="C67" s="344">
        <v>2167.2424209635601</v>
      </c>
      <c r="D67" s="344">
        <v>2432.76614460378</v>
      </c>
      <c r="E67" s="344">
        <v>2635.41767905708</v>
      </c>
      <c r="F67" s="344">
        <v>3350.3982661319401</v>
      </c>
      <c r="G67" s="407">
        <v>4038.1062998707598</v>
      </c>
      <c r="H67" s="407">
        <v>4696.9365254070999</v>
      </c>
      <c r="I67" s="407">
        <v>5711.5851169816897</v>
      </c>
      <c r="J67" s="407">
        <v>7007.4475316398803</v>
      </c>
      <c r="K67" s="407">
        <v>8597.3163753734207</v>
      </c>
      <c r="L67" s="407">
        <v>10454.542155949101</v>
      </c>
      <c r="M67" s="407">
        <v>12600.453698814399</v>
      </c>
      <c r="N67" s="407">
        <v>15322.447604745401</v>
      </c>
      <c r="O67" s="407">
        <v>18798.852761086899</v>
      </c>
      <c r="P67" s="338"/>
      <c r="Q67" s="326"/>
      <c r="R67" s="326"/>
      <c r="S67" s="326"/>
      <c r="T67" s="326"/>
      <c r="U67" s="326"/>
      <c r="V67" s="326"/>
      <c r="W67" s="326"/>
      <c r="X67" s="326"/>
      <c r="Y67" s="326"/>
      <c r="Z67" s="326"/>
      <c r="AA67" s="326"/>
      <c r="AB67" s="326"/>
      <c r="AC67" s="326"/>
      <c r="AD67" s="326"/>
      <c r="AE67" s="326"/>
      <c r="AF67" s="326"/>
      <c r="AG67" s="326"/>
      <c r="AH67" s="326"/>
      <c r="AI67" s="326"/>
      <c r="AJ67" s="326"/>
      <c r="AK67" s="326"/>
      <c r="AL67" s="326"/>
      <c r="AM67" s="326"/>
      <c r="AN67" s="326"/>
      <c r="AO67" s="326"/>
      <c r="AP67" s="326"/>
      <c r="AQ67" s="326"/>
      <c r="AR67" s="326"/>
      <c r="AS67" s="326"/>
    </row>
    <row r="68" spans="1:45" ht="14.4">
      <c r="A68" s="204">
        <v>14</v>
      </c>
      <c r="B68" s="201">
        <v>5</v>
      </c>
      <c r="C68" s="408">
        <v>3380.3189069540099</v>
      </c>
      <c r="D68" s="408">
        <v>3533.9686513302699</v>
      </c>
      <c r="E68" s="408">
        <v>4823.8947087242104</v>
      </c>
      <c r="F68" s="408">
        <v>5414.9031132843902</v>
      </c>
      <c r="G68" s="408">
        <v>6702.7780146759496</v>
      </c>
      <c r="H68" s="408">
        <v>8150.7327085643901</v>
      </c>
      <c r="I68" s="408">
        <v>10362.0115836738</v>
      </c>
      <c r="J68" s="408">
        <v>12712.9644629413</v>
      </c>
      <c r="K68" s="408">
        <v>15459.2790645697</v>
      </c>
      <c r="L68" s="408">
        <v>19306.979159610401</v>
      </c>
      <c r="M68" s="408">
        <v>23898.9228145991</v>
      </c>
      <c r="N68" s="408">
        <v>29321.185670172599</v>
      </c>
      <c r="O68" s="408">
        <v>34716.86564358</v>
      </c>
      <c r="P68" s="340"/>
      <c r="Q68" s="274"/>
      <c r="R68" s="274"/>
      <c r="S68" s="274"/>
      <c r="T68" s="274"/>
      <c r="U68" s="274"/>
      <c r="V68" s="274"/>
      <c r="W68" s="274"/>
      <c r="X68" s="274"/>
      <c r="Y68" s="274"/>
      <c r="Z68" s="274"/>
      <c r="AA68" s="274"/>
      <c r="AB68" s="274"/>
      <c r="AC68" s="274"/>
      <c r="AD68" s="274"/>
      <c r="AE68" s="274"/>
      <c r="AF68" s="274"/>
      <c r="AG68" s="274"/>
      <c r="AH68" s="274"/>
      <c r="AI68" s="274"/>
      <c r="AJ68" s="274"/>
      <c r="AK68" s="274"/>
      <c r="AL68" s="274"/>
      <c r="AM68" s="274"/>
      <c r="AN68" s="274"/>
      <c r="AO68" s="274"/>
      <c r="AP68" s="274"/>
      <c r="AQ68" s="274"/>
      <c r="AR68" s="274"/>
      <c r="AS68" s="274"/>
    </row>
    <row r="69" spans="1:45" ht="14.4">
      <c r="A69" s="204">
        <v>14</v>
      </c>
      <c r="B69" s="201">
        <v>6</v>
      </c>
      <c r="C69" s="407">
        <v>3176.3655150792301</v>
      </c>
      <c r="D69" s="407">
        <v>3931.8289719378399</v>
      </c>
      <c r="E69" s="407">
        <v>4335.7636450445198</v>
      </c>
      <c r="F69" s="407">
        <v>5043.16105882173</v>
      </c>
      <c r="G69" s="407">
        <v>6132.6022802940197</v>
      </c>
      <c r="H69" s="407">
        <v>7070.0225562917904</v>
      </c>
      <c r="I69" s="407">
        <v>8521.2178703560003</v>
      </c>
      <c r="J69" s="407">
        <v>9823.7649630279302</v>
      </c>
      <c r="K69" s="407">
        <v>11426.5481623633</v>
      </c>
      <c r="L69" s="407">
        <v>13173.197437834</v>
      </c>
      <c r="M69" s="407">
        <v>14919.1872058192</v>
      </c>
      <c r="N69" s="407">
        <v>18966.722541009101</v>
      </c>
      <c r="O69" s="407">
        <v>21672.416859702302</v>
      </c>
      <c r="P69" s="338"/>
      <c r="Q69" s="326"/>
      <c r="R69" s="326"/>
      <c r="S69" s="326"/>
      <c r="T69" s="326"/>
      <c r="U69" s="326"/>
      <c r="V69" s="326"/>
      <c r="W69" s="326"/>
      <c r="X69" s="326"/>
      <c r="Y69" s="326"/>
      <c r="Z69" s="326"/>
      <c r="AA69" s="326"/>
      <c r="AB69" s="326"/>
      <c r="AC69" s="326"/>
      <c r="AD69" s="326"/>
      <c r="AE69" s="326"/>
      <c r="AF69" s="326"/>
      <c r="AG69" s="326"/>
      <c r="AH69" s="326"/>
      <c r="AI69" s="326"/>
      <c r="AJ69" s="326"/>
      <c r="AK69" s="326"/>
      <c r="AL69" s="326"/>
      <c r="AM69" s="326"/>
      <c r="AN69" s="326"/>
      <c r="AO69" s="326"/>
      <c r="AP69" s="326"/>
      <c r="AQ69" s="326"/>
      <c r="AR69" s="326"/>
      <c r="AS69" s="326"/>
    </row>
    <row r="70" spans="1:45" ht="14.4">
      <c r="A70" s="204">
        <v>14</v>
      </c>
      <c r="B70" s="201">
        <v>7</v>
      </c>
      <c r="C70" s="408">
        <v>2411.2343319032002</v>
      </c>
      <c r="D70" s="408">
        <v>2706.6530127698202</v>
      </c>
      <c r="E70" s="408">
        <v>2588.9732638646401</v>
      </c>
      <c r="F70" s="408">
        <v>2804.6350848154302</v>
      </c>
      <c r="G70" s="408">
        <v>3120.3878839213198</v>
      </c>
      <c r="H70" s="408">
        <v>3597.3656394762402</v>
      </c>
      <c r="I70" s="408">
        <v>4038.1062998707598</v>
      </c>
      <c r="J70" s="408">
        <v>4781.1963643028203</v>
      </c>
      <c r="K70" s="408">
        <v>5865.9692493604398</v>
      </c>
      <c r="L70" s="408">
        <v>7196.8563813365399</v>
      </c>
      <c r="M70" s="408">
        <v>8988.1006474373207</v>
      </c>
      <c r="N70" s="408">
        <v>11225.1723485776</v>
      </c>
      <c r="O70" s="408">
        <v>14019.034632327701</v>
      </c>
      <c r="P70" s="340"/>
      <c r="Q70" s="274"/>
      <c r="R70" s="274"/>
      <c r="S70" s="274"/>
      <c r="T70" s="274"/>
      <c r="U70" s="274"/>
      <c r="V70" s="274"/>
      <c r="W70" s="274"/>
      <c r="X70" s="274"/>
      <c r="Y70" s="274"/>
      <c r="Z70" s="274"/>
      <c r="AA70" s="274"/>
      <c r="AB70" s="274"/>
      <c r="AC70" s="274"/>
      <c r="AD70" s="274"/>
      <c r="AE70" s="274"/>
      <c r="AF70" s="274"/>
      <c r="AG70" s="274"/>
      <c r="AH70" s="274"/>
      <c r="AI70" s="274"/>
      <c r="AJ70" s="274"/>
      <c r="AK70" s="274"/>
      <c r="AL70" s="274"/>
      <c r="AM70" s="274"/>
      <c r="AN70" s="274"/>
      <c r="AO70" s="274"/>
      <c r="AP70" s="274"/>
      <c r="AQ70" s="274"/>
      <c r="AR70" s="274"/>
      <c r="AS70" s="274"/>
    </row>
    <row r="71" spans="1:45" ht="14.4">
      <c r="A71" s="204">
        <v>14</v>
      </c>
      <c r="B71" s="201">
        <v>8</v>
      </c>
      <c r="C71" s="407">
        <v>4413.5472823130003</v>
      </c>
      <c r="D71" s="407">
        <v>4335.7636450445198</v>
      </c>
      <c r="E71" s="407">
        <v>4335.7636450445198</v>
      </c>
      <c r="F71" s="407">
        <v>4413.5472823130003</v>
      </c>
      <c r="G71" s="407">
        <v>4374.4810975475102</v>
      </c>
      <c r="H71" s="407">
        <v>4413.5472823130003</v>
      </c>
      <c r="I71" s="407">
        <v>4910.4320908685804</v>
      </c>
      <c r="J71" s="407">
        <v>5661.0332868211999</v>
      </c>
      <c r="K71" s="407">
        <v>6132.6022802940197</v>
      </c>
      <c r="L71" s="407">
        <v>6762.6324049672503</v>
      </c>
      <c r="M71" s="407">
        <v>7391.3873925235403</v>
      </c>
      <c r="N71" s="407">
        <v>8988.1006474373207</v>
      </c>
      <c r="O71" s="407">
        <v>10929.745169051699</v>
      </c>
      <c r="P71" s="338"/>
      <c r="Q71" s="326"/>
      <c r="R71" s="326"/>
      <c r="S71" s="326"/>
      <c r="T71" s="326"/>
      <c r="U71" s="326"/>
      <c r="V71" s="326"/>
      <c r="W71" s="326"/>
      <c r="X71" s="326"/>
      <c r="Y71" s="326"/>
      <c r="Z71" s="326"/>
      <c r="AA71" s="326"/>
      <c r="AB71" s="326"/>
      <c r="AC71" s="326"/>
      <c r="AD71" s="326"/>
      <c r="AE71" s="326"/>
      <c r="AF71" s="326"/>
      <c r="AG71" s="326"/>
      <c r="AH71" s="326"/>
      <c r="AI71" s="326"/>
      <c r="AJ71" s="326"/>
      <c r="AK71" s="326"/>
      <c r="AL71" s="326"/>
      <c r="AM71" s="326"/>
      <c r="AN71" s="326"/>
      <c r="AO71" s="326"/>
      <c r="AP71" s="326"/>
      <c r="AQ71" s="326"/>
      <c r="AR71" s="326"/>
      <c r="AS71" s="326"/>
    </row>
    <row r="72" spans="1:45" ht="14.4">
      <c r="A72" s="204">
        <v>14</v>
      </c>
      <c r="B72" s="201">
        <v>9</v>
      </c>
      <c r="C72" s="420">
        <v>5463.2570530422699</v>
      </c>
      <c r="D72" s="420">
        <v>5661.0332868211999</v>
      </c>
      <c r="E72" s="420">
        <v>5414.9031132843902</v>
      </c>
      <c r="F72" s="420">
        <v>5463.2570530422699</v>
      </c>
      <c r="G72" s="420">
        <v>5762.5922729181802</v>
      </c>
      <c r="H72" s="420">
        <v>6468.6069500604399</v>
      </c>
      <c r="I72" s="420">
        <v>7133.1539435603199</v>
      </c>
      <c r="J72" s="420">
        <v>7936.2248617426803</v>
      </c>
      <c r="K72" s="420">
        <v>9231.0489869555095</v>
      </c>
      <c r="L72" s="420">
        <v>10270.2964936111</v>
      </c>
      <c r="M72" s="420">
        <v>11426.5481623633</v>
      </c>
      <c r="N72" s="420">
        <v>13771.974794247701</v>
      </c>
      <c r="O72" s="420">
        <v>17047.4811150608</v>
      </c>
      <c r="P72" s="340"/>
      <c r="Q72" s="274"/>
      <c r="R72" s="274"/>
      <c r="S72" s="274"/>
      <c r="T72" s="274"/>
      <c r="U72" s="274"/>
      <c r="V72" s="274"/>
      <c r="W72" s="274"/>
      <c r="X72" s="274"/>
      <c r="Y72" s="274"/>
      <c r="Z72" s="274"/>
      <c r="AA72" s="274"/>
      <c r="AB72" s="274"/>
      <c r="AC72" s="274"/>
      <c r="AD72" s="274"/>
      <c r="AE72" s="274"/>
      <c r="AF72" s="274"/>
      <c r="AG72" s="274"/>
      <c r="AH72" s="274"/>
      <c r="AI72" s="274"/>
      <c r="AJ72" s="274"/>
      <c r="AK72" s="274"/>
      <c r="AL72" s="274"/>
      <c r="AM72" s="274"/>
      <c r="AN72" s="274"/>
      <c r="AO72" s="274"/>
      <c r="AP72" s="274"/>
      <c r="AQ72" s="274"/>
      <c r="AR72" s="274"/>
      <c r="AS72" s="274"/>
    </row>
    <row r="73" spans="1:45" ht="14.4">
      <c r="A73" s="204">
        <v>14</v>
      </c>
      <c r="B73" s="201">
        <v>10</v>
      </c>
      <c r="C73" s="407">
        <v>10089.3013070457</v>
      </c>
      <c r="D73" s="407">
        <v>10270.2964936111</v>
      </c>
      <c r="E73" s="407">
        <v>10642.085905190401</v>
      </c>
      <c r="F73" s="407">
        <v>9823.7649630279302</v>
      </c>
      <c r="G73" s="407">
        <v>10547.9025838582</v>
      </c>
      <c r="H73" s="407">
        <v>10642.085905190401</v>
      </c>
      <c r="I73" s="407">
        <v>11631.528701088901</v>
      </c>
      <c r="J73" s="407">
        <v>11945.932946041001</v>
      </c>
      <c r="K73" s="407">
        <v>14270.5313951309</v>
      </c>
      <c r="L73" s="407">
        <v>14656.2588549381</v>
      </c>
      <c r="M73" s="407">
        <v>15597.3271575734</v>
      </c>
      <c r="N73" s="407">
        <v>19136.091362568</v>
      </c>
      <c r="O73" s="407">
        <v>22258.214688227999</v>
      </c>
      <c r="P73" s="338"/>
      <c r="Q73" s="326"/>
      <c r="R73" s="326"/>
      <c r="S73" s="326"/>
      <c r="T73" s="326"/>
      <c r="U73" s="326"/>
      <c r="V73" s="326"/>
      <c r="W73" s="326"/>
      <c r="X73" s="326"/>
      <c r="Y73" s="326"/>
      <c r="Z73" s="326"/>
      <c r="AA73" s="326"/>
      <c r="AB73" s="326"/>
      <c r="AC73" s="326"/>
      <c r="AD73" s="326"/>
      <c r="AE73" s="326"/>
      <c r="AF73" s="326"/>
      <c r="AG73" s="326"/>
      <c r="AH73" s="326"/>
      <c r="AI73" s="326"/>
      <c r="AJ73" s="326"/>
      <c r="AK73" s="326"/>
      <c r="AL73" s="326"/>
      <c r="AM73" s="326"/>
      <c r="AN73" s="326"/>
      <c r="AO73" s="326"/>
      <c r="AP73" s="326"/>
      <c r="AQ73" s="326"/>
      <c r="AR73" s="326"/>
      <c r="AS73" s="326"/>
    </row>
    <row r="74" spans="1:45" ht="14.4">
      <c r="A74" s="203">
        <v>15</v>
      </c>
      <c r="B74" s="200">
        <v>1</v>
      </c>
      <c r="C74" s="406"/>
      <c r="D74" s="349"/>
      <c r="E74" s="349"/>
      <c r="F74" s="349"/>
      <c r="G74" s="406"/>
      <c r="H74" s="406"/>
      <c r="I74" s="406"/>
      <c r="J74" s="406"/>
      <c r="K74" s="257"/>
      <c r="L74" s="257"/>
      <c r="M74" s="257"/>
      <c r="N74" s="257"/>
      <c r="O74" s="257"/>
      <c r="P74" s="259"/>
      <c r="Q74" s="259"/>
      <c r="R74" s="259"/>
      <c r="S74" s="259"/>
      <c r="T74" s="259"/>
      <c r="U74" s="259"/>
      <c r="V74" s="259"/>
      <c r="W74" s="259"/>
      <c r="X74" s="259"/>
      <c r="Y74" s="259"/>
      <c r="Z74" s="259"/>
      <c r="AA74" s="259"/>
      <c r="AB74" s="259"/>
      <c r="AC74" s="259"/>
      <c r="AD74" s="259"/>
      <c r="AE74" s="259"/>
      <c r="AF74" s="259"/>
      <c r="AG74" s="259"/>
      <c r="AH74" s="259"/>
      <c r="AI74" s="259"/>
      <c r="AJ74" s="259"/>
      <c r="AK74" s="259"/>
      <c r="AL74" s="259"/>
      <c r="AM74" s="259"/>
      <c r="AN74" s="259"/>
      <c r="AO74" s="259"/>
      <c r="AP74" s="259"/>
      <c r="AQ74" s="259"/>
      <c r="AR74" s="259"/>
      <c r="AS74" s="259"/>
    </row>
    <row r="75" spans="1:45" ht="14.4">
      <c r="A75" s="204">
        <v>15</v>
      </c>
      <c r="B75" s="201">
        <v>2</v>
      </c>
      <c r="C75" s="407"/>
      <c r="D75" s="344"/>
      <c r="E75" s="344"/>
      <c r="F75" s="344"/>
      <c r="G75" s="407"/>
      <c r="H75" s="407"/>
      <c r="I75" s="407"/>
      <c r="J75" s="407"/>
      <c r="K75" s="369"/>
      <c r="L75" s="369"/>
      <c r="M75" s="369"/>
      <c r="N75" s="369"/>
      <c r="O75" s="369"/>
      <c r="P75" s="369"/>
      <c r="Q75" s="369"/>
      <c r="R75" s="369"/>
      <c r="S75" s="369"/>
      <c r="T75" s="369"/>
      <c r="U75" s="369"/>
      <c r="V75" s="369"/>
      <c r="W75" s="369"/>
      <c r="X75" s="369"/>
      <c r="Y75" s="369"/>
      <c r="Z75" s="369"/>
      <c r="AA75" s="369"/>
      <c r="AB75" s="369"/>
      <c r="AC75" s="369"/>
      <c r="AD75" s="369"/>
      <c r="AE75" s="369"/>
      <c r="AF75" s="369"/>
      <c r="AG75" s="369"/>
      <c r="AH75" s="369"/>
      <c r="AI75" s="369"/>
      <c r="AJ75" s="369"/>
      <c r="AK75" s="369"/>
      <c r="AL75" s="369"/>
      <c r="AM75" s="369"/>
      <c r="AN75" s="369"/>
      <c r="AO75" s="369"/>
      <c r="AP75" s="369"/>
      <c r="AQ75" s="369"/>
      <c r="AR75" s="369"/>
      <c r="AS75" s="369"/>
    </row>
    <row r="76" spans="1:45" ht="14.4">
      <c r="A76" s="204">
        <v>15</v>
      </c>
      <c r="B76" s="201">
        <v>3</v>
      </c>
      <c r="C76" s="259"/>
      <c r="D76" s="408"/>
      <c r="E76" s="408"/>
      <c r="F76" s="408"/>
      <c r="G76" s="408"/>
      <c r="H76" s="408"/>
      <c r="I76" s="408"/>
      <c r="J76" s="408"/>
      <c r="K76" s="259"/>
      <c r="L76" s="259"/>
      <c r="M76" s="259"/>
      <c r="N76" s="259"/>
      <c r="O76" s="259"/>
      <c r="P76" s="259"/>
      <c r="Q76" s="259"/>
      <c r="R76" s="259"/>
      <c r="S76" s="259"/>
      <c r="T76" s="259"/>
      <c r="U76" s="259"/>
      <c r="V76" s="259"/>
      <c r="W76" s="259"/>
      <c r="X76" s="259"/>
      <c r="Y76" s="259"/>
      <c r="Z76" s="259"/>
      <c r="AA76" s="259"/>
      <c r="AB76" s="259"/>
      <c r="AC76" s="259"/>
      <c r="AD76" s="259"/>
      <c r="AE76" s="259"/>
      <c r="AF76" s="259"/>
      <c r="AG76" s="259"/>
      <c r="AH76" s="259"/>
      <c r="AI76" s="259"/>
      <c r="AJ76" s="259"/>
      <c r="AK76" s="259"/>
      <c r="AL76" s="259"/>
      <c r="AM76" s="259"/>
      <c r="AN76" s="259"/>
      <c r="AO76" s="259"/>
      <c r="AP76" s="259"/>
      <c r="AQ76" s="259"/>
      <c r="AR76" s="259"/>
      <c r="AS76" s="259"/>
    </row>
    <row r="77" spans="1:45" ht="14.4">
      <c r="A77" s="204">
        <v>15</v>
      </c>
      <c r="B77" s="201">
        <v>4</v>
      </c>
      <c r="C77" s="369"/>
      <c r="D77" s="407"/>
      <c r="E77" s="407"/>
      <c r="F77" s="407"/>
      <c r="G77" s="407"/>
      <c r="H77" s="407"/>
      <c r="I77" s="407"/>
      <c r="J77" s="407"/>
      <c r="K77" s="369"/>
      <c r="L77" s="369"/>
      <c r="M77" s="369"/>
      <c r="N77" s="369"/>
      <c r="O77" s="369"/>
      <c r="P77" s="369"/>
      <c r="Q77" s="369"/>
      <c r="R77" s="369"/>
      <c r="S77" s="369"/>
      <c r="T77" s="369"/>
      <c r="U77" s="369"/>
      <c r="V77" s="369"/>
      <c r="W77" s="369"/>
      <c r="X77" s="369"/>
      <c r="Y77" s="369"/>
      <c r="Z77" s="369"/>
      <c r="AA77" s="369"/>
      <c r="AB77" s="369"/>
      <c r="AC77" s="369"/>
      <c r="AD77" s="369"/>
      <c r="AE77" s="369"/>
      <c r="AF77" s="369"/>
      <c r="AG77" s="369"/>
      <c r="AH77" s="369"/>
      <c r="AI77" s="369"/>
      <c r="AJ77" s="369"/>
      <c r="AK77" s="369"/>
      <c r="AL77" s="369"/>
      <c r="AM77" s="369"/>
      <c r="AN77" s="369"/>
      <c r="AO77" s="369"/>
      <c r="AP77" s="369"/>
      <c r="AQ77" s="369"/>
      <c r="AR77" s="369"/>
      <c r="AS77" s="369"/>
    </row>
    <row r="78" spans="1:45" ht="14.4">
      <c r="A78" s="204">
        <v>15</v>
      </c>
      <c r="B78" s="201">
        <v>5</v>
      </c>
      <c r="C78" s="259"/>
      <c r="D78" s="408"/>
      <c r="E78" s="408"/>
      <c r="F78" s="408"/>
      <c r="G78" s="408"/>
      <c r="H78" s="408"/>
      <c r="I78" s="408"/>
      <c r="J78" s="408"/>
      <c r="K78" s="259"/>
      <c r="L78" s="259"/>
      <c r="M78" s="259"/>
      <c r="N78" s="259"/>
      <c r="O78" s="259"/>
      <c r="P78" s="259"/>
      <c r="Q78" s="259"/>
      <c r="R78" s="259"/>
      <c r="S78" s="259"/>
      <c r="T78" s="259"/>
      <c r="U78" s="259"/>
      <c r="V78" s="259"/>
      <c r="W78" s="259"/>
      <c r="X78" s="259"/>
      <c r="Y78" s="259"/>
      <c r="Z78" s="259"/>
      <c r="AA78" s="259"/>
      <c r="AB78" s="259"/>
      <c r="AC78" s="259"/>
      <c r="AD78" s="259"/>
      <c r="AE78" s="259"/>
      <c r="AF78" s="259"/>
      <c r="AG78" s="259"/>
      <c r="AH78" s="259"/>
      <c r="AI78" s="259"/>
      <c r="AJ78" s="259"/>
      <c r="AK78" s="259"/>
      <c r="AL78" s="259"/>
      <c r="AM78" s="259"/>
      <c r="AN78" s="259"/>
      <c r="AO78" s="259"/>
      <c r="AP78" s="259"/>
      <c r="AQ78" s="259"/>
      <c r="AR78" s="259"/>
      <c r="AS78" s="259"/>
    </row>
    <row r="79" spans="1:45" ht="14.4">
      <c r="A79" s="204">
        <v>15</v>
      </c>
      <c r="B79" s="201">
        <v>6</v>
      </c>
      <c r="C79" s="369"/>
      <c r="D79" s="407"/>
      <c r="E79" s="407"/>
      <c r="F79" s="407"/>
      <c r="G79" s="407"/>
      <c r="H79" s="407"/>
      <c r="I79" s="407"/>
      <c r="J79" s="407"/>
      <c r="K79" s="369"/>
      <c r="L79" s="369"/>
      <c r="M79" s="369"/>
      <c r="N79" s="369"/>
      <c r="O79" s="369"/>
      <c r="P79" s="369"/>
      <c r="Q79" s="369"/>
      <c r="R79" s="369"/>
      <c r="S79" s="369"/>
      <c r="T79" s="369"/>
      <c r="U79" s="369"/>
      <c r="V79" s="369"/>
      <c r="W79" s="369"/>
      <c r="X79" s="369"/>
      <c r="Y79" s="369"/>
      <c r="Z79" s="369"/>
      <c r="AA79" s="369"/>
      <c r="AB79" s="369"/>
      <c r="AC79" s="369"/>
      <c r="AD79" s="369"/>
      <c r="AE79" s="369"/>
      <c r="AF79" s="369"/>
      <c r="AG79" s="369"/>
      <c r="AH79" s="369"/>
      <c r="AI79" s="369"/>
      <c r="AJ79" s="369"/>
      <c r="AK79" s="369"/>
      <c r="AL79" s="369"/>
      <c r="AM79" s="369"/>
      <c r="AN79" s="369"/>
      <c r="AO79" s="369"/>
      <c r="AP79" s="369"/>
      <c r="AQ79" s="369"/>
      <c r="AR79" s="369"/>
      <c r="AS79" s="369"/>
    </row>
    <row r="80" spans="1:45" ht="14.4">
      <c r="A80" s="203">
        <v>16</v>
      </c>
      <c r="B80" s="200">
        <v>1</v>
      </c>
      <c r="C80" s="259"/>
      <c r="D80" s="408"/>
      <c r="E80" s="408"/>
      <c r="F80" s="408"/>
      <c r="G80" s="408"/>
      <c r="H80" s="408"/>
      <c r="I80" s="408"/>
      <c r="J80" s="408"/>
      <c r="K80" s="259"/>
      <c r="L80" s="259"/>
      <c r="M80" s="259"/>
      <c r="N80" s="259"/>
      <c r="O80" s="259"/>
      <c r="P80" s="259"/>
      <c r="Q80" s="259"/>
      <c r="R80" s="259"/>
      <c r="S80" s="259"/>
      <c r="T80" s="259"/>
      <c r="U80" s="259"/>
      <c r="V80" s="259"/>
      <c r="W80" s="259"/>
      <c r="X80" s="259"/>
      <c r="Y80" s="259"/>
      <c r="Z80" s="259"/>
      <c r="AA80" s="259"/>
      <c r="AB80" s="259"/>
      <c r="AC80" s="259"/>
      <c r="AD80" s="259"/>
      <c r="AE80" s="259"/>
      <c r="AF80" s="259"/>
      <c r="AG80" s="259"/>
      <c r="AH80" s="259"/>
      <c r="AI80" s="259"/>
      <c r="AJ80" s="259"/>
      <c r="AK80" s="259"/>
      <c r="AL80" s="259"/>
      <c r="AM80" s="259"/>
      <c r="AN80" s="259"/>
      <c r="AO80" s="259"/>
      <c r="AP80" s="259"/>
      <c r="AQ80" s="259"/>
      <c r="AR80" s="259"/>
      <c r="AS80" s="259"/>
    </row>
    <row r="81" spans="1:45" ht="14.4">
      <c r="A81" s="204">
        <v>16</v>
      </c>
      <c r="B81" s="201">
        <v>2</v>
      </c>
      <c r="C81" s="369"/>
      <c r="D81" s="407"/>
      <c r="E81" s="407"/>
      <c r="F81" s="407"/>
      <c r="G81" s="407"/>
      <c r="H81" s="407"/>
      <c r="I81" s="407"/>
      <c r="J81" s="407"/>
      <c r="K81" s="369"/>
      <c r="L81" s="369"/>
      <c r="M81" s="369"/>
      <c r="N81" s="369"/>
      <c r="O81" s="369"/>
      <c r="P81" s="369"/>
      <c r="Q81" s="369"/>
      <c r="R81" s="369"/>
      <c r="S81" s="369"/>
      <c r="T81" s="369"/>
      <c r="U81" s="369"/>
      <c r="V81" s="369"/>
      <c r="W81" s="369"/>
      <c r="X81" s="369"/>
      <c r="Y81" s="369"/>
      <c r="Z81" s="369"/>
      <c r="AA81" s="369"/>
      <c r="AB81" s="369"/>
      <c r="AC81" s="369"/>
      <c r="AD81" s="369"/>
      <c r="AE81" s="369"/>
      <c r="AF81" s="369"/>
      <c r="AG81" s="369"/>
      <c r="AH81" s="369"/>
      <c r="AI81" s="369"/>
      <c r="AJ81" s="369"/>
      <c r="AK81" s="369"/>
      <c r="AL81" s="369"/>
      <c r="AM81" s="369"/>
      <c r="AN81" s="369"/>
      <c r="AO81" s="369"/>
      <c r="AP81" s="369"/>
      <c r="AQ81" s="369"/>
      <c r="AR81" s="369"/>
      <c r="AS81" s="369"/>
    </row>
    <row r="82" spans="1:45" ht="14.4">
      <c r="A82" s="204">
        <v>16</v>
      </c>
      <c r="B82" s="201">
        <v>3</v>
      </c>
      <c r="C82" s="259"/>
      <c r="D82" s="408"/>
      <c r="E82" s="408"/>
      <c r="F82" s="408"/>
      <c r="G82" s="408"/>
      <c r="H82" s="408"/>
      <c r="I82" s="408"/>
      <c r="J82" s="408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  <c r="AA82" s="259"/>
      <c r="AB82" s="259"/>
      <c r="AC82" s="259"/>
      <c r="AD82" s="259"/>
      <c r="AE82" s="259"/>
      <c r="AF82" s="259"/>
      <c r="AG82" s="259"/>
      <c r="AH82" s="259"/>
      <c r="AI82" s="259"/>
      <c r="AJ82" s="259"/>
      <c r="AK82" s="259"/>
      <c r="AL82" s="259"/>
      <c r="AM82" s="259"/>
      <c r="AN82" s="259"/>
      <c r="AO82" s="259"/>
      <c r="AP82" s="259"/>
      <c r="AQ82" s="259"/>
      <c r="AR82" s="259"/>
      <c r="AS82" s="259"/>
    </row>
    <row r="83" spans="1:45" ht="14.4">
      <c r="A83" s="229">
        <v>17</v>
      </c>
      <c r="B83" s="74">
        <v>1</v>
      </c>
      <c r="C83" s="369"/>
      <c r="D83" s="407"/>
      <c r="E83" s="407"/>
      <c r="F83" s="407"/>
      <c r="G83" s="407"/>
      <c r="H83" s="407"/>
      <c r="I83" s="407"/>
      <c r="J83" s="407"/>
      <c r="K83" s="369"/>
      <c r="L83" s="369"/>
      <c r="M83" s="369"/>
      <c r="N83" s="369"/>
      <c r="O83" s="369"/>
      <c r="P83" s="369"/>
      <c r="Q83" s="369"/>
      <c r="R83" s="369"/>
      <c r="S83" s="369"/>
      <c r="T83" s="369"/>
      <c r="U83" s="369"/>
      <c r="V83" s="369"/>
      <c r="W83" s="369"/>
      <c r="X83" s="369"/>
      <c r="Y83" s="369"/>
      <c r="Z83" s="369"/>
      <c r="AA83" s="369"/>
      <c r="AB83" s="369"/>
      <c r="AC83" s="369"/>
      <c r="AD83" s="369"/>
      <c r="AE83" s="369"/>
      <c r="AF83" s="369"/>
      <c r="AG83" s="369"/>
      <c r="AH83" s="369"/>
      <c r="AI83" s="369"/>
      <c r="AJ83" s="369"/>
      <c r="AK83" s="369"/>
      <c r="AL83" s="369"/>
      <c r="AM83" s="369"/>
      <c r="AN83" s="369"/>
      <c r="AO83" s="369"/>
      <c r="AP83" s="369"/>
      <c r="AQ83" s="369"/>
      <c r="AR83" s="369"/>
      <c r="AS83" s="369"/>
    </row>
    <row r="84" spans="1:45" ht="14.4">
      <c r="A84" s="228">
        <v>17</v>
      </c>
      <c r="B84" s="75">
        <v>2</v>
      </c>
      <c r="C84" s="259"/>
      <c r="D84" s="408"/>
      <c r="E84" s="408"/>
      <c r="F84" s="408"/>
      <c r="G84" s="408"/>
      <c r="H84" s="408"/>
      <c r="I84" s="408"/>
      <c r="J84" s="408"/>
      <c r="K84" s="259"/>
      <c r="L84" s="259"/>
      <c r="M84" s="259"/>
      <c r="N84" s="259"/>
      <c r="O84" s="259"/>
      <c r="P84" s="259"/>
      <c r="Q84" s="259"/>
      <c r="R84" s="259"/>
      <c r="S84" s="259"/>
      <c r="T84" s="259"/>
      <c r="U84" s="259"/>
      <c r="V84" s="259"/>
      <c r="W84" s="259"/>
      <c r="X84" s="259"/>
      <c r="Y84" s="259"/>
      <c r="Z84" s="259"/>
      <c r="AA84" s="259"/>
      <c r="AB84" s="259"/>
      <c r="AC84" s="259"/>
      <c r="AD84" s="259"/>
      <c r="AE84" s="259"/>
      <c r="AF84" s="259"/>
      <c r="AG84" s="259"/>
      <c r="AH84" s="259"/>
      <c r="AI84" s="259"/>
      <c r="AJ84" s="259"/>
      <c r="AK84" s="259"/>
      <c r="AL84" s="259"/>
      <c r="AM84" s="259"/>
      <c r="AN84" s="259"/>
      <c r="AO84" s="259"/>
      <c r="AP84" s="259"/>
      <c r="AQ84" s="259"/>
      <c r="AR84" s="259"/>
      <c r="AS84" s="259"/>
    </row>
    <row r="85" spans="1:45" ht="14.4">
      <c r="A85" s="228">
        <v>17</v>
      </c>
      <c r="B85" s="75">
        <v>3</v>
      </c>
      <c r="C85" s="369"/>
      <c r="D85" s="407"/>
      <c r="E85" s="407"/>
      <c r="F85" s="407"/>
      <c r="G85" s="407"/>
      <c r="H85" s="407"/>
      <c r="I85" s="407"/>
      <c r="J85" s="407"/>
      <c r="K85" s="369"/>
      <c r="L85" s="369"/>
      <c r="M85" s="369"/>
      <c r="N85" s="369"/>
      <c r="O85" s="369"/>
      <c r="P85" s="369"/>
      <c r="Q85" s="369"/>
      <c r="R85" s="369"/>
      <c r="S85" s="369"/>
      <c r="T85" s="369"/>
      <c r="U85" s="369"/>
      <c r="V85" s="369"/>
      <c r="W85" s="369"/>
      <c r="X85" s="369"/>
      <c r="Y85" s="369"/>
      <c r="Z85" s="369"/>
      <c r="AA85" s="369"/>
      <c r="AB85" s="369"/>
      <c r="AC85" s="369"/>
      <c r="AD85" s="369"/>
      <c r="AE85" s="369"/>
      <c r="AF85" s="369"/>
      <c r="AG85" s="369"/>
      <c r="AH85" s="369"/>
      <c r="AI85" s="369"/>
      <c r="AJ85" s="369"/>
      <c r="AK85" s="369"/>
      <c r="AL85" s="369"/>
      <c r="AM85" s="369"/>
      <c r="AN85" s="369"/>
      <c r="AO85" s="369"/>
      <c r="AP85" s="369"/>
      <c r="AQ85" s="369"/>
      <c r="AR85" s="369"/>
      <c r="AS85" s="369"/>
    </row>
    <row r="86" spans="1:45" ht="14.4">
      <c r="A86" s="228">
        <v>17</v>
      </c>
      <c r="B86" s="75">
        <v>4</v>
      </c>
      <c r="C86" s="259"/>
      <c r="D86" s="408"/>
      <c r="E86" s="408"/>
      <c r="F86" s="408"/>
      <c r="G86" s="408"/>
      <c r="H86" s="408"/>
      <c r="I86" s="408"/>
      <c r="J86" s="408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/>
      <c r="AA86" s="259"/>
      <c r="AB86" s="259"/>
      <c r="AC86" s="259"/>
      <c r="AD86" s="259"/>
      <c r="AE86" s="259"/>
      <c r="AF86" s="259"/>
      <c r="AG86" s="259"/>
      <c r="AH86" s="259"/>
      <c r="AI86" s="259"/>
      <c r="AJ86" s="259"/>
      <c r="AK86" s="259"/>
      <c r="AL86" s="259"/>
      <c r="AM86" s="259"/>
      <c r="AN86" s="259"/>
      <c r="AO86" s="259"/>
      <c r="AP86" s="259"/>
      <c r="AQ86" s="259"/>
      <c r="AR86" s="259"/>
      <c r="AS86" s="259"/>
    </row>
    <row r="87" spans="1:45" ht="14.4">
      <c r="A87" s="229">
        <v>18</v>
      </c>
      <c r="B87" s="74">
        <v>1</v>
      </c>
      <c r="C87" s="374">
        <v>805.67</v>
      </c>
      <c r="D87" s="374">
        <v>805.67</v>
      </c>
      <c r="E87" s="374">
        <v>873.67</v>
      </c>
      <c r="F87" s="374">
        <v>928.41</v>
      </c>
      <c r="G87" s="374">
        <v>928.41</v>
      </c>
      <c r="H87" s="374">
        <v>1006.78</v>
      </c>
      <c r="I87" s="374">
        <v>1048.4000000000001</v>
      </c>
      <c r="J87" s="374">
        <v>1091.75</v>
      </c>
      <c r="K87" s="374">
        <v>1114.0899999999999</v>
      </c>
      <c r="L87" s="374">
        <v>1183.9000000000001</v>
      </c>
      <c r="M87" s="374">
        <v>1283.82</v>
      </c>
      <c r="N87" s="374">
        <v>1509.68</v>
      </c>
      <c r="O87" s="374">
        <v>1479.41</v>
      </c>
      <c r="P87" s="374">
        <v>1637.1</v>
      </c>
      <c r="Q87" s="374">
        <v>1739.68</v>
      </c>
      <c r="R87" s="374">
        <v>2087.6</v>
      </c>
      <c r="S87" s="374">
        <v>2310.13</v>
      </c>
      <c r="T87" s="374">
        <v>2716.55</v>
      </c>
      <c r="U87" s="374">
        <v>2886.76</v>
      </c>
      <c r="V87" s="374">
        <v>2886.76</v>
      </c>
      <c r="W87" s="370"/>
      <c r="X87" s="369"/>
      <c r="Y87" s="369"/>
      <c r="Z87" s="369"/>
      <c r="AA87" s="369"/>
      <c r="AB87" s="369"/>
      <c r="AC87" s="369"/>
      <c r="AD87" s="369"/>
      <c r="AE87" s="369"/>
      <c r="AF87" s="369"/>
      <c r="AG87" s="369"/>
      <c r="AH87" s="369"/>
      <c r="AI87" s="369"/>
      <c r="AJ87" s="369"/>
      <c r="AK87" s="369"/>
      <c r="AL87" s="369"/>
      <c r="AM87" s="369"/>
      <c r="AN87" s="369"/>
      <c r="AO87" s="369"/>
      <c r="AP87" s="369"/>
      <c r="AQ87" s="369"/>
      <c r="AR87" s="369"/>
      <c r="AS87" s="369"/>
    </row>
    <row r="88" spans="1:45" ht="14.4">
      <c r="A88" s="228">
        <v>18</v>
      </c>
      <c r="B88" s="75">
        <v>2</v>
      </c>
      <c r="C88" s="259">
        <v>1115.1600000000001</v>
      </c>
      <c r="D88" s="259">
        <v>1484.56</v>
      </c>
      <c r="E88" s="259">
        <v>2017.13</v>
      </c>
      <c r="F88" s="259">
        <v>2577.7600000000002</v>
      </c>
      <c r="G88" s="259">
        <v>3431.65</v>
      </c>
      <c r="H88" s="259">
        <v>4758.99</v>
      </c>
      <c r="I88" s="259">
        <v>6207.25</v>
      </c>
      <c r="J88" s="259">
        <v>7932.47</v>
      </c>
      <c r="K88" s="259">
        <v>10346.49</v>
      </c>
      <c r="L88" s="259">
        <v>13495.14</v>
      </c>
      <c r="M88" s="259">
        <v>16897.04</v>
      </c>
      <c r="N88" s="259">
        <v>21156.5</v>
      </c>
      <c r="O88" s="259">
        <v>25953.81</v>
      </c>
      <c r="P88" s="259">
        <v>30563.78</v>
      </c>
      <c r="Q88" s="259">
        <v>35264.46</v>
      </c>
      <c r="R88" s="259">
        <v>41528.21</v>
      </c>
      <c r="S88" s="259">
        <v>44154.04</v>
      </c>
      <c r="T88" s="259"/>
      <c r="U88" s="259"/>
      <c r="V88" s="259"/>
      <c r="W88" s="371"/>
      <c r="X88" s="259"/>
      <c r="Y88" s="259"/>
      <c r="Z88" s="259"/>
      <c r="AA88" s="259"/>
      <c r="AB88" s="259"/>
      <c r="AC88" s="259"/>
      <c r="AD88" s="259"/>
      <c r="AE88" s="259"/>
      <c r="AF88" s="259"/>
      <c r="AG88" s="259"/>
      <c r="AH88" s="259"/>
      <c r="AI88" s="259"/>
      <c r="AJ88" s="259"/>
      <c r="AK88" s="259"/>
      <c r="AL88" s="259"/>
      <c r="AM88" s="259"/>
      <c r="AN88" s="259"/>
      <c r="AO88" s="259"/>
      <c r="AP88" s="259"/>
      <c r="AQ88" s="259"/>
      <c r="AR88" s="259"/>
      <c r="AS88" s="259"/>
    </row>
    <row r="89" spans="1:45" ht="14.4">
      <c r="A89" s="229">
        <v>19</v>
      </c>
      <c r="B89" s="74">
        <v>1</v>
      </c>
      <c r="C89" s="250">
        <v>234.94</v>
      </c>
      <c r="D89" s="250">
        <v>234.1</v>
      </c>
      <c r="E89" s="250">
        <v>243.31</v>
      </c>
      <c r="F89" s="250">
        <v>243.72</v>
      </c>
      <c r="G89" s="250">
        <v>215.69</v>
      </c>
      <c r="H89" s="250">
        <v>165.48</v>
      </c>
      <c r="I89" s="250">
        <v>147.49</v>
      </c>
      <c r="J89" s="250">
        <v>148.33000000000001</v>
      </c>
      <c r="K89" s="250">
        <v>146.22999999999999</v>
      </c>
      <c r="L89" s="250">
        <v>141.63</v>
      </c>
      <c r="M89" s="250">
        <v>132.85</v>
      </c>
      <c r="N89" s="250">
        <v>117.78</v>
      </c>
      <c r="O89" s="250"/>
      <c r="P89" s="250"/>
      <c r="Q89" s="250"/>
      <c r="R89" s="250"/>
      <c r="S89" s="250"/>
      <c r="T89" s="250"/>
      <c r="U89" s="250"/>
      <c r="V89" s="250"/>
      <c r="W89" s="370"/>
      <c r="X89" s="369"/>
      <c r="Y89" s="369"/>
      <c r="Z89" s="369"/>
      <c r="AA89" s="369"/>
      <c r="AB89" s="369"/>
      <c r="AC89" s="369"/>
      <c r="AD89" s="369"/>
      <c r="AE89" s="369"/>
      <c r="AF89" s="369"/>
      <c r="AG89" s="369"/>
      <c r="AH89" s="369"/>
      <c r="AI89" s="369"/>
      <c r="AJ89" s="369"/>
      <c r="AK89" s="369"/>
      <c r="AL89" s="369"/>
      <c r="AM89" s="369"/>
      <c r="AN89" s="369"/>
      <c r="AO89" s="369"/>
      <c r="AP89" s="369"/>
      <c r="AQ89" s="369"/>
      <c r="AR89" s="369"/>
      <c r="AS89" s="369"/>
    </row>
    <row r="90" spans="1:45" ht="14.4">
      <c r="A90" s="228">
        <v>19</v>
      </c>
      <c r="B90" s="75">
        <v>2</v>
      </c>
      <c r="C90" s="274">
        <v>208.16</v>
      </c>
      <c r="D90" s="274">
        <v>209</v>
      </c>
      <c r="E90" s="274">
        <v>219.87</v>
      </c>
      <c r="F90" s="274">
        <v>211.09</v>
      </c>
      <c r="G90" s="274">
        <v>176.78</v>
      </c>
      <c r="H90" s="274">
        <v>126.15</v>
      </c>
      <c r="I90" s="274">
        <v>106.49</v>
      </c>
      <c r="J90" s="274">
        <v>102.72</v>
      </c>
      <c r="K90" s="274">
        <v>98.95</v>
      </c>
      <c r="L90" s="274">
        <v>93.1</v>
      </c>
      <c r="M90" s="274">
        <v>81.38</v>
      </c>
      <c r="N90" s="274">
        <v>66.319999999999993</v>
      </c>
      <c r="O90" s="274"/>
      <c r="P90" s="274"/>
      <c r="Q90" s="274"/>
      <c r="R90" s="274"/>
      <c r="S90" s="274"/>
      <c r="T90" s="274"/>
      <c r="U90" s="274"/>
      <c r="V90" s="274"/>
      <c r="W90" s="371"/>
      <c r="X90" s="259"/>
      <c r="Y90" s="259"/>
      <c r="Z90" s="259"/>
      <c r="AA90" s="259"/>
      <c r="AB90" s="259"/>
      <c r="AC90" s="259"/>
      <c r="AD90" s="259"/>
      <c r="AE90" s="259"/>
      <c r="AF90" s="259"/>
      <c r="AG90" s="259"/>
      <c r="AH90" s="259"/>
      <c r="AI90" s="259"/>
      <c r="AJ90" s="259"/>
      <c r="AK90" s="259"/>
      <c r="AL90" s="259"/>
      <c r="AM90" s="259"/>
      <c r="AN90" s="259"/>
      <c r="AO90" s="259"/>
      <c r="AP90" s="259"/>
      <c r="AQ90" s="259"/>
      <c r="AR90" s="259"/>
      <c r="AS90" s="259"/>
    </row>
    <row r="91" spans="1:45" ht="14.4">
      <c r="A91" s="228">
        <v>19</v>
      </c>
      <c r="B91" s="75">
        <v>3</v>
      </c>
      <c r="C91" s="326">
        <v>200.21</v>
      </c>
      <c r="D91" s="326">
        <v>203.97</v>
      </c>
      <c r="E91" s="326">
        <v>211.51</v>
      </c>
      <c r="F91" s="326">
        <v>201.46</v>
      </c>
      <c r="G91" s="326">
        <v>164.64</v>
      </c>
      <c r="H91" s="326">
        <v>114.02</v>
      </c>
      <c r="I91" s="326">
        <v>93.1</v>
      </c>
      <c r="J91" s="326">
        <v>85.15</v>
      </c>
      <c r="K91" s="326">
        <v>80.540000000000006</v>
      </c>
      <c r="L91" s="326">
        <v>74.69</v>
      </c>
      <c r="M91" s="326">
        <v>63.39</v>
      </c>
      <c r="N91" s="326">
        <v>50.84</v>
      </c>
      <c r="O91" s="326"/>
      <c r="P91" s="326"/>
      <c r="Q91" s="326"/>
      <c r="R91" s="326"/>
      <c r="S91" s="326"/>
      <c r="T91" s="326"/>
      <c r="U91" s="326"/>
      <c r="V91" s="326"/>
      <c r="W91" s="370"/>
      <c r="X91" s="369"/>
      <c r="Y91" s="369"/>
      <c r="Z91" s="369"/>
      <c r="AA91" s="369"/>
      <c r="AB91" s="369"/>
      <c r="AC91" s="369"/>
      <c r="AD91" s="369"/>
      <c r="AE91" s="369"/>
      <c r="AF91" s="369"/>
      <c r="AG91" s="369"/>
      <c r="AH91" s="369"/>
      <c r="AI91" s="369"/>
      <c r="AJ91" s="369"/>
      <c r="AK91" s="369"/>
      <c r="AL91" s="369"/>
      <c r="AM91" s="369"/>
      <c r="AN91" s="369"/>
      <c r="AO91" s="369"/>
      <c r="AP91" s="369"/>
      <c r="AQ91" s="369"/>
      <c r="AR91" s="369"/>
      <c r="AS91" s="369"/>
    </row>
    <row r="92" spans="1:45" ht="14.4">
      <c r="A92" s="228">
        <v>19</v>
      </c>
      <c r="B92" s="75">
        <v>4</v>
      </c>
      <c r="C92" s="274">
        <v>197.7</v>
      </c>
      <c r="D92" s="274">
        <v>206.07</v>
      </c>
      <c r="E92" s="274">
        <v>215.69</v>
      </c>
      <c r="F92" s="274">
        <v>187.24</v>
      </c>
      <c r="G92" s="274">
        <v>140.38</v>
      </c>
      <c r="H92" s="274">
        <v>79.709999999999994</v>
      </c>
      <c r="I92" s="274">
        <v>66.319999999999993</v>
      </c>
      <c r="J92" s="274">
        <v>58.37</v>
      </c>
      <c r="K92" s="274">
        <v>55.02</v>
      </c>
      <c r="L92" s="274">
        <v>51.67</v>
      </c>
      <c r="M92" s="274"/>
      <c r="N92" s="274"/>
      <c r="O92" s="274"/>
      <c r="P92" s="274"/>
      <c r="Q92" s="274"/>
      <c r="R92" s="274"/>
      <c r="S92" s="274"/>
      <c r="T92" s="274"/>
      <c r="U92" s="274"/>
      <c r="V92" s="274"/>
      <c r="W92" s="371"/>
      <c r="X92" s="259"/>
      <c r="Y92" s="259"/>
      <c r="Z92" s="259"/>
      <c r="AA92" s="259"/>
      <c r="AB92" s="259"/>
      <c r="AC92" s="259"/>
      <c r="AD92" s="259"/>
      <c r="AE92" s="259"/>
      <c r="AF92" s="259"/>
      <c r="AG92" s="259"/>
      <c r="AH92" s="259"/>
      <c r="AI92" s="259"/>
      <c r="AJ92" s="259"/>
      <c r="AK92" s="259"/>
      <c r="AL92" s="259"/>
      <c r="AM92" s="259"/>
      <c r="AN92" s="259"/>
      <c r="AO92" s="259"/>
      <c r="AP92" s="259"/>
      <c r="AQ92" s="259"/>
      <c r="AR92" s="259"/>
      <c r="AS92" s="259"/>
    </row>
    <row r="93" spans="1:45" ht="14.4">
      <c r="A93" s="230">
        <v>19</v>
      </c>
      <c r="B93" s="231">
        <v>5</v>
      </c>
      <c r="C93" s="327">
        <v>170.5</v>
      </c>
      <c r="D93" s="327">
        <v>162.97</v>
      </c>
      <c r="E93" s="327">
        <v>166.74</v>
      </c>
      <c r="F93" s="327">
        <v>149.58000000000001</v>
      </c>
      <c r="G93" s="327">
        <v>110.67</v>
      </c>
      <c r="H93" s="327">
        <v>73.010000000000005</v>
      </c>
      <c r="I93" s="327">
        <v>54.18</v>
      </c>
      <c r="J93" s="327"/>
      <c r="K93" s="327"/>
      <c r="L93" s="327"/>
      <c r="M93" s="327"/>
      <c r="N93" s="327"/>
      <c r="O93" s="327"/>
      <c r="P93" s="327"/>
      <c r="Q93" s="327"/>
      <c r="R93" s="327"/>
      <c r="S93" s="327"/>
      <c r="T93" s="327"/>
      <c r="U93" s="327"/>
      <c r="V93" s="327"/>
      <c r="W93" s="370"/>
      <c r="X93" s="369"/>
      <c r="Y93" s="369"/>
      <c r="Z93" s="369"/>
      <c r="AA93" s="369"/>
      <c r="AB93" s="369"/>
      <c r="AC93" s="369"/>
      <c r="AD93" s="369"/>
      <c r="AE93" s="369"/>
      <c r="AF93" s="369"/>
      <c r="AG93" s="369"/>
      <c r="AH93" s="369"/>
      <c r="AI93" s="369"/>
      <c r="AJ93" s="369"/>
      <c r="AK93" s="369"/>
      <c r="AL93" s="369"/>
      <c r="AM93" s="369"/>
      <c r="AN93" s="369"/>
      <c r="AO93" s="369"/>
      <c r="AP93" s="369"/>
      <c r="AQ93" s="369"/>
      <c r="AR93" s="369"/>
      <c r="AS93" s="369"/>
    </row>
    <row r="94" spans="1:45" ht="14.4">
      <c r="A94" s="272">
        <v>20</v>
      </c>
      <c r="B94" s="200" t="s">
        <v>221</v>
      </c>
      <c r="C94" s="2"/>
      <c r="D94" s="2"/>
      <c r="E94" s="96"/>
      <c r="F94" s="96"/>
      <c r="G94" s="96"/>
      <c r="H94" s="96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spans="1:45" ht="14.4">
      <c r="A95" s="233">
        <v>20</v>
      </c>
      <c r="B95" s="201" t="s">
        <v>222</v>
      </c>
      <c r="E95" s="96"/>
      <c r="F95" s="96"/>
      <c r="G95" s="96"/>
      <c r="H95" s="96"/>
    </row>
    <row r="96" spans="1:45" ht="14.4">
      <c r="A96" s="233">
        <v>20</v>
      </c>
      <c r="B96" s="201" t="s">
        <v>223</v>
      </c>
      <c r="E96" s="96"/>
      <c r="F96" s="96"/>
      <c r="G96" s="96"/>
      <c r="H96" s="96"/>
    </row>
    <row r="97" spans="1:8" ht="14.4">
      <c r="A97" s="233">
        <v>20</v>
      </c>
      <c r="B97" s="201" t="s">
        <v>224</v>
      </c>
      <c r="G97" s="96"/>
      <c r="H97" s="96"/>
    </row>
    <row r="98" spans="1:8" ht="14.4">
      <c r="A98" s="233">
        <v>20</v>
      </c>
      <c r="B98" s="201" t="s">
        <v>225</v>
      </c>
      <c r="G98" s="96"/>
      <c r="H98" s="96"/>
    </row>
    <row r="99" spans="1:8" ht="14.4">
      <c r="A99" s="233">
        <v>20</v>
      </c>
      <c r="B99" s="201" t="s">
        <v>226</v>
      </c>
      <c r="G99" s="96"/>
      <c r="H99" s="96"/>
    </row>
    <row r="100" spans="1:8" ht="14.4">
      <c r="A100" s="233">
        <v>20</v>
      </c>
      <c r="B100" s="201" t="s">
        <v>227</v>
      </c>
      <c r="G100" s="96"/>
      <c r="H100" s="96"/>
    </row>
    <row r="101" spans="1:8" ht="14.4">
      <c r="A101" s="233">
        <v>20</v>
      </c>
      <c r="B101" s="201" t="s">
        <v>228</v>
      </c>
      <c r="G101" s="96"/>
      <c r="H101" s="96"/>
    </row>
    <row r="102" spans="1:8" ht="14.4">
      <c r="A102" s="233">
        <v>20</v>
      </c>
      <c r="B102" s="201" t="s">
        <v>231</v>
      </c>
      <c r="G102" s="96"/>
      <c r="H102" s="96"/>
    </row>
    <row r="103" spans="1:8" ht="14.4">
      <c r="A103" s="233">
        <v>20</v>
      </c>
      <c r="B103" s="201" t="s">
        <v>232</v>
      </c>
      <c r="G103" s="96"/>
      <c r="H103" s="96"/>
    </row>
    <row r="104" spans="1:8" ht="14.4">
      <c r="A104" s="233">
        <v>20</v>
      </c>
      <c r="B104" s="201" t="s">
        <v>233</v>
      </c>
      <c r="G104" s="96"/>
      <c r="H104" s="96"/>
    </row>
    <row r="105" spans="1:8" ht="14.4">
      <c r="A105" s="233">
        <v>20</v>
      </c>
      <c r="B105" s="201" t="s">
        <v>234</v>
      </c>
      <c r="G105" s="96"/>
      <c r="H105" s="96"/>
    </row>
    <row r="106" spans="1:8" ht="14.4">
      <c r="A106" s="228">
        <v>20</v>
      </c>
      <c r="B106" s="75" t="s">
        <v>235</v>
      </c>
      <c r="G106" s="96"/>
      <c r="H106" s="96"/>
    </row>
    <row r="107" spans="1:8" ht="14.4">
      <c r="A107" s="228">
        <v>20</v>
      </c>
      <c r="B107" s="75" t="s">
        <v>236</v>
      </c>
      <c r="G107" s="96"/>
      <c r="H107" s="96"/>
    </row>
    <row r="108" spans="1:8" ht="14.4">
      <c r="A108" s="228">
        <v>20</v>
      </c>
      <c r="B108" s="75" t="s">
        <v>237</v>
      </c>
      <c r="G108" s="96"/>
      <c r="H108" s="96"/>
    </row>
    <row r="109" spans="1:8" ht="14.4">
      <c r="A109" s="228">
        <v>20</v>
      </c>
      <c r="B109" s="75" t="s">
        <v>238</v>
      </c>
      <c r="G109" s="96"/>
      <c r="H109" s="96"/>
    </row>
    <row r="110" spans="1:8" ht="14.4">
      <c r="A110" s="233">
        <v>20</v>
      </c>
      <c r="B110" s="75" t="s">
        <v>239</v>
      </c>
      <c r="C110" s="2"/>
      <c r="G110" s="96"/>
      <c r="H110" s="96"/>
    </row>
    <row r="111" spans="1:8" ht="14.4">
      <c r="A111" s="228">
        <v>20</v>
      </c>
      <c r="B111" s="75" t="s">
        <v>240</v>
      </c>
      <c r="G111" s="96"/>
      <c r="H111" s="96"/>
    </row>
    <row r="112" spans="1:8" ht="14.4">
      <c r="A112" s="228">
        <v>20</v>
      </c>
      <c r="B112" s="75" t="s">
        <v>241</v>
      </c>
      <c r="G112" s="96"/>
      <c r="H112" s="96"/>
    </row>
    <row r="113" spans="1:16" ht="14.4">
      <c r="A113" s="230">
        <v>20</v>
      </c>
      <c r="B113" s="231" t="s">
        <v>242</v>
      </c>
      <c r="C113" s="34"/>
      <c r="D113" s="34"/>
      <c r="E113" s="34"/>
      <c r="F113" s="34"/>
      <c r="G113" s="103"/>
      <c r="H113" s="103"/>
      <c r="I113" s="34"/>
      <c r="J113" s="34"/>
      <c r="K113" s="34"/>
      <c r="L113" s="34"/>
      <c r="M113" s="34"/>
      <c r="N113" s="34"/>
      <c r="O113" s="34"/>
      <c r="P113" s="34"/>
    </row>
    <row r="114" spans="1:16" ht="14.4">
      <c r="A114" s="233">
        <v>21</v>
      </c>
      <c r="B114" s="75" t="s">
        <v>221</v>
      </c>
      <c r="C114" s="2">
        <v>57.31</v>
      </c>
      <c r="D114" s="2">
        <v>53.72</v>
      </c>
      <c r="E114" s="2">
        <v>68.77</v>
      </c>
      <c r="F114" s="2">
        <v>113.9</v>
      </c>
      <c r="G114" s="2">
        <v>108.88</v>
      </c>
      <c r="H114" s="2">
        <v>59.46</v>
      </c>
      <c r="I114" s="2">
        <v>57.31</v>
      </c>
      <c r="J114" s="2">
        <v>80.95</v>
      </c>
      <c r="K114" s="2"/>
      <c r="L114" s="2"/>
      <c r="M114" s="2"/>
      <c r="N114" s="2"/>
      <c r="O114" s="2"/>
      <c r="P114" s="2"/>
    </row>
    <row r="115" spans="1:16" ht="14.4">
      <c r="A115" s="233">
        <v>21</v>
      </c>
      <c r="B115" s="75" t="s">
        <v>222</v>
      </c>
      <c r="C115" s="8">
        <v>76.650000000000006</v>
      </c>
      <c r="D115" s="8">
        <v>74.5</v>
      </c>
      <c r="E115" s="8">
        <v>89.54</v>
      </c>
      <c r="F115" s="8">
        <v>105.3</v>
      </c>
      <c r="G115" s="8">
        <v>95.99</v>
      </c>
      <c r="H115" s="8">
        <v>52.29</v>
      </c>
      <c r="I115" s="8">
        <v>51.58</v>
      </c>
      <c r="J115" s="8">
        <v>66.62</v>
      </c>
    </row>
    <row r="116" spans="1:16" ht="14.4">
      <c r="A116" s="233">
        <v>21</v>
      </c>
      <c r="B116" s="75" t="s">
        <v>223</v>
      </c>
      <c r="C116" s="8">
        <v>83.09</v>
      </c>
      <c r="D116" s="8">
        <v>88.83</v>
      </c>
      <c r="E116" s="8">
        <v>84.53</v>
      </c>
      <c r="F116" s="8">
        <v>85.96</v>
      </c>
      <c r="G116" s="8">
        <v>68.77</v>
      </c>
      <c r="H116" s="8">
        <v>43.7</v>
      </c>
      <c r="I116" s="8">
        <v>44.41</v>
      </c>
      <c r="J116" s="8">
        <v>53.72</v>
      </c>
    </row>
    <row r="117" spans="1:16" ht="14.4">
      <c r="A117" s="233">
        <v>21</v>
      </c>
      <c r="B117" s="75" t="s">
        <v>224</v>
      </c>
      <c r="C117" s="8">
        <v>121.06</v>
      </c>
      <c r="D117" s="8">
        <v>135.38999999999999</v>
      </c>
      <c r="E117" s="8">
        <v>115.33</v>
      </c>
      <c r="F117" s="8">
        <v>81.66</v>
      </c>
      <c r="G117" s="8">
        <v>53.01</v>
      </c>
      <c r="H117" s="8">
        <v>34.380000000000003</v>
      </c>
      <c r="I117" s="8">
        <v>37.25</v>
      </c>
      <c r="J117" s="8">
        <v>45.85</v>
      </c>
    </row>
    <row r="118" spans="1:16" ht="14.4">
      <c r="A118" s="233">
        <v>21</v>
      </c>
      <c r="B118" s="75" t="s">
        <v>229</v>
      </c>
      <c r="C118" s="8">
        <v>51.49</v>
      </c>
      <c r="D118" s="8">
        <v>52.24</v>
      </c>
      <c r="E118" s="8">
        <v>64.180000000000007</v>
      </c>
      <c r="F118" s="8">
        <v>84.33</v>
      </c>
      <c r="G118" s="8">
        <v>97.01</v>
      </c>
      <c r="H118" s="8">
        <v>49.25</v>
      </c>
      <c r="I118" s="8">
        <v>47.01</v>
      </c>
      <c r="J118" s="8">
        <v>63.43</v>
      </c>
    </row>
    <row r="119" spans="1:16" ht="14.4">
      <c r="A119" s="233">
        <v>21</v>
      </c>
      <c r="B119" s="75" t="s">
        <v>243</v>
      </c>
      <c r="C119" s="8">
        <v>75.37</v>
      </c>
      <c r="D119" s="8">
        <v>85.07</v>
      </c>
      <c r="E119" s="8">
        <v>102.99</v>
      </c>
      <c r="F119" s="8">
        <v>118.66</v>
      </c>
      <c r="G119" s="8">
        <v>108.21</v>
      </c>
      <c r="H119" s="8">
        <v>61.19</v>
      </c>
      <c r="I119" s="8">
        <v>62.69</v>
      </c>
      <c r="J119" s="8">
        <v>77.61</v>
      </c>
    </row>
    <row r="120" spans="1:16" ht="14.4">
      <c r="A120" s="233">
        <v>21</v>
      </c>
      <c r="B120" s="75" t="s">
        <v>244</v>
      </c>
      <c r="C120" s="8">
        <v>81.34</v>
      </c>
      <c r="D120" s="8">
        <v>98.51</v>
      </c>
      <c r="E120" s="8">
        <v>93.28</v>
      </c>
      <c r="F120" s="8">
        <v>89.55</v>
      </c>
      <c r="G120" s="8">
        <v>64.930000000000007</v>
      </c>
      <c r="H120" s="8">
        <v>42.54</v>
      </c>
      <c r="I120" s="8">
        <v>42.54</v>
      </c>
      <c r="J120" s="8">
        <v>57.46</v>
      </c>
    </row>
    <row r="121" spans="1:16" ht="14.4">
      <c r="A121" s="233">
        <v>21</v>
      </c>
      <c r="B121" s="75" t="s">
        <v>245</v>
      </c>
      <c r="C121" s="8">
        <v>115.67</v>
      </c>
      <c r="D121" s="8">
        <v>125.37</v>
      </c>
      <c r="E121" s="8">
        <v>97.76</v>
      </c>
      <c r="F121" s="8">
        <v>72.39</v>
      </c>
      <c r="G121" s="8">
        <v>40.299999999999997</v>
      </c>
      <c r="H121" s="8">
        <v>28.36</v>
      </c>
      <c r="I121" s="8">
        <v>35.82</v>
      </c>
      <c r="J121" s="8">
        <v>43.28</v>
      </c>
    </row>
    <row r="122" spans="1:16" ht="14.4">
      <c r="A122" s="229">
        <v>21</v>
      </c>
      <c r="B122" s="74" t="s">
        <v>225</v>
      </c>
      <c r="G122" s="96"/>
      <c r="H122" s="96"/>
    </row>
    <row r="123" spans="1:16" ht="15" customHeight="1">
      <c r="A123" s="228">
        <v>21</v>
      </c>
      <c r="B123" s="75" t="s">
        <v>226</v>
      </c>
    </row>
    <row r="124" spans="1:16" ht="15" customHeight="1">
      <c r="A124" s="228">
        <v>21</v>
      </c>
      <c r="B124" s="75" t="s">
        <v>227</v>
      </c>
    </row>
    <row r="125" spans="1:16" ht="15" customHeight="1">
      <c r="A125" s="228">
        <v>21</v>
      </c>
      <c r="B125" s="75" t="s">
        <v>228</v>
      </c>
    </row>
    <row r="126" spans="1:16" ht="15" customHeight="1">
      <c r="A126" s="228">
        <v>21</v>
      </c>
      <c r="B126" s="75" t="s">
        <v>230</v>
      </c>
    </row>
    <row r="127" spans="1:16" ht="15" customHeight="1">
      <c r="A127" s="228">
        <v>21</v>
      </c>
      <c r="B127" s="75" t="s">
        <v>246</v>
      </c>
    </row>
    <row r="128" spans="1:16" ht="15" customHeight="1">
      <c r="A128" s="228">
        <v>21</v>
      </c>
      <c r="B128" s="75" t="s">
        <v>247</v>
      </c>
    </row>
    <row r="129" spans="1:10" ht="15" customHeight="1">
      <c r="A129" s="230">
        <v>21</v>
      </c>
      <c r="B129" s="231" t="s">
        <v>248</v>
      </c>
    </row>
    <row r="130" spans="1:10" ht="15" customHeight="1">
      <c r="A130" s="228">
        <v>22</v>
      </c>
      <c r="B130" s="75">
        <v>1</v>
      </c>
    </row>
    <row r="131" spans="1:10" ht="15" customHeight="1">
      <c r="A131" s="228">
        <v>22</v>
      </c>
      <c r="B131" s="75">
        <v>2</v>
      </c>
    </row>
    <row r="132" spans="1:10" ht="15" customHeight="1">
      <c r="A132" s="228">
        <v>22</v>
      </c>
      <c r="B132" s="75">
        <v>3</v>
      </c>
    </row>
    <row r="133" spans="1:10" ht="15" customHeight="1">
      <c r="A133" s="228">
        <v>22</v>
      </c>
      <c r="B133" s="75">
        <v>4</v>
      </c>
    </row>
    <row r="134" spans="1:10" ht="15" customHeight="1">
      <c r="A134" s="228">
        <v>22</v>
      </c>
      <c r="B134" s="75">
        <v>5</v>
      </c>
    </row>
    <row r="135" spans="1:10" ht="15" customHeight="1">
      <c r="A135" s="228">
        <v>22</v>
      </c>
      <c r="B135" s="75">
        <v>6</v>
      </c>
    </row>
    <row r="136" spans="1:10" ht="15" customHeight="1">
      <c r="A136" s="228">
        <v>22</v>
      </c>
      <c r="B136" s="75">
        <v>7</v>
      </c>
    </row>
    <row r="137" spans="1:10" ht="15" customHeight="1">
      <c r="A137" s="228">
        <v>22</v>
      </c>
      <c r="B137" s="75">
        <v>8</v>
      </c>
      <c r="C137" s="2"/>
      <c r="D137" s="2"/>
      <c r="E137" s="2"/>
      <c r="F137" s="2"/>
      <c r="G137" s="2"/>
      <c r="H137" s="2"/>
      <c r="I137" s="2"/>
    </row>
    <row r="138" spans="1:10" ht="15" customHeight="1">
      <c r="A138" s="229">
        <v>23</v>
      </c>
      <c r="B138" s="74">
        <v>1</v>
      </c>
      <c r="C138" s="234">
        <v>0.09</v>
      </c>
      <c r="D138" s="234">
        <v>0.11</v>
      </c>
      <c r="E138" s="234">
        <v>0.14000000000000001</v>
      </c>
      <c r="F138" s="234">
        <v>0.12</v>
      </c>
      <c r="G138" s="234">
        <v>0.1</v>
      </c>
      <c r="H138" s="234">
        <v>0.1</v>
      </c>
      <c r="I138" s="235">
        <v>0.11</v>
      </c>
      <c r="J138" s="2"/>
    </row>
    <row r="139" spans="1:10" ht="15" customHeight="1">
      <c r="A139" s="228">
        <v>23</v>
      </c>
      <c r="B139" s="75">
        <v>2</v>
      </c>
      <c r="C139" s="2">
        <v>0.1</v>
      </c>
      <c r="D139" s="2">
        <v>0.14000000000000001</v>
      </c>
      <c r="E139" s="2">
        <v>0.19</v>
      </c>
      <c r="F139" s="2">
        <v>0.11</v>
      </c>
      <c r="G139" s="2">
        <v>0.1</v>
      </c>
      <c r="H139" s="2">
        <v>0.11</v>
      </c>
      <c r="I139" s="236">
        <v>0.13</v>
      </c>
      <c r="J139" s="2"/>
    </row>
    <row r="140" spans="1:10" ht="15" customHeight="1">
      <c r="A140" s="228">
        <v>23</v>
      </c>
      <c r="B140" s="75">
        <v>3</v>
      </c>
      <c r="C140" s="2">
        <v>0.14000000000000001</v>
      </c>
      <c r="D140" s="2">
        <v>0.19</v>
      </c>
      <c r="E140" s="2">
        <v>0.3</v>
      </c>
      <c r="F140" s="2">
        <v>0.15</v>
      </c>
      <c r="G140" s="2">
        <v>0.12</v>
      </c>
      <c r="H140" s="2">
        <v>0.13</v>
      </c>
      <c r="I140" s="236">
        <v>0.15</v>
      </c>
      <c r="J140" s="2"/>
    </row>
    <row r="141" spans="1:10" ht="15" customHeight="1">
      <c r="A141" s="228">
        <v>23</v>
      </c>
      <c r="B141" s="75">
        <v>4</v>
      </c>
      <c r="C141" s="2">
        <v>0.16</v>
      </c>
      <c r="D141" s="2">
        <v>0.2</v>
      </c>
      <c r="E141" s="2">
        <v>0.32</v>
      </c>
      <c r="F141" s="2">
        <v>0.18</v>
      </c>
      <c r="G141" s="2">
        <v>0.15</v>
      </c>
      <c r="H141" s="2">
        <v>0.15</v>
      </c>
      <c r="I141" s="236">
        <v>0.18</v>
      </c>
      <c r="J141" s="2"/>
    </row>
    <row r="142" spans="1:10" ht="15" customHeight="1">
      <c r="A142" s="230">
        <v>23</v>
      </c>
      <c r="B142" s="231">
        <v>5</v>
      </c>
      <c r="C142" s="34">
        <v>0.12</v>
      </c>
      <c r="D142" s="34">
        <v>0.15</v>
      </c>
      <c r="E142" s="34">
        <v>0.22</v>
      </c>
      <c r="F142" s="34">
        <v>0.14000000000000001</v>
      </c>
      <c r="G142" s="34">
        <v>0.11</v>
      </c>
      <c r="H142" s="34">
        <v>0.12</v>
      </c>
      <c r="I142" s="237">
        <v>0.13</v>
      </c>
      <c r="J142" s="2"/>
    </row>
    <row r="143" spans="1:10" ht="15" customHeight="1">
      <c r="A143" s="238">
        <v>24</v>
      </c>
      <c r="B143" s="239">
        <v>1</v>
      </c>
      <c r="C143" s="2"/>
      <c r="D143" s="2"/>
      <c r="E143" s="2"/>
      <c r="F143" s="2"/>
      <c r="G143" s="2"/>
      <c r="H143" s="2"/>
      <c r="I143" s="2"/>
    </row>
    <row r="144" spans="1:10" ht="15" customHeight="1">
      <c r="A144" s="238">
        <v>24</v>
      </c>
      <c r="B144" s="239">
        <v>2</v>
      </c>
    </row>
    <row r="145" spans="1:4" ht="15" customHeight="1">
      <c r="A145" s="238">
        <v>24</v>
      </c>
      <c r="B145" s="239">
        <v>3</v>
      </c>
    </row>
    <row r="146" spans="1:4" ht="15" customHeight="1">
      <c r="A146" s="238">
        <v>24</v>
      </c>
      <c r="B146" s="239">
        <v>4</v>
      </c>
    </row>
    <row r="147" spans="1:4" ht="15" customHeight="1">
      <c r="A147" s="238">
        <v>24</v>
      </c>
      <c r="B147" s="239">
        <v>5</v>
      </c>
    </row>
    <row r="148" spans="1:4" ht="15" customHeight="1">
      <c r="A148" s="238">
        <v>24</v>
      </c>
      <c r="B148" s="239">
        <v>6</v>
      </c>
    </row>
    <row r="149" spans="1:4" ht="15" customHeight="1">
      <c r="A149" s="238">
        <v>24</v>
      </c>
      <c r="B149" s="239">
        <v>7</v>
      </c>
    </row>
    <row r="150" spans="1:4" ht="15" customHeight="1">
      <c r="A150" s="229">
        <v>25</v>
      </c>
      <c r="B150" s="74">
        <v>1</v>
      </c>
    </row>
    <row r="151" spans="1:4" ht="15" customHeight="1">
      <c r="A151" s="228">
        <v>25</v>
      </c>
      <c r="B151" s="75">
        <v>2</v>
      </c>
    </row>
    <row r="152" spans="1:4" ht="15" customHeight="1">
      <c r="A152" s="228">
        <v>25</v>
      </c>
      <c r="B152" s="75">
        <v>3</v>
      </c>
    </row>
    <row r="153" spans="1:4" ht="15" customHeight="1">
      <c r="A153" s="230">
        <v>25</v>
      </c>
      <c r="B153" s="231">
        <v>4</v>
      </c>
      <c r="D153" s="8" t="s">
        <v>397</v>
      </c>
    </row>
    <row r="154" spans="1:4" ht="15" customHeight="1">
      <c r="A154" s="228">
        <v>26</v>
      </c>
      <c r="B154" s="200" t="s">
        <v>221</v>
      </c>
    </row>
    <row r="155" spans="1:4" ht="15" customHeight="1">
      <c r="A155" s="228">
        <v>26</v>
      </c>
      <c r="B155" s="201" t="s">
        <v>222</v>
      </c>
    </row>
    <row r="156" spans="1:4" ht="15" customHeight="1">
      <c r="A156" s="228">
        <v>26</v>
      </c>
      <c r="B156" s="201" t="s">
        <v>223</v>
      </c>
    </row>
    <row r="157" spans="1:4" ht="15" customHeight="1">
      <c r="A157" s="228">
        <v>26</v>
      </c>
      <c r="B157" s="201" t="s">
        <v>224</v>
      </c>
    </row>
    <row r="158" spans="1:4" ht="15" customHeight="1">
      <c r="A158" s="228">
        <v>26</v>
      </c>
      <c r="B158" s="201" t="s">
        <v>229</v>
      </c>
    </row>
    <row r="159" spans="1:4" ht="15" customHeight="1">
      <c r="A159" s="228">
        <v>26</v>
      </c>
      <c r="B159" s="201" t="s">
        <v>225</v>
      </c>
    </row>
    <row r="160" spans="1:4" ht="15" customHeight="1">
      <c r="A160" s="228">
        <v>26</v>
      </c>
      <c r="B160" s="201" t="s">
        <v>226</v>
      </c>
    </row>
    <row r="161" spans="1:2" ht="15" customHeight="1">
      <c r="A161" s="228">
        <v>26</v>
      </c>
      <c r="B161" s="201" t="s">
        <v>227</v>
      </c>
    </row>
    <row r="162" spans="1:2" ht="15" customHeight="1">
      <c r="A162" s="228">
        <v>26</v>
      </c>
      <c r="B162" s="201" t="s">
        <v>228</v>
      </c>
    </row>
    <row r="163" spans="1:2" ht="15" customHeight="1">
      <c r="A163" s="230">
        <v>26</v>
      </c>
      <c r="B163" s="231" t="s">
        <v>230</v>
      </c>
    </row>
    <row r="164" spans="1:2" ht="15" customHeight="1">
      <c r="A164" s="199">
        <v>27</v>
      </c>
      <c r="B164" s="200">
        <v>1</v>
      </c>
    </row>
    <row r="165" spans="1:2" ht="15" customHeight="1">
      <c r="A165" s="196">
        <v>27</v>
      </c>
      <c r="B165" s="201">
        <v>2</v>
      </c>
    </row>
    <row r="166" spans="1:2" ht="15" customHeight="1">
      <c r="A166" s="196">
        <v>27</v>
      </c>
      <c r="B166" s="201">
        <v>3</v>
      </c>
    </row>
    <row r="167" spans="1:2" ht="15" customHeight="1">
      <c r="A167" s="197">
        <v>27</v>
      </c>
      <c r="B167" s="202">
        <v>4</v>
      </c>
    </row>
    <row r="168" spans="1:2" ht="15" customHeight="1">
      <c r="A168" s="229">
        <v>28</v>
      </c>
      <c r="B168" s="74">
        <v>1</v>
      </c>
    </row>
    <row r="169" spans="1:2" ht="15" customHeight="1">
      <c r="A169" s="228">
        <v>28</v>
      </c>
      <c r="B169" s="75">
        <v>2</v>
      </c>
    </row>
    <row r="170" spans="1:2" ht="15" customHeight="1">
      <c r="A170" s="228">
        <v>28</v>
      </c>
      <c r="B170" s="75">
        <v>3</v>
      </c>
    </row>
    <row r="171" spans="1:2" ht="15" customHeight="1">
      <c r="A171" s="228">
        <v>28</v>
      </c>
      <c r="B171" s="75">
        <v>4</v>
      </c>
    </row>
    <row r="172" spans="1:2" ht="15" customHeight="1">
      <c r="A172" s="228">
        <v>28</v>
      </c>
      <c r="B172" s="75">
        <v>5</v>
      </c>
    </row>
    <row r="173" spans="1:2" ht="15" customHeight="1">
      <c r="A173" s="230">
        <v>28</v>
      </c>
      <c r="B173" s="231">
        <v>6</v>
      </c>
    </row>
    <row r="174" spans="1:2" ht="15" customHeight="1">
      <c r="A174" s="233">
        <v>29</v>
      </c>
      <c r="B174" s="75">
        <v>1</v>
      </c>
    </row>
    <row r="175" spans="1:2" ht="15" customHeight="1">
      <c r="A175" s="233">
        <v>29</v>
      </c>
      <c r="B175" s="75">
        <v>2</v>
      </c>
    </row>
    <row r="176" spans="1:2" ht="15" customHeight="1">
      <c r="A176" s="233">
        <v>29</v>
      </c>
      <c r="B176" s="75">
        <v>3</v>
      </c>
    </row>
    <row r="177" spans="1:28" ht="15" customHeight="1">
      <c r="A177" s="233">
        <v>29</v>
      </c>
      <c r="B177" s="75">
        <v>4</v>
      </c>
    </row>
    <row r="178" spans="1:28" ht="15" customHeight="1">
      <c r="A178" s="233">
        <v>29</v>
      </c>
      <c r="B178" s="75">
        <v>5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28" ht="15" customHeight="1">
      <c r="A179" s="229">
        <v>30</v>
      </c>
      <c r="B179" s="74">
        <v>1</v>
      </c>
      <c r="C179" s="234">
        <v>172.2</v>
      </c>
      <c r="D179" s="234">
        <v>164.08</v>
      </c>
      <c r="E179" s="234">
        <v>166.79</v>
      </c>
      <c r="F179" s="234">
        <v>149.46</v>
      </c>
      <c r="G179" s="234">
        <v>114.8</v>
      </c>
      <c r="H179" s="234">
        <v>72.02</v>
      </c>
      <c r="I179" s="234">
        <v>53.07</v>
      </c>
      <c r="J179" s="234">
        <v>46.03</v>
      </c>
      <c r="K179" s="234">
        <v>40.07</v>
      </c>
      <c r="L179" s="234">
        <v>36.28</v>
      </c>
      <c r="M179" s="234">
        <v>30.32</v>
      </c>
      <c r="N179" s="234">
        <v>24.91</v>
      </c>
      <c r="O179" s="235">
        <v>17.329999999999998</v>
      </c>
      <c r="P179" s="2"/>
    </row>
    <row r="180" spans="1:28" ht="15" customHeight="1">
      <c r="A180" s="228">
        <v>30</v>
      </c>
      <c r="B180" s="75">
        <v>2</v>
      </c>
      <c r="C180" s="2">
        <v>237.18</v>
      </c>
      <c r="D180" s="2">
        <v>237.18</v>
      </c>
      <c r="E180" s="2">
        <v>252.35</v>
      </c>
      <c r="F180" s="2">
        <v>235.56</v>
      </c>
      <c r="G180" s="2">
        <v>187.36</v>
      </c>
      <c r="H180" s="2">
        <v>150</v>
      </c>
      <c r="I180" s="2">
        <v>148.38</v>
      </c>
      <c r="J180" s="2">
        <v>145.13</v>
      </c>
      <c r="K180" s="2">
        <v>136.46</v>
      </c>
      <c r="L180" s="2">
        <v>131.05000000000001</v>
      </c>
      <c r="M180" s="2">
        <v>119.68</v>
      </c>
      <c r="N180" s="2">
        <v>104.51</v>
      </c>
      <c r="O180" s="236">
        <v>87.18</v>
      </c>
      <c r="P180" s="2"/>
    </row>
    <row r="181" spans="1:28" ht="15" customHeight="1">
      <c r="A181" s="230">
        <v>30</v>
      </c>
      <c r="B181" s="231">
        <v>3</v>
      </c>
      <c r="C181" s="34">
        <v>224.19</v>
      </c>
      <c r="D181" s="34">
        <v>227.44</v>
      </c>
      <c r="E181" s="34">
        <v>244.77</v>
      </c>
      <c r="F181" s="34">
        <v>232.85</v>
      </c>
      <c r="G181" s="34">
        <v>194.95</v>
      </c>
      <c r="H181" s="34">
        <v>165.7</v>
      </c>
      <c r="I181" s="34">
        <v>168.95</v>
      </c>
      <c r="J181" s="34">
        <v>164.08</v>
      </c>
      <c r="K181" s="34">
        <v>160.83000000000001</v>
      </c>
      <c r="L181" s="34">
        <v>153.79</v>
      </c>
      <c r="M181" s="34">
        <v>141.88</v>
      </c>
      <c r="N181" s="34">
        <v>124.55</v>
      </c>
      <c r="O181" s="237">
        <v>103.43</v>
      </c>
      <c r="P181" s="2"/>
    </row>
    <row r="182" spans="1:28" ht="15" customHeight="1">
      <c r="A182" s="228">
        <v>31</v>
      </c>
      <c r="B182" s="75">
        <v>1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28" ht="15" customHeight="1">
      <c r="A183" s="228">
        <v>31</v>
      </c>
      <c r="B183" s="75">
        <v>2</v>
      </c>
    </row>
    <row r="184" spans="1:28" ht="15" customHeight="1">
      <c r="A184" s="228">
        <v>31</v>
      </c>
      <c r="B184" s="75">
        <v>3</v>
      </c>
    </row>
    <row r="185" spans="1:28" ht="15" customHeight="1">
      <c r="A185" s="228">
        <v>31</v>
      </c>
      <c r="B185" s="75">
        <v>4</v>
      </c>
    </row>
    <row r="186" spans="1:28" ht="15" customHeight="1">
      <c r="A186" s="228">
        <v>31</v>
      </c>
      <c r="B186" s="75">
        <v>5</v>
      </c>
      <c r="C186" s="2"/>
      <c r="D186" s="2"/>
      <c r="E186" s="2"/>
      <c r="F186" s="2"/>
      <c r="G186" s="2"/>
      <c r="H186" s="2"/>
      <c r="I186" s="2"/>
      <c r="J186" s="2"/>
    </row>
    <row r="187" spans="1:28" ht="15" customHeight="1">
      <c r="A187" s="199">
        <v>32</v>
      </c>
      <c r="B187" s="200">
        <v>1</v>
      </c>
      <c r="C187" s="234"/>
      <c r="D187" s="234"/>
      <c r="E187" s="234"/>
      <c r="F187" s="234"/>
      <c r="G187" s="392">
        <v>157.6</v>
      </c>
      <c r="H187" s="234"/>
      <c r="I187" s="234"/>
      <c r="J187" s="235"/>
      <c r="K187" s="2"/>
    </row>
    <row r="188" spans="1:28" ht="15" customHeight="1">
      <c r="A188" s="196">
        <v>32</v>
      </c>
      <c r="B188" s="201">
        <v>2</v>
      </c>
      <c r="C188" s="2">
        <v>130.548</v>
      </c>
      <c r="D188" s="2">
        <v>130.548</v>
      </c>
      <c r="E188" s="2">
        <v>156.28299999999999</v>
      </c>
      <c r="F188" s="2">
        <v>196.72499999999999</v>
      </c>
      <c r="G188" s="2">
        <v>233.155</v>
      </c>
      <c r="H188" s="2">
        <v>70.721999999999994</v>
      </c>
      <c r="I188" s="2">
        <v>52.673999999999999</v>
      </c>
      <c r="J188" s="236">
        <v>62.366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8" ht="15" customHeight="1">
      <c r="A189" s="229">
        <v>33</v>
      </c>
      <c r="B189" s="200">
        <v>1</v>
      </c>
      <c r="C189" s="234">
        <v>2.7909999999999999</v>
      </c>
      <c r="D189" s="234">
        <v>6.415</v>
      </c>
      <c r="E189" s="234">
        <v>13.795999999999999</v>
      </c>
      <c r="F189" s="234">
        <v>27.757000000000001</v>
      </c>
      <c r="G189" s="234">
        <v>45.734000000000002</v>
      </c>
      <c r="H189" s="234">
        <v>80.542000000000002</v>
      </c>
      <c r="I189" s="234">
        <v>120.093</v>
      </c>
      <c r="J189" s="234">
        <v>185.12700000000001</v>
      </c>
      <c r="K189" s="234">
        <v>295.03899999999999</v>
      </c>
      <c r="L189" s="234">
        <v>439.92</v>
      </c>
      <c r="M189" s="234">
        <v>678.149</v>
      </c>
      <c r="N189" s="234">
        <v>1011.159</v>
      </c>
      <c r="O189" s="234">
        <v>1507.694</v>
      </c>
      <c r="P189" s="234">
        <v>2174.4499999999998</v>
      </c>
      <c r="Q189" s="234">
        <v>3242.2269999999999</v>
      </c>
      <c r="R189" s="234">
        <v>4834.3419999999996</v>
      </c>
      <c r="S189" s="234">
        <v>6523.1570000000002</v>
      </c>
      <c r="T189" s="234">
        <v>9407.9279999999999</v>
      </c>
      <c r="U189" s="234">
        <v>13124.183000000001</v>
      </c>
      <c r="V189" s="234">
        <v>17129.116000000002</v>
      </c>
      <c r="W189" s="234">
        <v>23112.952000000001</v>
      </c>
      <c r="X189" s="234">
        <v>30166.024000000001</v>
      </c>
      <c r="Y189" s="234">
        <v>44979.233</v>
      </c>
      <c r="Z189" s="234">
        <v>56782.807999999997</v>
      </c>
      <c r="AA189" s="235">
        <v>81894.175000000003</v>
      </c>
      <c r="AB189" s="2"/>
    </row>
    <row r="190" spans="1:28" ht="15" customHeight="1">
      <c r="A190" s="228">
        <v>33</v>
      </c>
      <c r="B190" s="201">
        <v>2</v>
      </c>
      <c r="C190" s="2">
        <v>12.076000000000001</v>
      </c>
      <c r="D190" s="2">
        <v>28.696999999999999</v>
      </c>
      <c r="E190" s="2">
        <v>65.959000000000003</v>
      </c>
      <c r="F190" s="2">
        <v>132.70599999999999</v>
      </c>
      <c r="G190" s="2">
        <v>258.255</v>
      </c>
      <c r="H190" s="2">
        <v>398.10700000000003</v>
      </c>
      <c r="I190" s="2">
        <v>678.149</v>
      </c>
      <c r="J190" s="2">
        <v>1045.3869999999999</v>
      </c>
      <c r="K190" s="2">
        <v>1666.0450000000001</v>
      </c>
      <c r="L190" s="2">
        <v>2484.1669999999999</v>
      </c>
      <c r="M190" s="2">
        <v>3582.7530000000002</v>
      </c>
      <c r="N190" s="2">
        <v>4997.9880000000003</v>
      </c>
      <c r="O190" s="2">
        <v>7208.2749999999996</v>
      </c>
      <c r="P190" s="2">
        <v>10396.029</v>
      </c>
      <c r="Q190" s="2">
        <v>13124.183000000001</v>
      </c>
      <c r="R190" s="2">
        <v>17129.116000000002</v>
      </c>
      <c r="S190" s="2">
        <v>21624.186000000002</v>
      </c>
      <c r="T190" s="2">
        <v>29178.316999999999</v>
      </c>
      <c r="U190" s="2">
        <v>36835.372000000003</v>
      </c>
      <c r="V190" s="2">
        <v>43506.506999999998</v>
      </c>
      <c r="W190" s="2">
        <v>43506.506999999998</v>
      </c>
      <c r="X190" s="2">
        <v>71683.91</v>
      </c>
      <c r="Y190" s="2">
        <v>71683.91</v>
      </c>
      <c r="Z190" s="2">
        <v>90495.4</v>
      </c>
      <c r="AA190" s="236">
        <v>106884.73</v>
      </c>
      <c r="AB190" s="2"/>
    </row>
    <row r="191" spans="1:28" ht="15" customHeight="1">
      <c r="A191" s="228">
        <v>33</v>
      </c>
      <c r="B191" s="201">
        <v>3</v>
      </c>
      <c r="C191" s="2">
        <v>16.295000000000002</v>
      </c>
      <c r="D191" s="2">
        <v>40.031999999999996</v>
      </c>
      <c r="E191" s="2">
        <v>95.129000000000005</v>
      </c>
      <c r="F191" s="2">
        <v>179.066</v>
      </c>
      <c r="G191" s="2">
        <v>326.02699999999999</v>
      </c>
      <c r="H191" s="2">
        <v>593.6</v>
      </c>
      <c r="I191" s="2">
        <v>1011.159</v>
      </c>
      <c r="J191" s="2">
        <v>1507.694</v>
      </c>
      <c r="K191" s="2">
        <v>2402.8290000000002</v>
      </c>
      <c r="L191" s="2">
        <v>3582.7530000000002</v>
      </c>
      <c r="M191" s="2">
        <v>5167.1729999999998</v>
      </c>
      <c r="N191" s="2">
        <v>7452.28</v>
      </c>
      <c r="O191" s="2">
        <v>10747.941999999999</v>
      </c>
      <c r="P191" s="2">
        <v>14502.597</v>
      </c>
      <c r="Q191" s="2">
        <v>18308.409</v>
      </c>
      <c r="R191" s="2">
        <v>28222.95</v>
      </c>
      <c r="S191" s="2">
        <v>35629.294999999998</v>
      </c>
      <c r="T191" s="2">
        <v>36835.372000000003</v>
      </c>
      <c r="U191" s="2">
        <v>42082.000999999997</v>
      </c>
      <c r="V191" s="2">
        <v>64870.642</v>
      </c>
      <c r="W191" s="2">
        <v>74110.462</v>
      </c>
      <c r="X191" s="2">
        <v>74110.462</v>
      </c>
      <c r="Y191" s="2">
        <v>84666.350999999995</v>
      </c>
      <c r="Z191" s="2">
        <v>90495.4</v>
      </c>
      <c r="AA191" s="236">
        <v>90495.4</v>
      </c>
      <c r="AB191" s="2"/>
    </row>
    <row r="192" spans="1:28" ht="15" customHeight="1">
      <c r="A192" s="228">
        <v>33</v>
      </c>
      <c r="B192" s="201">
        <v>4</v>
      </c>
      <c r="C192" s="2">
        <v>537.18100000000004</v>
      </c>
      <c r="D192" s="2">
        <v>749.37400000000002</v>
      </c>
      <c r="E192" s="2">
        <v>1011.159</v>
      </c>
      <c r="F192" s="2">
        <v>1194.2860000000001</v>
      </c>
      <c r="G192" s="2">
        <v>1558.731</v>
      </c>
      <c r="H192" s="2">
        <v>2034.3879999999999</v>
      </c>
      <c r="I192" s="2">
        <v>2568.2570000000001</v>
      </c>
      <c r="J192" s="2">
        <v>3582.7530000000002</v>
      </c>
      <c r="K192" s="2">
        <v>4676.0540000000001</v>
      </c>
      <c r="L192" s="2">
        <v>6309.5730000000003</v>
      </c>
      <c r="M192" s="2">
        <v>8801.9380000000001</v>
      </c>
      <c r="N192" s="2">
        <v>11111.767</v>
      </c>
      <c r="O192" s="2">
        <v>16025.784</v>
      </c>
      <c r="P192" s="2">
        <v>21624.186000000002</v>
      </c>
      <c r="Q192" s="2">
        <v>26405.035</v>
      </c>
      <c r="R192" s="2">
        <v>36835.372000000003</v>
      </c>
      <c r="S192" s="2">
        <v>46501.811999999998</v>
      </c>
      <c r="T192" s="2">
        <v>53125.277000000002</v>
      </c>
      <c r="U192" s="2">
        <v>58704.947</v>
      </c>
      <c r="V192" s="2">
        <v>87532.366999999998</v>
      </c>
      <c r="W192" s="2">
        <v>96725.763999999996</v>
      </c>
      <c r="X192" s="34">
        <v>110502.85400000001</v>
      </c>
      <c r="Y192" s="34">
        <v>139501.31899999999</v>
      </c>
      <c r="Z192" s="34">
        <v>159371.125</v>
      </c>
      <c r="AA192" s="237">
        <v>229850.67499999999</v>
      </c>
      <c r="AB192" s="2"/>
    </row>
    <row r="193" spans="1:27" ht="15" customHeight="1">
      <c r="A193" s="199">
        <v>34</v>
      </c>
      <c r="B193" s="200">
        <v>1</v>
      </c>
      <c r="C193" s="234">
        <v>83.941000000000003</v>
      </c>
      <c r="D193" s="234">
        <v>120.746</v>
      </c>
      <c r="E193" s="234">
        <v>185.78299999999999</v>
      </c>
      <c r="F193" s="234">
        <v>267.23899999999998</v>
      </c>
      <c r="G193" s="234">
        <v>411.18299999999999</v>
      </c>
      <c r="H193" s="234">
        <v>632.65899999999999</v>
      </c>
      <c r="I193" s="234">
        <v>960.40899999999999</v>
      </c>
      <c r="J193" s="234">
        <v>1419.21</v>
      </c>
      <c r="K193" s="234">
        <v>2154.4349999999999</v>
      </c>
      <c r="L193" s="234">
        <v>3270.5430000000001</v>
      </c>
      <c r="M193" s="234">
        <v>4768.2889999999998</v>
      </c>
      <c r="N193" s="234">
        <v>7046.1719999999996</v>
      </c>
      <c r="O193" s="234">
        <v>9734.2860000000001</v>
      </c>
      <c r="P193" s="234">
        <v>14002.281999999999</v>
      </c>
      <c r="Q193" s="234">
        <v>18329.807000000001</v>
      </c>
      <c r="R193" s="234">
        <v>24320.075000000001</v>
      </c>
      <c r="S193" s="234">
        <v>30575.960999999999</v>
      </c>
      <c r="T193" s="234">
        <v>38441.057000000001</v>
      </c>
      <c r="U193" s="234">
        <v>45182.552000000003</v>
      </c>
      <c r="V193" s="235">
        <v>51003.777000000002</v>
      </c>
      <c r="W193" s="234"/>
      <c r="X193" s="2"/>
      <c r="Y193" s="2"/>
      <c r="Z193" s="2"/>
      <c r="AA193" s="2"/>
    </row>
    <row r="194" spans="1:27" ht="15" customHeight="1">
      <c r="A194" s="196">
        <v>34</v>
      </c>
      <c r="B194" s="201">
        <v>2</v>
      </c>
      <c r="C194" s="2">
        <v>129.518</v>
      </c>
      <c r="D194" s="2">
        <v>179.80199999999999</v>
      </c>
      <c r="E194" s="2">
        <v>255.988</v>
      </c>
      <c r="F194" s="2">
        <v>369.08199999999999</v>
      </c>
      <c r="G194" s="2">
        <v>545.74099999999999</v>
      </c>
      <c r="H194" s="2">
        <v>796.83799999999997</v>
      </c>
      <c r="I194" s="2">
        <v>1239.2260000000001</v>
      </c>
      <c r="J194" s="2">
        <v>1855.6379999999999</v>
      </c>
      <c r="K194" s="2">
        <v>2709.422</v>
      </c>
      <c r="L194" s="2">
        <v>3761.3389999999999</v>
      </c>
      <c r="M194" s="2">
        <v>5156.1880000000001</v>
      </c>
      <c r="N194" s="2">
        <v>7068.3019999999997</v>
      </c>
      <c r="O194" s="2">
        <v>8649.4060000000009</v>
      </c>
      <c r="P194" s="2">
        <v>9937.1139999999996</v>
      </c>
      <c r="Q194" s="2">
        <v>10992.485000000001</v>
      </c>
      <c r="R194" s="2">
        <v>11856.939</v>
      </c>
      <c r="S194" s="2">
        <v>12789.375</v>
      </c>
      <c r="T194" s="2">
        <v>14327.300999999999</v>
      </c>
      <c r="U194" s="2">
        <v>14509.212</v>
      </c>
      <c r="V194" s="236">
        <v>14693.433000000001</v>
      </c>
      <c r="W194" s="2"/>
      <c r="X194" s="2"/>
    </row>
    <row r="195" spans="1:27" ht="15" customHeight="1">
      <c r="A195" s="196">
        <v>34</v>
      </c>
      <c r="B195" s="201">
        <v>3</v>
      </c>
      <c r="C195" s="2">
        <v>212.67099999999999</v>
      </c>
      <c r="D195" s="2">
        <v>286.48599999999999</v>
      </c>
      <c r="E195" s="2">
        <v>401.21300000000002</v>
      </c>
      <c r="F195" s="2">
        <v>576.63400000000001</v>
      </c>
      <c r="G195" s="2">
        <v>786.90300000000002</v>
      </c>
      <c r="H195" s="2">
        <v>1160.6400000000001</v>
      </c>
      <c r="I195" s="2">
        <v>1689.85</v>
      </c>
      <c r="J195" s="2">
        <v>2366.5790000000002</v>
      </c>
      <c r="K195" s="2">
        <v>3445.652</v>
      </c>
      <c r="L195" s="2">
        <v>4952.1760000000004</v>
      </c>
      <c r="M195" s="2">
        <v>6935.3590000000004</v>
      </c>
      <c r="N195" s="2">
        <v>9464.3330000000005</v>
      </c>
      <c r="O195" s="2">
        <v>12423.2</v>
      </c>
      <c r="P195" s="2">
        <v>16097.226000000001</v>
      </c>
      <c r="Q195" s="2">
        <v>19804.556</v>
      </c>
      <c r="R195" s="2">
        <v>25005.235000000001</v>
      </c>
      <c r="S195" s="2">
        <v>30764.155999999999</v>
      </c>
      <c r="T195" s="2">
        <v>32822.707000000002</v>
      </c>
      <c r="U195" s="2">
        <v>37362.264999999999</v>
      </c>
      <c r="V195" s="236"/>
      <c r="W195" s="2"/>
      <c r="X195" s="2"/>
    </row>
    <row r="196" spans="1:27" ht="15" customHeight="1">
      <c r="A196" s="197">
        <v>34</v>
      </c>
      <c r="B196" s="202">
        <v>4</v>
      </c>
      <c r="C196" s="34">
        <v>1948.645</v>
      </c>
      <c r="D196" s="34">
        <v>2133.605</v>
      </c>
      <c r="E196" s="34">
        <v>2428.694</v>
      </c>
      <c r="F196" s="34">
        <v>2693.8890000000001</v>
      </c>
      <c r="G196" s="34">
        <v>3027.002</v>
      </c>
      <c r="H196" s="34">
        <v>3490.578</v>
      </c>
      <c r="I196" s="34">
        <v>3922.2049999999999</v>
      </c>
      <c r="J196" s="34">
        <v>4464.6670000000004</v>
      </c>
      <c r="K196" s="34">
        <v>5148.4170000000004</v>
      </c>
      <c r="L196" s="34">
        <v>5785.0429999999997</v>
      </c>
      <c r="M196" s="34">
        <v>6500.3919999999998</v>
      </c>
      <c r="N196" s="34">
        <v>7304.1959999999999</v>
      </c>
      <c r="O196" s="34">
        <v>8101.7619999999997</v>
      </c>
      <c r="P196" s="34">
        <v>9342.5220000000008</v>
      </c>
      <c r="Q196" s="34">
        <v>10634.643</v>
      </c>
      <c r="R196" s="34">
        <v>11494.184999999999</v>
      </c>
      <c r="S196" s="34">
        <v>12585.178</v>
      </c>
      <c r="T196" s="34">
        <v>14141.395</v>
      </c>
      <c r="U196" s="34">
        <v>15685.534</v>
      </c>
      <c r="V196" s="237">
        <v>30368.205000000002</v>
      </c>
      <c r="W196" s="2"/>
      <c r="X196" s="2"/>
    </row>
    <row r="197" spans="1:27" ht="15" customHeight="1">
      <c r="A197" s="233">
        <v>35</v>
      </c>
      <c r="B197" s="75">
        <v>1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7" ht="15" customHeight="1">
      <c r="A198" s="233">
        <v>35</v>
      </c>
      <c r="B198" s="75">
        <v>2</v>
      </c>
    </row>
    <row r="199" spans="1:27" ht="15" customHeight="1">
      <c r="A199" s="233">
        <v>35</v>
      </c>
      <c r="B199" s="75">
        <v>3</v>
      </c>
    </row>
    <row r="200" spans="1:27" ht="15" customHeight="1">
      <c r="A200" s="241">
        <v>35</v>
      </c>
      <c r="B200" s="231">
        <v>4</v>
      </c>
    </row>
    <row r="201" spans="1:27" ht="15" customHeight="1">
      <c r="A201" s="233">
        <v>36</v>
      </c>
      <c r="B201" s="75">
        <v>1</v>
      </c>
    </row>
    <row r="202" spans="1:27" ht="15" customHeight="1">
      <c r="A202" s="233">
        <v>36</v>
      </c>
      <c r="B202" s="75">
        <v>2</v>
      </c>
    </row>
    <row r="203" spans="1:27" ht="15" customHeight="1">
      <c r="A203" s="233">
        <v>36</v>
      </c>
      <c r="B203" s="75">
        <v>3</v>
      </c>
    </row>
    <row r="204" spans="1:27" ht="15" customHeight="1">
      <c r="A204" s="241">
        <v>36</v>
      </c>
      <c r="B204" s="231">
        <v>4</v>
      </c>
    </row>
    <row r="205" spans="1:27" ht="15" customHeight="1">
      <c r="A205" s="233">
        <v>37</v>
      </c>
      <c r="B205" s="201">
        <v>1</v>
      </c>
    </row>
    <row r="206" spans="1:27" ht="15" customHeight="1">
      <c r="A206" s="233">
        <v>37</v>
      </c>
      <c r="B206" s="201">
        <v>2</v>
      </c>
    </row>
    <row r="207" spans="1:27" ht="15" customHeight="1">
      <c r="A207" s="233">
        <v>37</v>
      </c>
      <c r="B207" s="201">
        <v>3</v>
      </c>
    </row>
    <row r="208" spans="1:27" ht="15" customHeight="1">
      <c r="A208" s="233">
        <v>37</v>
      </c>
      <c r="B208" s="201">
        <v>4</v>
      </c>
    </row>
    <row r="209" spans="1:2" ht="15" customHeight="1">
      <c r="A209" s="233">
        <v>37</v>
      </c>
      <c r="B209" s="201">
        <v>5</v>
      </c>
    </row>
    <row r="210" spans="1:2" ht="15" customHeight="1">
      <c r="A210" s="233">
        <v>37</v>
      </c>
      <c r="B210" s="201">
        <v>6</v>
      </c>
    </row>
    <row r="211" spans="1:2" ht="15" customHeight="1">
      <c r="A211" s="241">
        <v>37</v>
      </c>
      <c r="B211" s="202">
        <v>7</v>
      </c>
    </row>
    <row r="212" spans="1:2" ht="15" customHeight="1">
      <c r="A212" s="229">
        <v>38</v>
      </c>
      <c r="B212" s="74">
        <v>1</v>
      </c>
    </row>
    <row r="213" spans="1:2" ht="15" customHeight="1">
      <c r="A213" s="228">
        <v>38</v>
      </c>
      <c r="B213" s="75">
        <v>2</v>
      </c>
    </row>
    <row r="214" spans="1:2" ht="15" customHeight="1">
      <c r="A214" s="228">
        <v>38</v>
      </c>
      <c r="B214" s="75">
        <v>3</v>
      </c>
    </row>
    <row r="215" spans="1:2" ht="15" customHeight="1">
      <c r="A215" s="228">
        <v>38</v>
      </c>
      <c r="B215" s="75">
        <v>4</v>
      </c>
    </row>
    <row r="216" spans="1:2" ht="15" customHeight="1">
      <c r="A216" s="228">
        <v>38</v>
      </c>
      <c r="B216" s="75">
        <v>5</v>
      </c>
    </row>
    <row r="217" spans="1:2" ht="15" customHeight="1">
      <c r="A217" s="228">
        <v>38</v>
      </c>
      <c r="B217" s="75">
        <v>6</v>
      </c>
    </row>
    <row r="218" spans="1:2" ht="15" customHeight="1">
      <c r="A218" s="229">
        <v>39</v>
      </c>
      <c r="B218" s="74">
        <v>1</v>
      </c>
    </row>
    <row r="219" spans="1:2" ht="15" customHeight="1">
      <c r="A219" s="228">
        <v>39</v>
      </c>
      <c r="B219" s="75">
        <v>2</v>
      </c>
    </row>
    <row r="220" spans="1:2" ht="15" customHeight="1">
      <c r="A220" s="228">
        <v>39</v>
      </c>
      <c r="B220" s="75">
        <v>3</v>
      </c>
    </row>
    <row r="221" spans="1:2" ht="15" customHeight="1">
      <c r="A221" s="228">
        <v>39</v>
      </c>
      <c r="B221" s="75">
        <v>4</v>
      </c>
    </row>
    <row r="222" spans="1:2" ht="15" customHeight="1">
      <c r="A222" s="228">
        <v>39</v>
      </c>
      <c r="B222" s="75">
        <v>5</v>
      </c>
    </row>
    <row r="223" spans="1:2" ht="15" customHeight="1">
      <c r="A223" s="228">
        <v>39</v>
      </c>
      <c r="B223" s="75">
        <v>6</v>
      </c>
    </row>
    <row r="224" spans="1:2" ht="15" customHeight="1">
      <c r="A224" s="228">
        <v>39</v>
      </c>
      <c r="B224" s="75">
        <v>7</v>
      </c>
    </row>
    <row r="225" spans="1:27" ht="15" customHeight="1">
      <c r="A225" s="228">
        <v>39</v>
      </c>
      <c r="B225" s="75">
        <v>8</v>
      </c>
    </row>
    <row r="226" spans="1:27" ht="15" customHeight="1">
      <c r="A226" s="229">
        <v>40</v>
      </c>
      <c r="B226" s="74">
        <v>1</v>
      </c>
    </row>
    <row r="227" spans="1:27" ht="15" customHeight="1">
      <c r="A227" s="228">
        <v>40</v>
      </c>
      <c r="B227" s="75">
        <v>2</v>
      </c>
    </row>
    <row r="228" spans="1:27" ht="15" customHeight="1">
      <c r="A228" s="228">
        <v>40</v>
      </c>
      <c r="B228" s="75">
        <v>3</v>
      </c>
    </row>
    <row r="229" spans="1:27" ht="15" customHeight="1">
      <c r="A229" s="228">
        <v>40</v>
      </c>
      <c r="B229" s="75">
        <v>4</v>
      </c>
    </row>
    <row r="230" spans="1:27" ht="15" customHeight="1">
      <c r="A230" s="228">
        <v>40</v>
      </c>
      <c r="B230" s="75">
        <v>5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7" ht="15" customHeight="1">
      <c r="A231" s="199">
        <v>41</v>
      </c>
      <c r="B231" s="200">
        <v>1</v>
      </c>
      <c r="C231" s="234">
        <v>16.030999999999999</v>
      </c>
      <c r="D231" s="234">
        <v>18.495999999999999</v>
      </c>
      <c r="E231" s="234">
        <v>23.587</v>
      </c>
      <c r="F231" s="234">
        <v>33.725000000000001</v>
      </c>
      <c r="G231" s="234">
        <v>49.619</v>
      </c>
      <c r="H231" s="234">
        <v>69.938999999999993</v>
      </c>
      <c r="I231" s="234">
        <v>100</v>
      </c>
      <c r="J231" s="234">
        <v>145.041</v>
      </c>
      <c r="K231" s="234">
        <v>201.53399999999999</v>
      </c>
      <c r="L231" s="234">
        <v>284.06400000000002</v>
      </c>
      <c r="M231" s="234">
        <v>394.70600000000002</v>
      </c>
      <c r="N231" s="234">
        <v>548.44200000000001</v>
      </c>
      <c r="O231" s="234">
        <v>762.05700000000002</v>
      </c>
      <c r="P231" s="234">
        <v>1074.1279999999999</v>
      </c>
      <c r="Q231" s="234">
        <v>1471.3019999999999</v>
      </c>
      <c r="R231" s="234">
        <v>1958.509</v>
      </c>
      <c r="S231" s="234">
        <v>2760.538</v>
      </c>
      <c r="T231" s="234">
        <v>3727.5940000000001</v>
      </c>
      <c r="U231" s="234">
        <v>5105.9260000000004</v>
      </c>
      <c r="V231" s="234">
        <v>6700.1880000000001</v>
      </c>
      <c r="W231" s="234">
        <v>9047.357</v>
      </c>
      <c r="X231" s="234">
        <v>11703.695</v>
      </c>
      <c r="Y231" s="234">
        <v>15358.026</v>
      </c>
      <c r="Z231" s="235">
        <v>17719.326000000001</v>
      </c>
      <c r="AA231" s="2"/>
    </row>
    <row r="232" spans="1:27" ht="15" customHeight="1">
      <c r="A232" s="196">
        <v>41</v>
      </c>
      <c r="B232" s="201">
        <v>2</v>
      </c>
      <c r="C232" s="2">
        <v>102.902</v>
      </c>
      <c r="D232" s="2">
        <v>151.399</v>
      </c>
      <c r="E232" s="2">
        <v>213.399</v>
      </c>
      <c r="F232" s="2">
        <v>305.12099999999998</v>
      </c>
      <c r="G232" s="2">
        <v>436.26600000000002</v>
      </c>
      <c r="H232" s="2">
        <v>597.58199999999999</v>
      </c>
      <c r="I232" s="2">
        <v>806.923</v>
      </c>
      <c r="J232" s="2">
        <v>1153.75</v>
      </c>
      <c r="K232" s="2">
        <v>1513.9939999999999</v>
      </c>
      <c r="L232" s="2">
        <v>2015.338</v>
      </c>
      <c r="M232" s="2">
        <v>2682.6959999999999</v>
      </c>
      <c r="N232" s="2">
        <v>3520.3339999999998</v>
      </c>
      <c r="O232" s="2">
        <v>4553.9170000000004</v>
      </c>
      <c r="P232" s="2">
        <v>6061.8990000000003</v>
      </c>
      <c r="Q232" s="2">
        <v>8069.2340000000004</v>
      </c>
      <c r="R232" s="2">
        <v>10588.751</v>
      </c>
      <c r="S232" s="2">
        <v>13503.14</v>
      </c>
      <c r="T232" s="2">
        <v>17719.326000000001</v>
      </c>
      <c r="U232" s="2">
        <v>22596.296999999999</v>
      </c>
      <c r="V232" s="2">
        <v>28406.397000000001</v>
      </c>
      <c r="W232" s="2">
        <v>35710.425999999999</v>
      </c>
      <c r="X232" s="2">
        <v>45539.167999999998</v>
      </c>
      <c r="Y232" s="2">
        <v>55634.17</v>
      </c>
      <c r="Z232" s="236">
        <v>61492.178</v>
      </c>
      <c r="AA232" s="2"/>
    </row>
    <row r="233" spans="1:27" ht="15" customHeight="1">
      <c r="A233" s="196">
        <v>41</v>
      </c>
      <c r="B233" s="201">
        <v>3</v>
      </c>
      <c r="C233" s="2">
        <v>1014.405</v>
      </c>
      <c r="D233" s="2">
        <v>1239.2750000000001</v>
      </c>
      <c r="E233" s="2">
        <v>1513.9939999999999</v>
      </c>
      <c r="F233" s="2">
        <v>1797.4559999999999</v>
      </c>
      <c r="G233" s="2">
        <v>2259.63</v>
      </c>
      <c r="H233" s="2">
        <v>3051.21</v>
      </c>
      <c r="I233" s="2">
        <v>3891.0079999999998</v>
      </c>
      <c r="J233" s="2">
        <v>5033.4219999999996</v>
      </c>
      <c r="K233" s="2">
        <v>6418.7939999999999</v>
      </c>
      <c r="L233" s="2">
        <v>8069.2340000000004</v>
      </c>
      <c r="M233" s="2">
        <v>10438.391</v>
      </c>
      <c r="N233" s="2">
        <v>13122.374</v>
      </c>
      <c r="O233" s="2">
        <v>16734.105</v>
      </c>
      <c r="P233" s="2">
        <v>20738.157999999999</v>
      </c>
      <c r="Q233" s="2">
        <v>26826.957999999999</v>
      </c>
      <c r="R233" s="2">
        <v>34210.663</v>
      </c>
      <c r="S233" s="2">
        <v>43007.120999999999</v>
      </c>
      <c r="T233" s="2">
        <v>54065.379000000001</v>
      </c>
      <c r="U233" s="2">
        <v>67001.875</v>
      </c>
      <c r="V233" s="2">
        <v>77303.429000000004</v>
      </c>
      <c r="W233" s="2">
        <v>87922.369000000006</v>
      </c>
      <c r="X233" s="2">
        <v>105887.50599999999</v>
      </c>
      <c r="Y233" s="2">
        <v>133113.96</v>
      </c>
      <c r="Z233" s="236">
        <v>210368.818</v>
      </c>
      <c r="AA233" s="2"/>
    </row>
    <row r="234" spans="1:27" ht="15" customHeight="1">
      <c r="A234" s="196">
        <v>41</v>
      </c>
      <c r="B234" s="201">
        <v>4</v>
      </c>
      <c r="C234" s="2">
        <v>10144.045</v>
      </c>
      <c r="D234" s="2">
        <v>10290.165999999999</v>
      </c>
      <c r="E234" s="2">
        <v>10588.751</v>
      </c>
      <c r="F234" s="2">
        <v>10896</v>
      </c>
      <c r="G234" s="2">
        <v>11052.950999999999</v>
      </c>
      <c r="H234" s="2">
        <v>11703.695</v>
      </c>
      <c r="I234" s="2">
        <v>12216.772999999999</v>
      </c>
      <c r="J234" s="2">
        <v>12936.037</v>
      </c>
      <c r="K234" s="2">
        <v>14095.105</v>
      </c>
      <c r="L234" s="2">
        <v>15358.026</v>
      </c>
      <c r="M234" s="2">
        <v>17467.712</v>
      </c>
      <c r="N234" s="2">
        <v>19585.084999999999</v>
      </c>
      <c r="O234" s="2">
        <v>22596.296999999999</v>
      </c>
      <c r="P234" s="2">
        <v>27213.387999999999</v>
      </c>
      <c r="Q234" s="2">
        <v>30951.609</v>
      </c>
      <c r="R234" s="2">
        <v>35203.338000000003</v>
      </c>
      <c r="S234" s="2">
        <v>42396.421000000002</v>
      </c>
      <c r="T234" s="2">
        <v>51794.747000000003</v>
      </c>
      <c r="U234" s="2">
        <v>62377.944000000003</v>
      </c>
      <c r="V234" s="2">
        <v>71968.566999999995</v>
      </c>
      <c r="W234" s="2">
        <v>85443.104000000007</v>
      </c>
      <c r="X234" s="2">
        <v>105887.50599999999</v>
      </c>
      <c r="Y234" s="2">
        <v>133113.96</v>
      </c>
      <c r="Z234" s="236">
        <v>195850.85200000001</v>
      </c>
      <c r="AA234" s="2"/>
    </row>
    <row r="235" spans="1:27" ht="15" customHeight="1">
      <c r="A235" s="196">
        <v>41</v>
      </c>
      <c r="B235" s="201">
        <v>5</v>
      </c>
      <c r="C235" s="2">
        <v>23926.654999999999</v>
      </c>
      <c r="D235" s="2">
        <v>22596.296999999999</v>
      </c>
      <c r="E235" s="2">
        <v>21339.907999999999</v>
      </c>
      <c r="F235" s="2">
        <v>21339.907999999999</v>
      </c>
      <c r="G235" s="2">
        <v>21339.907999999999</v>
      </c>
      <c r="H235" s="2">
        <v>20443.677</v>
      </c>
      <c r="I235" s="2">
        <v>22596.296999999999</v>
      </c>
      <c r="J235" s="2">
        <v>22596.296999999999</v>
      </c>
      <c r="K235" s="2">
        <v>22921.786</v>
      </c>
      <c r="L235" s="2">
        <v>24620.923999999999</v>
      </c>
      <c r="M235" s="2">
        <v>27213.387999999999</v>
      </c>
      <c r="N235" s="2">
        <v>29230.651999999998</v>
      </c>
      <c r="O235" s="2">
        <v>33245.978999999999</v>
      </c>
      <c r="P235" s="2">
        <v>36746.618999999999</v>
      </c>
      <c r="Q235" s="2">
        <v>41794.392</v>
      </c>
      <c r="R235" s="2">
        <v>48220.29</v>
      </c>
      <c r="S235" s="2">
        <v>54844.165999999997</v>
      </c>
      <c r="T235" s="2">
        <v>64187.936999999998</v>
      </c>
      <c r="U235" s="2">
        <v>71968.566999999995</v>
      </c>
      <c r="V235" s="2">
        <v>85443.104000000007</v>
      </c>
      <c r="W235" s="2">
        <v>102901.655</v>
      </c>
      <c r="X235" s="2">
        <v>122167.735</v>
      </c>
      <c r="Y235" s="2">
        <v>222754.29500000001</v>
      </c>
      <c r="Z235" s="236">
        <v>347034.51500000001</v>
      </c>
      <c r="AA235" s="2"/>
    </row>
    <row r="236" spans="1:27" ht="15" customHeight="1">
      <c r="A236" s="196">
        <v>41</v>
      </c>
      <c r="B236" s="201">
        <v>6</v>
      </c>
      <c r="C236" s="2">
        <v>147130.21299999999</v>
      </c>
      <c r="D236" s="2">
        <v>125712.621</v>
      </c>
      <c r="E236" s="2">
        <v>110529.514</v>
      </c>
      <c r="F236" s="2">
        <v>97180.167000000001</v>
      </c>
      <c r="G236" s="2">
        <v>94439.847999999998</v>
      </c>
      <c r="H236" s="2">
        <v>86673.872000000003</v>
      </c>
      <c r="I236" s="2">
        <v>84229.812999999995</v>
      </c>
      <c r="J236" s="2">
        <v>77303.429000000004</v>
      </c>
      <c r="K236" s="2">
        <v>74056.846999999994</v>
      </c>
      <c r="L236" s="2">
        <v>70946.615000000005</v>
      </c>
      <c r="M236" s="2">
        <v>68946.038</v>
      </c>
      <c r="N236" s="2">
        <v>66050.448999999993</v>
      </c>
      <c r="O236" s="2">
        <v>67967.005999999994</v>
      </c>
      <c r="P236" s="2">
        <v>67967.005999999994</v>
      </c>
      <c r="Q236" s="2">
        <v>69939.173999999999</v>
      </c>
      <c r="R236" s="2">
        <v>67967.005999999994</v>
      </c>
      <c r="S236" s="2">
        <v>76205.721000000005</v>
      </c>
      <c r="T236" s="2">
        <v>78416.948000000004</v>
      </c>
      <c r="U236" s="2">
        <v>83033.751000000004</v>
      </c>
      <c r="V236" s="2">
        <v>85443.104000000007</v>
      </c>
      <c r="W236" s="2">
        <v>102901.655</v>
      </c>
      <c r="X236" s="34">
        <v>85443.104000000007</v>
      </c>
      <c r="Y236" s="34">
        <v>158036.63099999999</v>
      </c>
      <c r="Z236" s="237">
        <v>296517.06300000002</v>
      </c>
      <c r="AA236" s="2"/>
    </row>
    <row r="237" spans="1:27" ht="15" customHeight="1">
      <c r="A237" s="199">
        <v>42</v>
      </c>
      <c r="B237" s="200" t="s">
        <v>221</v>
      </c>
      <c r="C237" s="234">
        <v>60.701000000000001</v>
      </c>
      <c r="D237" s="234">
        <v>108.46599999999999</v>
      </c>
      <c r="E237" s="234">
        <v>176.62799999999999</v>
      </c>
      <c r="F237" s="234">
        <v>294.37900000000002</v>
      </c>
      <c r="G237" s="234">
        <v>447.11599999999999</v>
      </c>
      <c r="H237" s="234">
        <v>711.37900000000002</v>
      </c>
      <c r="I237" s="234">
        <v>1105.8530000000001</v>
      </c>
      <c r="J237" s="234">
        <v>1641.066</v>
      </c>
      <c r="K237" s="234">
        <v>2492.52</v>
      </c>
      <c r="L237" s="234">
        <v>3449.9679999999998</v>
      </c>
      <c r="M237" s="234">
        <v>5363.049</v>
      </c>
      <c r="N237" s="234">
        <v>7958.6670000000004</v>
      </c>
      <c r="O237" s="234">
        <v>11274.592000000001</v>
      </c>
      <c r="P237" s="234">
        <v>15972.075000000001</v>
      </c>
      <c r="Q237" s="234">
        <v>23702.269</v>
      </c>
      <c r="R237" s="234">
        <v>31318.31</v>
      </c>
      <c r="S237" s="234">
        <v>43348.571000000004</v>
      </c>
      <c r="T237" s="234">
        <v>48684.976000000002</v>
      </c>
      <c r="U237" s="234">
        <v>64328.491000000002</v>
      </c>
      <c r="V237" s="234">
        <v>62852.033000000003</v>
      </c>
      <c r="W237" s="235">
        <v>57277.385999999999</v>
      </c>
      <c r="X237" s="2"/>
      <c r="Y237" s="2"/>
      <c r="Z237" s="2"/>
    </row>
    <row r="238" spans="1:27" ht="15" customHeight="1">
      <c r="A238" s="196">
        <v>42</v>
      </c>
      <c r="B238" s="201" t="s">
        <v>222</v>
      </c>
      <c r="C238" s="2">
        <v>101.16800000000001</v>
      </c>
      <c r="D238" s="2">
        <v>176.62799999999999</v>
      </c>
      <c r="E238" s="2">
        <v>287.62299999999999</v>
      </c>
      <c r="F238" s="2">
        <v>468.36900000000003</v>
      </c>
      <c r="G238" s="2">
        <v>663.51199999999994</v>
      </c>
      <c r="H238" s="2">
        <v>962.04</v>
      </c>
      <c r="I238" s="2">
        <v>1603.4010000000001</v>
      </c>
      <c r="J238" s="2">
        <v>2168.375</v>
      </c>
      <c r="K238" s="2">
        <v>3217.8290000000002</v>
      </c>
      <c r="L238" s="2">
        <v>4558.5159999999996</v>
      </c>
      <c r="M238" s="2">
        <v>6609.4920000000002</v>
      </c>
      <c r="N238" s="2">
        <v>9363.2919999999995</v>
      </c>
      <c r="O238" s="2">
        <v>14221.361999999999</v>
      </c>
      <c r="P238" s="2">
        <v>19684.194</v>
      </c>
      <c r="Q238" s="2">
        <v>27885.482</v>
      </c>
      <c r="R238" s="2">
        <v>40431.764000000003</v>
      </c>
      <c r="S238" s="2">
        <v>52197.182000000001</v>
      </c>
      <c r="T238" s="2">
        <v>70589.400999999998</v>
      </c>
      <c r="U238" s="2">
        <v>64328.491000000002</v>
      </c>
      <c r="V238" s="2">
        <v>75681.824999999997</v>
      </c>
      <c r="W238" s="236">
        <v>79279.274000000005</v>
      </c>
      <c r="X238" s="2"/>
    </row>
    <row r="239" spans="1:27" ht="15" customHeight="1">
      <c r="A239" s="196">
        <v>42</v>
      </c>
      <c r="B239" s="201" t="s">
        <v>223</v>
      </c>
      <c r="C239" s="2">
        <v>468.36900000000003</v>
      </c>
      <c r="D239" s="2">
        <v>633.404</v>
      </c>
      <c r="E239" s="2">
        <v>876.71199999999999</v>
      </c>
      <c r="F239" s="2">
        <v>1158.4190000000001</v>
      </c>
      <c r="G239" s="2">
        <v>1719.0719999999999</v>
      </c>
      <c r="H239" s="2">
        <v>2324.8049999999998</v>
      </c>
      <c r="I239" s="2">
        <v>3217.8290000000002</v>
      </c>
      <c r="J239" s="2">
        <v>4887.375</v>
      </c>
      <c r="K239" s="2">
        <v>6764.7550000000001</v>
      </c>
      <c r="L239" s="2">
        <v>9148.3870000000006</v>
      </c>
      <c r="M239" s="2">
        <v>13264.445</v>
      </c>
      <c r="N239" s="2">
        <v>18359.699000000001</v>
      </c>
      <c r="O239" s="2">
        <v>24259.059000000001</v>
      </c>
      <c r="P239" s="2">
        <v>35173.735000000001</v>
      </c>
      <c r="Q239" s="2">
        <v>48684.976000000002</v>
      </c>
      <c r="R239" s="2">
        <v>55962.764000000003</v>
      </c>
      <c r="S239" s="2">
        <v>64328.491000000002</v>
      </c>
      <c r="T239" s="2">
        <v>64328.491000000002</v>
      </c>
      <c r="U239" s="2">
        <v>62852.033000000003</v>
      </c>
      <c r="V239" s="2">
        <v>67386.271999999997</v>
      </c>
      <c r="W239" s="236">
        <v>68969.243000000002</v>
      </c>
      <c r="X239" s="2"/>
    </row>
    <row r="240" spans="1:27" ht="15" customHeight="1">
      <c r="A240" s="196">
        <v>42</v>
      </c>
      <c r="B240" s="201" t="s">
        <v>225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36"/>
      <c r="X240" s="2"/>
    </row>
    <row r="241" spans="1:24" ht="15" customHeight="1">
      <c r="A241" s="196">
        <v>42</v>
      </c>
      <c r="B241" s="201" t="s">
        <v>226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36"/>
      <c r="X241" s="2"/>
    </row>
    <row r="242" spans="1:24" ht="15" customHeight="1">
      <c r="A242" s="197">
        <v>42</v>
      </c>
      <c r="B242" s="202" t="s">
        <v>227</v>
      </c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237"/>
      <c r="X242" s="2"/>
    </row>
    <row r="243" spans="1:24" ht="15" customHeight="1">
      <c r="A243" s="229">
        <v>43</v>
      </c>
      <c r="B243" s="74">
        <v>1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4" ht="15" customHeight="1">
      <c r="A244" s="228">
        <v>43</v>
      </c>
      <c r="B244" s="75">
        <v>2</v>
      </c>
    </row>
    <row r="245" spans="1:24" ht="15" customHeight="1">
      <c r="A245" s="228">
        <v>43</v>
      </c>
      <c r="B245" s="75">
        <v>3</v>
      </c>
    </row>
    <row r="246" spans="1:24" ht="15" customHeight="1">
      <c r="A246" s="229">
        <v>44</v>
      </c>
      <c r="B246" s="74" t="s">
        <v>221</v>
      </c>
    </row>
    <row r="247" spans="1:24" ht="15" customHeight="1">
      <c r="A247" s="228">
        <v>44</v>
      </c>
      <c r="B247" s="75" t="s">
        <v>222</v>
      </c>
    </row>
    <row r="248" spans="1:24" ht="15" customHeight="1">
      <c r="A248" s="228">
        <v>44</v>
      </c>
      <c r="B248" s="75" t="s">
        <v>223</v>
      </c>
    </row>
    <row r="249" spans="1:24" ht="15" customHeight="1">
      <c r="A249" s="228">
        <v>44</v>
      </c>
      <c r="B249" s="75" t="s">
        <v>224</v>
      </c>
    </row>
    <row r="250" spans="1:24" ht="15" customHeight="1">
      <c r="A250" s="228">
        <v>44</v>
      </c>
      <c r="B250" s="75" t="s">
        <v>229</v>
      </c>
    </row>
    <row r="251" spans="1:24" ht="15" customHeight="1">
      <c r="A251" s="228">
        <v>44</v>
      </c>
      <c r="B251" s="75" t="s">
        <v>225</v>
      </c>
    </row>
    <row r="252" spans="1:24" ht="15" customHeight="1">
      <c r="A252" s="228">
        <v>44</v>
      </c>
      <c r="B252" s="75" t="s">
        <v>226</v>
      </c>
    </row>
    <row r="253" spans="1:24" ht="15" customHeight="1">
      <c r="A253" s="228">
        <v>44</v>
      </c>
      <c r="B253" s="75" t="s">
        <v>227</v>
      </c>
    </row>
    <row r="254" spans="1:24" ht="15" customHeight="1">
      <c r="A254" s="228">
        <v>44</v>
      </c>
      <c r="B254" s="75" t="s">
        <v>228</v>
      </c>
    </row>
    <row r="255" spans="1:24" ht="15" customHeight="1">
      <c r="A255" s="228">
        <v>44</v>
      </c>
      <c r="B255" s="75" t="s">
        <v>230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24" ht="15" customHeight="1">
      <c r="A256" s="199">
        <v>45</v>
      </c>
      <c r="B256" s="200" t="s">
        <v>221</v>
      </c>
      <c r="C256" s="234">
        <v>1.9570000000000001</v>
      </c>
      <c r="D256" s="234">
        <v>4.3540000000000001</v>
      </c>
      <c r="E256" s="234">
        <v>8.7989999999999995</v>
      </c>
      <c r="F256" s="234">
        <v>16.681000000000001</v>
      </c>
      <c r="G256" s="234">
        <v>33.177</v>
      </c>
      <c r="H256" s="234">
        <v>70.343000000000004</v>
      </c>
      <c r="I256" s="234">
        <v>151.55000000000001</v>
      </c>
      <c r="J256" s="234">
        <v>359.38099999999997</v>
      </c>
      <c r="K256" s="234">
        <v>812.31100000000004</v>
      </c>
      <c r="L256" s="234">
        <v>1000</v>
      </c>
      <c r="M256" s="234"/>
      <c r="N256" s="234"/>
      <c r="O256" s="234"/>
      <c r="P256" s="234"/>
      <c r="Q256" s="234"/>
      <c r="R256" s="235"/>
      <c r="S256" s="2"/>
    </row>
    <row r="257" spans="1:19" ht="15" customHeight="1">
      <c r="A257" s="196">
        <v>45</v>
      </c>
      <c r="B257" s="201" t="s">
        <v>222</v>
      </c>
      <c r="C257" s="2">
        <v>7.38</v>
      </c>
      <c r="D257" s="2">
        <v>13.769</v>
      </c>
      <c r="E257" s="2">
        <v>28.274000000000001</v>
      </c>
      <c r="F257" s="2">
        <v>56.234000000000002</v>
      </c>
      <c r="G257" s="2">
        <v>119.23099999999999</v>
      </c>
      <c r="H257" s="2">
        <v>261.01600000000002</v>
      </c>
      <c r="I257" s="2">
        <v>571.40599999999995</v>
      </c>
      <c r="J257" s="2">
        <v>1049.1400000000001</v>
      </c>
      <c r="K257" s="2">
        <v>1988.8920000000001</v>
      </c>
      <c r="L257" s="2">
        <v>3213.2489999999998</v>
      </c>
      <c r="M257" s="2"/>
      <c r="N257" s="2"/>
      <c r="O257" s="2"/>
      <c r="P257" s="2"/>
      <c r="Q257" s="2"/>
      <c r="R257" s="236"/>
      <c r="S257" s="2"/>
    </row>
    <row r="258" spans="1:19" ht="15" customHeight="1">
      <c r="A258" s="196">
        <v>45</v>
      </c>
      <c r="B258" s="201" t="s">
        <v>223</v>
      </c>
      <c r="C258" s="2">
        <v>21.202999999999999</v>
      </c>
      <c r="D258" s="2">
        <v>42.17</v>
      </c>
      <c r="E258" s="2">
        <v>79.942999999999998</v>
      </c>
      <c r="F258" s="2">
        <v>166.81</v>
      </c>
      <c r="G258" s="2">
        <v>337.11500000000001</v>
      </c>
      <c r="H258" s="2">
        <v>714.77099999999996</v>
      </c>
      <c r="I258" s="2">
        <v>1589.97</v>
      </c>
      <c r="J258" s="2">
        <v>2333.7570000000001</v>
      </c>
      <c r="K258" s="2">
        <v>4084.239</v>
      </c>
      <c r="L258" s="2">
        <v>6289.4269999999997</v>
      </c>
      <c r="M258" s="2"/>
      <c r="N258" s="2"/>
      <c r="O258" s="2"/>
      <c r="P258" s="2"/>
      <c r="Q258" s="2"/>
      <c r="R258" s="236"/>
      <c r="S258" s="2"/>
    </row>
    <row r="259" spans="1:19" ht="15" customHeight="1">
      <c r="A259" s="196">
        <v>45</v>
      </c>
      <c r="B259" s="201" t="s">
        <v>224</v>
      </c>
      <c r="C259" s="2">
        <v>77.426000000000002</v>
      </c>
      <c r="D259" s="2">
        <v>139.905</v>
      </c>
      <c r="E259" s="2">
        <v>256.875</v>
      </c>
      <c r="F259" s="2">
        <v>471.64100000000002</v>
      </c>
      <c r="G259" s="2">
        <v>865.96400000000006</v>
      </c>
      <c r="H259" s="2">
        <v>1694.9880000000001</v>
      </c>
      <c r="I259" s="2">
        <v>3162.2779999999998</v>
      </c>
      <c r="J259" s="2">
        <v>5274.9970000000003</v>
      </c>
      <c r="K259" s="2">
        <v>8941.0580000000009</v>
      </c>
      <c r="L259" s="2">
        <v>15647.481</v>
      </c>
      <c r="M259" s="2"/>
      <c r="N259" s="2"/>
      <c r="O259" s="2"/>
      <c r="P259" s="2"/>
      <c r="Q259" s="2"/>
      <c r="R259" s="236"/>
      <c r="S259" s="2"/>
    </row>
    <row r="260" spans="1:19" ht="15" customHeight="1">
      <c r="A260" s="196">
        <v>45</v>
      </c>
      <c r="B260" s="201" t="s">
        <v>225</v>
      </c>
      <c r="C260" s="2">
        <v>273.56299999999999</v>
      </c>
      <c r="D260" s="2">
        <v>187.06899999999999</v>
      </c>
      <c r="E260" s="2">
        <v>179.023</v>
      </c>
      <c r="F260" s="2">
        <v>197.126</v>
      </c>
      <c r="G260" s="2">
        <v>227.29900000000001</v>
      </c>
      <c r="H260" s="2">
        <v>287.64400000000001</v>
      </c>
      <c r="I260" s="2">
        <v>329.88499999999999</v>
      </c>
      <c r="J260" s="2">
        <v>237.35599999999999</v>
      </c>
      <c r="K260" s="2">
        <v>128.73599999999999</v>
      </c>
      <c r="L260" s="2">
        <v>82.471000000000004</v>
      </c>
      <c r="M260" s="2">
        <v>76.436999999999998</v>
      </c>
      <c r="N260" s="2">
        <v>82.471000000000004</v>
      </c>
      <c r="O260" s="2">
        <v>94.54</v>
      </c>
      <c r="P260" s="2">
        <v>90.516999999999996</v>
      </c>
      <c r="Q260" s="2">
        <v>88.506</v>
      </c>
      <c r="R260" s="236">
        <v>72.414000000000001</v>
      </c>
      <c r="S260" s="2"/>
    </row>
    <row r="261" spans="1:19" ht="15" customHeight="1">
      <c r="A261" s="196">
        <v>45</v>
      </c>
      <c r="B261" s="201" t="s">
        <v>226</v>
      </c>
      <c r="C261" s="2">
        <v>323.851</v>
      </c>
      <c r="D261" s="2">
        <v>247.41399999999999</v>
      </c>
      <c r="E261" s="2">
        <v>239.36799999999999</v>
      </c>
      <c r="F261" s="2">
        <v>259.483</v>
      </c>
      <c r="G261" s="2">
        <v>378.161</v>
      </c>
      <c r="H261" s="2">
        <v>579.30999999999995</v>
      </c>
      <c r="I261" s="2">
        <v>607.471</v>
      </c>
      <c r="J261" s="2">
        <v>283.62099999999998</v>
      </c>
      <c r="K261" s="2">
        <v>106.60899999999999</v>
      </c>
      <c r="L261" s="2">
        <v>60.344999999999999</v>
      </c>
      <c r="M261" s="2">
        <v>56.322000000000003</v>
      </c>
      <c r="N261" s="2">
        <v>62.356000000000002</v>
      </c>
      <c r="O261" s="2">
        <v>74.424999999999997</v>
      </c>
      <c r="P261" s="2">
        <v>74.424999999999997</v>
      </c>
      <c r="Q261" s="2">
        <v>66.379000000000005</v>
      </c>
      <c r="R261" s="236">
        <v>48.276000000000003</v>
      </c>
      <c r="S261" s="2"/>
    </row>
    <row r="262" spans="1:19" ht="15" customHeight="1">
      <c r="A262" s="196">
        <v>45</v>
      </c>
      <c r="B262" s="201" t="s">
        <v>227</v>
      </c>
      <c r="C262" s="2">
        <v>1013.793</v>
      </c>
      <c r="D262" s="2">
        <v>716.09199999999998</v>
      </c>
      <c r="E262" s="2">
        <v>603.44799999999998</v>
      </c>
      <c r="F262" s="2">
        <v>726.149</v>
      </c>
      <c r="G262" s="2">
        <v>812.64400000000001</v>
      </c>
      <c r="H262" s="2">
        <v>885.05700000000002</v>
      </c>
      <c r="I262" s="2">
        <v>804.59799999999996</v>
      </c>
      <c r="J262" s="2">
        <v>448.56299999999999</v>
      </c>
      <c r="K262" s="2">
        <v>191.09200000000001</v>
      </c>
      <c r="L262" s="2">
        <v>120.69</v>
      </c>
      <c r="M262" s="2">
        <v>92.528999999999996</v>
      </c>
      <c r="N262" s="2">
        <v>76.436999999999998</v>
      </c>
      <c r="O262" s="2">
        <v>70.402000000000001</v>
      </c>
      <c r="P262" s="2">
        <v>64.367999999999995</v>
      </c>
      <c r="Q262" s="2">
        <v>60.344999999999999</v>
      </c>
      <c r="R262" s="236">
        <v>50.286999999999999</v>
      </c>
      <c r="S262" s="2"/>
    </row>
    <row r="263" spans="1:19" ht="15" customHeight="1">
      <c r="A263" s="197">
        <v>45</v>
      </c>
      <c r="B263" s="202" t="s">
        <v>228</v>
      </c>
      <c r="C263" s="34">
        <v>1287.356</v>
      </c>
      <c r="D263" s="34">
        <v>820.69</v>
      </c>
      <c r="E263" s="34">
        <v>683.90800000000002</v>
      </c>
      <c r="F263" s="34">
        <v>627.58600000000001</v>
      </c>
      <c r="G263" s="34">
        <v>887.06899999999996</v>
      </c>
      <c r="H263" s="34">
        <v>1315.5170000000001</v>
      </c>
      <c r="I263" s="34">
        <v>975.57500000000005</v>
      </c>
      <c r="J263" s="34">
        <v>364.08</v>
      </c>
      <c r="K263" s="34">
        <v>150.86199999999999</v>
      </c>
      <c r="L263" s="34">
        <v>80.459999999999994</v>
      </c>
      <c r="M263" s="34">
        <v>66.379000000000005</v>
      </c>
      <c r="N263" s="34">
        <v>66.379000000000005</v>
      </c>
      <c r="O263" s="34">
        <v>80.459999999999994</v>
      </c>
      <c r="P263" s="34">
        <v>72.414000000000001</v>
      </c>
      <c r="Q263" s="34">
        <v>60.344999999999999</v>
      </c>
      <c r="R263" s="237">
        <v>50.286999999999999</v>
      </c>
      <c r="S263" s="2"/>
    </row>
    <row r="264" spans="1:19" ht="15" customHeight="1">
      <c r="A264" s="199">
        <v>46</v>
      </c>
      <c r="B264" s="200">
        <v>1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9" ht="15" customHeight="1">
      <c r="A265" s="196">
        <v>46</v>
      </c>
      <c r="B265" s="201">
        <v>2</v>
      </c>
    </row>
    <row r="266" spans="1:19" ht="15" customHeight="1">
      <c r="A266" s="196">
        <v>46</v>
      </c>
      <c r="B266" s="201">
        <v>3</v>
      </c>
    </row>
    <row r="267" spans="1:19" ht="15" customHeight="1">
      <c r="A267" s="196">
        <v>46</v>
      </c>
      <c r="B267" s="201">
        <v>4</v>
      </c>
    </row>
    <row r="268" spans="1:19" ht="15" customHeight="1">
      <c r="A268" s="196">
        <v>46</v>
      </c>
      <c r="B268" s="201">
        <v>5</v>
      </c>
    </row>
    <row r="269" spans="1:19" ht="15" customHeight="1">
      <c r="A269" s="197">
        <v>46</v>
      </c>
      <c r="B269" s="202">
        <v>6</v>
      </c>
    </row>
    <row r="270" spans="1:19" ht="15" customHeight="1">
      <c r="A270" s="199">
        <v>47</v>
      </c>
      <c r="B270" s="200" t="s">
        <v>221</v>
      </c>
    </row>
    <row r="271" spans="1:19" ht="15" customHeight="1">
      <c r="A271" s="196">
        <v>47</v>
      </c>
      <c r="B271" s="201">
        <v>2</v>
      </c>
    </row>
    <row r="272" spans="1:19" ht="15" customHeight="1">
      <c r="A272" s="196">
        <v>47</v>
      </c>
      <c r="B272" s="201">
        <v>3</v>
      </c>
    </row>
    <row r="273" spans="1:2" ht="15" customHeight="1">
      <c r="A273" s="196">
        <v>47</v>
      </c>
      <c r="B273" s="201" t="s">
        <v>224</v>
      </c>
    </row>
    <row r="274" spans="1:2" ht="15" customHeight="1">
      <c r="A274" s="196">
        <v>47</v>
      </c>
      <c r="B274" s="201">
        <v>5</v>
      </c>
    </row>
    <row r="275" spans="1:2" ht="15" customHeight="1">
      <c r="A275" s="196">
        <v>47</v>
      </c>
      <c r="B275" s="201" t="s">
        <v>225</v>
      </c>
    </row>
    <row r="276" spans="1:2" ht="15" customHeight="1">
      <c r="A276" s="197">
        <v>47</v>
      </c>
      <c r="B276" s="202" t="s">
        <v>228</v>
      </c>
    </row>
    <row r="277" spans="1:2" ht="15" customHeight="1">
      <c r="A277" s="199">
        <v>48</v>
      </c>
      <c r="B277" s="200">
        <v>1</v>
      </c>
    </row>
    <row r="278" spans="1:2" ht="15" customHeight="1">
      <c r="A278" s="196">
        <v>48</v>
      </c>
      <c r="B278" s="201">
        <v>2</v>
      </c>
    </row>
    <row r="279" spans="1:2" ht="15" customHeight="1">
      <c r="A279" s="196">
        <v>48</v>
      </c>
      <c r="B279" s="201">
        <v>3</v>
      </c>
    </row>
    <row r="280" spans="1:2" ht="15" customHeight="1">
      <c r="A280" s="196">
        <v>48</v>
      </c>
      <c r="B280" s="201">
        <v>4</v>
      </c>
    </row>
    <row r="281" spans="1:2" ht="15" customHeight="1">
      <c r="A281" s="196">
        <v>48</v>
      </c>
      <c r="B281" s="201">
        <v>5</v>
      </c>
    </row>
    <row r="282" spans="1:2" ht="15" customHeight="1">
      <c r="A282" s="196">
        <v>48</v>
      </c>
      <c r="B282" s="201">
        <v>6</v>
      </c>
    </row>
    <row r="283" spans="1:2" ht="15" customHeight="1">
      <c r="A283" s="196">
        <v>48</v>
      </c>
      <c r="B283" s="201">
        <v>7</v>
      </c>
    </row>
    <row r="284" spans="1:2" ht="15" customHeight="1">
      <c r="A284" s="196">
        <v>48</v>
      </c>
      <c r="B284" s="201">
        <v>8</v>
      </c>
    </row>
    <row r="285" spans="1:2" ht="15" customHeight="1">
      <c r="A285" s="196">
        <v>48</v>
      </c>
      <c r="B285" s="201">
        <v>9</v>
      </c>
    </row>
    <row r="286" spans="1:2" ht="15" customHeight="1">
      <c r="A286" s="196">
        <v>48</v>
      </c>
      <c r="B286" s="201">
        <v>10</v>
      </c>
    </row>
    <row r="287" spans="1:2" ht="15" customHeight="1">
      <c r="A287" s="196">
        <v>48</v>
      </c>
      <c r="B287" s="201">
        <v>11</v>
      </c>
    </row>
    <row r="288" spans="1:2" ht="15" customHeight="1">
      <c r="A288" s="196">
        <v>48</v>
      </c>
      <c r="B288" s="201">
        <v>12</v>
      </c>
    </row>
    <row r="289" spans="1:16" ht="15" customHeight="1">
      <c r="A289" s="309">
        <v>49</v>
      </c>
      <c r="B289" s="74">
        <v>1</v>
      </c>
    </row>
    <row r="290" spans="1:16" ht="15" customHeight="1">
      <c r="A290" s="238">
        <v>49</v>
      </c>
      <c r="B290" s="75">
        <v>2</v>
      </c>
    </row>
    <row r="291" spans="1:16" ht="15" customHeight="1">
      <c r="A291" s="238">
        <v>49</v>
      </c>
      <c r="B291" s="75">
        <v>3</v>
      </c>
    </row>
    <row r="292" spans="1:16" ht="15" customHeight="1">
      <c r="A292" s="311">
        <v>49</v>
      </c>
      <c r="B292" s="231">
        <v>4</v>
      </c>
    </row>
    <row r="293" spans="1:16" ht="15" customHeight="1">
      <c r="A293" s="233">
        <v>50</v>
      </c>
      <c r="B293" s="75">
        <v>1</v>
      </c>
    </row>
    <row r="294" spans="1:16" ht="15" customHeight="1">
      <c r="A294" s="233">
        <v>50</v>
      </c>
      <c r="B294" s="75">
        <v>2</v>
      </c>
    </row>
    <row r="295" spans="1:16" ht="15" customHeight="1">
      <c r="A295" s="233">
        <v>50</v>
      </c>
      <c r="B295" s="75">
        <v>3</v>
      </c>
    </row>
    <row r="296" spans="1:16" ht="15" customHeight="1">
      <c r="A296" s="233">
        <v>50</v>
      </c>
      <c r="B296" s="75">
        <v>4</v>
      </c>
    </row>
    <row r="297" spans="1:16" ht="15" customHeight="1">
      <c r="A297" s="229">
        <v>51</v>
      </c>
      <c r="B297" s="74">
        <v>1</v>
      </c>
    </row>
    <row r="298" spans="1:16" ht="15" customHeight="1">
      <c r="A298" s="228">
        <v>51</v>
      </c>
      <c r="B298" s="75">
        <v>2</v>
      </c>
    </row>
    <row r="299" spans="1:16" ht="15" customHeight="1">
      <c r="A299" s="228">
        <v>51</v>
      </c>
      <c r="B299" s="75">
        <v>3</v>
      </c>
    </row>
    <row r="300" spans="1:16" ht="15" customHeight="1">
      <c r="A300" s="228">
        <v>51</v>
      </c>
      <c r="B300" s="75">
        <v>4</v>
      </c>
    </row>
    <row r="301" spans="1:16" ht="15" customHeight="1">
      <c r="A301" s="228">
        <v>51</v>
      </c>
      <c r="B301" s="75">
        <v>5</v>
      </c>
    </row>
    <row r="302" spans="1:16" ht="15" customHeight="1">
      <c r="A302" s="228">
        <v>51</v>
      </c>
      <c r="B302" s="75">
        <v>6</v>
      </c>
    </row>
    <row r="303" spans="1:16" ht="15" customHeight="1">
      <c r="A303" s="228">
        <v>51</v>
      </c>
      <c r="B303" s="75">
        <v>7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spans="1:16" ht="15" customHeight="1">
      <c r="A304" s="229">
        <v>52</v>
      </c>
      <c r="B304" s="200">
        <v>1</v>
      </c>
      <c r="C304" s="234">
        <v>30926.641</v>
      </c>
      <c r="D304" s="234">
        <v>32548.262999999999</v>
      </c>
      <c r="E304" s="234">
        <v>34401.544000000002</v>
      </c>
      <c r="F304" s="234">
        <v>40193.050000000003</v>
      </c>
      <c r="G304" s="234">
        <v>50849.421000000002</v>
      </c>
      <c r="H304" s="234">
        <v>66138.995999999999</v>
      </c>
      <c r="I304" s="234">
        <v>72162.161999999997</v>
      </c>
      <c r="J304" s="234">
        <v>58262.548000000003</v>
      </c>
      <c r="K304" s="234">
        <v>47606.178</v>
      </c>
      <c r="L304" s="234">
        <v>38339.767999999996</v>
      </c>
      <c r="M304" s="234">
        <v>33706.563999999998</v>
      </c>
      <c r="N304" s="234">
        <v>34169.883999999998</v>
      </c>
      <c r="O304" s="235">
        <v>42046.332000000002</v>
      </c>
      <c r="P304" s="2"/>
    </row>
    <row r="305" spans="1:16" ht="15" customHeight="1">
      <c r="A305" s="228">
        <v>52</v>
      </c>
      <c r="B305" s="201">
        <v>2</v>
      </c>
      <c r="C305" s="2">
        <v>95096.524999999994</v>
      </c>
      <c r="D305" s="2">
        <v>110849.421</v>
      </c>
      <c r="E305" s="2">
        <v>147683.39799999999</v>
      </c>
      <c r="F305" s="2">
        <v>108301.158</v>
      </c>
      <c r="G305" s="2">
        <v>94633.205000000002</v>
      </c>
      <c r="H305" s="2">
        <v>85830.115999999995</v>
      </c>
      <c r="I305" s="2">
        <v>79111.968999999997</v>
      </c>
      <c r="J305" s="2">
        <v>72393.822</v>
      </c>
      <c r="K305" s="2">
        <v>61042.470999999998</v>
      </c>
      <c r="L305" s="2">
        <v>52471.042000000001</v>
      </c>
      <c r="M305" s="2">
        <v>52007.722000000002</v>
      </c>
      <c r="N305" s="2">
        <v>52934.362999999998</v>
      </c>
      <c r="O305" s="236">
        <v>53861.004000000001</v>
      </c>
      <c r="P305" s="2"/>
    </row>
    <row r="306" spans="1:16" ht="15" customHeight="1">
      <c r="A306" s="228">
        <v>52</v>
      </c>
      <c r="B306" s="201">
        <v>3</v>
      </c>
      <c r="C306" s="2"/>
      <c r="D306" s="2">
        <v>132625.48300000001</v>
      </c>
      <c r="E306" s="2">
        <v>133320.46299999999</v>
      </c>
      <c r="F306" s="2">
        <v>81891.892000000007</v>
      </c>
      <c r="G306" s="2">
        <v>46911.197</v>
      </c>
      <c r="H306" s="2">
        <v>34401.544000000002</v>
      </c>
      <c r="I306" s="2">
        <v>26525.097000000002</v>
      </c>
      <c r="J306" s="2">
        <v>22123.552</v>
      </c>
      <c r="K306" s="2">
        <v>19575.29</v>
      </c>
      <c r="L306" s="2">
        <v>18648.649000000001</v>
      </c>
      <c r="M306" s="2">
        <v>18416.988000000001</v>
      </c>
      <c r="N306" s="2">
        <v>17490.347000000002</v>
      </c>
      <c r="O306" s="236">
        <v>15405.405000000001</v>
      </c>
      <c r="P306" s="2"/>
    </row>
    <row r="307" spans="1:16" ht="15" customHeight="1">
      <c r="A307" s="230">
        <v>52</v>
      </c>
      <c r="B307" s="202">
        <v>4</v>
      </c>
      <c r="C307" s="34"/>
      <c r="D307" s="34">
        <v>132625.48300000001</v>
      </c>
      <c r="E307" s="34">
        <v>126138.996</v>
      </c>
      <c r="F307" s="34">
        <v>60579.150999999998</v>
      </c>
      <c r="G307" s="34">
        <v>35328.184999999998</v>
      </c>
      <c r="H307" s="34">
        <v>25366.794999999998</v>
      </c>
      <c r="I307" s="34">
        <v>20501.931</v>
      </c>
      <c r="J307" s="34">
        <v>16100.386</v>
      </c>
      <c r="K307" s="34">
        <v>15405.405000000001</v>
      </c>
      <c r="L307" s="34">
        <v>14247.103999999999</v>
      </c>
      <c r="M307" s="34">
        <v>13320.463</v>
      </c>
      <c r="N307" s="34">
        <v>12625.483</v>
      </c>
      <c r="O307" s="237">
        <v>11235.521000000001</v>
      </c>
      <c r="P307" s="2"/>
    </row>
    <row r="308" spans="1:16" ht="15" customHeight="1">
      <c r="A308" s="233">
        <v>53</v>
      </c>
      <c r="B308" s="201">
        <v>1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spans="1:16" ht="15" customHeight="1">
      <c r="A309" s="233">
        <v>53</v>
      </c>
      <c r="B309" s="201">
        <v>2</v>
      </c>
    </row>
    <row r="310" spans="1:16" ht="15" customHeight="1">
      <c r="A310" s="233">
        <v>53</v>
      </c>
      <c r="B310" s="201">
        <v>3</v>
      </c>
    </row>
    <row r="311" spans="1:16" ht="15" customHeight="1">
      <c r="A311" s="233">
        <v>53</v>
      </c>
      <c r="B311" s="201">
        <v>4</v>
      </c>
    </row>
    <row r="312" spans="1:16" ht="15" customHeight="1">
      <c r="A312" s="241">
        <v>53</v>
      </c>
      <c r="B312" s="202">
        <v>5</v>
      </c>
    </row>
    <row r="313" spans="1:16" ht="15" customHeight="1">
      <c r="A313" s="229">
        <v>54</v>
      </c>
      <c r="B313" s="200">
        <v>1</v>
      </c>
    </row>
    <row r="314" spans="1:16" ht="15" customHeight="1">
      <c r="A314" s="228">
        <v>54</v>
      </c>
      <c r="B314" s="201">
        <v>2</v>
      </c>
    </row>
    <row r="315" spans="1:16" ht="15" customHeight="1">
      <c r="A315" s="228">
        <v>54</v>
      </c>
      <c r="B315" s="201">
        <v>3</v>
      </c>
    </row>
    <row r="316" spans="1:16" ht="15" customHeight="1">
      <c r="A316" s="228">
        <v>54</v>
      </c>
      <c r="B316" s="201">
        <v>4</v>
      </c>
    </row>
    <row r="317" spans="1:16" ht="15" customHeight="1">
      <c r="A317" s="229">
        <v>55</v>
      </c>
      <c r="B317" s="200" t="s">
        <v>221</v>
      </c>
    </row>
    <row r="318" spans="1:16" ht="15" customHeight="1">
      <c r="A318" s="228">
        <v>55</v>
      </c>
      <c r="B318" s="201" t="s">
        <v>222</v>
      </c>
    </row>
    <row r="319" spans="1:16" ht="15" customHeight="1">
      <c r="A319" s="228">
        <v>55</v>
      </c>
      <c r="B319" s="201" t="s">
        <v>223</v>
      </c>
    </row>
    <row r="320" spans="1:16" ht="15" customHeight="1">
      <c r="A320" s="228">
        <v>55</v>
      </c>
      <c r="B320" s="201" t="s">
        <v>225</v>
      </c>
    </row>
    <row r="321" spans="1:18" ht="15" customHeight="1">
      <c r="A321" s="228">
        <v>55</v>
      </c>
      <c r="B321" s="201" t="s">
        <v>226</v>
      </c>
    </row>
    <row r="322" spans="1:18" ht="15" customHeight="1">
      <c r="A322" s="228">
        <v>55</v>
      </c>
      <c r="B322" s="201" t="s">
        <v>227</v>
      </c>
    </row>
    <row r="323" spans="1:18" ht="15" customHeight="1">
      <c r="A323" s="228">
        <v>55</v>
      </c>
      <c r="B323" s="201" t="s">
        <v>231</v>
      </c>
    </row>
    <row r="324" spans="1:18" ht="15" customHeight="1">
      <c r="A324" s="228">
        <v>55</v>
      </c>
      <c r="B324" s="201" t="s">
        <v>232</v>
      </c>
    </row>
    <row r="325" spans="1:18" ht="15" customHeight="1">
      <c r="A325" s="228">
        <v>55</v>
      </c>
      <c r="B325" s="201" t="s">
        <v>233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18" ht="15" customHeight="1">
      <c r="A326" s="199">
        <v>56</v>
      </c>
      <c r="B326" s="200" t="s">
        <v>221</v>
      </c>
      <c r="C326" s="234">
        <v>102343860.287</v>
      </c>
      <c r="D326" s="234">
        <v>105005027.432</v>
      </c>
      <c r="E326" s="234">
        <v>101558740.066</v>
      </c>
      <c r="F326" s="234">
        <v>87960326.263999999</v>
      </c>
      <c r="G326" s="234">
        <v>70536103.107999995</v>
      </c>
      <c r="H326" s="234">
        <v>55271674.848999999</v>
      </c>
      <c r="I326" s="234">
        <v>47139304.737999998</v>
      </c>
      <c r="J326" s="234">
        <v>43870030.502999999</v>
      </c>
      <c r="K326" s="234">
        <v>40410421.511</v>
      </c>
      <c r="L326" s="234">
        <v>39285316.096000001</v>
      </c>
      <c r="M326" s="234">
        <v>38289699.075999998</v>
      </c>
      <c r="N326" s="234">
        <v>37128208.538000003</v>
      </c>
      <c r="O326" s="234">
        <v>35817591.294</v>
      </c>
      <c r="P326" s="234">
        <v>33677547.674000002</v>
      </c>
      <c r="Q326" s="235">
        <v>30080700.475000001</v>
      </c>
      <c r="R326" s="2"/>
    </row>
    <row r="327" spans="1:18" ht="15" customHeight="1">
      <c r="A327" s="197">
        <v>56</v>
      </c>
      <c r="B327" s="202" t="s">
        <v>225</v>
      </c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237"/>
      <c r="R327" s="2"/>
    </row>
    <row r="328" spans="1:18" ht="15" customHeight="1">
      <c r="A328" s="199">
        <v>57</v>
      </c>
      <c r="B328" s="200">
        <v>1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18" ht="15" customHeight="1">
      <c r="A329" s="196">
        <v>57</v>
      </c>
      <c r="B329" s="201">
        <v>2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8" ht="15" customHeight="1">
      <c r="A330" s="229">
        <v>58</v>
      </c>
      <c r="B330" s="74">
        <v>1</v>
      </c>
      <c r="C330" s="234">
        <v>51707.15</v>
      </c>
      <c r="D330" s="234">
        <v>61764.305999999997</v>
      </c>
      <c r="E330" s="234">
        <v>76749.788</v>
      </c>
      <c r="F330" s="234">
        <v>91677.793000000005</v>
      </c>
      <c r="G330" s="234">
        <v>118510.391</v>
      </c>
      <c r="H330" s="234">
        <v>147263.818</v>
      </c>
      <c r="I330" s="234">
        <v>186643.12899999999</v>
      </c>
      <c r="J330" s="234">
        <v>236552.72700000001</v>
      </c>
      <c r="K330" s="234">
        <v>282562.75900000002</v>
      </c>
      <c r="L330" s="234">
        <v>337521.84499999997</v>
      </c>
      <c r="M330" s="235">
        <v>395286.99099999998</v>
      </c>
      <c r="N330" s="2"/>
    </row>
    <row r="331" spans="1:18" ht="15" customHeight="1">
      <c r="A331" s="228">
        <v>58</v>
      </c>
      <c r="B331" s="75">
        <v>2</v>
      </c>
      <c r="C331" s="2">
        <v>25904.73</v>
      </c>
      <c r="D331" s="2">
        <v>33486.623</v>
      </c>
      <c r="E331" s="2">
        <v>41611.271000000001</v>
      </c>
      <c r="F331" s="2">
        <v>51707.15</v>
      </c>
      <c r="G331" s="2">
        <v>64252.529000000002</v>
      </c>
      <c r="H331" s="2">
        <v>81434.076000000001</v>
      </c>
      <c r="I331" s="2">
        <v>101191.91099999999</v>
      </c>
      <c r="J331" s="2">
        <v>123284.674</v>
      </c>
      <c r="K331" s="2">
        <v>156251.80499999999</v>
      </c>
      <c r="L331" s="2">
        <v>194162.19200000001</v>
      </c>
      <c r="M331" s="236">
        <v>227392.06200000001</v>
      </c>
      <c r="N331" s="2"/>
    </row>
    <row r="332" spans="1:18" ht="15" customHeight="1">
      <c r="A332" s="228">
        <v>58</v>
      </c>
      <c r="B332" s="75">
        <v>3</v>
      </c>
      <c r="C332" s="2">
        <v>1036.1849999999999</v>
      </c>
      <c r="D332" s="2">
        <v>1478.4659999999999</v>
      </c>
      <c r="E332" s="2">
        <v>2027.835</v>
      </c>
      <c r="F332" s="2">
        <v>2951.0929999999998</v>
      </c>
      <c r="G332" s="2">
        <v>4294.7030000000004</v>
      </c>
      <c r="H332" s="2">
        <v>6250.0479999999998</v>
      </c>
      <c r="I332" s="2">
        <v>9095.6470000000008</v>
      </c>
      <c r="J332" s="2">
        <v>12724.221</v>
      </c>
      <c r="K332" s="2">
        <v>18517.463</v>
      </c>
      <c r="L332" s="2">
        <v>24414.627</v>
      </c>
      <c r="M332" s="236">
        <v>30943.258000000002</v>
      </c>
      <c r="N332" s="2"/>
    </row>
    <row r="333" spans="1:18" ht="15" customHeight="1">
      <c r="A333" s="228">
        <v>58</v>
      </c>
      <c r="B333" s="75">
        <v>4</v>
      </c>
      <c r="C333" s="2">
        <v>850.5</v>
      </c>
      <c r="D333" s="2">
        <v>1213.5229999999999</v>
      </c>
      <c r="E333" s="2">
        <v>1538.027</v>
      </c>
      <c r="F333" s="2">
        <v>2151.6</v>
      </c>
      <c r="G333" s="2">
        <v>3069.98</v>
      </c>
      <c r="H333" s="2">
        <v>4047.6610000000001</v>
      </c>
      <c r="I333" s="2">
        <v>5662.415</v>
      </c>
      <c r="J333" s="2">
        <v>8240.4699999999993</v>
      </c>
      <c r="K333" s="2">
        <v>10652.321</v>
      </c>
      <c r="L333" s="2">
        <v>14901.906999999999</v>
      </c>
      <c r="M333" s="236">
        <v>19263.453000000001</v>
      </c>
      <c r="N333" s="2"/>
    </row>
    <row r="334" spans="1:18" ht="15" customHeight="1">
      <c r="A334" s="230">
        <v>58</v>
      </c>
      <c r="B334" s="231">
        <v>5</v>
      </c>
      <c r="C334" s="34">
        <v>205.2</v>
      </c>
      <c r="D334" s="34">
        <v>254.98699999999999</v>
      </c>
      <c r="E334" s="34">
        <v>336.19099999999997</v>
      </c>
      <c r="F334" s="34">
        <v>409.59100000000001</v>
      </c>
      <c r="G334" s="34">
        <v>572.99099999999999</v>
      </c>
      <c r="H334" s="34">
        <v>770.53499999999997</v>
      </c>
      <c r="I334" s="34">
        <v>1056.8510000000001</v>
      </c>
      <c r="J334" s="34">
        <v>1507.952</v>
      </c>
      <c r="K334" s="34">
        <v>2109.5279999999998</v>
      </c>
      <c r="L334" s="34">
        <v>2781.3389999999999</v>
      </c>
      <c r="M334" s="237">
        <v>4128.3869999999997</v>
      </c>
      <c r="N334" s="2"/>
    </row>
    <row r="335" spans="1:18" ht="15" customHeight="1">
      <c r="A335" s="229">
        <v>59</v>
      </c>
      <c r="B335" s="74">
        <v>1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8" ht="15" customHeight="1">
      <c r="A336" s="228">
        <v>59</v>
      </c>
      <c r="B336" s="75">
        <v>2</v>
      </c>
    </row>
    <row r="337" spans="1:14" ht="15" customHeight="1">
      <c r="A337" s="228">
        <v>59</v>
      </c>
      <c r="B337" s="75">
        <v>3</v>
      </c>
    </row>
    <row r="338" spans="1:14" ht="15" customHeight="1">
      <c r="A338" s="228">
        <v>59</v>
      </c>
      <c r="B338" s="75">
        <v>4</v>
      </c>
    </row>
    <row r="339" spans="1:14" ht="15" customHeight="1">
      <c r="A339" s="228">
        <v>59</v>
      </c>
      <c r="B339" s="75">
        <v>5</v>
      </c>
    </row>
    <row r="340" spans="1:14" ht="15" customHeight="1">
      <c r="A340" s="228">
        <v>59</v>
      </c>
      <c r="B340" s="75">
        <v>6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4" ht="15" customHeight="1">
      <c r="A341" s="229">
        <v>60</v>
      </c>
      <c r="B341" s="74">
        <v>1</v>
      </c>
      <c r="C341" s="234">
        <v>524807460249773.38</v>
      </c>
      <c r="D341" s="234">
        <v>399944749761099.13</v>
      </c>
      <c r="E341" s="234">
        <v>474241985260247.56</v>
      </c>
      <c r="F341" s="234">
        <v>601173737483280.25</v>
      </c>
      <c r="G341" s="234">
        <v>736207097494742</v>
      </c>
      <c r="H341" s="234">
        <v>543250331492433.94</v>
      </c>
      <c r="I341" s="234">
        <v>506990708274705.19</v>
      </c>
      <c r="J341" s="234">
        <v>443608643931434.13</v>
      </c>
      <c r="K341" s="234">
        <v>665273156201745.5</v>
      </c>
      <c r="L341" s="234">
        <v>490907876152606.06</v>
      </c>
      <c r="M341" s="235">
        <v>17100153150902.938</v>
      </c>
      <c r="N341" s="2"/>
    </row>
    <row r="342" spans="1:14" ht="15" customHeight="1">
      <c r="A342" s="228">
        <v>60</v>
      </c>
      <c r="B342" s="75">
        <v>2</v>
      </c>
      <c r="C342" s="2">
        <v>45708818961487.711</v>
      </c>
      <c r="D342" s="2">
        <v>39902490236214.438</v>
      </c>
      <c r="E342" s="2">
        <v>44157044735331.297</v>
      </c>
      <c r="F342" s="2">
        <v>52360043658575.195</v>
      </c>
      <c r="G342" s="2">
        <v>81283051616410.094</v>
      </c>
      <c r="H342" s="2">
        <v>48865235934283.531</v>
      </c>
      <c r="I342" s="2">
        <v>45708818961487.711</v>
      </c>
      <c r="J342" s="2">
        <v>37239170625456.945</v>
      </c>
      <c r="K342" s="2">
        <v>36057864302164.359</v>
      </c>
      <c r="L342" s="2">
        <v>20230191786782.746</v>
      </c>
      <c r="M342" s="236">
        <v>2157744409152.6714</v>
      </c>
      <c r="N342" s="2"/>
    </row>
    <row r="343" spans="1:14" ht="15" customHeight="1">
      <c r="A343" s="228">
        <v>60</v>
      </c>
      <c r="B343" s="75">
        <v>3</v>
      </c>
      <c r="C343" s="2">
        <v>2735268726306.7119</v>
      </c>
      <c r="D343" s="2">
        <v>3243396173493.499</v>
      </c>
      <c r="E343" s="2">
        <v>4549880601500.4951</v>
      </c>
      <c r="F343" s="2">
        <v>3715352290971.7412</v>
      </c>
      <c r="G343" s="2">
        <v>5046612975635.291</v>
      </c>
      <c r="H343" s="2">
        <v>3033891184194.2686</v>
      </c>
      <c r="I343" s="2">
        <v>2471724145016.1416</v>
      </c>
      <c r="J343" s="2">
        <v>2648500138606.7119</v>
      </c>
      <c r="K343" s="2">
        <v>3589219346450.0552</v>
      </c>
      <c r="L343" s="2">
        <v>2648500138606.7119</v>
      </c>
      <c r="M343" s="236">
        <v>125025903021.77226</v>
      </c>
      <c r="N343" s="2"/>
    </row>
    <row r="344" spans="1:14" ht="15" customHeight="1">
      <c r="A344" s="228">
        <v>60</v>
      </c>
      <c r="B344" s="75">
        <v>4</v>
      </c>
      <c r="C344" s="2">
        <v>133967668742.59421</v>
      </c>
      <c r="D344" s="2">
        <v>164058977319.95441</v>
      </c>
      <c r="E344" s="2">
        <v>312607936712.39557</v>
      </c>
      <c r="F344" s="2">
        <v>659173895244.32373</v>
      </c>
      <c r="G344" s="2">
        <v>369828179780.26685</v>
      </c>
      <c r="H344" s="2">
        <v>215278173472.43814</v>
      </c>
      <c r="I344" s="2">
        <v>143218789927.35495</v>
      </c>
      <c r="J344" s="2">
        <v>164058977319.95441</v>
      </c>
      <c r="K344" s="2">
        <v>215278173472.43814</v>
      </c>
      <c r="L344" s="2">
        <v>200909281260.87366</v>
      </c>
      <c r="M344" s="236">
        <v>18113400926.196026</v>
      </c>
      <c r="N344" s="2"/>
    </row>
    <row r="345" spans="1:14" ht="15" customHeight="1">
      <c r="A345" s="228">
        <v>60</v>
      </c>
      <c r="B345" s="75">
        <v>5</v>
      </c>
      <c r="C345" s="2">
        <v>27164392688.3908</v>
      </c>
      <c r="D345" s="2">
        <v>31117163371.060219</v>
      </c>
      <c r="E345" s="2">
        <v>63533093185.174721</v>
      </c>
      <c r="F345" s="2">
        <v>102093948370.76843</v>
      </c>
      <c r="G345" s="2">
        <v>18113400926.196026</v>
      </c>
      <c r="H345" s="2">
        <v>16368165214.278164</v>
      </c>
      <c r="I345" s="2">
        <v>13803842646.028885</v>
      </c>
      <c r="J345" s="2">
        <v>12882495516.931332</v>
      </c>
      <c r="K345" s="2">
        <v>14757065332.758968</v>
      </c>
      <c r="L345" s="2">
        <v>12882495516.931332</v>
      </c>
      <c r="M345" s="236">
        <v>1995262314.9688866</v>
      </c>
      <c r="N345" s="2"/>
    </row>
    <row r="346" spans="1:14" ht="15" customHeight="1">
      <c r="A346" s="228">
        <v>60</v>
      </c>
      <c r="B346" s="75">
        <v>6</v>
      </c>
      <c r="C346" s="2">
        <v>2999162518.9876609</v>
      </c>
      <c r="D346" s="2">
        <v>3104559588.1283655</v>
      </c>
      <c r="E346" s="2">
        <v>7762471166.2869558</v>
      </c>
      <c r="F346" s="2">
        <v>26302679918.953911</v>
      </c>
      <c r="G346" s="2">
        <v>419758983.99100816</v>
      </c>
      <c r="H346" s="2">
        <v>146554784.09559128</v>
      </c>
      <c r="I346" s="2">
        <v>40457589.169744402</v>
      </c>
      <c r="J346" s="2"/>
      <c r="K346" s="2"/>
      <c r="L346" s="2"/>
      <c r="M346" s="236"/>
      <c r="N346" s="2"/>
    </row>
    <row r="347" spans="1:14" ht="15" customHeight="1">
      <c r="A347" s="228">
        <v>60</v>
      </c>
      <c r="B347" s="75">
        <v>7</v>
      </c>
      <c r="C347" s="2">
        <v>570164272.28074884</v>
      </c>
      <c r="D347" s="2">
        <v>532108259.26679564</v>
      </c>
      <c r="E347" s="2">
        <v>1472312502.4327185</v>
      </c>
      <c r="F347" s="2">
        <v>2213094709.6056447</v>
      </c>
      <c r="G347" s="2">
        <v>71944897.800370023</v>
      </c>
      <c r="H347" s="2">
        <v>25176769.277588584</v>
      </c>
      <c r="I347" s="2">
        <v>4943106.8698683595</v>
      </c>
      <c r="J347" s="2"/>
      <c r="K347" s="2"/>
      <c r="L347" s="2"/>
      <c r="M347" s="236"/>
      <c r="N347" s="2"/>
    </row>
    <row r="348" spans="1:14" ht="15" customHeight="1">
      <c r="A348" s="228">
        <v>60</v>
      </c>
      <c r="B348" s="75">
        <v>8</v>
      </c>
      <c r="C348" s="2">
        <v>60813500.127871759</v>
      </c>
      <c r="D348" s="2">
        <v>69502431.758879751</v>
      </c>
      <c r="E348" s="2">
        <v>220292646.30534574</v>
      </c>
      <c r="F348" s="2">
        <v>206062991.32700035</v>
      </c>
      <c r="G348" s="2">
        <v>5662392.8903825423</v>
      </c>
      <c r="H348" s="2">
        <v>1230268.770812382</v>
      </c>
      <c r="I348" s="2">
        <v>172186.85749860079</v>
      </c>
      <c r="J348" s="2"/>
      <c r="K348" s="2"/>
      <c r="L348" s="2"/>
      <c r="M348" s="236"/>
      <c r="N348" s="2"/>
    </row>
    <row r="349" spans="1:14" ht="15" customHeight="1">
      <c r="A349" s="124">
        <v>61</v>
      </c>
      <c r="B349" s="281">
        <v>1</v>
      </c>
      <c r="C349" s="127">
        <v>44645.373</v>
      </c>
      <c r="D349" s="127">
        <v>24912.841</v>
      </c>
      <c r="E349" s="127">
        <v>7495.7259999999997</v>
      </c>
      <c r="F349" s="127">
        <v>3463.3249999999998</v>
      </c>
      <c r="G349" s="127">
        <v>1804.404</v>
      </c>
      <c r="H349" s="127">
        <v>924.10799999999995</v>
      </c>
      <c r="I349" s="127">
        <v>278.04399999999998</v>
      </c>
      <c r="J349" s="127">
        <v>14.536</v>
      </c>
      <c r="K349" s="127">
        <v>11.045999999999999</v>
      </c>
      <c r="L349" s="127">
        <v>7.0709999999999997</v>
      </c>
      <c r="M349" s="154">
        <v>4.1539999999999999</v>
      </c>
      <c r="N349" s="2"/>
    </row>
    <row r="350" spans="1:14" ht="1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</sheetData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T999"/>
  <sheetViews>
    <sheetView workbookViewId="0">
      <selection activeCell="B1" sqref="B1:B1048576"/>
    </sheetView>
  </sheetViews>
  <sheetFormatPr defaultColWidth="12.5546875" defaultRowHeight="15" customHeight="1"/>
  <cols>
    <col min="1" max="2" width="8.5546875" customWidth="1"/>
    <col min="3" max="3" width="8.5546875" style="475" customWidth="1"/>
    <col min="4" max="10" width="8.5546875" customWidth="1"/>
    <col min="11" max="11" width="11" customWidth="1"/>
    <col min="12" max="46" width="8.5546875" customWidth="1"/>
  </cols>
  <sheetData>
    <row r="1" spans="1:26" ht="14.4">
      <c r="A1" s="16" t="s">
        <v>219</v>
      </c>
      <c r="B1" s="15" t="s">
        <v>220</v>
      </c>
    </row>
    <row r="2" spans="1:26" ht="14.4">
      <c r="A2" s="192">
        <v>1</v>
      </c>
      <c r="B2" s="193">
        <v>1</v>
      </c>
    </row>
    <row r="3" spans="1:26" ht="14.4">
      <c r="A3" s="194">
        <v>1</v>
      </c>
      <c r="B3" s="195">
        <v>2</v>
      </c>
      <c r="I3" s="475"/>
    </row>
    <row r="4" spans="1:26" ht="14.4">
      <c r="A4" s="196">
        <v>1</v>
      </c>
      <c r="B4" s="195">
        <v>3</v>
      </c>
    </row>
    <row r="5" spans="1:26" ht="14.4">
      <c r="A5" s="196">
        <v>1</v>
      </c>
      <c r="B5" s="195">
        <v>4</v>
      </c>
    </row>
    <row r="6" spans="1:26" ht="14.4">
      <c r="A6" s="196">
        <v>1</v>
      </c>
      <c r="B6" s="195">
        <v>5</v>
      </c>
      <c r="C6" s="476"/>
      <c r="D6" s="2"/>
      <c r="E6" s="2"/>
      <c r="F6" s="2"/>
      <c r="G6" s="2"/>
      <c r="H6" s="2"/>
      <c r="I6" s="2"/>
      <c r="J6" s="2"/>
      <c r="K6" s="2"/>
      <c r="L6" s="2"/>
      <c r="M6" s="2"/>
    </row>
    <row r="7" spans="1:26" ht="14.4">
      <c r="A7" s="199">
        <v>2</v>
      </c>
      <c r="B7" s="200">
        <v>1</v>
      </c>
      <c r="C7" s="477">
        <f>Loss_modulus_G!C7/1000000</f>
        <v>2.6282830311377898E-4</v>
      </c>
      <c r="D7" s="234">
        <f>Loss_modulus_G!D7/1000000</f>
        <v>3.7761495033489202E-4</v>
      </c>
      <c r="E7" s="234">
        <f>Loss_modulus_G!E7/1000000</f>
        <v>5.5496078407263696E-4</v>
      </c>
      <c r="F7" s="234">
        <f>Loss_modulus_G!F7/1000000</f>
        <v>7.7947695277198498E-4</v>
      </c>
      <c r="G7" s="234">
        <f>Loss_modulus_G!G7/1000000</f>
        <v>1.0948238818676099E-3</v>
      </c>
      <c r="H7" s="234">
        <f>Loss_modulus_G!H7/1000000</f>
        <v>1.4696472784789401E-3</v>
      </c>
      <c r="I7" s="234">
        <f>Loss_modulus_G!I7/1000000</f>
        <v>1.9727950393776199E-3</v>
      </c>
      <c r="J7" s="234">
        <f>Loss_modulus_G!J7/1000000</f>
        <v>2.4742445535888401E-3</v>
      </c>
      <c r="K7" s="234">
        <f>Loss_modulus_G!K7/1000000</f>
        <v>2.77091338680335E-3</v>
      </c>
      <c r="L7" s="234">
        <f>Loss_modulus_G!L7/1000000</f>
        <v>3.4752304314022999E-3</v>
      </c>
      <c r="M7" s="235">
        <f>Loss_modulus_G!M7/1000000</f>
        <v>3.4752304314022999E-3</v>
      </c>
      <c r="N7" s="2"/>
    </row>
    <row r="8" spans="1:26" ht="14.4">
      <c r="A8" s="196">
        <v>2</v>
      </c>
      <c r="B8" s="201">
        <v>2</v>
      </c>
      <c r="C8" s="476">
        <f>Loss_modulus_G!C8/1000000</f>
        <v>3.5015658260911697E-5</v>
      </c>
      <c r="D8" s="2">
        <f>Loss_modulus_G!D8/1000000</f>
        <v>4.9181670820452405E-5</v>
      </c>
      <c r="E8" s="2">
        <f>Loss_modulus_G!E8/1000000</f>
        <v>6.7531779958544203E-5</v>
      </c>
      <c r="F8" s="2">
        <f>Loss_modulus_G!F8/1000000</f>
        <v>9.0651928835906406E-5</v>
      </c>
      <c r="G8" s="2">
        <f>Loss_modulus_G!G8/1000000</f>
        <v>1.36278150061747E-4</v>
      </c>
      <c r="H8" s="2">
        <f>Loss_modulus_G!H8/1000000</f>
        <v>2.0956148891540098E-4</v>
      </c>
      <c r="I8" s="2">
        <f>Loss_modulus_G!I8/1000000</f>
        <v>3.0108458750973299E-4</v>
      </c>
      <c r="J8" s="2">
        <f>Loss_modulus_G!J8/1000000</f>
        <v>4.3257914087689001E-4</v>
      </c>
      <c r="K8" s="2">
        <f>Loss_modulus_G!K8/1000000</f>
        <v>6.8043537700758895E-4</v>
      </c>
      <c r="L8" s="2">
        <f>Loss_modulus_G!L8/1000000</f>
        <v>1E-3</v>
      </c>
      <c r="M8" s="236">
        <f>Loss_modulus_G!M8/1000000</f>
        <v>1.4696472784789401E-3</v>
      </c>
      <c r="N8" s="2"/>
    </row>
    <row r="9" spans="1:26" ht="14.4">
      <c r="A9" s="196">
        <v>2</v>
      </c>
      <c r="B9" s="201">
        <v>3</v>
      </c>
      <c r="C9" s="476">
        <f>Loss_modulus_G!C9/1000000</f>
        <v>1.1455561822784101E-3</v>
      </c>
      <c r="D9" s="2">
        <f>Loss_modulus_G!D9/1000000</f>
        <v>1.4696472784789401E-3</v>
      </c>
      <c r="E9" s="2">
        <f>Loss_modulus_G!E9/1000000</f>
        <v>2.2093386751530701E-3</v>
      </c>
      <c r="F9" s="2">
        <f>Loss_modulus_G!F9/1000000</f>
        <v>2.9657268396796098E-3</v>
      </c>
      <c r="G9" s="2">
        <f>Loss_modulus_G!G9/1000000</f>
        <v>4.3585723786471195E-3</v>
      </c>
      <c r="H9" s="2">
        <f>Loss_modulus_G!H9/1000000</f>
        <v>6.2621189300962193E-3</v>
      </c>
      <c r="I9" s="2">
        <f>Loss_modulus_G!I9/1000000</f>
        <v>8.5985699673633495E-3</v>
      </c>
      <c r="J9" s="2">
        <f>Loss_modulus_G!J9/1000000</f>
        <v>1.2353877161286501E-2</v>
      </c>
      <c r="K9" s="2">
        <f>Loss_modulus_G!K9/1000000</f>
        <v>1.6583344818690501E-2</v>
      </c>
      <c r="L9" s="2">
        <f>Loss_modulus_G!L9/1000000</f>
        <v>2.5501009735072501E-2</v>
      </c>
      <c r="M9" s="236">
        <f>Loss_modulus_G!M9/1000000</f>
        <v>4.0112403797335501E-2</v>
      </c>
      <c r="N9" s="2"/>
    </row>
    <row r="10" spans="1:26" ht="14.4">
      <c r="A10" s="196">
        <v>2</v>
      </c>
      <c r="B10" s="201">
        <v>4</v>
      </c>
      <c r="C10" s="476">
        <f>Loss_modulus_G!C10/1000000</f>
        <v>3.7195620092518701E-3</v>
      </c>
      <c r="D10" s="2">
        <f>Loss_modulus_G!D10/1000000</f>
        <v>5.46644418403069E-3</v>
      </c>
      <c r="E10" s="2">
        <f>Loss_modulus_G!E10/1000000</f>
        <v>7.5060220532017505E-3</v>
      </c>
      <c r="F10" s="2">
        <f>Loss_modulus_G!F10/1000000</f>
        <v>1.1031204882690899E-2</v>
      </c>
      <c r="G10" s="2">
        <f>Loss_modulus_G!G10/1000000</f>
        <v>1.69632161773558E-2</v>
      </c>
      <c r="H10" s="2">
        <f>Loss_modulus_G!H10/1000000</f>
        <v>2.5501009735072501E-2</v>
      </c>
      <c r="I10" s="2">
        <f>Loss_modulus_G!I10/1000000</f>
        <v>3.8335978903361101E-2</v>
      </c>
      <c r="J10" s="2">
        <f>Loss_modulus_G!J10/1000000</f>
        <v>5.89510850740027E-2</v>
      </c>
      <c r="K10" s="2">
        <f>Loss_modulus_G!K10/1000000</f>
        <v>8.8621885062810601E-2</v>
      </c>
      <c r="L10" s="2">
        <f>Loss_modulus_G!L10/1000000</f>
        <v>0.12447495192494</v>
      </c>
      <c r="M10" s="236">
        <f>Loss_modulus_G!M10/1000000</f>
        <v>0.20028081235439302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6" ht="14.4">
      <c r="A11" s="199">
        <v>3</v>
      </c>
      <c r="B11" s="200">
        <v>1</v>
      </c>
      <c r="C11" s="477">
        <f>Loss_modulus_G!C11/1000000</f>
        <v>1.81071975453401E-5</v>
      </c>
      <c r="D11" s="234">
        <f>Loss_modulus_G!D11/1000000</f>
        <v>2.2579743714184999E-5</v>
      </c>
      <c r="E11" s="234">
        <f>Loss_modulus_G!E11/1000000</f>
        <v>2.8157025675653699E-5</v>
      </c>
      <c r="F11" s="234">
        <f>Loss_modulus_G!F11/1000000</f>
        <v>3.6197425750983601E-5</v>
      </c>
      <c r="G11" s="234">
        <f>Loss_modulus_G!G11/1000000</f>
        <v>5.2560702000401004E-5</v>
      </c>
      <c r="H11" s="234">
        <f>Loss_modulus_G!H11/1000000</f>
        <v>6.4063633990005107E-5</v>
      </c>
      <c r="I11" s="234">
        <f>Loss_modulus_G!I11/1000000</f>
        <v>7.5742361764966407E-5</v>
      </c>
      <c r="J11" s="234">
        <f>Loss_modulus_G!J11/1000000</f>
        <v>8.8197148756035697E-5</v>
      </c>
      <c r="K11" s="234">
        <f>Loss_modulus_G!K11/1000000</f>
        <v>1.01921184626301E-4</v>
      </c>
      <c r="L11" s="234">
        <f>Loss_modulus_G!L11/1000000</f>
        <v>1.13382350121784E-4</v>
      </c>
      <c r="M11" s="234">
        <f>Loss_modulus_G!M11/1000000</f>
        <v>1.28067230110281E-4</v>
      </c>
      <c r="N11" s="234">
        <f>Loss_modulus_G!N11/1000000</f>
        <v>1.3819612567338201E-4</v>
      </c>
      <c r="O11" s="234">
        <f>Loss_modulus_G!O11/1000000</f>
        <v>1.5373645394747601E-4</v>
      </c>
      <c r="P11" s="234">
        <f>Loss_modulus_G!P11/1000000</f>
        <v>1.6716313057451299E-4</v>
      </c>
      <c r="Q11" s="234">
        <f>Loss_modulus_G!Q11/1000000</f>
        <v>1.7631164267971599E-4</v>
      </c>
      <c r="R11" s="234">
        <f>Loss_modulus_G!R11/1000000</f>
        <v>1.80384138713225E-4</v>
      </c>
      <c r="S11" s="234">
        <f>Loss_modulus_G!S11/1000000</f>
        <v>1.87381742286038E-4</v>
      </c>
      <c r="T11" s="234">
        <f>Loss_modulus_G!T11/1000000</f>
        <v>1.9465080240770001E-4</v>
      </c>
      <c r="U11" s="234">
        <f>Loss_modulus_G!U11/1000000</f>
        <v>1.9914690152331301E-4</v>
      </c>
      <c r="V11" s="234">
        <f>Loss_modulus_G!V11/1000000</f>
        <v>2.0374685280397E-4</v>
      </c>
      <c r="W11" s="234">
        <f>Loss_modulus_G!W11/1000000</f>
        <v>1.9914690152331301E-4</v>
      </c>
      <c r="X11" s="234">
        <f>Loss_modulus_G!X11/1000000</f>
        <v>2.0374685280397E-4</v>
      </c>
      <c r="Y11" s="235">
        <f>Loss_modulus_G!Y11/1000000</f>
        <v>2.0845305505626003E-4</v>
      </c>
      <c r="Z11" s="2"/>
    </row>
    <row r="12" spans="1:26" ht="14.4">
      <c r="A12" s="196">
        <v>3</v>
      </c>
      <c r="B12" s="201">
        <v>2</v>
      </c>
      <c r="C12" s="476">
        <f>Loss_modulus_G!C12/1000000</f>
        <v>6.5543393870584293E-5</v>
      </c>
      <c r="D12" s="2">
        <f>Loss_modulus_G!D12/1000000</f>
        <v>6.2142458327544702E-5</v>
      </c>
      <c r="E12" s="2">
        <f>Loss_modulus_G!E12/1000000</f>
        <v>6.5543393870584293E-5</v>
      </c>
      <c r="F12" s="2">
        <f>Loss_modulus_G!F12/1000000</f>
        <v>7.0727250746341499E-5</v>
      </c>
      <c r="G12" s="2">
        <f>Loss_modulus_G!G12/1000000</f>
        <v>8.2357371883085305E-5</v>
      </c>
      <c r="H12" s="2">
        <f>Loss_modulus_G!H12/1000000</f>
        <v>9.3734793388480599E-5</v>
      </c>
      <c r="I12" s="2">
        <f>Loss_modulus_G!I12/1000000</f>
        <v>1.0668397121819299E-4</v>
      </c>
      <c r="J12" s="2">
        <f>Loss_modulus_G!J12/1000000</f>
        <v>1.2422667923417901E-4</v>
      </c>
      <c r="K12" s="2">
        <f>Loss_modulus_G!K12/1000000</f>
        <v>1.3819612567338201E-4</v>
      </c>
      <c r="L12" s="2">
        <f>Loss_modulus_G!L12/1000000</f>
        <v>1.56094797893609E-4</v>
      </c>
      <c r="M12" s="2">
        <f>Loss_modulus_G!M12/1000000</f>
        <v>1.69727442075686E-4</v>
      </c>
      <c r="N12" s="2">
        <f>Loss_modulus_G!N12/1000000</f>
        <v>1.8315126277905098E-4</v>
      </c>
      <c r="O12" s="2">
        <f>Loss_modulus_G!O12/1000000</f>
        <v>2.0687236496790999E-4</v>
      </c>
      <c r="P12" s="2">
        <f>Loss_modulus_G!P12/1000000</f>
        <v>2.1819408602348302E-4</v>
      </c>
      <c r="Q12" s="2">
        <f>Loss_modulus_G!Q12/1000000</f>
        <v>2.3189386346913901E-4</v>
      </c>
      <c r="R12" s="2">
        <f>Loss_modulus_G!R12/1000000</f>
        <v>2.44584962336327E-4</v>
      </c>
      <c r="S12" s="2">
        <f>Loss_modulus_G!S12/1000000</f>
        <v>2.59941746801151E-4</v>
      </c>
      <c r="T12" s="2">
        <f>Loss_modulus_G!T12/1000000</f>
        <v>2.7002561176352901E-4</v>
      </c>
      <c r="U12" s="2">
        <f>Loss_modulus_G!U12/1000000</f>
        <v>2.7626273947749599E-4</v>
      </c>
      <c r="V12" s="2">
        <f>Loss_modulus_G!V12/1000000</f>
        <v>2.89172523407571E-4</v>
      </c>
      <c r="W12" s="2">
        <f>Loss_modulus_G!W12/1000000</f>
        <v>2.93608480218433E-4</v>
      </c>
      <c r="X12" s="2">
        <f>Loss_modulus_G!X12/1000000</f>
        <v>3.1442760027141102E-4</v>
      </c>
      <c r="Y12" s="236">
        <f>Loss_modulus_G!Y12/1000000</f>
        <v>3.2169033763502998E-4</v>
      </c>
      <c r="Z12" s="2"/>
    </row>
    <row r="13" spans="1:26" ht="14.4">
      <c r="A13" s="196">
        <v>3</v>
      </c>
      <c r="B13" s="201">
        <v>3</v>
      </c>
      <c r="C13" s="476">
        <f>Loss_modulus_G!C13/1000000</f>
        <v>1.51413740824685E-4</v>
      </c>
      <c r="D13" s="2">
        <f>Loss_modulus_G!D13/1000000</f>
        <v>1.51413740824685E-4</v>
      </c>
      <c r="E13" s="2">
        <f>Loss_modulus_G!E13/1000000</f>
        <v>1.5257067737055199E-4</v>
      </c>
      <c r="F13" s="2">
        <f>Loss_modulus_G!F13/1000000</f>
        <v>1.5257067737055199E-4</v>
      </c>
      <c r="G13" s="2">
        <f>Loss_modulus_G!G13/1000000</f>
        <v>1.6844040655904401E-4</v>
      </c>
      <c r="H13" s="2">
        <f>Loss_modulus_G!H13/1000000</f>
        <v>1.8455070240835201E-4</v>
      </c>
      <c r="I13" s="2">
        <f>Loss_modulus_G!I13/1000000</f>
        <v>1.91709938601457E-4</v>
      </c>
      <c r="J13" s="2">
        <f>Loss_modulus_G!J13/1000000</f>
        <v>2.0687236496790999E-4</v>
      </c>
      <c r="K13" s="2">
        <f>Loss_modulus_G!K13/1000000</f>
        <v>2.2154122125811799E-4</v>
      </c>
      <c r="L13" s="2">
        <f>Loss_modulus_G!L13/1000000</f>
        <v>2.3725021330979498E-4</v>
      </c>
      <c r="M13" s="2">
        <f>Loss_modulus_G!M13/1000000</f>
        <v>2.5214647003477702E-4</v>
      </c>
      <c r="N13" s="2">
        <f>Loss_modulus_G!N13/1000000</f>
        <v>2.7208884920068604E-4</v>
      </c>
      <c r="O13" s="2">
        <f>Loss_modulus_G!O13/1000000</f>
        <v>2.86979741241581E-4</v>
      </c>
      <c r="P13" s="2">
        <f>Loss_modulus_G!P13/1000000</f>
        <v>3.0732883225297297E-4</v>
      </c>
      <c r="Q13" s="2">
        <f>Loss_modulus_G!Q13/1000000</f>
        <v>3.2169033763502998E-4</v>
      </c>
      <c r="R13" s="2">
        <f>Loss_modulus_G!R13/1000000</f>
        <v>3.3416960256393299E-4</v>
      </c>
      <c r="S13" s="2">
        <f>Loss_modulus_G!S13/1000000</f>
        <v>3.4188834626274199E-4</v>
      </c>
      <c r="T13" s="2">
        <f>Loss_modulus_G!T13/1000000</f>
        <v>3.5515114824953201E-4</v>
      </c>
      <c r="U13" s="2">
        <f>Loss_modulus_G!U13/1000000</f>
        <v>3.6335452960631397E-4</v>
      </c>
      <c r="V13" s="2">
        <f>Loss_modulus_G!V13/1000000</f>
        <v>3.7174739497860903E-4</v>
      </c>
      <c r="W13" s="2">
        <f>Loss_modulus_G!W13/1000000</f>
        <v>3.7174739497860903E-4</v>
      </c>
      <c r="X13" s="2">
        <f>Loss_modulus_G!X13/1000000</f>
        <v>3.8033412112163499E-4</v>
      </c>
      <c r="Y13" s="236">
        <f>Loss_modulus_G!Y13/1000000</f>
        <v>3.8911918588613E-4</v>
      </c>
      <c r="Z13" s="2"/>
    </row>
    <row r="14" spans="1:26" ht="14.4">
      <c r="A14" s="196">
        <v>3</v>
      </c>
      <c r="B14" s="201">
        <v>4</v>
      </c>
      <c r="C14" s="476">
        <f>Loss_modulus_G!C14/1000000</f>
        <v>4.2796175387416397E-5</v>
      </c>
      <c r="D14" s="2">
        <f>Loss_modulus_G!D14/1000000</f>
        <v>6.0278895942636E-5</v>
      </c>
      <c r="E14" s="2">
        <f>Loss_modulus_G!E14/1000000</f>
        <v>9.0234351365101298E-5</v>
      </c>
      <c r="F14" s="2">
        <f>Loss_modulus_G!F14/1000000</f>
        <v>1.0832052189444199E-4</v>
      </c>
      <c r="G14" s="2">
        <f>Loss_modulus_G!G14/1000000</f>
        <v>1.3003180369756899E-4</v>
      </c>
      <c r="H14" s="2">
        <f>Loss_modulus_G!H14/1000000</f>
        <v>1.57287501906596E-4</v>
      </c>
      <c r="I14" s="2">
        <f>Loss_modulus_G!I14/1000000</f>
        <v>1.6844040655904401E-4</v>
      </c>
      <c r="J14" s="2">
        <f>Loss_modulus_G!J14/1000000</f>
        <v>1.88813506566468E-4</v>
      </c>
      <c r="K14" s="2">
        <f>Loss_modulus_G!K14/1000000</f>
        <v>2.05303661181008E-4</v>
      </c>
      <c r="L14" s="2">
        <f>Loss_modulus_G!L14/1000000</f>
        <v>2.2323399454206002E-4</v>
      </c>
      <c r="M14" s="2">
        <f>Loss_modulus_G!M14/1000000</f>
        <v>2.3545115567287801E-4</v>
      </c>
      <c r="N14" s="2">
        <f>Loss_modulus_G!N14/1000000</f>
        <v>2.5214647003477702E-4</v>
      </c>
      <c r="O14" s="2">
        <f>Loss_modulus_G!O14/1000000</f>
        <v>2.7002561176352901E-4</v>
      </c>
      <c r="P14" s="2">
        <f>Loss_modulus_G!P14/1000000</f>
        <v>2.7837363415470401E-4</v>
      </c>
      <c r="Q14" s="2">
        <f>Loss_modulus_G!Q14/1000000</f>
        <v>2.8480358684358E-4</v>
      </c>
      <c r="R14" s="2">
        <f>Loss_modulus_G!R14/1000000</f>
        <v>2.95851911885145E-4</v>
      </c>
      <c r="S14" s="2">
        <f>Loss_modulus_G!S14/1000000</f>
        <v>3.0268558276102099E-4</v>
      </c>
      <c r="T14" s="2">
        <f>Loss_modulus_G!T14/1000000</f>
        <v>3.0268558276102099E-4</v>
      </c>
      <c r="U14" s="2">
        <f>Loss_modulus_G!U14/1000000</f>
        <v>3.0732883225297297E-4</v>
      </c>
      <c r="V14" s="2">
        <f>Loss_modulus_G!V14/1000000</f>
        <v>3.1683010865540698E-4</v>
      </c>
      <c r="W14" s="2">
        <f>Loss_modulus_G!W14/1000000</f>
        <v>3.1683010865540698E-4</v>
      </c>
      <c r="X14" s="34">
        <f>Loss_modulus_G!X14/1000000</f>
        <v>3.1442760027141102E-4</v>
      </c>
      <c r="Y14" s="237">
        <f>Loss_modulus_G!Y14/1000000</f>
        <v>3.3163560958187797E-4</v>
      </c>
      <c r="Z14" s="2"/>
    </row>
    <row r="15" spans="1:26" ht="14.4">
      <c r="A15" s="199">
        <v>4</v>
      </c>
      <c r="B15" s="200">
        <v>1</v>
      </c>
      <c r="C15" s="477">
        <f>Loss_modulus_G!C15/1000000</f>
        <v>6.0388241190619601E-6</v>
      </c>
      <c r="D15" s="234">
        <f>Loss_modulus_G!D15/1000000</f>
        <v>9.7830931901782907E-6</v>
      </c>
      <c r="E15" s="234">
        <f>Loss_modulus_G!E15/1000000</f>
        <v>1.7301957388458898E-5</v>
      </c>
      <c r="F15" s="234">
        <f>Loss_modulus_G!F15/1000000</f>
        <v>2.9935772947204899E-5</v>
      </c>
      <c r="G15" s="234">
        <f>Loss_modulus_G!G15/1000000</f>
        <v>4.7445002755086595E-5</v>
      </c>
      <c r="H15" s="234">
        <f>Loss_modulus_G!H15/1000000</f>
        <v>7.0407520066064397E-5</v>
      </c>
      <c r="I15" s="234">
        <f>Loss_modulus_G!I15/1000000</f>
        <v>9.7830931901782904E-5</v>
      </c>
      <c r="J15" s="234">
        <f>Loss_modulus_G!J15/1000000</f>
        <v>1.5505157798326202E-4</v>
      </c>
      <c r="K15" s="234">
        <f>Loss_modulus_G!K15/1000000</f>
        <v>2.30093718077846E-4</v>
      </c>
      <c r="L15" s="234">
        <f>Loss_modulus_G!L15/1000000</f>
        <v>3.1971418455273E-4</v>
      </c>
      <c r="M15" s="234">
        <f>Loss_modulus_G!M15/1000000</f>
        <v>4.7445002755086601E-4</v>
      </c>
      <c r="N15" s="234">
        <f>Loss_modulus_G!N15/1000000</f>
        <v>7.3564225445964205E-4</v>
      </c>
      <c r="O15" s="234">
        <f>Loss_modulus_G!O15/1000000</f>
        <v>1.1158839925077501E-3</v>
      </c>
      <c r="P15" s="234">
        <f>Loss_modulus_G!P15/1000000</f>
        <v>1.51688403669445E-3</v>
      </c>
      <c r="Q15" s="234">
        <f>Loss_modulus_G!Q15/1000000</f>
        <v>2.1544346900318799E-3</v>
      </c>
      <c r="R15" s="234">
        <f>Loss_modulus_G!R15/1000000</f>
        <v>2.8651202696637801E-3</v>
      </c>
      <c r="S15" s="234">
        <f>Loss_modulus_G!S15/1000000</f>
        <v>4.0693384271671502E-3</v>
      </c>
      <c r="T15" s="234">
        <f>Loss_modulus_G!T15/1000000</f>
        <v>4.9572188818532703E-3</v>
      </c>
      <c r="U15" s="234">
        <f>Loss_modulus_G!U15/1000000</f>
        <v>6.5924617558714002E-3</v>
      </c>
      <c r="V15" s="234">
        <f>Loss_modulus_G!V15/1000000</f>
        <v>7.6862461003977395E-3</v>
      </c>
      <c r="W15" s="235">
        <f>Loss_modulus_G!W15/1000000</f>
        <v>8.7671238729686799E-3</v>
      </c>
      <c r="X15" s="2"/>
      <c r="Y15" s="2"/>
    </row>
    <row r="16" spans="1:26" ht="14.4">
      <c r="A16" s="196">
        <v>4</v>
      </c>
      <c r="B16" s="201">
        <v>2</v>
      </c>
      <c r="C16" s="476">
        <f>Loss_modulus_G!C16/1000000</f>
        <v>2.3519526350709501E-5</v>
      </c>
      <c r="D16" s="2">
        <f>Loss_modulus_G!D16/1000000</f>
        <v>3.4145488738336002E-5</v>
      </c>
      <c r="E16" s="2">
        <f>Loss_modulus_G!E16/1000000</f>
        <v>5.0671283463087695E-5</v>
      </c>
      <c r="F16" s="2">
        <f>Loss_modulus_G!F16/1000000</f>
        <v>7.6862461003977407E-5</v>
      </c>
      <c r="G16" s="2">
        <f>Loss_modulus_G!G16/1000000</f>
        <v>1.0916797088131499E-4</v>
      </c>
      <c r="H16" s="2">
        <f>Loss_modulus_G!H16/1000000</f>
        <v>1.6200328072641301E-4</v>
      </c>
      <c r="I16" s="2">
        <f>Loss_modulus_G!I16/1000000</f>
        <v>2.25102828643017E-4</v>
      </c>
      <c r="J16" s="2">
        <f>Loss_modulus_G!J16/1000000</f>
        <v>3.34048498351324E-4</v>
      </c>
      <c r="K16" s="2">
        <f>Loss_modulus_G!K16/1000000</f>
        <v>4.7445002755086601E-4</v>
      </c>
      <c r="L16" s="2">
        <f>Loss_modulus_G!L16/1000000</f>
        <v>6.3095734448019298E-4</v>
      </c>
      <c r="M16" s="2">
        <f>Loss_modulus_G!M16/1000000</f>
        <v>9.1601959066105198E-4</v>
      </c>
      <c r="N16" s="2">
        <f>Loss_modulus_G!N16/1000000</f>
        <v>1.35935639087852E-3</v>
      </c>
      <c r="O16" s="2">
        <f>Loss_modulus_G!O16/1000000</f>
        <v>1.8077686769634299E-3</v>
      </c>
      <c r="P16" s="2">
        <f>Loss_modulus_G!P16/1000000</f>
        <v>2.5118864315095799E-3</v>
      </c>
      <c r="Q16" s="2">
        <f>Loss_modulus_G!Q16/1000000</f>
        <v>3.6467396740964401E-3</v>
      </c>
      <c r="R16" s="2">
        <f>Loss_modulus_G!R16/1000000</f>
        <v>4.9572188818532703E-3</v>
      </c>
      <c r="S16" s="2">
        <f>Loss_modulus_G!S16/1000000</f>
        <v>6.3095734448019398E-3</v>
      </c>
      <c r="T16" s="2">
        <f>Loss_modulus_G!T16/1000000</f>
        <v>8.0308572213915203E-3</v>
      </c>
      <c r="U16" s="2">
        <f>Loss_modulus_G!U16/1000000</f>
        <v>1.0221715980421701E-2</v>
      </c>
      <c r="V16" s="2">
        <f>Loss_modulus_G!V16/1000000</f>
        <v>1.30102521691083E-2</v>
      </c>
      <c r="W16" s="236">
        <f>Loss_modulus_G!W16/1000000</f>
        <v>1.5505157798326199E-2</v>
      </c>
      <c r="X16" s="2"/>
    </row>
    <row r="17" spans="1:46" ht="14.4">
      <c r="A17" s="196">
        <v>4</v>
      </c>
      <c r="B17" s="201">
        <v>3</v>
      </c>
      <c r="C17" s="476">
        <f>Loss_modulus_G!C17/1000000</f>
        <v>6.0388241190619606E-5</v>
      </c>
      <c r="D17" s="2">
        <f>Loss_modulus_G!D17/1000000</f>
        <v>7.5195261882835595E-5</v>
      </c>
      <c r="E17" s="2">
        <f>Loss_modulus_G!E17/1000000</f>
        <v>1.0448347758440801E-4</v>
      </c>
      <c r="F17" s="2">
        <f>Loss_modulus_G!F17/1000000</f>
        <v>1.3298710250628999E-4</v>
      </c>
      <c r="G17" s="2">
        <f>Loss_modulus_G!G17/1000000</f>
        <v>1.8888195803730401E-4</v>
      </c>
      <c r="H17" s="2">
        <f>Loss_modulus_G!H17/1000000</f>
        <v>2.7421754481220804E-4</v>
      </c>
      <c r="I17" s="2">
        <f>Loss_modulus_G!I17/1000000</f>
        <v>3.72759372031494E-4</v>
      </c>
      <c r="J17" s="2">
        <f>Loss_modulus_G!J17/1000000</f>
        <v>5.1794746792312109E-4</v>
      </c>
      <c r="K17" s="2">
        <f>Loss_modulus_G!K17/1000000</f>
        <v>7.0407520066064497E-4</v>
      </c>
      <c r="L17" s="2">
        <f>Loss_modulus_G!L17/1000000</f>
        <v>9.5708912367712903E-4</v>
      </c>
      <c r="M17" s="2">
        <f>Loss_modulus_G!M17/1000000</f>
        <v>1.3298710250628999E-3</v>
      </c>
      <c r="N17" s="2">
        <f>Loss_modulus_G!N17/1000000</f>
        <v>1.84784979742229E-3</v>
      </c>
      <c r="O17" s="2">
        <f>Loss_modulus_G!O17/1000000</f>
        <v>2.5118864315095799E-3</v>
      </c>
      <c r="P17" s="2">
        <f>Loss_modulus_G!P17/1000000</f>
        <v>3.2680275894101302E-3</v>
      </c>
      <c r="Q17" s="2">
        <f>Loss_modulus_G!Q17/1000000</f>
        <v>4.6415888336127798E-3</v>
      </c>
      <c r="R17" s="2">
        <f>Loss_modulus_G!R17/1000000</f>
        <v>6.0388241190619599E-3</v>
      </c>
      <c r="S17" s="2">
        <f>Loss_modulus_G!S17/1000000</f>
        <v>7.8566624593889509E-3</v>
      </c>
      <c r="T17" s="2">
        <f>Loss_modulus_G!T17/1000000</f>
        <v>1.0221715980421701E-2</v>
      </c>
      <c r="U17" s="2">
        <f>Loss_modulus_G!U17/1000000</f>
        <v>1.30102521691083E-2</v>
      </c>
      <c r="V17" s="2">
        <f>Loss_modulus_G!V17/1000000</f>
        <v>1.58489319246111E-2</v>
      </c>
      <c r="W17" s="236">
        <f>Loss_modulus_G!W17/1000000</f>
        <v>1.80776867696343E-2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6" ht="14.4">
      <c r="A18" s="199">
        <v>5</v>
      </c>
      <c r="B18" s="200">
        <v>1</v>
      </c>
      <c r="C18" s="477">
        <f>Loss_modulus_G!C18/1000000</f>
        <v>3.4087379834759098E-5</v>
      </c>
      <c r="D18" s="234">
        <f>Loss_modulus_G!D18/1000000</f>
        <v>3.2492952949915694E-5</v>
      </c>
      <c r="E18" s="234">
        <f>Loss_modulus_G!E18/1000000</f>
        <v>3.5760045133175798E-5</v>
      </c>
      <c r="F18" s="234">
        <f>Loss_modulus_G!F18/1000000</f>
        <v>3.8732196104047702E-5</v>
      </c>
      <c r="G18" s="234">
        <f>Loss_modulus_G!G18/1000000</f>
        <v>4.3312755253265203E-5</v>
      </c>
      <c r="H18" s="234">
        <f>Loss_modulus_G!H18/1000000</f>
        <v>5.0006807121025405E-5</v>
      </c>
      <c r="I18" s="234">
        <f>Loss_modulus_G!I18/1000000</f>
        <v>5.7735434834774601E-5</v>
      </c>
      <c r="J18" s="234">
        <f>Loss_modulus_G!J18/1000000</f>
        <v>6.6658533657090507E-5</v>
      </c>
      <c r="K18" s="234">
        <f>Loss_modulus_G!K18/1000000</f>
        <v>7.4541726115276498E-5</v>
      </c>
      <c r="L18" s="234">
        <f>Loss_modulus_G!L18/1000000</f>
        <v>8.74475351740921E-5</v>
      </c>
      <c r="M18" s="234">
        <f>Loss_modulus_G!M18/1000000</f>
        <v>1.04239066433859E-4</v>
      </c>
      <c r="N18" s="234">
        <f>Loss_modulus_G!N18/1000000</f>
        <v>1.1844289535865499E-4</v>
      </c>
      <c r="O18" s="234">
        <f>Loss_modulus_G!O18/1000000</f>
        <v>1.38949549437313E-4</v>
      </c>
      <c r="P18" s="234">
        <f>Loss_modulus_G!P18/1000000</f>
        <v>1.6042441256935002E-4</v>
      </c>
      <c r="Q18" s="234">
        <f>Loss_modulus_G!Q18/1000000</f>
        <v>1.8228417196139798E-4</v>
      </c>
      <c r="R18" s="234">
        <f>Loss_modulus_G!R18/1000000</f>
        <v>2.1384400885248399E-4</v>
      </c>
      <c r="S18" s="234">
        <f>Loss_modulus_G!S18/1000000</f>
        <v>2.4689392402176599E-4</v>
      </c>
      <c r="T18" s="234">
        <f>Loss_modulus_G!T18/1000000</f>
        <v>2.8963999400516004E-4</v>
      </c>
      <c r="U18" s="234">
        <f>Loss_modulus_G!U18/1000000</f>
        <v>3.3978692047485797E-4</v>
      </c>
      <c r="V18" s="234">
        <f>Loss_modulus_G!V18/1000000</f>
        <v>3.98616053429867E-4</v>
      </c>
      <c r="W18" s="234">
        <f>Loss_modulus_G!W18/1000000</f>
        <v>4.6022276769633498E-4</v>
      </c>
      <c r="X18" s="234">
        <f>Loss_modulus_G!X18/1000000</f>
        <v>5.3135089287953202E-4</v>
      </c>
      <c r="Y18" s="234">
        <f>Loss_modulus_G!Y18/1000000</f>
        <v>6.3338001365382895E-4</v>
      </c>
      <c r="Z18" s="234">
        <f>Loss_modulus_G!Z18/1000000</f>
        <v>7.5500059766922902E-4</v>
      </c>
      <c r="AA18" s="234">
        <f>Loss_modulus_G!AA18/1000000</f>
        <v>8.44288715648088E-4</v>
      </c>
      <c r="AB18" s="234">
        <f>Loss_modulus_G!AB18/1000000</f>
        <v>9.9046495173116711E-4</v>
      </c>
      <c r="AC18" s="234">
        <f>Loss_modulus_G!AC18/1000000</f>
        <v>1.1435428088501002E-3</v>
      </c>
      <c r="AD18" s="234">
        <f>Loss_modulus_G!AD18/1000000</f>
        <v>1.3415305119893902E-3</v>
      </c>
      <c r="AE18" s="234">
        <f>Loss_modulus_G!AE18/1000000</f>
        <v>1.4300124081209002E-3</v>
      </c>
      <c r="AF18" s="234">
        <f>Loss_modulus_G!AF18/1000000</f>
        <v>1.84627678950798E-3</v>
      </c>
      <c r="AG18" s="234">
        <f>Loss_modulus_G!AG18/1000000</f>
        <v>2.2722147559973201E-3</v>
      </c>
      <c r="AH18" s="234">
        <f>Loss_modulus_G!AH18/1000000</f>
        <v>2.58183139761469E-3</v>
      </c>
      <c r="AI18" s="234">
        <f>Loss_modulus_G!AI18/1000000</f>
        <v>2.9336370376589998E-3</v>
      </c>
      <c r="AJ18" s="234">
        <f>Loss_modulus_G!AJ18/1000000</f>
        <v>3.38703508117855E-3</v>
      </c>
      <c r="AK18" s="234">
        <f>Loss_modulus_G!AK18/1000000</f>
        <v>3.9105064784321995E-3</v>
      </c>
      <c r="AL18" s="234">
        <f>Loss_modulus_G!AL18/1000000</f>
        <v>4.5148811722786307E-3</v>
      </c>
      <c r="AM18" s="234">
        <f>Loss_modulus_G!AM18/1000000</f>
        <v>5.0488214685054603E-3</v>
      </c>
      <c r="AN18" s="234">
        <f>Loss_modulus_G!AN18/1000000</f>
        <v>5.5564689322449004E-3</v>
      </c>
      <c r="AO18" s="234">
        <f>Loss_modulus_G!AO18/1000000</f>
        <v>6.1151591886536199E-3</v>
      </c>
      <c r="AP18" s="234">
        <f>Loss_modulus_G!AP18/1000000</f>
        <v>6.5184902164031897E-3</v>
      </c>
      <c r="AQ18" s="234">
        <f>Loss_modulus_G!AQ18/1000000</f>
        <v>6.5184902164031897E-3</v>
      </c>
      <c r="AR18" s="234">
        <f>Loss_modulus_G!AR18/1000000</f>
        <v>5.1300881381575398E-3</v>
      </c>
      <c r="AS18" s="235">
        <f>Loss_modulus_G!AS18/1000000</f>
        <v>1.7265159562230299E-2</v>
      </c>
      <c r="AT18" s="2"/>
    </row>
    <row r="19" spans="1:46" ht="14.4">
      <c r="A19" s="196">
        <v>5</v>
      </c>
      <c r="B19" s="201">
        <v>2</v>
      </c>
      <c r="C19" s="476">
        <f>Loss_modulus_G!C19/1000000</f>
        <v>3.5646024043929202E-4</v>
      </c>
      <c r="D19" s="2">
        <f>Loss_modulus_G!D19/1000000</f>
        <v>3.98616053429867E-4</v>
      </c>
      <c r="E19" s="2">
        <f>Loss_modulus_G!E19/1000000</f>
        <v>4.3174652308656099E-4</v>
      </c>
      <c r="F19" s="2">
        <f>Loss_modulus_G!F19/1000000</f>
        <v>4.5293229419539105E-4</v>
      </c>
      <c r="G19" s="2">
        <f>Loss_modulus_G!G19/1000000</f>
        <v>4.7515764958220598E-4</v>
      </c>
      <c r="H19" s="2">
        <f>Loss_modulus_G!H19/1000000</f>
        <v>4.8280586609810702E-4</v>
      </c>
      <c r="I19" s="2">
        <f>Loss_modulus_G!I19/1000000</f>
        <v>4.6022276769633498E-4</v>
      </c>
      <c r="J19" s="2">
        <f>Loss_modulus_G!J19/1000000</f>
        <v>4.8280586609810702E-4</v>
      </c>
      <c r="K19" s="2">
        <f>Loss_modulus_G!K19/1000000</f>
        <v>4.8280586609810702E-4</v>
      </c>
      <c r="L19" s="2">
        <f>Loss_modulus_G!L19/1000000</f>
        <v>5.3135089287953202E-4</v>
      </c>
      <c r="M19" s="2">
        <f>Loss_modulus_G!M19/1000000</f>
        <v>5.3135089287953202E-4</v>
      </c>
      <c r="N19" s="2">
        <f>Loss_modulus_G!N19/1000000</f>
        <v>5.5742424331334803E-4</v>
      </c>
      <c r="O19" s="2">
        <f>Loss_modulus_G!O19/1000000</f>
        <v>5.4859398336119098E-4</v>
      </c>
      <c r="P19" s="2">
        <f>Loss_modulus_G!P19/1000000</f>
        <v>6.4357500364405301E-4</v>
      </c>
      <c r="Q19" s="2">
        <f>Loss_modulus_G!Q19/1000000</f>
        <v>6.2334652437496401E-4</v>
      </c>
      <c r="R19" s="2">
        <f>Loss_modulus_G!R19/1000000</f>
        <v>6.2334652437496401E-4</v>
      </c>
      <c r="S19" s="2">
        <f>Loss_modulus_G!S19/1000000</f>
        <v>6.5393409388793205E-4</v>
      </c>
      <c r="T19" s="2">
        <f>Loss_modulus_G!T19/1000000</f>
        <v>6.5393409388793205E-4</v>
      </c>
      <c r="U19" s="2">
        <f>Loss_modulus_G!U19/1000000</f>
        <v>7.1968567300115206E-4</v>
      </c>
      <c r="V19" s="2">
        <f>Loss_modulus_G!V19/1000000</f>
        <v>7.7950143843900108E-4</v>
      </c>
      <c r="W19" s="2">
        <f>Loss_modulus_G!W19/1000000</f>
        <v>8.5787852716619401E-4</v>
      </c>
      <c r="X19" s="2">
        <f>Loss_modulus_G!X19/1000000</f>
        <v>8.17751518452873E-4</v>
      </c>
      <c r="Y19" s="2">
        <f>Loss_modulus_G!Y19/1000000</f>
        <v>8.44288715648088E-4</v>
      </c>
      <c r="Z19" s="2">
        <f>Loss_modulus_G!Z19/1000000</f>
        <v>9.4413625309869103E-4</v>
      </c>
      <c r="AA19" s="2">
        <f>Loss_modulus_G!AA19/1000000</f>
        <v>1.0226069449233799E-3</v>
      </c>
      <c r="AB19" s="2">
        <f>Loss_modulus_G!AB19/1000000</f>
        <v>1.1075996291567301E-3</v>
      </c>
      <c r="AC19" s="2">
        <f>Loss_modulus_G!AC19/1000000</f>
        <v>1.21896624136269E-3</v>
      </c>
      <c r="AD19" s="2">
        <f>Loss_modulus_G!AD19/1000000</f>
        <v>1.3202790804330499E-3</v>
      </c>
      <c r="AE19" s="2">
        <f>Loss_modulus_G!AE19/1000000</f>
        <v>1.4300124081209002E-3</v>
      </c>
      <c r="AF19" s="2">
        <f>Loss_modulus_G!AF19/1000000</f>
        <v>1.59912898498415E-3</v>
      </c>
      <c r="AG19" s="2">
        <f>Loss_modulus_G!AG19/1000000</f>
        <v>1.7882456796138799E-3</v>
      </c>
      <c r="AH19" s="2">
        <f>Loss_modulus_G!AH19/1000000</f>
        <v>1.9680496971379502E-3</v>
      </c>
      <c r="AI19" s="2">
        <f>Loss_modulus_G!AI19/1000000</f>
        <v>2.1316216612193299E-3</v>
      </c>
      <c r="AJ19" s="2">
        <f>Loss_modulus_G!AJ19/1000000</f>
        <v>2.3459513491911298E-3</v>
      </c>
      <c r="AK19" s="2">
        <f>Loss_modulus_G!AK19/1000000</f>
        <v>2.5409321316300203E-3</v>
      </c>
      <c r="AL19" s="2">
        <f>Loss_modulus_G!AL19/1000000</f>
        <v>2.79641705225999E-3</v>
      </c>
      <c r="AM19" s="2">
        <f>Loss_modulus_G!AM19/1000000</f>
        <v>2.8871647538310998E-3</v>
      </c>
      <c r="AN19" s="2">
        <f>Loss_modulus_G!AN19/1000000</f>
        <v>3.1271278046105097E-3</v>
      </c>
      <c r="AO19" s="2">
        <f>Loss_modulus_G!AO19/1000000</f>
        <v>3.1774625735942101E-3</v>
      </c>
      <c r="AP19" s="2">
        <f>Loss_modulus_G!AP19/1000000</f>
        <v>3.1774625735942101E-3</v>
      </c>
      <c r="AQ19" s="2">
        <f>Loss_modulus_G!AQ19/1000000</f>
        <v>2.9808573470927399E-3</v>
      </c>
      <c r="AR19" s="2">
        <f>Loss_modulus_G!AR19/1000000</f>
        <v>3.61043013896385E-3</v>
      </c>
      <c r="AS19" s="236">
        <f>Loss_modulus_G!AS19/1000000</f>
        <v>4.7364260695383596E-3</v>
      </c>
      <c r="AT19" s="2"/>
    </row>
    <row r="20" spans="1:46" ht="14.4">
      <c r="A20" s="196">
        <v>5</v>
      </c>
      <c r="B20" s="201">
        <v>3</v>
      </c>
      <c r="C20" s="476">
        <f>Loss_modulus_G!C20/1000000</f>
        <v>1.8819955200992199E-4</v>
      </c>
      <c r="D20" s="2">
        <f>Loss_modulus_G!D20/1000000</f>
        <v>2.2078355039276701E-4</v>
      </c>
      <c r="E20" s="2">
        <f>Loss_modulus_G!E20/1000000</f>
        <v>2.5900899127255002E-4</v>
      </c>
      <c r="F20" s="2">
        <f>Loss_modulus_G!F20/1000000</f>
        <v>2.99039222821119E-4</v>
      </c>
      <c r="G20" s="2">
        <f>Loss_modulus_G!G20/1000000</f>
        <v>3.5081348821520904E-4</v>
      </c>
      <c r="H20" s="2">
        <f>Loss_modulus_G!H20/1000000</f>
        <v>3.8608698296026299E-4</v>
      </c>
      <c r="I20" s="2">
        <f>Loss_modulus_G!I20/1000000</f>
        <v>4.8280586609810702E-4</v>
      </c>
      <c r="J20" s="2">
        <f>Loss_modulus_G!J20/1000000</f>
        <v>5.3990360518087698E-4</v>
      </c>
      <c r="K20" s="2">
        <f>Loss_modulus_G!K20/1000000</f>
        <v>6.0375385502891904E-4</v>
      </c>
      <c r="L20" s="2">
        <f>Loss_modulus_G!L20/1000000</f>
        <v>6.6445992577042793E-4</v>
      </c>
      <c r="M20" s="2">
        <f>Loss_modulus_G!M20/1000000</f>
        <v>7.3126985323132305E-4</v>
      </c>
      <c r="N20" s="2">
        <f>Loss_modulus_G!N20/1000000</f>
        <v>8.3091418283349192E-4</v>
      </c>
      <c r="O20" s="2">
        <f>Loss_modulus_G!O20/1000000</f>
        <v>9.2918001708074908E-4</v>
      </c>
      <c r="P20" s="2">
        <f>Loss_modulus_G!P20/1000000</f>
        <v>1.0557919914054301E-3</v>
      </c>
      <c r="Q20" s="2">
        <f>Loss_modulus_G!Q20/1000000</f>
        <v>1.1806523957292999E-3</v>
      </c>
      <c r="R20" s="2">
        <f>Loss_modulus_G!R20/1000000</f>
        <v>1.4073593185755602E-3</v>
      </c>
      <c r="S20" s="2">
        <f>Loss_modulus_G!S20/1000000</f>
        <v>1.5488660826989602E-3</v>
      </c>
      <c r="T20" s="2">
        <f>Loss_modulus_G!T20/1000000</f>
        <v>1.7599177509334699E-3</v>
      </c>
      <c r="U20" s="2">
        <f>Loss_modulus_G!U20/1000000</f>
        <v>1.99972775222345E-3</v>
      </c>
      <c r="V20" s="2">
        <f>Loss_modulus_G!V20/1000000</f>
        <v>2.23622018417296E-3</v>
      </c>
      <c r="W20" s="2">
        <f>Loss_modulus_G!W20/1000000</f>
        <v>2.5006807584394401E-3</v>
      </c>
      <c r="X20" s="2">
        <f>Loss_modulus_G!X20/1000000</f>
        <v>2.7521184954564302E-3</v>
      </c>
      <c r="Y20" s="2">
        <f>Loss_modulus_G!Y20/1000000</f>
        <v>3.2286075393869003E-3</v>
      </c>
      <c r="Z20" s="2">
        <f>Loss_modulus_G!Z20/1000000</f>
        <v>3.5532366511516699E-3</v>
      </c>
      <c r="AA20" s="2">
        <f>Loss_modulus_G!AA20/1000000</f>
        <v>3.9734506407753303E-3</v>
      </c>
      <c r="AB20" s="2">
        <f>Loss_modulus_G!AB20/1000000</f>
        <v>4.4433601093134701E-3</v>
      </c>
      <c r="AC20" s="2">
        <f>Loss_modulus_G!AC20/1000000</f>
        <v>4.8901298166689E-3</v>
      </c>
      <c r="AD20" s="2">
        <f>Loss_modulus_G!AD20/1000000</f>
        <v>5.2965667780366602E-3</v>
      </c>
      <c r="AE20" s="2">
        <f>Loss_modulus_G!AE20/1000000</f>
        <v>6.5184902164031897E-3</v>
      </c>
      <c r="AF20" s="2">
        <f>Loss_modulus_G!AF20/1000000</f>
        <v>7.0602662950728402E-3</v>
      </c>
      <c r="AG20" s="2">
        <f>Loss_modulus_G!AG20/1000000</f>
        <v>7.7701599406248901E-3</v>
      </c>
      <c r="AH20" s="2">
        <f>Loss_modulus_G!AH20/1000000</f>
        <v>8.9710499177042009E-3</v>
      </c>
      <c r="AI20" s="2">
        <f>Loss_modulus_G!AI20/1000000</f>
        <v>1.0193463573794598E-2</v>
      </c>
      <c r="AJ20" s="2">
        <f>Loss_modulus_G!AJ20/1000000</f>
        <v>1.10406804199863E-2</v>
      </c>
      <c r="AK20" s="2">
        <f>Loss_modulus_G!AK20/1000000</f>
        <v>1.1768878794463601E-2</v>
      </c>
      <c r="AL20" s="2">
        <f>Loss_modulus_G!AL20/1000000</f>
        <v>1.2952212669177699E-2</v>
      </c>
      <c r="AM20" s="2">
        <f>Loss_modulus_G!AM20/1000000</f>
        <v>1.35877768214965E-2</v>
      </c>
      <c r="AN20" s="2">
        <f>Loss_modulus_G!AN20/1000000</f>
        <v>1.51946987546096E-2</v>
      </c>
      <c r="AO20" s="2">
        <f>Loss_modulus_G!AO20/1000000</f>
        <v>1.61968792827E-2</v>
      </c>
      <c r="AP20" s="2">
        <f>Loss_modulus_G!AP20/1000000</f>
        <v>1.7265159562230299E-2</v>
      </c>
      <c r="AQ20" s="2">
        <f>Loss_modulus_G!AQ20/1000000</f>
        <v>1.7543062440632102E-2</v>
      </c>
      <c r="AR20" s="2">
        <f>Loss_modulus_G!AR20/1000000</f>
        <v>1.69916589944334E-2</v>
      </c>
      <c r="AS20" s="236">
        <f>Loss_modulus_G!AS20/1000000</f>
        <v>1.27470342862918E-2</v>
      </c>
      <c r="AT20" s="2"/>
    </row>
    <row r="21" spans="1:46" ht="15.75" customHeight="1">
      <c r="A21" s="196">
        <v>5</v>
      </c>
      <c r="B21" s="201">
        <v>4</v>
      </c>
      <c r="C21" s="476">
        <f>Loss_modulus_G!C21/1000000</f>
        <v>3.8986037025490701E-5</v>
      </c>
      <c r="D21" s="2">
        <f>Loss_modulus_G!D21/1000000</f>
        <v>4.4435213657817998E-5</v>
      </c>
      <c r="E21" s="2">
        <f>Loss_modulus_G!E21/1000000</f>
        <v>4.9824526692653401E-5</v>
      </c>
      <c r="F21" s="2">
        <f>Loss_modulus_G!F21/1000000</f>
        <v>5.4961277427812098E-5</v>
      </c>
      <c r="G21" s="2">
        <f>Loss_modulus_G!G21/1000000</f>
        <v>6.1627241299031196E-5</v>
      </c>
      <c r="H21" s="2">
        <f>Loss_modulus_G!H21/1000000</f>
        <v>7.0241036104127806E-5</v>
      </c>
      <c r="I21" s="2">
        <f>Loss_modulus_G!I21/1000000</f>
        <v>7.6225849440713701E-5</v>
      </c>
      <c r="J21" s="2">
        <f>Loss_modulus_G!J21/1000000</f>
        <v>8.4084492846761506E-5</v>
      </c>
      <c r="K21" s="2">
        <f>Loss_modulus_G!K21/1000000</f>
        <v>9.4282658131083393E-5</v>
      </c>
      <c r="L21" s="2">
        <f>Loss_modulus_G!L21/1000000</f>
        <v>1.02315912494746E-4</v>
      </c>
      <c r="M21" s="2">
        <f>Loss_modulus_G!M21/1000000</f>
        <v>1.1472527064761201E-4</v>
      </c>
      <c r="N21" s="2">
        <f>Loss_modulus_G!N21/1000000</f>
        <v>1.2450031623204E-4</v>
      </c>
      <c r="O21" s="2">
        <f>Loss_modulus_G!O21/1000000</f>
        <v>1.3960030387421499E-4</v>
      </c>
      <c r="P21" s="2">
        <f>Loss_modulus_G!P21/1000000</f>
        <v>1.51494800407257E-4</v>
      </c>
      <c r="Q21" s="2">
        <f>Loss_modulus_G!Q21/1000000</f>
        <v>1.6711343402047799E-4</v>
      </c>
      <c r="R21" s="2">
        <f>Loss_modulus_G!R21/1000000</f>
        <v>1.93611798033083E-4</v>
      </c>
      <c r="S21" s="2">
        <f>Loss_modulus_G!S21/1000000</f>
        <v>2.1010828691276002E-4</v>
      </c>
      <c r="T21" s="2">
        <f>Loss_modulus_G!T21/1000000</f>
        <v>2.3559121444194199E-4</v>
      </c>
      <c r="U21" s="2">
        <f>Loss_modulus_G!U21/1000000</f>
        <v>2.6852039212879499E-4</v>
      </c>
      <c r="V21" s="2">
        <f>Loss_modulus_G!V21/1000000</f>
        <v>3.0108781625693901E-4</v>
      </c>
      <c r="W21" s="2">
        <f>Loss_modulus_G!W21/1000000</f>
        <v>3.3212901552503397E-4</v>
      </c>
      <c r="X21" s="2">
        <f>Loss_modulus_G!X21/1000000</f>
        <v>3.8479309728552201E-4</v>
      </c>
      <c r="Y21" s="2">
        <f>Loss_modulus_G!Y21/1000000</f>
        <v>4.3857659809731699E-4</v>
      </c>
      <c r="Z21" s="2">
        <f>Loss_modulus_G!Z21/1000000</f>
        <v>4.7594505418780103E-4</v>
      </c>
      <c r="AA21" s="2">
        <f>Loss_modulus_G!AA21/1000000</f>
        <v>5.3366992312062992E-4</v>
      </c>
      <c r="AB21" s="2">
        <f>Loss_modulus_G!AB21/1000000</f>
        <v>5.8868960021324194E-4</v>
      </c>
      <c r="AC21" s="2">
        <f>Loss_modulus_G!AC21/1000000</f>
        <v>6.2848577808521998E-4</v>
      </c>
      <c r="AD21" s="2">
        <f>Loss_modulus_G!AD21/1000000</f>
        <v>7.4014733853775602E-4</v>
      </c>
      <c r="AE21" s="2">
        <f>Loss_modulus_G!AE21/1000000</f>
        <v>8.4359959707334801E-4</v>
      </c>
      <c r="AF21" s="2">
        <f>Loss_modulus_G!AF21/1000000</f>
        <v>9.1547761025952005E-4</v>
      </c>
      <c r="AG21" s="2">
        <f>Loss_modulus_G!AG21/1000000</f>
        <v>1.0606404399520299E-3</v>
      </c>
      <c r="AH21" s="2">
        <f>Loss_modulus_G!AH21/1000000</f>
        <v>1.16998910658906E-3</v>
      </c>
      <c r="AI21" s="2">
        <f>Loss_modulus_G!AI21/1000000</f>
        <v>1.2696767934049899E-3</v>
      </c>
      <c r="AJ21" s="2">
        <f>Loss_modulus_G!AJ21/1000000</f>
        <v>1.51991108295293E-3</v>
      </c>
      <c r="AK21" s="2">
        <f>Loss_modulus_G!AK21/1000000</f>
        <v>1.6226590366875901E-3</v>
      </c>
      <c r="AL21" s="2">
        <f>Loss_modulus_G!AL21/1000000</f>
        <v>1.7323528848992801E-3</v>
      </c>
      <c r="AM21" s="2">
        <f>Loss_modulus_G!AM21/1000000</f>
        <v>1.9744882128159297E-3</v>
      </c>
      <c r="AN21" s="2">
        <f>Loss_modulus_G!AN21/1000000</f>
        <v>2.0070436517512303E-3</v>
      </c>
      <c r="AO21" s="2">
        <f>Loss_modulus_G!AO21/1000000</f>
        <v>2.10796616808282E-3</v>
      </c>
      <c r="AP21" s="2">
        <f>Loss_modulus_G!AP21/1000000</f>
        <v>1.78995003878849E-3</v>
      </c>
      <c r="AQ21" s="2">
        <f>Loss_modulus_G!AQ21/1000000</f>
        <v>1.2490818824377099E-3</v>
      </c>
      <c r="AR21" s="2">
        <f>Loss_modulus_G!AR21/1000000</f>
        <v>6.6008866133473803E-4</v>
      </c>
      <c r="AS21" s="236">
        <f>Loss_modulus_G!AS21/1000000</f>
        <v>6.6225115937785708E-3</v>
      </c>
      <c r="AT21" s="2"/>
    </row>
    <row r="22" spans="1:46" ht="15.75" customHeight="1">
      <c r="A22" s="196">
        <v>5</v>
      </c>
      <c r="B22" s="201">
        <v>5</v>
      </c>
      <c r="C22" s="476">
        <f>Loss_modulus_G!C22/1000000</f>
        <v>6.04296390238132E-6</v>
      </c>
      <c r="D22" s="2">
        <f>Loss_modulus_G!D22/1000000</f>
        <v>6.8876041941176492E-6</v>
      </c>
      <c r="E22" s="2">
        <f>Loss_modulus_G!E22/1000000</f>
        <v>7.8503019877601694E-6</v>
      </c>
      <c r="F22" s="2">
        <f>Loss_modulus_G!F22/1000000</f>
        <v>8.245047876757839E-6</v>
      </c>
      <c r="G22" s="2">
        <f>Loss_modulus_G!G22/1000000</f>
        <v>9.7099257531189892E-6</v>
      </c>
      <c r="H22" s="2">
        <f>Loss_modulus_G!H22/1000000</f>
        <v>1.1249581428616499E-5</v>
      </c>
      <c r="I22" s="2">
        <f>Loss_modulus_G!I22/1000000</f>
        <v>1.28219637716641E-5</v>
      </c>
      <c r="J22" s="2">
        <f>Loss_modulus_G!J22/1000000</f>
        <v>1.34667055275396E-5</v>
      </c>
      <c r="K22" s="2">
        <f>Loss_modulus_G!K22/1000000</f>
        <v>1.5348980892617601E-5</v>
      </c>
      <c r="L22" s="2">
        <f>Loss_modulus_G!L22/1000000</f>
        <v>1.8075997505543198E-5</v>
      </c>
      <c r="M22" s="2">
        <f>Loss_modulus_G!M22/1000000</f>
        <v>1.9939575539070598E-5</v>
      </c>
      <c r="N22" s="2">
        <f>Loss_modulus_G!N22/1000000</f>
        <v>2.23579416391938E-5</v>
      </c>
      <c r="O22" s="2">
        <f>Loss_modulus_G!O22/1000000</f>
        <v>2.59031316450154E-5</v>
      </c>
      <c r="P22" s="2">
        <f>Loss_modulus_G!P22/1000000</f>
        <v>2.8110180634136399E-5</v>
      </c>
      <c r="Q22" s="2">
        <f>Loss_modulus_G!Q22/1000000</f>
        <v>3.3104448990969099E-5</v>
      </c>
      <c r="R22" s="2">
        <f>Loss_modulus_G!R22/1000000</f>
        <v>3.5925078623023096E-5</v>
      </c>
      <c r="S22" s="2">
        <f>Loss_modulus_G!S22/1000000</f>
        <v>4.0946417386414199E-5</v>
      </c>
      <c r="T22" s="2">
        <f>Loss_modulus_G!T22/1000000</f>
        <v>4.5912592696152801E-5</v>
      </c>
      <c r="U22" s="2">
        <f>Loss_modulus_G!U22/1000000</f>
        <v>5.3192729096653299E-5</v>
      </c>
      <c r="V22" s="2">
        <f>Loss_modulus_G!V22/1000000</f>
        <v>6.3676219732818304E-5</v>
      </c>
      <c r="W22" s="2">
        <f>Loss_modulus_G!W22/1000000</f>
        <v>7.13991730566795E-5</v>
      </c>
      <c r="X22" s="2">
        <f>Loss_modulus_G!X22/1000000</f>
        <v>8.1378815386921007E-5</v>
      </c>
      <c r="Y22" s="2">
        <f>Loss_modulus_G!Y22/1000000</f>
        <v>8.9768713244731395E-5</v>
      </c>
      <c r="Z22" s="2">
        <f>Loss_modulus_G!Z22/1000000</f>
        <v>1.0065628768368301E-4</v>
      </c>
      <c r="AA22" s="2">
        <f>Loss_modulus_G!AA22/1000000</f>
        <v>1.16616865400451E-4</v>
      </c>
      <c r="AB22" s="2">
        <f>Loss_modulus_G!AB22/1000000</f>
        <v>1.2863969449369698E-4</v>
      </c>
      <c r="AC22" s="2">
        <f>Loss_modulus_G!AC22/1000000</f>
        <v>1.51494800407257E-4</v>
      </c>
      <c r="AD22" s="2">
        <f>Loss_modulus_G!AD22/1000000</f>
        <v>1.6711343402047799E-4</v>
      </c>
      <c r="AE22" s="2">
        <f>Loss_modulus_G!AE22/1000000</f>
        <v>1.87381742286038E-4</v>
      </c>
      <c r="AF22" s="2">
        <f>Loss_modulus_G!AF22/1000000</f>
        <v>2.24311878678825E-4</v>
      </c>
      <c r="AG22" s="2">
        <f>Loss_modulus_G!AG22/1000000</f>
        <v>2.55664515184323E-4</v>
      </c>
      <c r="AH22" s="2">
        <f>Loss_modulus_G!AH22/1000000</f>
        <v>2.9139938869677504E-4</v>
      </c>
      <c r="AI22" s="2">
        <f>Loss_modulus_G!AI22/1000000</f>
        <v>3.2674168582040602E-4</v>
      </c>
      <c r="AJ22" s="2">
        <f>Loss_modulus_G!AJ22/1000000</f>
        <v>3.6637046402267296E-4</v>
      </c>
      <c r="AK22" s="2">
        <f>Loss_modulus_G!AK22/1000000</f>
        <v>4.0414209729914901E-4</v>
      </c>
      <c r="AL22" s="2">
        <f>Loss_modulus_G!AL22/1000000</f>
        <v>4.0414209729914901E-4</v>
      </c>
      <c r="AM22" s="2">
        <f>Loss_modulus_G!AM22/1000000</f>
        <v>4.1757898696184601E-4</v>
      </c>
      <c r="AN22" s="2">
        <f>Loss_modulus_G!AN22/1000000</f>
        <v>3.7855152492586301E-4</v>
      </c>
      <c r="AO22" s="2">
        <f>Loss_modulus_G!AO22/1000000</f>
        <v>2.24311878678825E-4</v>
      </c>
      <c r="AP22" s="2">
        <f>Loss_modulus_G!AP22/1000000</f>
        <v>2.55664515184323E-4</v>
      </c>
      <c r="AQ22" s="2">
        <f>Loss_modulus_G!AQ22/1000000</f>
        <v>1.02651106800466E-3</v>
      </c>
      <c r="AR22" s="2">
        <f>Loss_modulus_G!AR22/1000000</f>
        <v>3.1211754468334304E-3</v>
      </c>
      <c r="AS22" s="236">
        <f>Loss_modulus_G!AS22/1000000</f>
        <v>9.6466161991119893E-3</v>
      </c>
      <c r="AT22" s="2"/>
    </row>
    <row r="23" spans="1:46" ht="15.75" customHeight="1">
      <c r="A23" s="197">
        <v>5</v>
      </c>
      <c r="B23" s="202">
        <v>6</v>
      </c>
      <c r="C23" s="478">
        <f>Loss_modulus_G!C23/1000000</f>
        <v>7.9797380741988205E-6</v>
      </c>
      <c r="D23" s="34">
        <f>Loss_modulus_G!D23/1000000</f>
        <v>6.5578482628834199E-6</v>
      </c>
      <c r="E23" s="34">
        <f>Loss_modulus_G!E23/1000000</f>
        <v>6.1426005277281995E-6</v>
      </c>
      <c r="F23" s="34">
        <f>Loss_modulus_G!F23/1000000</f>
        <v>5.8485129320805299E-6</v>
      </c>
      <c r="G23" s="34">
        <f>Loss_modulus_G!G23/1000000</f>
        <v>6.2438799656536203E-6</v>
      </c>
      <c r="H23" s="34">
        <f>Loss_modulus_G!H23/1000000</f>
        <v>6.6659743217190705E-6</v>
      </c>
      <c r="I23" s="34">
        <f>Loss_modulus_G!I23/1000000</f>
        <v>7.4744552390961401E-6</v>
      </c>
      <c r="J23" s="34">
        <f>Loss_modulus_G!J23/1000000</f>
        <v>8.245047876757839E-6</v>
      </c>
      <c r="K23" s="34">
        <f>Loss_modulus_G!K23/1000000</f>
        <v>8.9475584778323807E-6</v>
      </c>
      <c r="L23" s="34">
        <f>Loss_modulus_G!L23/1000000</f>
        <v>1.10671065427676E-5</v>
      </c>
      <c r="M23" s="34">
        <f>Loss_modulus_G!M23/1000000</f>
        <v>1.34667055275396E-5</v>
      </c>
      <c r="N23" s="34">
        <f>Loss_modulus_G!N23/1000000</f>
        <v>1.48550801717277E-5</v>
      </c>
      <c r="O23" s="34">
        <f>Loss_modulus_G!O23/1000000</f>
        <v>1.7494346628442599E-5</v>
      </c>
      <c r="P23" s="34">
        <f>Loss_modulus_G!P23/1000000</f>
        <v>2.09422204672121E-5</v>
      </c>
      <c r="Q23" s="34">
        <f>Loss_modulus_G!Q23/1000000</f>
        <v>2.3869367392260201E-5</v>
      </c>
      <c r="R23" s="34">
        <f>Loss_modulus_G!R23/1000000</f>
        <v>2.85736623926776E-5</v>
      </c>
      <c r="S23" s="34">
        <f>Loss_modulus_G!S23/1000000</f>
        <v>3.2039211413589098E-5</v>
      </c>
      <c r="T23" s="34">
        <f>Loss_modulus_G!T23/1000000</f>
        <v>3.7119513255809999E-5</v>
      </c>
      <c r="U23" s="34">
        <f>Loss_modulus_G!U23/1000000</f>
        <v>4.5167863199823004E-5</v>
      </c>
      <c r="V23" s="34">
        <f>Loss_modulus_G!V23/1000000</f>
        <v>5.3192729096653299E-5</v>
      </c>
      <c r="W23" s="34">
        <f>Loss_modulus_G!W23/1000000</f>
        <v>6.3676219732818304E-5</v>
      </c>
      <c r="X23" s="34">
        <f>Loss_modulus_G!X23/1000000</f>
        <v>7.2576405416634797E-5</v>
      </c>
      <c r="Y23" s="34">
        <f>Loss_modulus_G!Y23/1000000</f>
        <v>8.4084492846761506E-5</v>
      </c>
      <c r="Z23" s="34">
        <f>Loss_modulus_G!Z23/1000000</f>
        <v>1.0065628768368301E-4</v>
      </c>
      <c r="AA23" s="34">
        <f>Loss_modulus_G!AA23/1000000</f>
        <v>1.2248084722897101E-4</v>
      </c>
      <c r="AB23" s="34">
        <f>Loss_modulus_G!AB23/1000000</f>
        <v>1.3733590411182801E-4</v>
      </c>
      <c r="AC23" s="34">
        <f>Loss_modulus_G!AC23/1000000</f>
        <v>1.5911259011248502E-4</v>
      </c>
      <c r="AD23" s="34">
        <f>Loss_modulus_G!AD23/1000000</f>
        <v>1.9680407693710799E-4</v>
      </c>
      <c r="AE23" s="34">
        <f>Loss_modulus_G!AE23/1000000</f>
        <v>2.2801034171415199E-4</v>
      </c>
      <c r="AF23" s="34">
        <f>Loss_modulus_G!AF23/1000000</f>
        <v>2.55664515184323E-4</v>
      </c>
      <c r="AG23" s="34">
        <f>Loss_modulus_G!AG23/1000000</f>
        <v>2.9620399322311501E-4</v>
      </c>
      <c r="AH23" s="34">
        <f>Loss_modulus_G!AH23/1000000</f>
        <v>3.4317161901824701E-4</v>
      </c>
      <c r="AI23" s="34">
        <f>Loss_modulus_G!AI23/1000000</f>
        <v>4.1080560801772702E-4</v>
      </c>
      <c r="AJ23" s="34">
        <f>Loss_modulus_G!AJ23/1000000</f>
        <v>4.6063005659858602E-4</v>
      </c>
      <c r="AK23" s="34">
        <f>Loss_modulus_G!AK23/1000000</f>
        <v>5.1649745013427608E-4</v>
      </c>
      <c r="AL23" s="34">
        <f>Loss_modulus_G!AL23/1000000</f>
        <v>5.5141334535056797E-4</v>
      </c>
      <c r="AM23" s="34">
        <f>Loss_modulus_G!AM23/1000000</f>
        <v>5.8868960021324194E-4</v>
      </c>
      <c r="AN23" s="34">
        <f>Loss_modulus_G!AN23/1000000</f>
        <v>5.8868960021324194E-4</v>
      </c>
      <c r="AO23" s="34">
        <f>Loss_modulus_G!AO23/1000000</f>
        <v>4.7594505418780103E-4</v>
      </c>
      <c r="AP23" s="34">
        <f>Loss_modulus_G!AP23/1000000</f>
        <v>5.0811955502302105E-4</v>
      </c>
      <c r="AQ23" s="34">
        <f>Loss_modulus_G!AQ23/1000000</f>
        <v>7.1633081895081899E-4</v>
      </c>
      <c r="AR23" s="34">
        <f>Loss_modulus_G!AR23/1000000</f>
        <v>2.92354034102362E-3</v>
      </c>
      <c r="AS23" s="237">
        <f>Loss_modulus_G!AS23/1000000</f>
        <v>9.3362066202466402E-3</v>
      </c>
      <c r="AT23" s="2"/>
    </row>
    <row r="24" spans="1:46" ht="15.75" customHeight="1">
      <c r="A24" s="204">
        <v>6</v>
      </c>
      <c r="B24" s="201">
        <v>1</v>
      </c>
      <c r="C24" s="476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6" ht="15.75" customHeight="1">
      <c r="A25" s="204">
        <v>6</v>
      </c>
      <c r="B25" s="201">
        <v>2</v>
      </c>
    </row>
    <row r="26" spans="1:46" ht="15.75" customHeight="1">
      <c r="A26" s="204">
        <v>6</v>
      </c>
      <c r="B26" s="201">
        <v>3</v>
      </c>
    </row>
    <row r="27" spans="1:46" ht="15.75" customHeight="1">
      <c r="A27" s="204">
        <v>6</v>
      </c>
      <c r="B27" s="201">
        <v>4</v>
      </c>
      <c r="C27" s="476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46" ht="15.75" customHeight="1">
      <c r="A28" s="199">
        <v>7</v>
      </c>
      <c r="B28" s="200">
        <v>1</v>
      </c>
      <c r="C28" s="477">
        <f>Loss_modulus_G!C28/1000000</f>
        <v>3.9483219301735999E-5</v>
      </c>
      <c r="D28" s="234">
        <f>Loss_modulus_G!D28/1000000</f>
        <v>1.1319093808077599E-4</v>
      </c>
      <c r="E28" s="234">
        <f>Loss_modulus_G!E28/1000000</f>
        <v>3.1786459154047996E-4</v>
      </c>
      <c r="F28" s="234">
        <f>Loss_modulus_G!F28/1000000</f>
        <v>7.5670005723424904E-4</v>
      </c>
      <c r="G28" s="234">
        <f>Loss_modulus_G!G28/1000000</f>
        <v>1.4652754811771999E-3</v>
      </c>
      <c r="H28" s="234">
        <f>Loss_modulus_G!H28/1000000</f>
        <v>2.5067044904611398E-3</v>
      </c>
      <c r="I28" s="234">
        <f>Loss_modulus_G!I28/1000000</f>
        <v>4.0307064091391603E-3</v>
      </c>
      <c r="J28" s="234">
        <f>Loss_modulus_G!J28/1000000</f>
        <v>6.0919083819704302E-3</v>
      </c>
      <c r="K28" s="234">
        <f>Loss_modulus_G!K28/1000000</f>
        <v>8.4771744611583395E-3</v>
      </c>
      <c r="L28" s="234">
        <f>Loss_modulus_G!L28/1000000</f>
        <v>1.1796383389086899E-2</v>
      </c>
      <c r="M28" s="234">
        <f>Loss_modulus_G!M28/1000000</f>
        <v>1.60797031500018E-2</v>
      </c>
      <c r="N28" s="234">
        <f>Loss_modulus_G!N28/1000000</f>
        <v>2.1031485800943703E-2</v>
      </c>
      <c r="O28" s="234">
        <f>Loss_modulus_G!O28/1000000</f>
        <v>2.6395182169172301E-2</v>
      </c>
      <c r="P28" s="234">
        <f>Loss_modulus_G!P28/1000000</f>
        <v>3.3126791342175693E-2</v>
      </c>
      <c r="Q28" s="234">
        <f>Loss_modulus_G!Q28/1000000</f>
        <v>4.0725410527238305E-2</v>
      </c>
      <c r="R28" s="234">
        <f>Loss_modulus_G!R28/1000000</f>
        <v>4.0725410527238305E-2</v>
      </c>
      <c r="S28" s="234">
        <f>Loss_modulus_G!S28/1000000</f>
        <v>4.6097474213028296E-2</v>
      </c>
      <c r="T28" s="234">
        <f>Loss_modulus_G!T28/1000000</f>
        <v>5.00670000145918E-2</v>
      </c>
      <c r="U28" s="234">
        <f>Loss_modulus_G!U28/1000000</f>
        <v>5.9060952731354401E-2</v>
      </c>
      <c r="V28" s="234">
        <f>Loss_modulus_G!V28/1000000</f>
        <v>6.41467839994323E-2</v>
      </c>
      <c r="W28" s="234">
        <f>Loss_modulus_G!W28/1000000</f>
        <v>6.6851646436063991E-2</v>
      </c>
      <c r="X28" s="235">
        <f>Loss_modulus_G!X28/1000000</f>
        <v>7.1124288878254199E-2</v>
      </c>
      <c r="Y28" s="2"/>
    </row>
    <row r="29" spans="1:46" ht="15.75" customHeight="1">
      <c r="A29" s="197">
        <v>7</v>
      </c>
      <c r="B29" s="202">
        <v>2</v>
      </c>
      <c r="C29" s="478">
        <f>Loss_modulus_G!C29/1000000</f>
        <v>7.1862486844915304E-3</v>
      </c>
      <c r="D29" s="34">
        <f>Loss_modulus_G!D29/1000000</f>
        <v>1.1087740404707299E-2</v>
      </c>
      <c r="E29" s="34">
        <f>Loss_modulus_G!E29/1000000</f>
        <v>1.9364019695370601E-2</v>
      </c>
      <c r="F29" s="34">
        <f>Loss_modulus_G!F29/1000000</f>
        <v>3.3818004848265401E-2</v>
      </c>
      <c r="G29" s="34">
        <f>Loss_modulus_G!G29/1000000</f>
        <v>5.6671306985418904E-2</v>
      </c>
      <c r="H29" s="34">
        <f>Loss_modulus_G!H29/1000000</f>
        <v>9.1125779344815999E-2</v>
      </c>
      <c r="I29" s="34">
        <f>Loss_modulus_G!I29/1000000</f>
        <v>0.12945165982558901</v>
      </c>
      <c r="J29" s="34">
        <f>Loss_modulus_G!J29/1000000</f>
        <v>0.15270614096563101</v>
      </c>
      <c r="K29" s="34">
        <f>Loss_modulus_G!K29/1000000</f>
        <v>0.180138018469853</v>
      </c>
      <c r="L29" s="34">
        <f>Loss_modulus_G!L29/1000000</f>
        <v>0.22145805423683998</v>
      </c>
      <c r="M29" s="34">
        <f>Loss_modulus_G!M29/1000000</f>
        <v>0.277936886615473</v>
      </c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237"/>
      <c r="Y29" s="2"/>
    </row>
    <row r="30" spans="1:46" ht="15.75" customHeight="1">
      <c r="A30" s="204">
        <v>8</v>
      </c>
      <c r="B30" s="201">
        <v>1</v>
      </c>
      <c r="C30" s="476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46" ht="15.75" customHeight="1">
      <c r="A31" s="204">
        <v>8</v>
      </c>
      <c r="B31" s="201">
        <v>2</v>
      </c>
    </row>
    <row r="32" spans="1:46" ht="15.75" customHeight="1">
      <c r="A32" s="204">
        <v>8</v>
      </c>
      <c r="B32" s="201">
        <v>3</v>
      </c>
    </row>
    <row r="33" spans="1:2" ht="15.75" customHeight="1">
      <c r="A33" s="204">
        <v>8</v>
      </c>
      <c r="B33" s="201">
        <v>4</v>
      </c>
    </row>
    <row r="34" spans="1:2" ht="15.75" customHeight="1">
      <c r="A34" s="203">
        <v>9</v>
      </c>
      <c r="B34" s="200">
        <v>1</v>
      </c>
    </row>
    <row r="35" spans="1:2" ht="15.75" customHeight="1">
      <c r="A35" s="204">
        <v>9</v>
      </c>
      <c r="B35" s="201">
        <v>2</v>
      </c>
    </row>
    <row r="36" spans="1:2" ht="15.75" customHeight="1">
      <c r="A36" s="204">
        <v>9</v>
      </c>
      <c r="B36" s="201">
        <v>3</v>
      </c>
    </row>
    <row r="37" spans="1:2" ht="14.4">
      <c r="A37" s="205">
        <v>9</v>
      </c>
      <c r="B37" s="202">
        <v>4</v>
      </c>
    </row>
    <row r="38" spans="1:2" ht="15.75" customHeight="1">
      <c r="A38" s="203">
        <v>11</v>
      </c>
      <c r="B38" s="200" t="s">
        <v>221</v>
      </c>
    </row>
    <row r="39" spans="1:2" ht="15.75" customHeight="1">
      <c r="A39" s="204">
        <v>11</v>
      </c>
      <c r="B39" s="201" t="s">
        <v>222</v>
      </c>
    </row>
    <row r="40" spans="1:2" ht="15.75" customHeight="1">
      <c r="A40" s="204">
        <v>11</v>
      </c>
      <c r="B40" s="201" t="s">
        <v>223</v>
      </c>
    </row>
    <row r="41" spans="1:2" ht="15.75" customHeight="1">
      <c r="A41" s="204">
        <v>11</v>
      </c>
      <c r="B41" s="201" t="s">
        <v>224</v>
      </c>
    </row>
    <row r="42" spans="1:2" ht="15.75" customHeight="1">
      <c r="A42" s="204">
        <v>11</v>
      </c>
      <c r="B42" s="201" t="s">
        <v>225</v>
      </c>
    </row>
    <row r="43" spans="1:2" ht="15.75" customHeight="1">
      <c r="A43" s="204">
        <v>11</v>
      </c>
      <c r="B43" s="201" t="s">
        <v>226</v>
      </c>
    </row>
    <row r="44" spans="1:2" ht="15.75" customHeight="1">
      <c r="A44" s="204">
        <v>11</v>
      </c>
      <c r="B44" s="201" t="s">
        <v>227</v>
      </c>
    </row>
    <row r="45" spans="1:2" ht="15.75" customHeight="1">
      <c r="A45" s="205">
        <v>11</v>
      </c>
      <c r="B45" s="202" t="s">
        <v>228</v>
      </c>
    </row>
    <row r="46" spans="1:2" ht="15.75" customHeight="1">
      <c r="A46" s="203">
        <v>12</v>
      </c>
      <c r="B46" s="200" t="s">
        <v>221</v>
      </c>
    </row>
    <row r="47" spans="1:2" ht="15.75" customHeight="1">
      <c r="A47" s="204">
        <v>12</v>
      </c>
      <c r="B47" s="201" t="s">
        <v>222</v>
      </c>
    </row>
    <row r="48" spans="1:2" ht="15.75" customHeight="1">
      <c r="A48" s="204">
        <v>12</v>
      </c>
      <c r="B48" s="201" t="s">
        <v>223</v>
      </c>
    </row>
    <row r="49" spans="1:16" ht="15.75" customHeight="1">
      <c r="A49" s="204">
        <v>12</v>
      </c>
      <c r="B49" s="201" t="s">
        <v>224</v>
      </c>
    </row>
    <row r="50" spans="1:16" ht="15.75" customHeight="1">
      <c r="A50" s="205">
        <v>12</v>
      </c>
      <c r="B50" s="202" t="s">
        <v>229</v>
      </c>
    </row>
    <row r="51" spans="1:16" ht="15.75" customHeight="1">
      <c r="A51" s="204">
        <v>12</v>
      </c>
      <c r="B51" s="201" t="s">
        <v>225</v>
      </c>
    </row>
    <row r="52" spans="1:16" ht="15.75" customHeight="1">
      <c r="A52" s="204">
        <v>12</v>
      </c>
      <c r="B52" s="201" t="s">
        <v>226</v>
      </c>
    </row>
    <row r="53" spans="1:16" ht="15.75" customHeight="1">
      <c r="A53" s="204">
        <v>12</v>
      </c>
      <c r="B53" s="201" t="s">
        <v>227</v>
      </c>
    </row>
    <row r="54" spans="1:16" ht="15.75" customHeight="1">
      <c r="A54" s="204">
        <v>12</v>
      </c>
      <c r="B54" s="201" t="s">
        <v>228</v>
      </c>
    </row>
    <row r="55" spans="1:16" ht="15.75" customHeight="1">
      <c r="A55" s="204">
        <v>12</v>
      </c>
      <c r="B55" s="201" t="s">
        <v>230</v>
      </c>
    </row>
    <row r="56" spans="1:16" ht="15.75" customHeight="1">
      <c r="A56" s="203">
        <v>13</v>
      </c>
      <c r="B56" s="200">
        <v>1</v>
      </c>
    </row>
    <row r="57" spans="1:16" ht="15.75" customHeight="1">
      <c r="A57" s="204">
        <v>13</v>
      </c>
      <c r="B57" s="201">
        <v>2</v>
      </c>
    </row>
    <row r="58" spans="1:16" ht="15.75" customHeight="1">
      <c r="A58" s="204">
        <v>13</v>
      </c>
      <c r="B58" s="201">
        <v>3</v>
      </c>
    </row>
    <row r="59" spans="1:16" ht="15.75" customHeight="1">
      <c r="A59" s="204">
        <v>13</v>
      </c>
      <c r="B59" s="201">
        <v>4</v>
      </c>
    </row>
    <row r="60" spans="1:16" ht="15.75" customHeight="1">
      <c r="A60" s="204">
        <v>13</v>
      </c>
      <c r="B60" s="201">
        <v>5</v>
      </c>
    </row>
    <row r="61" spans="1:16" ht="15.75" customHeight="1">
      <c r="A61" s="204">
        <v>13</v>
      </c>
      <c r="B61" s="201">
        <v>6</v>
      </c>
    </row>
    <row r="62" spans="1:16" ht="15.75" customHeight="1">
      <c r="A62" s="204">
        <v>13</v>
      </c>
      <c r="B62" s="201">
        <v>7</v>
      </c>
    </row>
    <row r="63" spans="1:16" ht="15.75" customHeight="1">
      <c r="A63" s="204">
        <v>13</v>
      </c>
      <c r="B63" s="201">
        <v>8</v>
      </c>
      <c r="C63" s="476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6" ht="15.75" customHeight="1">
      <c r="A64" s="199">
        <v>14</v>
      </c>
      <c r="B64" s="200">
        <v>1</v>
      </c>
      <c r="C64" s="477">
        <f>Loss_modulus_G!C64/1000000</f>
        <v>1.2941039544084299E-3</v>
      </c>
      <c r="D64" s="234">
        <f>Loss_modulus_G!D64/1000000</f>
        <v>1.8632462436183701E-3</v>
      </c>
      <c r="E64" s="234">
        <f>Loss_modulus_G!E64/1000000</f>
        <v>2.7552085224235999E-3</v>
      </c>
      <c r="F64" s="234">
        <f>Loss_modulus_G!F64/1000000</f>
        <v>3.8625376794457502E-3</v>
      </c>
      <c r="G64" s="234">
        <f>Loss_modulus_G!G64/1000000</f>
        <v>5.4149031132843901E-3</v>
      </c>
      <c r="H64" s="234">
        <f>Loss_modulus_G!H64/1000000</f>
        <v>7.7273571086088396E-3</v>
      </c>
      <c r="I64" s="234">
        <f>Loss_modulus_G!I64/1000000</f>
        <v>1.02702964936111E-2</v>
      </c>
      <c r="J64" s="234">
        <f>Loss_modulus_G!J64/1000000</f>
        <v>1.40190346323277E-2</v>
      </c>
      <c r="K64" s="234">
        <f>Loss_modulus_G!K64/1000000</f>
        <v>1.7822360997015001E-2</v>
      </c>
      <c r="L64" s="234">
        <f>Loss_modulus_G!L64/1000000</f>
        <v>2.2258214688228001E-2</v>
      </c>
      <c r="M64" s="234">
        <f>Loss_modulus_G!M64/1000000</f>
        <v>2.7308219256962099E-2</v>
      </c>
      <c r="N64" s="234">
        <f>Loss_modulus_G!N64/1000000</f>
        <v>3.1763655150792401E-2</v>
      </c>
      <c r="O64" s="235">
        <f>Loss_modulus_G!O64/1000000</f>
        <v>3.6946011713350199E-2</v>
      </c>
      <c r="P64" s="2"/>
    </row>
    <row r="65" spans="1:16" ht="15.75" customHeight="1">
      <c r="A65" s="196">
        <v>14</v>
      </c>
      <c r="B65" s="201">
        <v>2</v>
      </c>
      <c r="C65" s="476">
        <f>Loss_modulus_G!C65/1000000</f>
        <v>1.10273454821906E-3</v>
      </c>
      <c r="D65" s="2">
        <f>Loss_modulus_G!D65/1000000</f>
        <v>1.4919187205819202E-3</v>
      </c>
      <c r="E65" s="2">
        <f>Loss_modulus_G!E65/1000000</f>
        <v>2.1480592362295302E-3</v>
      </c>
      <c r="F65" s="2">
        <f>Loss_modulus_G!F65/1000000</f>
        <v>2.9847197872225001E-3</v>
      </c>
      <c r="G65" s="2">
        <f>Loss_modulus_G!G65/1000000</f>
        <v>4.1472534907492304E-3</v>
      </c>
      <c r="H65" s="2">
        <f>Loss_modulus_G!H65/1000000</f>
        <v>5.9183511143303504E-3</v>
      </c>
      <c r="I65" s="2">
        <f>Loss_modulus_G!I65/1000000</f>
        <v>8.1507327085643903E-3</v>
      </c>
      <c r="J65" s="2">
        <f>Loss_modulus_G!J65/1000000</f>
        <v>1.1125813572304499E-2</v>
      </c>
      <c r="K65" s="2">
        <f>Loss_modulus_G!K65/1000000</f>
        <v>1.47871411621528E-2</v>
      </c>
      <c r="L65" s="2">
        <f>Loss_modulus_G!L65/1000000</f>
        <v>1.87988527610869E-2</v>
      </c>
      <c r="M65" s="2">
        <f>Loss_modulus_G!M65/1000000</f>
        <v>2.3063987843131902E-2</v>
      </c>
      <c r="N65" s="2">
        <f>Loss_modulus_G!N65/1000000</f>
        <v>2.9061661236835599E-2</v>
      </c>
      <c r="O65" s="236">
        <f>Loss_modulus_G!O65/1000000</f>
        <v>3.5339674528287304E-2</v>
      </c>
      <c r="P65" s="2"/>
    </row>
    <row r="66" spans="1:16" ht="15.75" customHeight="1">
      <c r="A66" s="196">
        <v>14</v>
      </c>
      <c r="B66" s="201">
        <v>3</v>
      </c>
      <c r="C66" s="476">
        <f>Loss_modulus_G!C66/1000000</f>
        <v>1.84675511099487E-3</v>
      </c>
      <c r="D66" s="2">
        <f>Loss_modulus_G!D66/1000000</f>
        <v>2.3269944377424701E-3</v>
      </c>
      <c r="E66" s="2">
        <f>Loss_modulus_G!E66/1000000</f>
        <v>3.0113727037689602E-3</v>
      </c>
      <c r="F66" s="2">
        <f>Loss_modulus_G!F66/1000000</f>
        <v>3.8625376794457502E-3</v>
      </c>
      <c r="G66" s="2">
        <f>Loss_modulus_G!G66/1000000</f>
        <v>5.2723939888692905E-3</v>
      </c>
      <c r="H66" s="2">
        <f>Loss_modulus_G!H66/1000000</f>
        <v>6.7027780146759492E-3</v>
      </c>
      <c r="I66" s="2">
        <f>Loss_modulus_G!I66/1000000</f>
        <v>8.9085431445664002E-3</v>
      </c>
      <c r="J66" s="2">
        <f>Loss_modulus_G!J66/1000000</f>
        <v>1.14265481623633E-2</v>
      </c>
      <c r="K66" s="2">
        <f>Loss_modulus_G!K66/1000000</f>
        <v>1.4526530072221299E-2</v>
      </c>
      <c r="L66" s="2">
        <f>Loss_modulus_G!L66/1000000</f>
        <v>1.7664619678672198E-2</v>
      </c>
      <c r="M66" s="2">
        <f>Loss_modulus_G!M66/1000000</f>
        <v>2.1672416859702302E-2</v>
      </c>
      <c r="N66" s="2">
        <f>Loss_modulus_G!N66/1000000</f>
        <v>2.6120913617840601E-2</v>
      </c>
      <c r="O66" s="236">
        <f>Loss_modulus_G!O66/1000000</f>
        <v>3.0927690520474799E-2</v>
      </c>
      <c r="P66" s="2"/>
    </row>
    <row r="67" spans="1:16" ht="15.75" customHeight="1">
      <c r="A67" s="196">
        <v>14</v>
      </c>
      <c r="B67" s="201">
        <v>4</v>
      </c>
      <c r="C67" s="476">
        <f>Loss_modulus_G!C67/1000000</f>
        <v>2.1672424209635602E-3</v>
      </c>
      <c r="D67" s="2">
        <f>Loss_modulus_G!D67/1000000</f>
        <v>2.4327661446037802E-3</v>
      </c>
      <c r="E67" s="2">
        <f>Loss_modulus_G!E67/1000000</f>
        <v>2.6354176790570798E-3</v>
      </c>
      <c r="F67" s="2">
        <f>Loss_modulus_G!F67/1000000</f>
        <v>3.3503982661319399E-3</v>
      </c>
      <c r="G67" s="2">
        <f>Loss_modulus_G!G67/1000000</f>
        <v>4.0381062998707598E-3</v>
      </c>
      <c r="H67" s="2">
        <f>Loss_modulus_G!H67/1000000</f>
        <v>4.6969365254071003E-3</v>
      </c>
      <c r="I67" s="2">
        <f>Loss_modulus_G!I67/1000000</f>
        <v>5.7115851169816899E-3</v>
      </c>
      <c r="J67" s="2">
        <f>Loss_modulus_G!J67/1000000</f>
        <v>7.0074475316398805E-3</v>
      </c>
      <c r="K67" s="2">
        <f>Loss_modulus_G!K67/1000000</f>
        <v>8.5973163753734205E-3</v>
      </c>
      <c r="L67" s="2">
        <f>Loss_modulus_G!L67/1000000</f>
        <v>1.04545421559491E-2</v>
      </c>
      <c r="M67" s="2">
        <f>Loss_modulus_G!M67/1000000</f>
        <v>1.26004536988144E-2</v>
      </c>
      <c r="N67" s="2">
        <f>Loss_modulus_G!N67/1000000</f>
        <v>1.5322447604745401E-2</v>
      </c>
      <c r="O67" s="236">
        <f>Loss_modulus_G!O67/1000000</f>
        <v>1.87988527610869E-2</v>
      </c>
      <c r="P67" s="2"/>
    </row>
    <row r="68" spans="1:16" ht="15.75" customHeight="1">
      <c r="A68" s="196">
        <v>14</v>
      </c>
      <c r="B68" s="201">
        <v>5</v>
      </c>
      <c r="C68" s="476">
        <f>Loss_modulus_G!C68/1000000</f>
        <v>3.3803189069540099E-3</v>
      </c>
      <c r="D68" s="2">
        <f>Loss_modulus_G!D68/1000000</f>
        <v>3.5339686513302698E-3</v>
      </c>
      <c r="E68" s="2">
        <f>Loss_modulus_G!E68/1000000</f>
        <v>4.8238947087242108E-3</v>
      </c>
      <c r="F68" s="2">
        <f>Loss_modulus_G!F68/1000000</f>
        <v>5.4149031132843901E-3</v>
      </c>
      <c r="G68" s="2">
        <f>Loss_modulus_G!G68/1000000</f>
        <v>6.7027780146759492E-3</v>
      </c>
      <c r="H68" s="2">
        <f>Loss_modulus_G!H68/1000000</f>
        <v>8.1507327085643903E-3</v>
      </c>
      <c r="I68" s="2">
        <f>Loss_modulus_G!I68/1000000</f>
        <v>1.0362011583673801E-2</v>
      </c>
      <c r="J68" s="2">
        <f>Loss_modulus_G!J68/1000000</f>
        <v>1.27129644629413E-2</v>
      </c>
      <c r="K68" s="2">
        <f>Loss_modulus_G!K68/1000000</f>
        <v>1.54592790645697E-2</v>
      </c>
      <c r="L68" s="2">
        <f>Loss_modulus_G!L68/1000000</f>
        <v>1.93069791596104E-2</v>
      </c>
      <c r="M68" s="2">
        <f>Loss_modulus_G!M68/1000000</f>
        <v>2.38989228145991E-2</v>
      </c>
      <c r="N68" s="2">
        <f>Loss_modulus_G!N68/1000000</f>
        <v>2.9321185670172598E-2</v>
      </c>
      <c r="O68" s="236">
        <f>Loss_modulus_G!O68/1000000</f>
        <v>3.4716865643580001E-2</v>
      </c>
      <c r="P68" s="2"/>
    </row>
    <row r="69" spans="1:16" ht="15.75" customHeight="1">
      <c r="A69" s="196">
        <v>14</v>
      </c>
      <c r="B69" s="201">
        <v>6</v>
      </c>
      <c r="C69" s="476">
        <f>Loss_modulus_G!C69/1000000</f>
        <v>3.1763655150792301E-3</v>
      </c>
      <c r="D69" s="2">
        <f>Loss_modulus_G!D69/1000000</f>
        <v>3.9318289719378402E-3</v>
      </c>
      <c r="E69" s="2">
        <f>Loss_modulus_G!E69/1000000</f>
        <v>4.3357636450445198E-3</v>
      </c>
      <c r="F69" s="2">
        <f>Loss_modulus_G!F69/1000000</f>
        <v>5.0431610588217296E-3</v>
      </c>
      <c r="G69" s="2">
        <f>Loss_modulus_G!G69/1000000</f>
        <v>6.1326022802940198E-3</v>
      </c>
      <c r="H69" s="2">
        <f>Loss_modulus_G!H69/1000000</f>
        <v>7.07002255629179E-3</v>
      </c>
      <c r="I69" s="2">
        <f>Loss_modulus_G!I69/1000000</f>
        <v>8.5212178703560001E-3</v>
      </c>
      <c r="J69" s="2">
        <f>Loss_modulus_G!J69/1000000</f>
        <v>9.8237649630279304E-3</v>
      </c>
      <c r="K69" s="2">
        <f>Loss_modulus_G!K69/1000000</f>
        <v>1.14265481623633E-2</v>
      </c>
      <c r="L69" s="2">
        <f>Loss_modulus_G!L69/1000000</f>
        <v>1.3173197437833999E-2</v>
      </c>
      <c r="M69" s="2">
        <f>Loss_modulus_G!M69/1000000</f>
        <v>1.4919187205819201E-2</v>
      </c>
      <c r="N69" s="2">
        <f>Loss_modulus_G!N69/1000000</f>
        <v>1.89667225410091E-2</v>
      </c>
      <c r="O69" s="236">
        <f>Loss_modulus_G!O69/1000000</f>
        <v>2.1672416859702302E-2</v>
      </c>
      <c r="P69" s="2"/>
    </row>
    <row r="70" spans="1:16" ht="15.75" customHeight="1">
      <c r="A70" s="196">
        <v>14</v>
      </c>
      <c r="B70" s="201">
        <v>7</v>
      </c>
      <c r="C70" s="476">
        <f>Loss_modulus_G!C70/1000000</f>
        <v>2.4112343319032002E-3</v>
      </c>
      <c r="D70" s="2">
        <f>Loss_modulus_G!D70/1000000</f>
        <v>2.7066530127698202E-3</v>
      </c>
      <c r="E70" s="2">
        <f>Loss_modulus_G!E70/1000000</f>
        <v>2.5889732638646403E-3</v>
      </c>
      <c r="F70" s="2">
        <f>Loss_modulus_G!F70/1000000</f>
        <v>2.8046350848154301E-3</v>
      </c>
      <c r="G70" s="2">
        <f>Loss_modulus_G!G70/1000000</f>
        <v>3.1203878839213199E-3</v>
      </c>
      <c r="H70" s="2">
        <f>Loss_modulus_G!H70/1000000</f>
        <v>3.5973656394762401E-3</v>
      </c>
      <c r="I70" s="2">
        <f>Loss_modulus_G!I70/1000000</f>
        <v>4.0381062998707598E-3</v>
      </c>
      <c r="J70" s="2">
        <f>Loss_modulus_G!J70/1000000</f>
        <v>4.7811963643028203E-3</v>
      </c>
      <c r="K70" s="2">
        <f>Loss_modulus_G!K70/1000000</f>
        <v>5.8659692493604398E-3</v>
      </c>
      <c r="L70" s="2">
        <f>Loss_modulus_G!L70/1000000</f>
        <v>7.1968563813365402E-3</v>
      </c>
      <c r="M70" s="2">
        <f>Loss_modulus_G!M70/1000000</f>
        <v>8.9881006474373214E-3</v>
      </c>
      <c r="N70" s="2">
        <f>Loss_modulus_G!N70/1000000</f>
        <v>1.1225172348577599E-2</v>
      </c>
      <c r="O70" s="236">
        <f>Loss_modulus_G!O70/1000000</f>
        <v>1.40190346323277E-2</v>
      </c>
      <c r="P70" s="2"/>
    </row>
    <row r="71" spans="1:16" ht="15.75" customHeight="1">
      <c r="A71" s="196">
        <v>14</v>
      </c>
      <c r="B71" s="201">
        <v>8</v>
      </c>
      <c r="C71" s="476">
        <f>Loss_modulus_G!C71/1000000</f>
        <v>4.4135472823130005E-3</v>
      </c>
      <c r="D71" s="2">
        <f>Loss_modulus_G!D71/1000000</f>
        <v>4.3357636450445198E-3</v>
      </c>
      <c r="E71" s="2">
        <f>Loss_modulus_G!E71/1000000</f>
        <v>4.3357636450445198E-3</v>
      </c>
      <c r="F71" s="2">
        <f>Loss_modulus_G!F71/1000000</f>
        <v>4.4135472823130005E-3</v>
      </c>
      <c r="G71" s="2">
        <f>Loss_modulus_G!G71/1000000</f>
        <v>4.3744810975475104E-3</v>
      </c>
      <c r="H71" s="2">
        <f>Loss_modulus_G!H71/1000000</f>
        <v>4.4135472823130005E-3</v>
      </c>
      <c r="I71" s="2">
        <f>Loss_modulus_G!I71/1000000</f>
        <v>4.9104320908685802E-3</v>
      </c>
      <c r="J71" s="2">
        <f>Loss_modulus_G!J71/1000000</f>
        <v>5.6610332868211998E-3</v>
      </c>
      <c r="K71" s="2">
        <f>Loss_modulus_G!K71/1000000</f>
        <v>6.1326022802940198E-3</v>
      </c>
      <c r="L71" s="2">
        <f>Loss_modulus_G!L71/1000000</f>
        <v>6.76263240496725E-3</v>
      </c>
      <c r="M71" s="2">
        <f>Loss_modulus_G!M71/1000000</f>
        <v>7.3913873925235398E-3</v>
      </c>
      <c r="N71" s="2">
        <f>Loss_modulus_G!N71/1000000</f>
        <v>8.9881006474373214E-3</v>
      </c>
      <c r="O71" s="236">
        <f>Loss_modulus_G!O71/1000000</f>
        <v>1.0929745169051699E-2</v>
      </c>
      <c r="P71" s="2"/>
    </row>
    <row r="72" spans="1:16" ht="15.75" customHeight="1">
      <c r="A72" s="196">
        <v>14</v>
      </c>
      <c r="B72" s="201">
        <v>9</v>
      </c>
      <c r="C72" s="476">
        <f>Loss_modulus_G!C72/1000000</f>
        <v>5.4632570530422702E-3</v>
      </c>
      <c r="D72" s="2">
        <f>Loss_modulus_G!D72/1000000</f>
        <v>5.6610332868211998E-3</v>
      </c>
      <c r="E72" s="2">
        <f>Loss_modulus_G!E72/1000000</f>
        <v>5.4149031132843901E-3</v>
      </c>
      <c r="F72" s="2">
        <f>Loss_modulus_G!F72/1000000</f>
        <v>5.4632570530422702E-3</v>
      </c>
      <c r="G72" s="2">
        <f>Loss_modulus_G!G72/1000000</f>
        <v>5.7625922729181807E-3</v>
      </c>
      <c r="H72" s="2">
        <f>Loss_modulus_G!H72/1000000</f>
        <v>6.4686069500604401E-3</v>
      </c>
      <c r="I72" s="2">
        <f>Loss_modulus_G!I72/1000000</f>
        <v>7.1331539435603199E-3</v>
      </c>
      <c r="J72" s="2">
        <f>Loss_modulus_G!J72/1000000</f>
        <v>7.9362248617426811E-3</v>
      </c>
      <c r="K72" s="2">
        <f>Loss_modulus_G!K72/1000000</f>
        <v>9.231048986955509E-3</v>
      </c>
      <c r="L72" s="2">
        <f>Loss_modulus_G!L72/1000000</f>
        <v>1.02702964936111E-2</v>
      </c>
      <c r="M72" s="2">
        <f>Loss_modulus_G!M72/1000000</f>
        <v>1.14265481623633E-2</v>
      </c>
      <c r="N72" s="2">
        <f>Loss_modulus_G!N72/1000000</f>
        <v>1.37719747942477E-2</v>
      </c>
      <c r="O72" s="236">
        <f>Loss_modulus_G!O72/1000000</f>
        <v>1.7047481115060801E-2</v>
      </c>
      <c r="P72" s="2"/>
    </row>
    <row r="73" spans="1:16" ht="15.75" customHeight="1">
      <c r="A73" s="197">
        <v>14</v>
      </c>
      <c r="B73" s="202">
        <v>10</v>
      </c>
      <c r="C73" s="478">
        <f>Loss_modulus_G!C73/1000000</f>
        <v>1.00893013070457E-2</v>
      </c>
      <c r="D73" s="34">
        <f>Loss_modulus_G!D73/1000000</f>
        <v>1.02702964936111E-2</v>
      </c>
      <c r="E73" s="34">
        <f>Loss_modulus_G!E73/1000000</f>
        <v>1.0642085905190401E-2</v>
      </c>
      <c r="F73" s="34">
        <f>Loss_modulus_G!F73/1000000</f>
        <v>9.8237649630279304E-3</v>
      </c>
      <c r="G73" s="34">
        <f>Loss_modulus_G!G73/1000000</f>
        <v>1.0547902583858201E-2</v>
      </c>
      <c r="H73" s="34">
        <f>Loss_modulus_G!H73/1000000</f>
        <v>1.0642085905190401E-2</v>
      </c>
      <c r="I73" s="34">
        <f>Loss_modulus_G!I73/1000000</f>
        <v>1.1631528701088901E-2</v>
      </c>
      <c r="J73" s="34">
        <f>Loss_modulus_G!J73/1000000</f>
        <v>1.1945932946041E-2</v>
      </c>
      <c r="K73" s="34">
        <f>Loss_modulus_G!K73/1000000</f>
        <v>1.42705313951309E-2</v>
      </c>
      <c r="L73" s="34">
        <f>Loss_modulus_G!L73/1000000</f>
        <v>1.46562588549381E-2</v>
      </c>
      <c r="M73" s="34">
        <f>Loss_modulus_G!M73/1000000</f>
        <v>1.55973271575734E-2</v>
      </c>
      <c r="N73" s="34">
        <f>Loss_modulus_G!N73/1000000</f>
        <v>1.9136091362568001E-2</v>
      </c>
      <c r="O73" s="237">
        <f>Loss_modulus_G!O73/1000000</f>
        <v>2.2258214688228001E-2</v>
      </c>
      <c r="P73" s="2"/>
    </row>
    <row r="74" spans="1:16" ht="15.75" customHeight="1">
      <c r="A74" s="204">
        <v>15</v>
      </c>
      <c r="B74" s="201">
        <v>1</v>
      </c>
      <c r="C74" s="476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6" ht="15.75" customHeight="1">
      <c r="A75" s="204">
        <v>15</v>
      </c>
      <c r="B75" s="201">
        <v>2</v>
      </c>
    </row>
    <row r="76" spans="1:16" ht="15.75" customHeight="1">
      <c r="A76" s="204">
        <v>15</v>
      </c>
      <c r="B76" s="201">
        <v>3</v>
      </c>
    </row>
    <row r="77" spans="1:16" ht="15.75" customHeight="1">
      <c r="A77" s="204">
        <v>15</v>
      </c>
      <c r="B77" s="201">
        <v>4</v>
      </c>
    </row>
    <row r="78" spans="1:16" ht="15.75" customHeight="1">
      <c r="A78" s="204">
        <v>15</v>
      </c>
      <c r="B78" s="201">
        <v>5</v>
      </c>
    </row>
    <row r="79" spans="1:16" ht="15.75" customHeight="1">
      <c r="A79" s="205">
        <v>15</v>
      </c>
      <c r="B79" s="202">
        <v>6</v>
      </c>
    </row>
    <row r="80" spans="1:16" ht="15.75" customHeight="1">
      <c r="A80" s="204">
        <v>16</v>
      </c>
      <c r="B80" s="201">
        <v>1</v>
      </c>
    </row>
    <row r="81" spans="1:23" ht="15.75" customHeight="1">
      <c r="A81" s="204">
        <v>16</v>
      </c>
      <c r="B81" s="201">
        <v>2</v>
      </c>
    </row>
    <row r="82" spans="1:23" ht="15.75" customHeight="1">
      <c r="A82" s="204">
        <v>16</v>
      </c>
      <c r="B82" s="201">
        <v>3</v>
      </c>
    </row>
    <row r="83" spans="1:23" ht="15.75" customHeight="1">
      <c r="A83" s="229">
        <v>17</v>
      </c>
      <c r="B83" s="74">
        <v>1</v>
      </c>
    </row>
    <row r="84" spans="1:23" ht="15.75" customHeight="1">
      <c r="A84" s="228">
        <v>17</v>
      </c>
      <c r="B84" s="75">
        <v>2</v>
      </c>
    </row>
    <row r="85" spans="1:23" ht="15.75" customHeight="1">
      <c r="A85" s="228">
        <v>17</v>
      </c>
      <c r="B85" s="75">
        <v>3</v>
      </c>
    </row>
    <row r="86" spans="1:23" ht="15.75" customHeight="1">
      <c r="A86" s="228">
        <v>17</v>
      </c>
      <c r="B86" s="75">
        <v>4</v>
      </c>
      <c r="C86" s="476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3" ht="15.75" customHeight="1">
      <c r="A87" s="229">
        <v>18</v>
      </c>
      <c r="B87" s="74">
        <v>1</v>
      </c>
      <c r="C87" s="477">
        <f>Loss_modulus_G!C87/1000000</f>
        <v>8.0566999999999998E-4</v>
      </c>
      <c r="D87" s="234">
        <f>Loss_modulus_G!D87/1000000</f>
        <v>8.0566999999999998E-4</v>
      </c>
      <c r="E87" s="234">
        <f>Loss_modulus_G!E87/1000000</f>
        <v>8.7367E-4</v>
      </c>
      <c r="F87" s="234">
        <f>Loss_modulus_G!F87/1000000</f>
        <v>9.2840999999999996E-4</v>
      </c>
      <c r="G87" s="234">
        <f>Loss_modulus_G!G87/1000000</f>
        <v>9.2840999999999996E-4</v>
      </c>
      <c r="H87" s="234">
        <f>Loss_modulus_G!H87/1000000</f>
        <v>1.0067799999999999E-3</v>
      </c>
      <c r="I87" s="234">
        <f>Loss_modulus_G!I87/1000000</f>
        <v>1.0484000000000001E-3</v>
      </c>
      <c r="J87" s="234">
        <f>Loss_modulus_G!J87/1000000</f>
        <v>1.0917500000000001E-3</v>
      </c>
      <c r="K87" s="234">
        <f>Loss_modulus_G!K87/1000000</f>
        <v>1.1140899999999999E-3</v>
      </c>
      <c r="L87" s="234">
        <f>Loss_modulus_G!L87/1000000</f>
        <v>1.1839000000000001E-3</v>
      </c>
      <c r="M87" s="234">
        <f>Loss_modulus_G!M87/1000000</f>
        <v>1.28382E-3</v>
      </c>
      <c r="N87" s="234">
        <f>Loss_modulus_G!N87/1000000</f>
        <v>1.50968E-3</v>
      </c>
      <c r="O87" s="234">
        <f>Loss_modulus_G!O87/1000000</f>
        <v>1.47941E-3</v>
      </c>
      <c r="P87" s="234">
        <f>Loss_modulus_G!P87/1000000</f>
        <v>1.6370999999999998E-3</v>
      </c>
      <c r="Q87" s="234">
        <f>Loss_modulus_G!Q87/1000000</f>
        <v>1.73968E-3</v>
      </c>
      <c r="R87" s="234">
        <f>Loss_modulus_G!R87/1000000</f>
        <v>2.0875999999999998E-3</v>
      </c>
      <c r="S87" s="234">
        <f>Loss_modulus_G!S87/1000000</f>
        <v>2.3101300000000001E-3</v>
      </c>
      <c r="T87" s="234">
        <f>Loss_modulus_G!T87/1000000</f>
        <v>2.7165500000000003E-3</v>
      </c>
      <c r="U87" s="234">
        <f>Loss_modulus_G!U87/1000000</f>
        <v>2.8867600000000004E-3</v>
      </c>
      <c r="V87" s="235">
        <f>Loss_modulus_G!V87/1000000</f>
        <v>2.8867600000000004E-3</v>
      </c>
      <c r="W87" s="2"/>
    </row>
    <row r="88" spans="1:23" ht="15.75" customHeight="1">
      <c r="A88" s="228">
        <v>18</v>
      </c>
      <c r="B88" s="75">
        <v>2</v>
      </c>
      <c r="C88" s="476">
        <f>Loss_modulus_G!C88/1000000</f>
        <v>1.11516E-3</v>
      </c>
      <c r="D88" s="2">
        <f>Loss_modulus_G!D88/1000000</f>
        <v>1.48456E-3</v>
      </c>
      <c r="E88" s="2">
        <f>Loss_modulus_G!E88/1000000</f>
        <v>2.0171300000000002E-3</v>
      </c>
      <c r="F88" s="2">
        <f>Loss_modulus_G!F88/1000000</f>
        <v>2.5777600000000001E-3</v>
      </c>
      <c r="G88" s="2">
        <f>Loss_modulus_G!G88/1000000</f>
        <v>3.4316500000000001E-3</v>
      </c>
      <c r="H88" s="2">
        <f>Loss_modulus_G!H88/1000000</f>
        <v>4.7589899999999994E-3</v>
      </c>
      <c r="I88" s="2">
        <f>Loss_modulus_G!I88/1000000</f>
        <v>6.2072500000000001E-3</v>
      </c>
      <c r="J88" s="2">
        <f>Loss_modulus_G!J88/1000000</f>
        <v>7.9324700000000005E-3</v>
      </c>
      <c r="K88" s="2">
        <f>Loss_modulus_G!K88/1000000</f>
        <v>1.034649E-2</v>
      </c>
      <c r="L88" s="2">
        <f>Loss_modulus_G!L88/1000000</f>
        <v>1.3495139999999999E-2</v>
      </c>
      <c r="M88" s="2">
        <f>Loss_modulus_G!M88/1000000</f>
        <v>1.6897040000000002E-2</v>
      </c>
      <c r="N88" s="2">
        <f>Loss_modulus_G!N88/1000000</f>
        <v>2.1156500000000002E-2</v>
      </c>
      <c r="O88" s="34">
        <f>Loss_modulus_G!O88/1000000</f>
        <v>2.5953810000000001E-2</v>
      </c>
      <c r="P88" s="34">
        <f>Loss_modulus_G!P88/1000000</f>
        <v>3.0563779999999999E-2</v>
      </c>
      <c r="Q88" s="34">
        <f>Loss_modulus_G!Q88/1000000</f>
        <v>3.5264459999999997E-2</v>
      </c>
      <c r="R88" s="34">
        <f>Loss_modulus_G!R88/1000000</f>
        <v>4.1528209999999996E-2</v>
      </c>
      <c r="S88" s="34">
        <f>Loss_modulus_G!S88/1000000</f>
        <v>4.4154039999999999E-2</v>
      </c>
      <c r="T88" s="34"/>
      <c r="U88" s="34"/>
      <c r="V88" s="237"/>
      <c r="W88" s="2"/>
    </row>
    <row r="89" spans="1:23" ht="15.75" customHeight="1">
      <c r="A89" s="229">
        <v>19</v>
      </c>
      <c r="B89" s="74">
        <v>1</v>
      </c>
      <c r="C89" s="479">
        <v>234.94</v>
      </c>
      <c r="D89" s="250">
        <v>234.1</v>
      </c>
      <c r="E89" s="250">
        <v>243.31</v>
      </c>
      <c r="F89" s="250">
        <v>243.72</v>
      </c>
      <c r="G89" s="250">
        <v>215.69</v>
      </c>
      <c r="H89" s="250">
        <v>165.48</v>
      </c>
      <c r="I89" s="250">
        <v>147.49</v>
      </c>
      <c r="J89" s="250">
        <v>148.33000000000001</v>
      </c>
      <c r="K89" s="250">
        <v>146.22999999999999</v>
      </c>
      <c r="L89" s="250">
        <v>141.63</v>
      </c>
      <c r="M89" s="250">
        <v>132.85</v>
      </c>
      <c r="N89" s="137">
        <v>117.78</v>
      </c>
      <c r="O89" s="2"/>
      <c r="P89" s="2"/>
      <c r="Q89" s="2"/>
      <c r="R89" s="2"/>
      <c r="S89" s="2"/>
      <c r="T89" s="2"/>
      <c r="U89" s="2"/>
      <c r="V89" s="2"/>
    </row>
    <row r="90" spans="1:23" ht="15.75" customHeight="1">
      <c r="A90" s="228">
        <v>19</v>
      </c>
      <c r="B90" s="75">
        <v>2</v>
      </c>
      <c r="C90" s="480">
        <v>208.16</v>
      </c>
      <c r="D90" s="274">
        <v>209</v>
      </c>
      <c r="E90" s="274">
        <v>219.87</v>
      </c>
      <c r="F90" s="274">
        <v>211.09</v>
      </c>
      <c r="G90" s="274">
        <v>176.78</v>
      </c>
      <c r="H90" s="274">
        <v>126.15</v>
      </c>
      <c r="I90" s="274">
        <v>106.49</v>
      </c>
      <c r="J90" s="274">
        <v>102.72</v>
      </c>
      <c r="K90" s="274">
        <v>98.95</v>
      </c>
      <c r="L90" s="274">
        <v>93.1</v>
      </c>
      <c r="M90" s="274">
        <v>81.38</v>
      </c>
      <c r="N90" s="138">
        <v>66.319999999999993</v>
      </c>
      <c r="O90" s="2"/>
    </row>
    <row r="91" spans="1:23" ht="15.75" customHeight="1">
      <c r="A91" s="228">
        <v>19</v>
      </c>
      <c r="B91" s="75">
        <v>3</v>
      </c>
      <c r="C91" s="481">
        <v>200.21</v>
      </c>
      <c r="D91" s="326">
        <v>203.97</v>
      </c>
      <c r="E91" s="326">
        <v>211.51</v>
      </c>
      <c r="F91" s="326">
        <v>201.46</v>
      </c>
      <c r="G91" s="326">
        <v>164.64</v>
      </c>
      <c r="H91" s="326">
        <v>114.02</v>
      </c>
      <c r="I91" s="326">
        <v>93.1</v>
      </c>
      <c r="J91" s="326">
        <v>85.15</v>
      </c>
      <c r="K91" s="326">
        <v>80.540000000000006</v>
      </c>
      <c r="L91" s="326">
        <v>74.69</v>
      </c>
      <c r="M91" s="326">
        <v>63.39</v>
      </c>
      <c r="N91" s="139">
        <v>50.84</v>
      </c>
      <c r="O91" s="2"/>
    </row>
    <row r="92" spans="1:23" ht="15.75" customHeight="1">
      <c r="A92" s="228">
        <v>19</v>
      </c>
      <c r="B92" s="75">
        <v>4</v>
      </c>
      <c r="C92" s="480">
        <v>197.7</v>
      </c>
      <c r="D92" s="274">
        <v>206.07</v>
      </c>
      <c r="E92" s="274">
        <v>215.69</v>
      </c>
      <c r="F92" s="274">
        <v>187.24</v>
      </c>
      <c r="G92" s="274">
        <v>140.38</v>
      </c>
      <c r="H92" s="274">
        <v>79.709999999999994</v>
      </c>
      <c r="I92" s="274">
        <v>66.319999999999993</v>
      </c>
      <c r="J92" s="274">
        <v>58.37</v>
      </c>
      <c r="K92" s="274">
        <v>55.02</v>
      </c>
      <c r="L92" s="274">
        <v>51.67</v>
      </c>
      <c r="M92" s="274"/>
      <c r="N92" s="138"/>
      <c r="O92" s="2"/>
    </row>
    <row r="93" spans="1:23" ht="15.75" customHeight="1">
      <c r="A93" s="230">
        <v>19</v>
      </c>
      <c r="B93" s="231">
        <v>5</v>
      </c>
      <c r="C93" s="482">
        <v>170.5</v>
      </c>
      <c r="D93" s="327">
        <v>162.97</v>
      </c>
      <c r="E93" s="327">
        <v>166.74</v>
      </c>
      <c r="F93" s="327">
        <v>149.58000000000001</v>
      </c>
      <c r="G93" s="327">
        <v>110.67</v>
      </c>
      <c r="H93" s="327">
        <v>73.010000000000005</v>
      </c>
      <c r="I93" s="327">
        <v>54.18</v>
      </c>
      <c r="J93" s="327"/>
      <c r="K93" s="327"/>
      <c r="L93" s="327"/>
      <c r="M93" s="327"/>
      <c r="N93" s="155"/>
      <c r="O93" s="2"/>
    </row>
    <row r="94" spans="1:23" ht="15.75" customHeight="1">
      <c r="A94" s="228">
        <v>20</v>
      </c>
      <c r="B94" s="75" t="s">
        <v>221</v>
      </c>
      <c r="C94" s="476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23" ht="15.75" customHeight="1">
      <c r="A95" s="228">
        <v>20</v>
      </c>
      <c r="B95" s="75" t="s">
        <v>222</v>
      </c>
    </row>
    <row r="96" spans="1:23" ht="15.75" customHeight="1">
      <c r="A96" s="228">
        <v>20</v>
      </c>
      <c r="B96" s="75" t="s">
        <v>223</v>
      </c>
    </row>
    <row r="97" spans="1:2" ht="15.75" customHeight="1">
      <c r="A97" s="228">
        <v>20</v>
      </c>
      <c r="B97" s="75" t="s">
        <v>224</v>
      </c>
    </row>
    <row r="98" spans="1:2" ht="15.75" customHeight="1">
      <c r="A98" s="228">
        <v>20</v>
      </c>
      <c r="B98" s="75" t="s">
        <v>225</v>
      </c>
    </row>
    <row r="99" spans="1:2" ht="15.75" customHeight="1">
      <c r="A99" s="228">
        <v>20</v>
      </c>
      <c r="B99" s="75" t="s">
        <v>226</v>
      </c>
    </row>
    <row r="100" spans="1:2" ht="15.75" customHeight="1">
      <c r="A100" s="228">
        <v>20</v>
      </c>
      <c r="B100" s="75" t="s">
        <v>227</v>
      </c>
    </row>
    <row r="101" spans="1:2" ht="15.75" customHeight="1">
      <c r="A101" s="228">
        <v>20</v>
      </c>
      <c r="B101" s="75" t="s">
        <v>228</v>
      </c>
    </row>
    <row r="102" spans="1:2" ht="15.75" customHeight="1">
      <c r="A102" s="228">
        <v>20</v>
      </c>
      <c r="B102" s="75" t="s">
        <v>231</v>
      </c>
    </row>
    <row r="103" spans="1:2" ht="15.75" customHeight="1">
      <c r="A103" s="228">
        <v>20</v>
      </c>
      <c r="B103" s="75" t="s">
        <v>232</v>
      </c>
    </row>
    <row r="104" spans="1:2" ht="15.75" customHeight="1">
      <c r="A104" s="228">
        <v>20</v>
      </c>
      <c r="B104" s="75" t="s">
        <v>233</v>
      </c>
    </row>
    <row r="105" spans="1:2" ht="15.75" customHeight="1">
      <c r="A105" s="228">
        <v>20</v>
      </c>
      <c r="B105" s="75" t="s">
        <v>234</v>
      </c>
    </row>
    <row r="106" spans="1:2" ht="15.75" customHeight="1">
      <c r="A106" s="228">
        <v>20</v>
      </c>
      <c r="B106" s="75" t="s">
        <v>235</v>
      </c>
    </row>
    <row r="107" spans="1:2" ht="15.75" customHeight="1">
      <c r="A107" s="228">
        <v>20</v>
      </c>
      <c r="B107" s="75" t="s">
        <v>236</v>
      </c>
    </row>
    <row r="108" spans="1:2" ht="15.75" customHeight="1">
      <c r="A108" s="228">
        <v>20</v>
      </c>
      <c r="B108" s="75" t="s">
        <v>237</v>
      </c>
    </row>
    <row r="109" spans="1:2" ht="15.75" customHeight="1">
      <c r="A109" s="228">
        <v>20</v>
      </c>
      <c r="B109" s="75" t="s">
        <v>238</v>
      </c>
    </row>
    <row r="110" spans="1:2" ht="15.75" customHeight="1">
      <c r="A110" s="228">
        <v>20</v>
      </c>
      <c r="B110" s="75" t="s">
        <v>239</v>
      </c>
    </row>
    <row r="111" spans="1:2" ht="15.75" customHeight="1">
      <c r="A111" s="228">
        <v>20</v>
      </c>
      <c r="B111" s="75" t="s">
        <v>240</v>
      </c>
    </row>
    <row r="112" spans="1:2" ht="15.75" customHeight="1">
      <c r="A112" s="228">
        <v>20</v>
      </c>
      <c r="B112" s="75" t="s">
        <v>241</v>
      </c>
    </row>
    <row r="113" spans="1:11" ht="15.75" customHeight="1">
      <c r="A113" s="228">
        <v>20</v>
      </c>
      <c r="B113" s="75" t="s">
        <v>242</v>
      </c>
      <c r="C113" s="476"/>
      <c r="D113" s="2"/>
      <c r="E113" s="2"/>
      <c r="F113" s="2"/>
      <c r="G113" s="2"/>
      <c r="H113" s="2"/>
      <c r="I113" s="2"/>
      <c r="J113" s="2"/>
    </row>
    <row r="114" spans="1:11" ht="15.75" customHeight="1">
      <c r="A114" s="229">
        <v>21</v>
      </c>
      <c r="B114" s="74" t="s">
        <v>221</v>
      </c>
      <c r="C114" s="476">
        <v>57.31</v>
      </c>
      <c r="D114" s="2">
        <v>53.72</v>
      </c>
      <c r="E114" s="2">
        <v>68.77</v>
      </c>
      <c r="F114" s="2">
        <v>113.9</v>
      </c>
      <c r="G114" s="2">
        <v>108.88</v>
      </c>
      <c r="H114" s="2">
        <v>59.46</v>
      </c>
      <c r="I114" s="2">
        <v>57.31</v>
      </c>
      <c r="J114" s="2">
        <v>80.95</v>
      </c>
      <c r="K114" s="2"/>
    </row>
    <row r="115" spans="1:11" ht="15.75" customHeight="1">
      <c r="A115" s="228">
        <v>21</v>
      </c>
      <c r="B115" s="75" t="s">
        <v>222</v>
      </c>
      <c r="C115" s="475">
        <v>76.650000000000006</v>
      </c>
      <c r="D115" s="8">
        <v>74.5</v>
      </c>
      <c r="E115" s="8">
        <v>89.54</v>
      </c>
      <c r="F115" s="8">
        <v>105.3</v>
      </c>
      <c r="G115" s="8">
        <v>95.99</v>
      </c>
      <c r="H115" s="8">
        <v>52.29</v>
      </c>
      <c r="I115" s="8">
        <v>51.58</v>
      </c>
      <c r="J115" s="8">
        <v>66.62</v>
      </c>
      <c r="K115" s="2"/>
    </row>
    <row r="116" spans="1:11" ht="15.75" customHeight="1">
      <c r="A116" s="228">
        <v>21</v>
      </c>
      <c r="B116" s="75" t="s">
        <v>223</v>
      </c>
      <c r="C116" s="475">
        <v>83.09</v>
      </c>
      <c r="D116" s="8">
        <v>88.83</v>
      </c>
      <c r="E116" s="8">
        <v>84.53</v>
      </c>
      <c r="F116" s="8">
        <v>85.96</v>
      </c>
      <c r="G116" s="8">
        <v>68.77</v>
      </c>
      <c r="H116" s="8">
        <v>43.7</v>
      </c>
      <c r="I116" s="8">
        <v>44.41</v>
      </c>
      <c r="J116" s="8">
        <v>53.72</v>
      </c>
      <c r="K116" s="2"/>
    </row>
    <row r="117" spans="1:11" ht="15.75" customHeight="1">
      <c r="A117" s="228">
        <v>21</v>
      </c>
      <c r="B117" s="75" t="s">
        <v>224</v>
      </c>
      <c r="C117" s="475">
        <v>121.06</v>
      </c>
      <c r="D117" s="8">
        <v>135.38999999999999</v>
      </c>
      <c r="E117" s="8">
        <v>115.33</v>
      </c>
      <c r="F117" s="8">
        <v>81.66</v>
      </c>
      <c r="G117" s="8">
        <v>53.01</v>
      </c>
      <c r="H117" s="8">
        <v>34.380000000000003</v>
      </c>
      <c r="I117" s="8">
        <v>37.25</v>
      </c>
      <c r="J117" s="8">
        <v>45.85</v>
      </c>
      <c r="K117" s="2"/>
    </row>
    <row r="118" spans="1:11" ht="15.75" customHeight="1">
      <c r="A118" s="228">
        <v>21</v>
      </c>
      <c r="B118" s="75" t="s">
        <v>229</v>
      </c>
      <c r="C118" s="475">
        <v>51.49</v>
      </c>
      <c r="D118" s="8">
        <v>52.24</v>
      </c>
      <c r="E118" s="8">
        <v>64.180000000000007</v>
      </c>
      <c r="F118" s="8">
        <v>84.33</v>
      </c>
      <c r="G118" s="8">
        <v>97.01</v>
      </c>
      <c r="H118" s="8">
        <v>49.25</v>
      </c>
      <c r="I118" s="8">
        <v>47.01</v>
      </c>
      <c r="J118" s="8">
        <v>63.43</v>
      </c>
      <c r="K118" s="2"/>
    </row>
    <row r="119" spans="1:11" ht="15.75" customHeight="1">
      <c r="A119" s="228">
        <v>21</v>
      </c>
      <c r="B119" s="75" t="s">
        <v>243</v>
      </c>
      <c r="C119" s="475">
        <v>75.37</v>
      </c>
      <c r="D119" s="8">
        <v>85.07</v>
      </c>
      <c r="E119" s="8">
        <v>102.99</v>
      </c>
      <c r="F119" s="8">
        <v>118.66</v>
      </c>
      <c r="G119" s="8">
        <v>108.21</v>
      </c>
      <c r="H119" s="8">
        <v>61.19</v>
      </c>
      <c r="I119" s="8">
        <v>62.69</v>
      </c>
      <c r="J119" s="8">
        <v>77.61</v>
      </c>
      <c r="K119" s="2"/>
    </row>
    <row r="120" spans="1:11" ht="15.75" customHeight="1">
      <c r="A120" s="228">
        <v>21</v>
      </c>
      <c r="B120" s="75" t="s">
        <v>244</v>
      </c>
      <c r="C120" s="475">
        <v>81.34</v>
      </c>
      <c r="D120" s="8">
        <v>98.51</v>
      </c>
      <c r="E120" s="8">
        <v>93.28</v>
      </c>
      <c r="F120" s="8">
        <v>89.55</v>
      </c>
      <c r="G120" s="8">
        <v>64.930000000000007</v>
      </c>
      <c r="H120" s="8">
        <v>42.54</v>
      </c>
      <c r="I120" s="8">
        <v>42.54</v>
      </c>
      <c r="J120" s="8">
        <v>57.46</v>
      </c>
      <c r="K120" s="2"/>
    </row>
    <row r="121" spans="1:11" ht="15.75" customHeight="1">
      <c r="A121" s="230">
        <v>21</v>
      </c>
      <c r="B121" s="231" t="s">
        <v>245</v>
      </c>
      <c r="C121" s="475">
        <v>115.67</v>
      </c>
      <c r="D121" s="8">
        <v>125.37</v>
      </c>
      <c r="E121" s="8">
        <v>97.76</v>
      </c>
      <c r="F121" s="8">
        <v>72.39</v>
      </c>
      <c r="G121" s="8">
        <v>40.299999999999997</v>
      </c>
      <c r="H121" s="8">
        <v>28.36</v>
      </c>
      <c r="I121" s="8">
        <v>35.82</v>
      </c>
      <c r="J121" s="8">
        <v>43.28</v>
      </c>
      <c r="K121" s="2"/>
    </row>
    <row r="122" spans="1:11" ht="15.75" customHeight="1">
      <c r="A122" s="228">
        <v>21</v>
      </c>
      <c r="B122" s="75" t="s">
        <v>225</v>
      </c>
      <c r="C122" s="476"/>
      <c r="D122" s="2"/>
      <c r="E122" s="2"/>
      <c r="F122" s="2"/>
      <c r="G122" s="2"/>
      <c r="H122" s="2"/>
      <c r="I122" s="2"/>
      <c r="J122" s="2"/>
    </row>
    <row r="123" spans="1:11" ht="15.75" customHeight="1">
      <c r="A123" s="228">
        <v>21</v>
      </c>
      <c r="B123" s="75" t="s">
        <v>226</v>
      </c>
    </row>
    <row r="124" spans="1:11" ht="15.75" customHeight="1">
      <c r="A124" s="228">
        <v>21</v>
      </c>
      <c r="B124" s="75" t="s">
        <v>227</v>
      </c>
    </row>
    <row r="125" spans="1:11" ht="15.75" customHeight="1">
      <c r="A125" s="228">
        <v>21</v>
      </c>
      <c r="B125" s="75" t="s">
        <v>228</v>
      </c>
    </row>
    <row r="126" spans="1:11" ht="15.75" customHeight="1">
      <c r="A126" s="228">
        <v>21</v>
      </c>
      <c r="B126" s="75" t="s">
        <v>230</v>
      </c>
    </row>
    <row r="127" spans="1:11" ht="15.75" customHeight="1">
      <c r="A127" s="228">
        <v>21</v>
      </c>
      <c r="B127" s="75" t="s">
        <v>246</v>
      </c>
    </row>
    <row r="128" spans="1:11" ht="15.75" customHeight="1">
      <c r="A128" s="228">
        <v>21</v>
      </c>
      <c r="B128" s="75" t="s">
        <v>247</v>
      </c>
    </row>
    <row r="129" spans="1:10" ht="15.75" customHeight="1">
      <c r="A129" s="228">
        <v>21</v>
      </c>
      <c r="B129" s="75" t="s">
        <v>248</v>
      </c>
    </row>
    <row r="130" spans="1:10" ht="15.75" customHeight="1">
      <c r="A130" s="229">
        <v>22</v>
      </c>
      <c r="B130" s="74">
        <v>1</v>
      </c>
    </row>
    <row r="131" spans="1:10" ht="15.75" customHeight="1">
      <c r="A131" s="228">
        <v>22</v>
      </c>
      <c r="B131" s="75">
        <v>2</v>
      </c>
    </row>
    <row r="132" spans="1:10" ht="15.75" customHeight="1">
      <c r="A132" s="228">
        <v>22</v>
      </c>
      <c r="B132" s="75">
        <v>3</v>
      </c>
    </row>
    <row r="133" spans="1:10" ht="15.75" customHeight="1">
      <c r="A133" s="228">
        <v>22</v>
      </c>
      <c r="B133" s="75">
        <v>4</v>
      </c>
    </row>
    <row r="134" spans="1:10" ht="15.75" customHeight="1">
      <c r="A134" s="228">
        <v>22</v>
      </c>
      <c r="B134" s="75">
        <v>5</v>
      </c>
    </row>
    <row r="135" spans="1:10" ht="15.75" customHeight="1">
      <c r="A135" s="228">
        <v>22</v>
      </c>
      <c r="B135" s="75">
        <v>6</v>
      </c>
    </row>
    <row r="136" spans="1:10" ht="15.75" customHeight="1">
      <c r="A136" s="228">
        <v>22</v>
      </c>
      <c r="B136" s="75">
        <v>7</v>
      </c>
    </row>
    <row r="137" spans="1:10" ht="15.75" customHeight="1">
      <c r="A137" s="228">
        <v>22</v>
      </c>
      <c r="B137" s="75">
        <v>8</v>
      </c>
      <c r="C137" s="476"/>
      <c r="D137" s="2"/>
      <c r="E137" s="2"/>
      <c r="F137" s="2"/>
      <c r="G137" s="2"/>
      <c r="H137" s="2"/>
      <c r="I137" s="2"/>
    </row>
    <row r="138" spans="1:10" ht="15.75" customHeight="1">
      <c r="A138" s="229">
        <v>23</v>
      </c>
      <c r="B138" s="74">
        <v>1</v>
      </c>
      <c r="C138" s="483">
        <f>Loss_modulus_G!C138*1000</f>
        <v>90</v>
      </c>
      <c r="D138" s="234">
        <f>Loss_modulus_G!D138*1000</f>
        <v>110</v>
      </c>
      <c r="E138" s="234">
        <f>Loss_modulus_G!E138*1000</f>
        <v>140</v>
      </c>
      <c r="F138" s="234">
        <f>Loss_modulus_G!F138*1000</f>
        <v>120</v>
      </c>
      <c r="G138" s="234">
        <f>Loss_modulus_G!G138*1000</f>
        <v>100</v>
      </c>
      <c r="H138" s="234">
        <f>Loss_modulus_G!H138*1000</f>
        <v>100</v>
      </c>
      <c r="I138" s="235">
        <f>Loss_modulus_G!I138*1000</f>
        <v>110</v>
      </c>
      <c r="J138" s="2"/>
    </row>
    <row r="139" spans="1:10" ht="15.75" customHeight="1">
      <c r="A139" s="228">
        <v>23</v>
      </c>
      <c r="B139" s="75">
        <v>2</v>
      </c>
      <c r="C139" s="484">
        <f>Loss_modulus_G!C139*1000</f>
        <v>100</v>
      </c>
      <c r="D139" s="2">
        <f>Loss_modulus_G!D139*1000</f>
        <v>140</v>
      </c>
      <c r="E139" s="2">
        <f>Loss_modulus_G!E139*1000</f>
        <v>190</v>
      </c>
      <c r="F139" s="2">
        <f>Loss_modulus_G!F139*1000</f>
        <v>110</v>
      </c>
      <c r="G139" s="2">
        <f>Loss_modulus_G!G139*1000</f>
        <v>100</v>
      </c>
      <c r="H139" s="2">
        <f>Loss_modulus_G!H139*1000</f>
        <v>110</v>
      </c>
      <c r="I139" s="236">
        <f>Loss_modulus_G!I139*1000</f>
        <v>130</v>
      </c>
      <c r="J139" s="2"/>
    </row>
    <row r="140" spans="1:10" ht="15.75" customHeight="1">
      <c r="A140" s="228">
        <v>23</v>
      </c>
      <c r="B140" s="75">
        <v>3</v>
      </c>
      <c r="C140" s="484">
        <f>Loss_modulus_G!C140*1000</f>
        <v>140</v>
      </c>
      <c r="D140" s="2">
        <f>Loss_modulus_G!D140*1000</f>
        <v>190</v>
      </c>
      <c r="E140" s="2">
        <f>Loss_modulus_G!E140*1000</f>
        <v>300</v>
      </c>
      <c r="F140" s="2">
        <f>Loss_modulus_G!F140*1000</f>
        <v>150</v>
      </c>
      <c r="G140" s="2">
        <f>Loss_modulus_G!G140*1000</f>
        <v>120</v>
      </c>
      <c r="H140" s="2">
        <f>Loss_modulus_G!H140*1000</f>
        <v>130</v>
      </c>
      <c r="I140" s="236">
        <f>Loss_modulus_G!I140*1000</f>
        <v>150</v>
      </c>
      <c r="J140" s="2"/>
    </row>
    <row r="141" spans="1:10" ht="15.75" customHeight="1">
      <c r="A141" s="228">
        <v>23</v>
      </c>
      <c r="B141" s="75">
        <v>4</v>
      </c>
      <c r="C141" s="484">
        <f>Loss_modulus_G!C141*1000</f>
        <v>160</v>
      </c>
      <c r="D141" s="2">
        <f>Loss_modulus_G!D141*1000</f>
        <v>200</v>
      </c>
      <c r="E141" s="2">
        <f>Loss_modulus_G!E141*1000</f>
        <v>320</v>
      </c>
      <c r="F141" s="2">
        <f>Loss_modulus_G!F141*1000</f>
        <v>180</v>
      </c>
      <c r="G141" s="2">
        <f>Loss_modulus_G!G141*1000</f>
        <v>150</v>
      </c>
      <c r="H141" s="2">
        <f>Loss_modulus_G!H141*1000</f>
        <v>150</v>
      </c>
      <c r="I141" s="236">
        <f>Loss_modulus_G!I141*1000</f>
        <v>180</v>
      </c>
      <c r="J141" s="2"/>
    </row>
    <row r="142" spans="1:10" ht="15.75" customHeight="1">
      <c r="A142" s="230">
        <v>23</v>
      </c>
      <c r="B142" s="231">
        <v>5</v>
      </c>
      <c r="C142" s="485">
        <f>Loss_modulus_G!C142*1000</f>
        <v>120</v>
      </c>
      <c r="D142" s="34">
        <f>Loss_modulus_G!D142*1000</f>
        <v>150</v>
      </c>
      <c r="E142" s="34">
        <f>Loss_modulus_G!E142*1000</f>
        <v>220</v>
      </c>
      <c r="F142" s="34">
        <f>Loss_modulus_G!F142*1000</f>
        <v>140</v>
      </c>
      <c r="G142" s="34">
        <f>Loss_modulus_G!G142*1000</f>
        <v>110</v>
      </c>
      <c r="H142" s="34">
        <f>Loss_modulus_G!H142*1000</f>
        <v>120</v>
      </c>
      <c r="I142" s="237">
        <f>Loss_modulus_G!I142*1000</f>
        <v>130</v>
      </c>
      <c r="J142" s="2"/>
    </row>
    <row r="143" spans="1:10" ht="15.75" customHeight="1">
      <c r="A143" s="238">
        <v>24</v>
      </c>
      <c r="B143" s="239">
        <v>1</v>
      </c>
      <c r="C143" s="476"/>
      <c r="D143" s="2"/>
      <c r="E143" s="2"/>
      <c r="F143" s="2"/>
      <c r="G143" s="2"/>
      <c r="H143" s="2"/>
      <c r="I143" s="2"/>
    </row>
    <row r="144" spans="1:10" ht="15.75" customHeight="1">
      <c r="A144" s="238">
        <v>24</v>
      </c>
      <c r="B144" s="239">
        <v>2</v>
      </c>
    </row>
    <row r="145" spans="1:2" ht="15.75" customHeight="1">
      <c r="A145" s="238">
        <v>24</v>
      </c>
      <c r="B145" s="239">
        <v>3</v>
      </c>
    </row>
    <row r="146" spans="1:2" ht="15.75" customHeight="1">
      <c r="A146" s="238">
        <v>24</v>
      </c>
      <c r="B146" s="239">
        <v>4</v>
      </c>
    </row>
    <row r="147" spans="1:2" ht="15.75" customHeight="1">
      <c r="A147" s="238">
        <v>24</v>
      </c>
      <c r="B147" s="239">
        <v>5</v>
      </c>
    </row>
    <row r="148" spans="1:2" ht="15.75" customHeight="1">
      <c r="A148" s="238">
        <v>24</v>
      </c>
      <c r="B148" s="239">
        <v>6</v>
      </c>
    </row>
    <row r="149" spans="1:2" ht="15.75" customHeight="1">
      <c r="A149" s="238">
        <v>24</v>
      </c>
      <c r="B149" s="239">
        <v>7</v>
      </c>
    </row>
    <row r="150" spans="1:2" ht="15.75" customHeight="1">
      <c r="A150" s="229">
        <v>25</v>
      </c>
      <c r="B150" s="74">
        <v>1</v>
      </c>
    </row>
    <row r="151" spans="1:2" ht="15.75" customHeight="1">
      <c r="A151" s="228">
        <v>25</v>
      </c>
      <c r="B151" s="75">
        <v>2</v>
      </c>
    </row>
    <row r="152" spans="1:2" ht="15.75" customHeight="1">
      <c r="A152" s="228">
        <v>25</v>
      </c>
      <c r="B152" s="75">
        <v>3</v>
      </c>
    </row>
    <row r="153" spans="1:2" ht="15.75" customHeight="1">
      <c r="A153" s="228">
        <v>25</v>
      </c>
      <c r="B153" s="75">
        <v>4</v>
      </c>
    </row>
    <row r="154" spans="1:2" ht="15.75" customHeight="1">
      <c r="A154" s="229">
        <v>26</v>
      </c>
      <c r="B154" s="200" t="s">
        <v>221</v>
      </c>
    </row>
    <row r="155" spans="1:2" ht="15.75" customHeight="1">
      <c r="A155" s="228">
        <v>26</v>
      </c>
      <c r="B155" s="201" t="s">
        <v>222</v>
      </c>
    </row>
    <row r="156" spans="1:2" ht="15.75" customHeight="1">
      <c r="A156" s="228">
        <v>26</v>
      </c>
      <c r="B156" s="201" t="s">
        <v>223</v>
      </c>
    </row>
    <row r="157" spans="1:2" ht="15.75" customHeight="1">
      <c r="A157" s="228">
        <v>26</v>
      </c>
      <c r="B157" s="201" t="s">
        <v>224</v>
      </c>
    </row>
    <row r="158" spans="1:2" ht="15.75" customHeight="1">
      <c r="A158" s="228">
        <v>26</v>
      </c>
      <c r="B158" s="201" t="s">
        <v>229</v>
      </c>
    </row>
    <row r="159" spans="1:2" ht="15.75" customHeight="1">
      <c r="A159" s="228">
        <v>26</v>
      </c>
      <c r="B159" s="201" t="s">
        <v>225</v>
      </c>
    </row>
    <row r="160" spans="1:2" ht="15.75" customHeight="1">
      <c r="A160" s="228">
        <v>26</v>
      </c>
      <c r="B160" s="201" t="s">
        <v>226</v>
      </c>
    </row>
    <row r="161" spans="1:2" ht="15.75" customHeight="1">
      <c r="A161" s="228">
        <v>26</v>
      </c>
      <c r="B161" s="201" t="s">
        <v>227</v>
      </c>
    </row>
    <row r="162" spans="1:2" ht="15.75" customHeight="1">
      <c r="A162" s="228">
        <v>26</v>
      </c>
      <c r="B162" s="201" t="s">
        <v>228</v>
      </c>
    </row>
    <row r="163" spans="1:2" ht="15.75" customHeight="1">
      <c r="A163" s="228">
        <v>26</v>
      </c>
      <c r="B163" s="75" t="s">
        <v>230</v>
      </c>
    </row>
    <row r="164" spans="1:2" ht="15.75" customHeight="1">
      <c r="A164" s="199">
        <v>27</v>
      </c>
      <c r="B164" s="200">
        <v>1</v>
      </c>
    </row>
    <row r="165" spans="1:2" ht="15.75" customHeight="1">
      <c r="A165" s="196">
        <v>27</v>
      </c>
      <c r="B165" s="201">
        <v>2</v>
      </c>
    </row>
    <row r="166" spans="1:2" ht="15.75" customHeight="1">
      <c r="A166" s="196">
        <v>27</v>
      </c>
      <c r="B166" s="201">
        <v>3</v>
      </c>
    </row>
    <row r="167" spans="1:2" ht="15.75" customHeight="1">
      <c r="A167" s="197">
        <v>27</v>
      </c>
      <c r="B167" s="202">
        <v>4</v>
      </c>
    </row>
    <row r="168" spans="1:2" ht="15.75" customHeight="1">
      <c r="A168" s="228">
        <v>28</v>
      </c>
      <c r="B168" s="75">
        <v>1</v>
      </c>
    </row>
    <row r="169" spans="1:2" ht="15.75" customHeight="1">
      <c r="A169" s="228">
        <v>28</v>
      </c>
      <c r="B169" s="75">
        <v>2</v>
      </c>
    </row>
    <row r="170" spans="1:2" ht="15.75" customHeight="1">
      <c r="A170" s="228">
        <v>28</v>
      </c>
      <c r="B170" s="75">
        <v>3</v>
      </c>
    </row>
    <row r="171" spans="1:2" ht="15.75" customHeight="1">
      <c r="A171" s="228">
        <v>28</v>
      </c>
      <c r="B171" s="75">
        <v>4</v>
      </c>
    </row>
    <row r="172" spans="1:2" ht="15.75" customHeight="1">
      <c r="A172" s="228">
        <v>28</v>
      </c>
      <c r="B172" s="75">
        <v>5</v>
      </c>
    </row>
    <row r="173" spans="1:2" ht="15.75" customHeight="1">
      <c r="A173" s="228">
        <v>28</v>
      </c>
      <c r="B173" s="75">
        <v>6</v>
      </c>
    </row>
    <row r="174" spans="1:2" ht="15.75" customHeight="1">
      <c r="A174" s="229">
        <v>29</v>
      </c>
      <c r="B174" s="74">
        <v>1</v>
      </c>
    </row>
    <row r="175" spans="1:2" ht="15.75" customHeight="1">
      <c r="A175" s="228">
        <v>29</v>
      </c>
      <c r="B175" s="75">
        <v>2</v>
      </c>
    </row>
    <row r="176" spans="1:2" ht="15.75" customHeight="1">
      <c r="A176" s="228">
        <v>29</v>
      </c>
      <c r="B176" s="75">
        <v>3</v>
      </c>
    </row>
    <row r="177" spans="1:28" ht="15.75" customHeight="1">
      <c r="A177" s="228">
        <v>29</v>
      </c>
      <c r="B177" s="75">
        <v>4</v>
      </c>
    </row>
    <row r="178" spans="1:28" ht="15.75" customHeight="1">
      <c r="A178" s="228">
        <v>29</v>
      </c>
      <c r="B178" s="75">
        <v>5</v>
      </c>
      <c r="C178" s="476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28" ht="15.75" customHeight="1">
      <c r="A179" s="229">
        <v>30</v>
      </c>
      <c r="B179" s="74">
        <v>1</v>
      </c>
      <c r="C179" s="477">
        <v>172.2</v>
      </c>
      <c r="D179" s="234">
        <v>164.08</v>
      </c>
      <c r="E179" s="234">
        <v>166.79</v>
      </c>
      <c r="F179" s="234">
        <v>149.46</v>
      </c>
      <c r="G179" s="234">
        <v>114.8</v>
      </c>
      <c r="H179" s="234">
        <v>72.02</v>
      </c>
      <c r="I179" s="234">
        <v>53.07</v>
      </c>
      <c r="J179" s="234">
        <v>46.03</v>
      </c>
      <c r="K179" s="234">
        <v>40.07</v>
      </c>
      <c r="L179" s="234">
        <v>36.28</v>
      </c>
      <c r="M179" s="234">
        <v>30.32</v>
      </c>
      <c r="N179" s="234">
        <v>24.91</v>
      </c>
      <c r="O179" s="235">
        <v>17.329999999999998</v>
      </c>
      <c r="P179" s="2"/>
    </row>
    <row r="180" spans="1:28" ht="15.75" customHeight="1">
      <c r="A180" s="228">
        <v>30</v>
      </c>
      <c r="B180" s="75">
        <v>2</v>
      </c>
      <c r="C180" s="476">
        <v>237.18</v>
      </c>
      <c r="D180" s="2">
        <v>237.18</v>
      </c>
      <c r="E180" s="2">
        <v>252.35</v>
      </c>
      <c r="F180" s="2">
        <v>235.56</v>
      </c>
      <c r="G180" s="2">
        <v>187.36</v>
      </c>
      <c r="H180" s="2">
        <v>150</v>
      </c>
      <c r="I180" s="2">
        <v>148.38</v>
      </c>
      <c r="J180" s="2">
        <v>145.13</v>
      </c>
      <c r="K180" s="2">
        <v>136.46</v>
      </c>
      <c r="L180" s="2">
        <v>131.05000000000001</v>
      </c>
      <c r="M180" s="2">
        <v>119.68</v>
      </c>
      <c r="N180" s="2">
        <v>104.51</v>
      </c>
      <c r="O180" s="236">
        <v>87.18</v>
      </c>
      <c r="P180" s="2"/>
    </row>
    <row r="181" spans="1:28" ht="15.75" customHeight="1">
      <c r="A181" s="230">
        <v>30</v>
      </c>
      <c r="B181" s="231">
        <v>3</v>
      </c>
      <c r="C181" s="478">
        <v>224.19</v>
      </c>
      <c r="D181" s="34">
        <v>227.44</v>
      </c>
      <c r="E181" s="34">
        <v>244.77</v>
      </c>
      <c r="F181" s="34">
        <v>232.85</v>
      </c>
      <c r="G181" s="34">
        <v>194.95</v>
      </c>
      <c r="H181" s="34">
        <v>165.7</v>
      </c>
      <c r="I181" s="34">
        <v>168.95</v>
      </c>
      <c r="J181" s="34">
        <v>164.08</v>
      </c>
      <c r="K181" s="34">
        <v>160.83000000000001</v>
      </c>
      <c r="L181" s="34">
        <v>153.79</v>
      </c>
      <c r="M181" s="34">
        <v>141.88</v>
      </c>
      <c r="N181" s="34">
        <v>124.55</v>
      </c>
      <c r="O181" s="237">
        <v>103.43</v>
      </c>
      <c r="P181" s="2"/>
    </row>
    <row r="182" spans="1:28" ht="15.75" customHeight="1">
      <c r="A182" s="228">
        <v>31</v>
      </c>
      <c r="B182" s="75">
        <v>1</v>
      </c>
      <c r="C182" s="476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28" ht="15.75" customHeight="1">
      <c r="A183" s="228">
        <v>31</v>
      </c>
      <c r="B183" s="75">
        <v>2</v>
      </c>
    </row>
    <row r="184" spans="1:28" ht="15.75" customHeight="1">
      <c r="A184" s="228">
        <v>31</v>
      </c>
      <c r="B184" s="75">
        <v>3</v>
      </c>
    </row>
    <row r="185" spans="1:28" ht="15.75" customHeight="1">
      <c r="A185" s="228">
        <v>31</v>
      </c>
      <c r="B185" s="75">
        <v>4</v>
      </c>
    </row>
    <row r="186" spans="1:28" ht="15.75" customHeight="1">
      <c r="A186" s="228">
        <v>31</v>
      </c>
      <c r="B186" s="75">
        <v>5</v>
      </c>
      <c r="C186" s="476"/>
      <c r="D186" s="2"/>
      <c r="E186" s="2"/>
      <c r="F186" s="2"/>
      <c r="G186" s="2"/>
      <c r="H186" s="2"/>
      <c r="I186" s="2"/>
      <c r="J186" s="2"/>
    </row>
    <row r="187" spans="1:28" ht="15.75" customHeight="1">
      <c r="A187" s="199">
        <v>32</v>
      </c>
      <c r="B187" s="200">
        <v>1</v>
      </c>
      <c r="C187" s="477"/>
      <c r="D187" s="234"/>
      <c r="E187" s="234"/>
      <c r="F187" s="234"/>
      <c r="G187" s="392">
        <v>157.6</v>
      </c>
      <c r="H187" s="234"/>
      <c r="I187" s="234"/>
      <c r="J187" s="235"/>
      <c r="K187" s="2"/>
    </row>
    <row r="188" spans="1:28" ht="15.75" customHeight="1">
      <c r="A188" s="196">
        <v>32</v>
      </c>
      <c r="B188" s="201">
        <v>2</v>
      </c>
      <c r="C188" s="476">
        <v>130.548</v>
      </c>
      <c r="D188" s="2">
        <v>130.548</v>
      </c>
      <c r="E188" s="2">
        <v>156.28299999999999</v>
      </c>
      <c r="F188" s="2">
        <v>196.72499999999999</v>
      </c>
      <c r="G188" s="2">
        <v>233.155</v>
      </c>
      <c r="H188" s="2">
        <v>70.721999999999994</v>
      </c>
      <c r="I188" s="2">
        <v>52.673999999999999</v>
      </c>
      <c r="J188" s="236">
        <v>62.366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8" ht="15.75" customHeight="1">
      <c r="A189" s="229">
        <v>33</v>
      </c>
      <c r="B189" s="200">
        <v>1</v>
      </c>
      <c r="C189" s="477">
        <f>Loss_modulus_G!C189/1000000</f>
        <v>2.791E-6</v>
      </c>
      <c r="D189" s="234">
        <f>Loss_modulus_G!D189/1000000</f>
        <v>6.4150000000000004E-6</v>
      </c>
      <c r="E189" s="234">
        <f>Loss_modulus_G!E189/1000000</f>
        <v>1.3796E-5</v>
      </c>
      <c r="F189" s="234">
        <f>Loss_modulus_G!F189/1000000</f>
        <v>2.7757000000000002E-5</v>
      </c>
      <c r="G189" s="234">
        <f>Loss_modulus_G!G189/1000000</f>
        <v>4.5734E-5</v>
      </c>
      <c r="H189" s="234">
        <f>Loss_modulus_G!H189/1000000</f>
        <v>8.0542000000000002E-5</v>
      </c>
      <c r="I189" s="234">
        <f>Loss_modulus_G!I189/1000000</f>
        <v>1.20093E-4</v>
      </c>
      <c r="J189" s="234">
        <f>Loss_modulus_G!J189/1000000</f>
        <v>1.8512700000000002E-4</v>
      </c>
      <c r="K189" s="234">
        <f>Loss_modulus_G!K189/1000000</f>
        <v>2.9503899999999998E-4</v>
      </c>
      <c r="L189" s="234">
        <f>Loss_modulus_G!L189/1000000</f>
        <v>4.3992E-4</v>
      </c>
      <c r="M189" s="234">
        <f>Loss_modulus_G!M189/1000000</f>
        <v>6.7814899999999996E-4</v>
      </c>
      <c r="N189" s="234">
        <f>Loss_modulus_G!N189/1000000</f>
        <v>1.011159E-3</v>
      </c>
      <c r="O189" s="234">
        <f>Loss_modulus_G!O189/1000000</f>
        <v>1.507694E-3</v>
      </c>
      <c r="P189" s="234">
        <f>Loss_modulus_G!P189/1000000</f>
        <v>2.1744499999999996E-3</v>
      </c>
      <c r="Q189" s="234">
        <f>Loss_modulus_G!Q189/1000000</f>
        <v>3.2422269999999999E-3</v>
      </c>
      <c r="R189" s="234">
        <f>Loss_modulus_G!R189/1000000</f>
        <v>4.8343419999999993E-3</v>
      </c>
      <c r="S189" s="234">
        <f>Loss_modulus_G!S189/1000000</f>
        <v>6.5231569999999999E-3</v>
      </c>
      <c r="T189" s="234">
        <f>Loss_modulus_G!T189/1000000</f>
        <v>9.4079279999999994E-3</v>
      </c>
      <c r="U189" s="234">
        <f>Loss_modulus_G!U189/1000000</f>
        <v>1.3124183000000001E-2</v>
      </c>
      <c r="V189" s="234">
        <f>Loss_modulus_G!V189/1000000</f>
        <v>1.7129116000000003E-2</v>
      </c>
      <c r="W189" s="234">
        <f>Loss_modulus_G!W189/1000000</f>
        <v>2.3112952000000003E-2</v>
      </c>
      <c r="X189" s="234">
        <f>Loss_modulus_G!X189/1000000</f>
        <v>3.0166024E-2</v>
      </c>
      <c r="Y189" s="234">
        <f>Loss_modulus_G!Y189/1000000</f>
        <v>4.4979233E-2</v>
      </c>
      <c r="Z189" s="234">
        <f>Loss_modulus_G!Z189/1000000</f>
        <v>5.6782807999999997E-2</v>
      </c>
      <c r="AA189" s="235">
        <f>Loss_modulus_G!AA189/1000000</f>
        <v>8.1894175E-2</v>
      </c>
      <c r="AB189" s="2"/>
    </row>
    <row r="190" spans="1:28" ht="15.75" customHeight="1">
      <c r="A190" s="228">
        <v>33</v>
      </c>
      <c r="B190" s="201">
        <v>2</v>
      </c>
      <c r="C190" s="476">
        <f>Loss_modulus_G!C190/1000000</f>
        <v>1.2076000000000001E-5</v>
      </c>
      <c r="D190" s="2">
        <f>Loss_modulus_G!D190/1000000</f>
        <v>2.8697E-5</v>
      </c>
      <c r="E190" s="2">
        <f>Loss_modulus_G!E190/1000000</f>
        <v>6.5958999999999996E-5</v>
      </c>
      <c r="F190" s="2">
        <f>Loss_modulus_G!F190/1000000</f>
        <v>1.3270599999999999E-4</v>
      </c>
      <c r="G190" s="2">
        <f>Loss_modulus_G!G190/1000000</f>
        <v>2.5825499999999999E-4</v>
      </c>
      <c r="H190" s="2">
        <f>Loss_modulus_G!H190/1000000</f>
        <v>3.9810700000000003E-4</v>
      </c>
      <c r="I190" s="2">
        <f>Loss_modulus_G!I190/1000000</f>
        <v>6.7814899999999996E-4</v>
      </c>
      <c r="J190" s="2">
        <f>Loss_modulus_G!J190/1000000</f>
        <v>1.0453869999999998E-3</v>
      </c>
      <c r="K190" s="2">
        <f>Loss_modulus_G!K190/1000000</f>
        <v>1.6660450000000001E-3</v>
      </c>
      <c r="L190" s="2">
        <f>Loss_modulus_G!L190/1000000</f>
        <v>2.4841669999999998E-3</v>
      </c>
      <c r="M190" s="2">
        <f>Loss_modulus_G!M190/1000000</f>
        <v>3.5827530000000002E-3</v>
      </c>
      <c r="N190" s="2">
        <f>Loss_modulus_G!N190/1000000</f>
        <v>4.9979880000000001E-3</v>
      </c>
      <c r="O190" s="2">
        <f>Loss_modulus_G!O190/1000000</f>
        <v>7.2082749999999992E-3</v>
      </c>
      <c r="P190" s="2">
        <f>Loss_modulus_G!P190/1000000</f>
        <v>1.0396029000000001E-2</v>
      </c>
      <c r="Q190" s="2">
        <f>Loss_modulus_G!Q190/1000000</f>
        <v>1.3124183000000001E-2</v>
      </c>
      <c r="R190" s="2">
        <f>Loss_modulus_G!R190/1000000</f>
        <v>1.7129116000000003E-2</v>
      </c>
      <c r="S190" s="2">
        <f>Loss_modulus_G!S190/1000000</f>
        <v>2.1624186E-2</v>
      </c>
      <c r="T190" s="2">
        <f>Loss_modulus_G!T190/1000000</f>
        <v>2.9178316999999999E-2</v>
      </c>
      <c r="U190" s="2">
        <f>Loss_modulus_G!U190/1000000</f>
        <v>3.6835372000000005E-2</v>
      </c>
      <c r="V190" s="2">
        <f>Loss_modulus_G!V190/1000000</f>
        <v>4.3506507E-2</v>
      </c>
      <c r="W190" s="2">
        <f>Loss_modulus_G!W190/1000000</f>
        <v>4.3506507E-2</v>
      </c>
      <c r="X190" s="2">
        <f>Loss_modulus_G!X190/1000000</f>
        <v>7.1683910000000003E-2</v>
      </c>
      <c r="Y190" s="2">
        <f>Loss_modulus_G!Y190/1000000</f>
        <v>7.1683910000000003E-2</v>
      </c>
      <c r="Z190" s="2">
        <f>Loss_modulus_G!Z190/1000000</f>
        <v>9.049539999999999E-2</v>
      </c>
      <c r="AA190" s="236">
        <f>Loss_modulus_G!AA190/1000000</f>
        <v>0.10688473</v>
      </c>
      <c r="AB190" s="2"/>
    </row>
    <row r="191" spans="1:28" ht="15.75" customHeight="1">
      <c r="A191" s="228">
        <v>33</v>
      </c>
      <c r="B191" s="201">
        <v>3</v>
      </c>
      <c r="C191" s="476">
        <f>Loss_modulus_G!C191/1000000</f>
        <v>1.6295000000000002E-5</v>
      </c>
      <c r="D191" s="2">
        <f>Loss_modulus_G!D191/1000000</f>
        <v>4.0031999999999999E-5</v>
      </c>
      <c r="E191" s="2">
        <f>Loss_modulus_G!E191/1000000</f>
        <v>9.5129000000000003E-5</v>
      </c>
      <c r="F191" s="2">
        <f>Loss_modulus_G!F191/1000000</f>
        <v>1.79066E-4</v>
      </c>
      <c r="G191" s="2">
        <f>Loss_modulus_G!G191/1000000</f>
        <v>3.26027E-4</v>
      </c>
      <c r="H191" s="2">
        <f>Loss_modulus_G!H191/1000000</f>
        <v>5.9360000000000001E-4</v>
      </c>
      <c r="I191" s="2">
        <f>Loss_modulus_G!I191/1000000</f>
        <v>1.011159E-3</v>
      </c>
      <c r="J191" s="2">
        <f>Loss_modulus_G!J191/1000000</f>
        <v>1.507694E-3</v>
      </c>
      <c r="K191" s="2">
        <f>Loss_modulus_G!K191/1000000</f>
        <v>2.402829E-3</v>
      </c>
      <c r="L191" s="2">
        <f>Loss_modulus_G!L191/1000000</f>
        <v>3.5827530000000002E-3</v>
      </c>
      <c r="M191" s="2">
        <f>Loss_modulus_G!M191/1000000</f>
        <v>5.1671729999999997E-3</v>
      </c>
      <c r="N191" s="2">
        <f>Loss_modulus_G!N191/1000000</f>
        <v>7.4522799999999995E-3</v>
      </c>
      <c r="O191" s="2">
        <f>Loss_modulus_G!O191/1000000</f>
        <v>1.0747942E-2</v>
      </c>
      <c r="P191" s="2">
        <f>Loss_modulus_G!P191/1000000</f>
        <v>1.4502596999999999E-2</v>
      </c>
      <c r="Q191" s="2">
        <f>Loss_modulus_G!Q191/1000000</f>
        <v>1.8308409000000001E-2</v>
      </c>
      <c r="R191" s="2">
        <f>Loss_modulus_G!R191/1000000</f>
        <v>2.822295E-2</v>
      </c>
      <c r="S191" s="2">
        <f>Loss_modulus_G!S191/1000000</f>
        <v>3.5629294999999998E-2</v>
      </c>
      <c r="T191" s="2">
        <f>Loss_modulus_G!T191/1000000</f>
        <v>3.6835372000000005E-2</v>
      </c>
      <c r="U191" s="2">
        <f>Loss_modulus_G!U191/1000000</f>
        <v>4.2082000999999994E-2</v>
      </c>
      <c r="V191" s="2">
        <f>Loss_modulus_G!V191/1000000</f>
        <v>6.4870642000000006E-2</v>
      </c>
      <c r="W191" s="2">
        <f>Loss_modulus_G!W191/1000000</f>
        <v>7.4110462000000002E-2</v>
      </c>
      <c r="X191" s="2">
        <f>Loss_modulus_G!X191/1000000</f>
        <v>7.4110462000000002E-2</v>
      </c>
      <c r="Y191" s="2">
        <f>Loss_modulus_G!Y191/1000000</f>
        <v>8.4666351000000001E-2</v>
      </c>
      <c r="Z191" s="2">
        <f>Loss_modulus_G!Z191/1000000</f>
        <v>9.049539999999999E-2</v>
      </c>
      <c r="AA191" s="236">
        <f>Loss_modulus_G!AA191/1000000</f>
        <v>9.049539999999999E-2</v>
      </c>
      <c r="AB191" s="2"/>
    </row>
    <row r="192" spans="1:28" ht="15.75" customHeight="1">
      <c r="A192" s="228">
        <v>33</v>
      </c>
      <c r="B192" s="201">
        <v>4</v>
      </c>
      <c r="C192" s="476">
        <f>Loss_modulus_G!C192/1000000</f>
        <v>5.3718100000000007E-4</v>
      </c>
      <c r="D192" s="2">
        <f>Loss_modulus_G!D192/1000000</f>
        <v>7.4937400000000003E-4</v>
      </c>
      <c r="E192" s="2">
        <f>Loss_modulus_G!E192/1000000</f>
        <v>1.011159E-3</v>
      </c>
      <c r="F192" s="2">
        <f>Loss_modulus_G!F192/1000000</f>
        <v>1.1942860000000001E-3</v>
      </c>
      <c r="G192" s="2">
        <f>Loss_modulus_G!G192/1000000</f>
        <v>1.558731E-3</v>
      </c>
      <c r="H192" s="2">
        <f>Loss_modulus_G!H192/1000000</f>
        <v>2.0343879999999998E-3</v>
      </c>
      <c r="I192" s="2">
        <f>Loss_modulus_G!I192/1000000</f>
        <v>2.568257E-3</v>
      </c>
      <c r="J192" s="2">
        <f>Loss_modulus_G!J192/1000000</f>
        <v>3.5827530000000002E-3</v>
      </c>
      <c r="K192" s="2">
        <f>Loss_modulus_G!K192/1000000</f>
        <v>4.6760539999999998E-3</v>
      </c>
      <c r="L192" s="2">
        <f>Loss_modulus_G!L192/1000000</f>
        <v>6.3095730000000006E-3</v>
      </c>
      <c r="M192" s="2">
        <f>Loss_modulus_G!M192/1000000</f>
        <v>8.8019380000000005E-3</v>
      </c>
      <c r="N192" s="2">
        <f>Loss_modulus_G!N192/1000000</f>
        <v>1.1111767E-2</v>
      </c>
      <c r="O192" s="2">
        <f>Loss_modulus_G!O192/1000000</f>
        <v>1.6025784000000001E-2</v>
      </c>
      <c r="P192" s="2">
        <f>Loss_modulus_G!P192/1000000</f>
        <v>2.1624186E-2</v>
      </c>
      <c r="Q192" s="2">
        <f>Loss_modulus_G!Q192/1000000</f>
        <v>2.6405035E-2</v>
      </c>
      <c r="R192" s="2">
        <f>Loss_modulus_G!R192/1000000</f>
        <v>3.6835372000000005E-2</v>
      </c>
      <c r="S192" s="2">
        <f>Loss_modulus_G!S192/1000000</f>
        <v>4.6501811999999997E-2</v>
      </c>
      <c r="T192" s="2">
        <f>Loss_modulus_G!T192/1000000</f>
        <v>5.3125276999999999E-2</v>
      </c>
      <c r="U192" s="2">
        <f>Loss_modulus_G!U192/1000000</f>
        <v>5.8704947E-2</v>
      </c>
      <c r="V192" s="2">
        <f>Loss_modulus_G!V192/1000000</f>
        <v>8.7532367E-2</v>
      </c>
      <c r="W192" s="34">
        <f>Loss_modulus_G!W192/1000000</f>
        <v>9.6725763999999992E-2</v>
      </c>
      <c r="X192" s="34">
        <f>Loss_modulus_G!X192/1000000</f>
        <v>0.11050285400000001</v>
      </c>
      <c r="Y192" s="34">
        <f>Loss_modulus_G!Y192/1000000</f>
        <v>0.13950131899999998</v>
      </c>
      <c r="Z192" s="34">
        <f>Loss_modulus_G!Z192/1000000</f>
        <v>0.159371125</v>
      </c>
      <c r="AA192" s="237">
        <f>Loss_modulus_G!AA192/1000000</f>
        <v>0.22985067499999998</v>
      </c>
      <c r="AB192" s="2"/>
    </row>
    <row r="193" spans="1:27" ht="15.75" customHeight="1">
      <c r="A193" s="199">
        <v>34</v>
      </c>
      <c r="B193" s="200">
        <v>1</v>
      </c>
      <c r="C193" s="477">
        <f>Loss_modulus_G!C193/1000000</f>
        <v>8.3941000000000002E-5</v>
      </c>
      <c r="D193" s="234">
        <f>Loss_modulus_G!D193/1000000</f>
        <v>1.20746E-4</v>
      </c>
      <c r="E193" s="234">
        <f>Loss_modulus_G!E193/1000000</f>
        <v>1.8578299999999999E-4</v>
      </c>
      <c r="F193" s="234">
        <f>Loss_modulus_G!F193/1000000</f>
        <v>2.6723899999999995E-4</v>
      </c>
      <c r="G193" s="234">
        <f>Loss_modulus_G!G193/1000000</f>
        <v>4.1118299999999997E-4</v>
      </c>
      <c r="H193" s="234">
        <f>Loss_modulus_G!H193/1000000</f>
        <v>6.3265900000000004E-4</v>
      </c>
      <c r="I193" s="234">
        <f>Loss_modulus_G!I193/1000000</f>
        <v>9.6040899999999996E-4</v>
      </c>
      <c r="J193" s="234">
        <f>Loss_modulus_G!J193/1000000</f>
        <v>1.41921E-3</v>
      </c>
      <c r="K193" s="234">
        <f>Loss_modulus_G!K193/1000000</f>
        <v>2.1544350000000001E-3</v>
      </c>
      <c r="L193" s="234">
        <f>Loss_modulus_G!L193/1000000</f>
        <v>3.2705430000000003E-3</v>
      </c>
      <c r="M193" s="234">
        <f>Loss_modulus_G!M193/1000000</f>
        <v>4.7682889999999993E-3</v>
      </c>
      <c r="N193" s="234">
        <f>Loss_modulus_G!N193/1000000</f>
        <v>7.0461719999999999E-3</v>
      </c>
      <c r="O193" s="234">
        <f>Loss_modulus_G!O193/1000000</f>
        <v>9.734286E-3</v>
      </c>
      <c r="P193" s="234">
        <f>Loss_modulus_G!P193/1000000</f>
        <v>1.4002282E-2</v>
      </c>
      <c r="Q193" s="234">
        <f>Loss_modulus_G!Q193/1000000</f>
        <v>1.8329807E-2</v>
      </c>
      <c r="R193" s="234">
        <f>Loss_modulus_G!R193/1000000</f>
        <v>2.4320075E-2</v>
      </c>
      <c r="S193" s="234">
        <f>Loss_modulus_G!S193/1000000</f>
        <v>3.0575960999999999E-2</v>
      </c>
      <c r="T193" s="234">
        <f>Loss_modulus_G!T193/1000000</f>
        <v>3.8441057000000001E-2</v>
      </c>
      <c r="U193" s="234">
        <f>Loss_modulus_G!U193/1000000</f>
        <v>4.5182552000000001E-2</v>
      </c>
      <c r="V193" s="235">
        <f>Loss_modulus_G!V193/1000000</f>
        <v>5.1003777E-2</v>
      </c>
      <c r="W193" s="2"/>
      <c r="X193" s="2"/>
      <c r="Y193" s="2"/>
      <c r="Z193" s="2"/>
      <c r="AA193" s="2"/>
    </row>
    <row r="194" spans="1:27" ht="15.75" customHeight="1">
      <c r="A194" s="196">
        <v>34</v>
      </c>
      <c r="B194" s="201">
        <v>2</v>
      </c>
      <c r="C194" s="476">
        <f>Loss_modulus_G!C194/1000000</f>
        <v>1.2951799999999999E-4</v>
      </c>
      <c r="D194" s="2">
        <f>Loss_modulus_G!D194/1000000</f>
        <v>1.7980199999999998E-4</v>
      </c>
      <c r="E194" s="2">
        <f>Loss_modulus_G!E194/1000000</f>
        <v>2.5598800000000002E-4</v>
      </c>
      <c r="F194" s="2">
        <f>Loss_modulus_G!F194/1000000</f>
        <v>3.6908200000000001E-4</v>
      </c>
      <c r="G194" s="2">
        <f>Loss_modulus_G!G194/1000000</f>
        <v>5.4574099999999998E-4</v>
      </c>
      <c r="H194" s="2">
        <f>Loss_modulus_G!H194/1000000</f>
        <v>7.9683800000000002E-4</v>
      </c>
      <c r="I194" s="2">
        <f>Loss_modulus_G!I194/1000000</f>
        <v>1.2392260000000002E-3</v>
      </c>
      <c r="J194" s="2">
        <f>Loss_modulus_G!J194/1000000</f>
        <v>1.8556379999999999E-3</v>
      </c>
      <c r="K194" s="2">
        <f>Loss_modulus_G!K194/1000000</f>
        <v>2.709422E-3</v>
      </c>
      <c r="L194" s="2">
        <f>Loss_modulus_G!L194/1000000</f>
        <v>3.7613389999999998E-3</v>
      </c>
      <c r="M194" s="2">
        <f>Loss_modulus_G!M194/1000000</f>
        <v>5.1561879999999999E-3</v>
      </c>
      <c r="N194" s="2">
        <f>Loss_modulus_G!N194/1000000</f>
        <v>7.0683019999999994E-3</v>
      </c>
      <c r="O194" s="2">
        <f>Loss_modulus_G!O194/1000000</f>
        <v>8.6494060000000001E-3</v>
      </c>
      <c r="P194" s="2">
        <f>Loss_modulus_G!P194/1000000</f>
        <v>9.9371140000000004E-3</v>
      </c>
      <c r="Q194" s="2">
        <f>Loss_modulus_G!Q194/1000000</f>
        <v>1.0992485E-2</v>
      </c>
      <c r="R194" s="2">
        <f>Loss_modulus_G!R194/1000000</f>
        <v>1.1856939E-2</v>
      </c>
      <c r="S194" s="2">
        <f>Loss_modulus_G!S194/1000000</f>
        <v>1.2789375E-2</v>
      </c>
      <c r="T194" s="2">
        <f>Loss_modulus_G!T194/1000000</f>
        <v>1.4327300999999999E-2</v>
      </c>
      <c r="U194" s="2">
        <f>Loss_modulus_G!U194/1000000</f>
        <v>1.4509211999999999E-2</v>
      </c>
      <c r="V194" s="236">
        <f>Loss_modulus_G!V194/1000000</f>
        <v>1.4693433000000001E-2</v>
      </c>
      <c r="W194" s="2"/>
    </row>
    <row r="195" spans="1:27" ht="15.75" customHeight="1">
      <c r="A195" s="196">
        <v>34</v>
      </c>
      <c r="B195" s="201">
        <v>3</v>
      </c>
      <c r="C195" s="476">
        <f>Loss_modulus_G!C195/1000000</f>
        <v>2.12671E-4</v>
      </c>
      <c r="D195" s="2">
        <f>Loss_modulus_G!D195/1000000</f>
        <v>2.8648599999999997E-4</v>
      </c>
      <c r="E195" s="2">
        <f>Loss_modulus_G!E195/1000000</f>
        <v>4.0121300000000004E-4</v>
      </c>
      <c r="F195" s="2">
        <f>Loss_modulus_G!F195/1000000</f>
        <v>5.7663400000000002E-4</v>
      </c>
      <c r="G195" s="2">
        <f>Loss_modulus_G!G195/1000000</f>
        <v>7.8690300000000004E-4</v>
      </c>
      <c r="H195" s="2">
        <f>Loss_modulus_G!H195/1000000</f>
        <v>1.1606400000000001E-3</v>
      </c>
      <c r="I195" s="2">
        <f>Loss_modulus_G!I195/1000000</f>
        <v>1.6898499999999999E-3</v>
      </c>
      <c r="J195" s="2">
        <f>Loss_modulus_G!J195/1000000</f>
        <v>2.3665790000000002E-3</v>
      </c>
      <c r="K195" s="2">
        <f>Loss_modulus_G!K195/1000000</f>
        <v>3.445652E-3</v>
      </c>
      <c r="L195" s="2">
        <f>Loss_modulus_G!L195/1000000</f>
        <v>4.952176E-3</v>
      </c>
      <c r="M195" s="2">
        <f>Loss_modulus_G!M195/1000000</f>
        <v>6.9353590000000003E-3</v>
      </c>
      <c r="N195" s="2">
        <f>Loss_modulus_G!N195/1000000</f>
        <v>9.4643330000000001E-3</v>
      </c>
      <c r="O195" s="2">
        <f>Loss_modulus_G!O195/1000000</f>
        <v>1.2423200000000001E-2</v>
      </c>
      <c r="P195" s="2">
        <f>Loss_modulus_G!P195/1000000</f>
        <v>1.6097225999999999E-2</v>
      </c>
      <c r="Q195" s="2">
        <f>Loss_modulus_G!Q195/1000000</f>
        <v>1.9804556000000001E-2</v>
      </c>
      <c r="R195" s="2">
        <f>Loss_modulus_G!R195/1000000</f>
        <v>2.5005235000000001E-2</v>
      </c>
      <c r="S195" s="2">
        <f>Loss_modulus_G!S195/1000000</f>
        <v>3.0764155999999997E-2</v>
      </c>
      <c r="T195" s="2">
        <f>Loss_modulus_G!T195/1000000</f>
        <v>3.2822707E-2</v>
      </c>
      <c r="U195" s="2">
        <f>Loss_modulus_G!U195/1000000</f>
        <v>3.7362264999999999E-2</v>
      </c>
      <c r="V195" s="236"/>
      <c r="W195" s="2"/>
    </row>
    <row r="196" spans="1:27" ht="15.75" customHeight="1">
      <c r="A196" s="197">
        <v>34</v>
      </c>
      <c r="B196" s="202">
        <v>4</v>
      </c>
      <c r="C196" s="478">
        <f>Loss_modulus_G!C196/1000000</f>
        <v>1.9486449999999999E-3</v>
      </c>
      <c r="D196" s="34">
        <f>Loss_modulus_G!D196/1000000</f>
        <v>2.1336050000000002E-3</v>
      </c>
      <c r="E196" s="34">
        <f>Loss_modulus_G!E196/1000000</f>
        <v>2.4286939999999999E-3</v>
      </c>
      <c r="F196" s="34">
        <f>Loss_modulus_G!F196/1000000</f>
        <v>2.6938890000000001E-3</v>
      </c>
      <c r="G196" s="34">
        <f>Loss_modulus_G!G196/1000000</f>
        <v>3.027002E-3</v>
      </c>
      <c r="H196" s="34">
        <f>Loss_modulus_G!H196/1000000</f>
        <v>3.4905779999999998E-3</v>
      </c>
      <c r="I196" s="34">
        <f>Loss_modulus_G!I196/1000000</f>
        <v>3.9222049999999998E-3</v>
      </c>
      <c r="J196" s="34">
        <f>Loss_modulus_G!J196/1000000</f>
        <v>4.4646670000000003E-3</v>
      </c>
      <c r="K196" s="34">
        <f>Loss_modulus_G!K196/1000000</f>
        <v>5.1484170000000006E-3</v>
      </c>
      <c r="L196" s="34">
        <f>Loss_modulus_G!L196/1000000</f>
        <v>5.7850429999999993E-3</v>
      </c>
      <c r="M196" s="34">
        <f>Loss_modulus_G!M196/1000000</f>
        <v>6.5003919999999998E-3</v>
      </c>
      <c r="N196" s="34">
        <f>Loss_modulus_G!N196/1000000</f>
        <v>7.3041959999999998E-3</v>
      </c>
      <c r="O196" s="34">
        <f>Loss_modulus_G!O196/1000000</f>
        <v>8.1017620000000002E-3</v>
      </c>
      <c r="P196" s="34">
        <f>Loss_modulus_G!P196/1000000</f>
        <v>9.3425220000000007E-3</v>
      </c>
      <c r="Q196" s="34">
        <f>Loss_modulus_G!Q196/1000000</f>
        <v>1.0634642999999999E-2</v>
      </c>
      <c r="R196" s="34">
        <f>Loss_modulus_G!R196/1000000</f>
        <v>1.1494184999999999E-2</v>
      </c>
      <c r="S196" s="34">
        <f>Loss_modulus_G!S196/1000000</f>
        <v>1.2585178000000001E-2</v>
      </c>
      <c r="T196" s="34">
        <f>Loss_modulus_G!T196/1000000</f>
        <v>1.4141395000000001E-2</v>
      </c>
      <c r="U196" s="34">
        <f>Loss_modulus_G!U196/1000000</f>
        <v>1.5685534000000001E-2</v>
      </c>
      <c r="V196" s="237">
        <f>Loss_modulus_G!V196/1000000</f>
        <v>3.0368205000000002E-2</v>
      </c>
      <c r="W196" s="2"/>
    </row>
    <row r="197" spans="1:27" ht="15.75" customHeight="1">
      <c r="A197" s="228">
        <v>35</v>
      </c>
      <c r="B197" s="75">
        <v>1</v>
      </c>
      <c r="C197" s="476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7" ht="15.75" customHeight="1">
      <c r="A198" s="228">
        <v>35</v>
      </c>
      <c r="B198" s="75">
        <v>2</v>
      </c>
    </row>
    <row r="199" spans="1:27" ht="15.75" customHeight="1">
      <c r="A199" s="228">
        <v>35</v>
      </c>
      <c r="B199" s="75">
        <v>3</v>
      </c>
    </row>
    <row r="200" spans="1:27" ht="15.75" customHeight="1">
      <c r="A200" s="230">
        <v>35</v>
      </c>
      <c r="B200" s="231">
        <v>4</v>
      </c>
    </row>
    <row r="201" spans="1:27" ht="15.75" customHeight="1">
      <c r="A201" s="233">
        <v>36</v>
      </c>
      <c r="B201" s="75">
        <v>1</v>
      </c>
    </row>
    <row r="202" spans="1:27" ht="15.75" customHeight="1">
      <c r="A202" s="233">
        <v>36</v>
      </c>
      <c r="B202" s="75">
        <v>2</v>
      </c>
    </row>
    <row r="203" spans="1:27" ht="15.75" customHeight="1">
      <c r="A203" s="233">
        <v>36</v>
      </c>
      <c r="B203" s="75">
        <v>3</v>
      </c>
    </row>
    <row r="204" spans="1:27" ht="15.75" customHeight="1">
      <c r="A204" s="233">
        <v>36</v>
      </c>
      <c r="B204" s="75">
        <v>4</v>
      </c>
    </row>
    <row r="205" spans="1:27" ht="15.75" customHeight="1">
      <c r="A205" s="229">
        <v>37</v>
      </c>
      <c r="B205" s="200">
        <v>1</v>
      </c>
    </row>
    <row r="206" spans="1:27" ht="15.75" customHeight="1">
      <c r="A206" s="228">
        <v>37</v>
      </c>
      <c r="B206" s="201">
        <v>2</v>
      </c>
    </row>
    <row r="207" spans="1:27" ht="15.75" customHeight="1">
      <c r="A207" s="228">
        <v>37</v>
      </c>
      <c r="B207" s="201">
        <v>3</v>
      </c>
    </row>
    <row r="208" spans="1:27" ht="15.75" customHeight="1">
      <c r="A208" s="228">
        <v>37</v>
      </c>
      <c r="B208" s="201">
        <v>4</v>
      </c>
    </row>
    <row r="209" spans="1:2" ht="15.75" customHeight="1">
      <c r="A209" s="228">
        <v>37</v>
      </c>
      <c r="B209" s="201">
        <v>5</v>
      </c>
    </row>
    <row r="210" spans="1:2" ht="15.75" customHeight="1">
      <c r="A210" s="228">
        <v>37</v>
      </c>
      <c r="B210" s="201">
        <v>6</v>
      </c>
    </row>
    <row r="211" spans="1:2" ht="15.75" customHeight="1">
      <c r="A211" s="228">
        <v>37</v>
      </c>
      <c r="B211" s="201">
        <v>7</v>
      </c>
    </row>
    <row r="212" spans="1:2" ht="15.75" customHeight="1">
      <c r="A212" s="229">
        <v>38</v>
      </c>
      <c r="B212" s="74">
        <v>1</v>
      </c>
    </row>
    <row r="213" spans="1:2" ht="15.75" customHeight="1">
      <c r="A213" s="228">
        <v>38</v>
      </c>
      <c r="B213" s="75">
        <v>2</v>
      </c>
    </row>
    <row r="214" spans="1:2" ht="15.75" customHeight="1">
      <c r="A214" s="228">
        <v>38</v>
      </c>
      <c r="B214" s="75">
        <v>3</v>
      </c>
    </row>
    <row r="215" spans="1:2" ht="15.75" customHeight="1">
      <c r="A215" s="228">
        <v>38</v>
      </c>
      <c r="B215" s="75">
        <v>4</v>
      </c>
    </row>
    <row r="216" spans="1:2" ht="15.75" customHeight="1">
      <c r="A216" s="228">
        <v>38</v>
      </c>
      <c r="B216" s="75">
        <v>5</v>
      </c>
    </row>
    <row r="217" spans="1:2" ht="15.75" customHeight="1">
      <c r="A217" s="230">
        <v>38</v>
      </c>
      <c r="B217" s="231">
        <v>6</v>
      </c>
    </row>
    <row r="218" spans="1:2" ht="15.75" customHeight="1">
      <c r="A218" s="233">
        <v>39</v>
      </c>
      <c r="B218" s="75">
        <v>1</v>
      </c>
    </row>
    <row r="219" spans="1:2" ht="15.75" customHeight="1">
      <c r="A219" s="233">
        <v>39</v>
      </c>
      <c r="B219" s="75">
        <v>2</v>
      </c>
    </row>
    <row r="220" spans="1:2" ht="15.75" customHeight="1">
      <c r="A220" s="233">
        <v>39</v>
      </c>
      <c r="B220" s="75">
        <v>3</v>
      </c>
    </row>
    <row r="221" spans="1:2" ht="15.75" customHeight="1">
      <c r="A221" s="233">
        <v>39</v>
      </c>
      <c r="B221" s="75">
        <v>4</v>
      </c>
    </row>
    <row r="222" spans="1:2" ht="15.75" customHeight="1">
      <c r="A222" s="233">
        <v>39</v>
      </c>
      <c r="B222" s="75">
        <v>5</v>
      </c>
    </row>
    <row r="223" spans="1:2" ht="15.75" customHeight="1">
      <c r="A223" s="233">
        <v>39</v>
      </c>
      <c r="B223" s="75">
        <v>6</v>
      </c>
    </row>
    <row r="224" spans="1:2" ht="15.75" customHeight="1">
      <c r="A224" s="233">
        <v>39</v>
      </c>
      <c r="B224" s="75">
        <v>7</v>
      </c>
    </row>
    <row r="225" spans="1:27" ht="15.75" customHeight="1">
      <c r="A225" s="233">
        <v>39</v>
      </c>
      <c r="B225" s="75">
        <v>8</v>
      </c>
    </row>
    <row r="226" spans="1:27" ht="15.75" customHeight="1">
      <c r="A226" s="229">
        <v>40</v>
      </c>
      <c r="B226" s="74">
        <v>1</v>
      </c>
    </row>
    <row r="227" spans="1:27" ht="15.75" customHeight="1">
      <c r="A227" s="228">
        <v>40</v>
      </c>
      <c r="B227" s="75">
        <v>2</v>
      </c>
    </row>
    <row r="228" spans="1:27" ht="15.75" customHeight="1">
      <c r="A228" s="228">
        <v>40</v>
      </c>
      <c r="B228" s="75">
        <v>3</v>
      </c>
    </row>
    <row r="229" spans="1:27" ht="15.75" customHeight="1">
      <c r="A229" s="228">
        <v>40</v>
      </c>
      <c r="B229" s="75">
        <v>4</v>
      </c>
    </row>
    <row r="230" spans="1:27" ht="15.75" customHeight="1">
      <c r="A230" s="228">
        <v>40</v>
      </c>
      <c r="B230" s="75">
        <v>5</v>
      </c>
    </row>
    <row r="231" spans="1:27" ht="15.75" customHeight="1">
      <c r="A231" s="199">
        <v>41</v>
      </c>
      <c r="B231" s="200">
        <v>1</v>
      </c>
      <c r="C231" s="477">
        <v>16.030999999999999</v>
      </c>
      <c r="D231" s="234">
        <v>18.495999999999999</v>
      </c>
      <c r="E231" s="234">
        <v>23.587</v>
      </c>
      <c r="F231" s="234">
        <v>33.725000000000001</v>
      </c>
      <c r="G231" s="234">
        <v>49.619</v>
      </c>
      <c r="H231" s="234">
        <v>69.938999999999993</v>
      </c>
      <c r="I231" s="234">
        <v>100</v>
      </c>
      <c r="J231" s="234">
        <v>145.041</v>
      </c>
      <c r="K231" s="234">
        <v>201.53399999999999</v>
      </c>
      <c r="L231" s="234">
        <v>284.06400000000002</v>
      </c>
      <c r="M231" s="234">
        <v>394.70600000000002</v>
      </c>
      <c r="N231" s="234">
        <v>548.44200000000001</v>
      </c>
      <c r="O231" s="234">
        <v>762.05700000000002</v>
      </c>
      <c r="P231" s="234">
        <v>1074.1279999999999</v>
      </c>
      <c r="Q231" s="234">
        <v>1471.3019999999999</v>
      </c>
      <c r="R231" s="234">
        <v>1958.509</v>
      </c>
      <c r="S231" s="234">
        <v>2760.538</v>
      </c>
      <c r="T231" s="234">
        <v>3727.5940000000001</v>
      </c>
      <c r="U231" s="234">
        <v>5105.9260000000004</v>
      </c>
      <c r="V231" s="234">
        <v>6700.1880000000001</v>
      </c>
      <c r="W231" s="234">
        <v>9047.357</v>
      </c>
      <c r="X231" s="234">
        <v>11703.695</v>
      </c>
      <c r="Y231" s="234">
        <v>15358.026</v>
      </c>
      <c r="Z231" s="235">
        <v>17719.326000000001</v>
      </c>
      <c r="AA231" s="2"/>
    </row>
    <row r="232" spans="1:27" ht="15.75" customHeight="1">
      <c r="A232" s="196">
        <v>41</v>
      </c>
      <c r="B232" s="201">
        <v>2</v>
      </c>
      <c r="C232" s="476">
        <v>102.902</v>
      </c>
      <c r="D232" s="2">
        <v>151.399</v>
      </c>
      <c r="E232" s="2">
        <v>213.399</v>
      </c>
      <c r="F232" s="2">
        <v>305.12099999999998</v>
      </c>
      <c r="G232" s="2">
        <v>436.26600000000002</v>
      </c>
      <c r="H232" s="2">
        <v>597.58199999999999</v>
      </c>
      <c r="I232" s="2">
        <v>806.923</v>
      </c>
      <c r="J232" s="2">
        <v>1153.75</v>
      </c>
      <c r="K232" s="2">
        <v>1513.9939999999999</v>
      </c>
      <c r="L232" s="2">
        <v>2015.338</v>
      </c>
      <c r="M232" s="2">
        <v>2682.6959999999999</v>
      </c>
      <c r="N232" s="2">
        <v>3520.3339999999998</v>
      </c>
      <c r="O232" s="2">
        <v>4553.9170000000004</v>
      </c>
      <c r="P232" s="2">
        <v>6061.8990000000003</v>
      </c>
      <c r="Q232" s="2">
        <v>8069.2340000000004</v>
      </c>
      <c r="R232" s="2">
        <v>10588.751</v>
      </c>
      <c r="S232" s="2">
        <v>13503.14</v>
      </c>
      <c r="T232" s="2">
        <v>17719.326000000001</v>
      </c>
      <c r="U232" s="2">
        <v>22596.296999999999</v>
      </c>
      <c r="V232" s="2">
        <v>28406.397000000001</v>
      </c>
      <c r="W232" s="2">
        <v>35710.425999999999</v>
      </c>
      <c r="X232" s="2">
        <v>45539.167999999998</v>
      </c>
      <c r="Y232" s="2">
        <v>55634.17</v>
      </c>
      <c r="Z232" s="236">
        <v>61492.178</v>
      </c>
      <c r="AA232" s="2"/>
    </row>
    <row r="233" spans="1:27" ht="15.75" customHeight="1">
      <c r="A233" s="196">
        <v>41</v>
      </c>
      <c r="B233" s="201">
        <v>3</v>
      </c>
      <c r="C233" s="476">
        <v>1014.405</v>
      </c>
      <c r="D233" s="2">
        <v>1239.2750000000001</v>
      </c>
      <c r="E233" s="2">
        <v>1513.9939999999999</v>
      </c>
      <c r="F233" s="2">
        <v>1797.4559999999999</v>
      </c>
      <c r="G233" s="2">
        <v>2259.63</v>
      </c>
      <c r="H233" s="2">
        <v>3051.21</v>
      </c>
      <c r="I233" s="2">
        <v>3891.0079999999998</v>
      </c>
      <c r="J233" s="2">
        <v>5033.4219999999996</v>
      </c>
      <c r="K233" s="2">
        <v>6418.7939999999999</v>
      </c>
      <c r="L233" s="2">
        <v>8069.2340000000004</v>
      </c>
      <c r="M233" s="2">
        <v>10438.391</v>
      </c>
      <c r="N233" s="2">
        <v>13122.374</v>
      </c>
      <c r="O233" s="2">
        <v>16734.105</v>
      </c>
      <c r="P233" s="2">
        <v>20738.157999999999</v>
      </c>
      <c r="Q233" s="2">
        <v>26826.957999999999</v>
      </c>
      <c r="R233" s="2">
        <v>34210.663</v>
      </c>
      <c r="S233" s="2">
        <v>43007.120999999999</v>
      </c>
      <c r="T233" s="2">
        <v>54065.379000000001</v>
      </c>
      <c r="U233" s="2">
        <v>67001.875</v>
      </c>
      <c r="V233" s="2">
        <v>77303.429000000004</v>
      </c>
      <c r="W233" s="2">
        <v>87922.369000000006</v>
      </c>
      <c r="X233" s="2">
        <v>105887.50599999999</v>
      </c>
      <c r="Y233" s="2">
        <v>133113.96</v>
      </c>
      <c r="Z233" s="236">
        <v>210368.818</v>
      </c>
      <c r="AA233" s="2"/>
    </row>
    <row r="234" spans="1:27" ht="15.75" customHeight="1">
      <c r="A234" s="196">
        <v>41</v>
      </c>
      <c r="B234" s="201">
        <v>4</v>
      </c>
      <c r="C234" s="476">
        <v>10144.045</v>
      </c>
      <c r="D234" s="2">
        <v>10290.165999999999</v>
      </c>
      <c r="E234" s="2">
        <v>10588.751</v>
      </c>
      <c r="F234" s="2">
        <v>10896</v>
      </c>
      <c r="G234" s="2">
        <v>11052.950999999999</v>
      </c>
      <c r="H234" s="2">
        <v>11703.695</v>
      </c>
      <c r="I234" s="2">
        <v>12216.772999999999</v>
      </c>
      <c r="J234" s="2">
        <v>12936.037</v>
      </c>
      <c r="K234" s="2">
        <v>14095.105</v>
      </c>
      <c r="L234" s="2">
        <v>15358.026</v>
      </c>
      <c r="M234" s="2">
        <v>17467.712</v>
      </c>
      <c r="N234" s="2">
        <v>19585.084999999999</v>
      </c>
      <c r="O234" s="2">
        <v>22596.296999999999</v>
      </c>
      <c r="P234" s="2">
        <v>27213.387999999999</v>
      </c>
      <c r="Q234" s="2">
        <v>30951.609</v>
      </c>
      <c r="R234" s="2">
        <v>35203.338000000003</v>
      </c>
      <c r="S234" s="2">
        <v>42396.421000000002</v>
      </c>
      <c r="T234" s="2">
        <v>51794.747000000003</v>
      </c>
      <c r="U234" s="2">
        <v>62377.944000000003</v>
      </c>
      <c r="V234" s="2">
        <v>71968.566999999995</v>
      </c>
      <c r="W234" s="2">
        <v>85443.104000000007</v>
      </c>
      <c r="X234" s="2">
        <v>105887.50599999999</v>
      </c>
      <c r="Y234" s="2">
        <v>133113.96</v>
      </c>
      <c r="Z234" s="236">
        <v>195850.85200000001</v>
      </c>
      <c r="AA234" s="2"/>
    </row>
    <row r="235" spans="1:27" ht="15.75" customHeight="1">
      <c r="A235" s="196">
        <v>41</v>
      </c>
      <c r="B235" s="201">
        <v>5</v>
      </c>
      <c r="C235" s="476">
        <v>23926.654999999999</v>
      </c>
      <c r="D235" s="2">
        <v>22596.296999999999</v>
      </c>
      <c r="E235" s="2">
        <v>21339.907999999999</v>
      </c>
      <c r="F235" s="2">
        <v>21339.907999999999</v>
      </c>
      <c r="G235" s="2">
        <v>21339.907999999999</v>
      </c>
      <c r="H235" s="2">
        <v>20443.677</v>
      </c>
      <c r="I235" s="2">
        <v>22596.296999999999</v>
      </c>
      <c r="J235" s="2">
        <v>22596.296999999999</v>
      </c>
      <c r="K235" s="2">
        <v>22921.786</v>
      </c>
      <c r="L235" s="2">
        <v>24620.923999999999</v>
      </c>
      <c r="M235" s="2">
        <v>27213.387999999999</v>
      </c>
      <c r="N235" s="2">
        <v>29230.651999999998</v>
      </c>
      <c r="O235" s="2">
        <v>33245.978999999999</v>
      </c>
      <c r="P235" s="2">
        <v>36746.618999999999</v>
      </c>
      <c r="Q235" s="2">
        <v>41794.392</v>
      </c>
      <c r="R235" s="2">
        <v>48220.29</v>
      </c>
      <c r="S235" s="2">
        <v>54844.165999999997</v>
      </c>
      <c r="T235" s="2">
        <v>64187.936999999998</v>
      </c>
      <c r="U235" s="2">
        <v>71968.566999999995</v>
      </c>
      <c r="V235" s="2">
        <v>85443.104000000007</v>
      </c>
      <c r="W235" s="2">
        <v>102901.655</v>
      </c>
      <c r="X235" s="2">
        <v>122167.735</v>
      </c>
      <c r="Y235" s="2">
        <v>222754.29500000001</v>
      </c>
      <c r="Z235" s="236">
        <v>347034.51500000001</v>
      </c>
      <c r="AA235" s="2"/>
    </row>
    <row r="236" spans="1:27" ht="15.75" customHeight="1">
      <c r="A236" s="196">
        <v>41</v>
      </c>
      <c r="B236" s="201">
        <v>6</v>
      </c>
      <c r="C236" s="476">
        <v>147130.21299999999</v>
      </c>
      <c r="D236" s="2">
        <v>125712.621</v>
      </c>
      <c r="E236" s="2">
        <v>110529.514</v>
      </c>
      <c r="F236" s="2">
        <v>97180.167000000001</v>
      </c>
      <c r="G236" s="2">
        <v>94439.847999999998</v>
      </c>
      <c r="H236" s="2">
        <v>86673.872000000003</v>
      </c>
      <c r="I236" s="2">
        <v>84229.812999999995</v>
      </c>
      <c r="J236" s="2">
        <v>77303.429000000004</v>
      </c>
      <c r="K236" s="2">
        <v>74056.846999999994</v>
      </c>
      <c r="L236" s="2">
        <v>70946.615000000005</v>
      </c>
      <c r="M236" s="2">
        <v>68946.038</v>
      </c>
      <c r="N236" s="2">
        <v>66050.448999999993</v>
      </c>
      <c r="O236" s="2">
        <v>67967.005999999994</v>
      </c>
      <c r="P236" s="2">
        <v>67967.005999999994</v>
      </c>
      <c r="Q236" s="2">
        <v>69939.173999999999</v>
      </c>
      <c r="R236" s="2">
        <v>67967.005999999994</v>
      </c>
      <c r="S236" s="2">
        <v>76205.721000000005</v>
      </c>
      <c r="T236" s="2">
        <v>78416.948000000004</v>
      </c>
      <c r="U236" s="2">
        <v>83033.751000000004</v>
      </c>
      <c r="V236" s="2">
        <v>85443.104000000007</v>
      </c>
      <c r="W236" s="2">
        <v>102901.655</v>
      </c>
      <c r="X236" s="34">
        <v>85443.104000000007</v>
      </c>
      <c r="Y236" s="34">
        <v>158036.63099999999</v>
      </c>
      <c r="Z236" s="237">
        <v>296517.06300000002</v>
      </c>
      <c r="AA236" s="2"/>
    </row>
    <row r="237" spans="1:27" ht="15.75" customHeight="1">
      <c r="A237" s="199">
        <v>42</v>
      </c>
      <c r="B237" s="200" t="s">
        <v>221</v>
      </c>
      <c r="C237" s="477">
        <f>Loss_modulus_G!C237/1000000</f>
        <v>6.0701E-5</v>
      </c>
      <c r="D237" s="234">
        <f>Loss_modulus_G!D237/1000000</f>
        <v>1.0846599999999999E-4</v>
      </c>
      <c r="E237" s="234">
        <f>Loss_modulus_G!E237/1000000</f>
        <v>1.7662799999999999E-4</v>
      </c>
      <c r="F237" s="234">
        <f>Loss_modulus_G!F237/1000000</f>
        <v>2.9437899999999999E-4</v>
      </c>
      <c r="G237" s="234">
        <f>Loss_modulus_G!G237/1000000</f>
        <v>4.4711600000000001E-4</v>
      </c>
      <c r="H237" s="234">
        <f>Loss_modulus_G!H237/1000000</f>
        <v>7.1137900000000005E-4</v>
      </c>
      <c r="I237" s="234">
        <f>Loss_modulus_G!I237/1000000</f>
        <v>1.105853E-3</v>
      </c>
      <c r="J237" s="234">
        <f>Loss_modulus_G!J237/1000000</f>
        <v>1.6410660000000001E-3</v>
      </c>
      <c r="K237" s="234">
        <f>Loss_modulus_G!K237/1000000</f>
        <v>2.4925199999999998E-3</v>
      </c>
      <c r="L237" s="234">
        <f>Loss_modulus_G!L237/1000000</f>
        <v>3.4499679999999999E-3</v>
      </c>
      <c r="M237" s="234">
        <f>Loss_modulus_G!M237/1000000</f>
        <v>5.3630489999999999E-3</v>
      </c>
      <c r="N237" s="234">
        <f>Loss_modulus_G!N237/1000000</f>
        <v>7.9586670000000009E-3</v>
      </c>
      <c r="O237" s="234">
        <f>Loss_modulus_G!O237/1000000</f>
        <v>1.1274592E-2</v>
      </c>
      <c r="P237" s="234">
        <f>Loss_modulus_G!P237/1000000</f>
        <v>1.5972075000000002E-2</v>
      </c>
      <c r="Q237" s="234">
        <f>Loss_modulus_G!Q237/1000000</f>
        <v>2.3702269000000002E-2</v>
      </c>
      <c r="R237" s="234">
        <f>Loss_modulus_G!R237/1000000</f>
        <v>3.1318310000000002E-2</v>
      </c>
      <c r="S237" s="234">
        <f>Loss_modulus_G!S237/1000000</f>
        <v>4.3348571000000002E-2</v>
      </c>
      <c r="T237" s="234">
        <f>Loss_modulus_G!T237/1000000</f>
        <v>4.8684976000000005E-2</v>
      </c>
      <c r="U237" s="234">
        <f>Loss_modulus_G!U237/1000000</f>
        <v>6.4328491000000002E-2</v>
      </c>
      <c r="V237" s="234">
        <f>Loss_modulus_G!V237/1000000</f>
        <v>6.2852033000000002E-2</v>
      </c>
      <c r="W237" s="235">
        <f>Loss_modulus_G!W237/1000000</f>
        <v>5.7277386E-2</v>
      </c>
      <c r="X237" s="2"/>
      <c r="Y237" s="2"/>
      <c r="Z237" s="2"/>
    </row>
    <row r="238" spans="1:27" ht="15.75" customHeight="1">
      <c r="A238" s="196">
        <v>42</v>
      </c>
      <c r="B238" s="201" t="s">
        <v>222</v>
      </c>
      <c r="C238" s="476">
        <f>Loss_modulus_G!C238/1000000</f>
        <v>1.01168E-4</v>
      </c>
      <c r="D238" s="2">
        <f>Loss_modulus_G!D238/1000000</f>
        <v>1.7662799999999999E-4</v>
      </c>
      <c r="E238" s="2">
        <f>Loss_modulus_G!E238/1000000</f>
        <v>2.8762299999999998E-4</v>
      </c>
      <c r="F238" s="2">
        <f>Loss_modulus_G!F238/1000000</f>
        <v>4.6836900000000006E-4</v>
      </c>
      <c r="G238" s="2">
        <f>Loss_modulus_G!G238/1000000</f>
        <v>6.6351199999999989E-4</v>
      </c>
      <c r="H238" s="2">
        <f>Loss_modulus_G!H238/1000000</f>
        <v>9.6203999999999994E-4</v>
      </c>
      <c r="I238" s="2">
        <f>Loss_modulus_G!I238/1000000</f>
        <v>1.6034010000000002E-3</v>
      </c>
      <c r="J238" s="2">
        <f>Loss_modulus_G!J238/1000000</f>
        <v>2.1683750000000002E-3</v>
      </c>
      <c r="K238" s="2">
        <f>Loss_modulus_G!K238/1000000</f>
        <v>3.2178290000000002E-3</v>
      </c>
      <c r="L238" s="2">
        <f>Loss_modulus_G!L238/1000000</f>
        <v>4.5585159999999994E-3</v>
      </c>
      <c r="M238" s="2">
        <f>Loss_modulus_G!M238/1000000</f>
        <v>6.6094919999999998E-3</v>
      </c>
      <c r="N238" s="2">
        <f>Loss_modulus_G!N238/1000000</f>
        <v>9.3632919999999988E-3</v>
      </c>
      <c r="O238" s="2">
        <f>Loss_modulus_G!O238/1000000</f>
        <v>1.4221362E-2</v>
      </c>
      <c r="P238" s="2">
        <f>Loss_modulus_G!P238/1000000</f>
        <v>1.9684193999999999E-2</v>
      </c>
      <c r="Q238" s="2">
        <f>Loss_modulus_G!Q238/1000000</f>
        <v>2.7885482E-2</v>
      </c>
      <c r="R238" s="2">
        <f>Loss_modulus_G!R238/1000000</f>
        <v>4.0431764000000002E-2</v>
      </c>
      <c r="S238" s="2">
        <f>Loss_modulus_G!S238/1000000</f>
        <v>5.2197182000000002E-2</v>
      </c>
      <c r="T238" s="2">
        <f>Loss_modulus_G!T238/1000000</f>
        <v>7.0589400999999996E-2</v>
      </c>
      <c r="U238" s="2">
        <f>Loss_modulus_G!U238/1000000</f>
        <v>6.4328491000000002E-2</v>
      </c>
      <c r="V238" s="2">
        <f>Loss_modulus_G!V238/1000000</f>
        <v>7.5681824999999994E-2</v>
      </c>
      <c r="W238" s="236">
        <f>Loss_modulus_G!W238/1000000</f>
        <v>7.9279274000000011E-2</v>
      </c>
      <c r="X238" s="2"/>
    </row>
    <row r="239" spans="1:27" ht="15.75" customHeight="1">
      <c r="A239" s="196">
        <v>42</v>
      </c>
      <c r="B239" s="201" t="s">
        <v>223</v>
      </c>
      <c r="C239" s="476">
        <f>Loss_modulus_G!C239/1000000</f>
        <v>4.6836900000000006E-4</v>
      </c>
      <c r="D239" s="2">
        <f>Loss_modulus_G!D239/1000000</f>
        <v>6.3340399999999995E-4</v>
      </c>
      <c r="E239" s="2">
        <f>Loss_modulus_G!E239/1000000</f>
        <v>8.7671199999999998E-4</v>
      </c>
      <c r="F239" s="2">
        <f>Loss_modulus_G!F239/1000000</f>
        <v>1.1584190000000002E-3</v>
      </c>
      <c r="G239" s="2">
        <f>Loss_modulus_G!G239/1000000</f>
        <v>1.7190719999999999E-3</v>
      </c>
      <c r="H239" s="2">
        <f>Loss_modulus_G!H239/1000000</f>
        <v>2.3248049999999997E-3</v>
      </c>
      <c r="I239" s="2">
        <f>Loss_modulus_G!I239/1000000</f>
        <v>3.2178290000000002E-3</v>
      </c>
      <c r="J239" s="2">
        <f>Loss_modulus_G!J239/1000000</f>
        <v>4.8873750000000002E-3</v>
      </c>
      <c r="K239" s="2">
        <f>Loss_modulus_G!K239/1000000</f>
        <v>6.7647549999999999E-3</v>
      </c>
      <c r="L239" s="2">
        <f>Loss_modulus_G!L239/1000000</f>
        <v>9.1483870000000009E-3</v>
      </c>
      <c r="M239" s="2">
        <f>Loss_modulus_G!M239/1000000</f>
        <v>1.3264445E-2</v>
      </c>
      <c r="N239" s="2">
        <f>Loss_modulus_G!N239/1000000</f>
        <v>1.8359699E-2</v>
      </c>
      <c r="O239" s="2">
        <f>Loss_modulus_G!O239/1000000</f>
        <v>2.4259058999999999E-2</v>
      </c>
      <c r="P239" s="2">
        <f>Loss_modulus_G!P239/1000000</f>
        <v>3.5173734999999998E-2</v>
      </c>
      <c r="Q239" s="2">
        <f>Loss_modulus_G!Q239/1000000</f>
        <v>4.8684976000000005E-2</v>
      </c>
      <c r="R239" s="2">
        <f>Loss_modulus_G!R239/1000000</f>
        <v>5.5962764000000005E-2</v>
      </c>
      <c r="S239" s="2">
        <f>Loss_modulus_G!S239/1000000</f>
        <v>6.4328491000000002E-2</v>
      </c>
      <c r="T239" s="2">
        <f>Loss_modulus_G!T239/1000000</f>
        <v>6.4328491000000002E-2</v>
      </c>
      <c r="U239" s="2">
        <f>Loss_modulus_G!U239/1000000</f>
        <v>6.2852033000000002E-2</v>
      </c>
      <c r="V239" s="2">
        <f>Loss_modulus_G!V239/1000000</f>
        <v>6.7386271999999997E-2</v>
      </c>
      <c r="W239" s="236">
        <f>Loss_modulus_G!W239/1000000</f>
        <v>6.8969243E-2</v>
      </c>
      <c r="X239" s="2"/>
    </row>
    <row r="240" spans="1:27" ht="15.75" customHeight="1">
      <c r="A240" s="196">
        <v>42</v>
      </c>
      <c r="B240" s="201" t="s">
        <v>225</v>
      </c>
      <c r="C240" s="476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36"/>
      <c r="X240" s="2"/>
    </row>
    <row r="241" spans="1:24" ht="15.75" customHeight="1">
      <c r="A241" s="196">
        <v>42</v>
      </c>
      <c r="B241" s="201" t="s">
        <v>226</v>
      </c>
      <c r="C241" s="476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36"/>
      <c r="X241" s="2"/>
    </row>
    <row r="242" spans="1:24" ht="15.75" customHeight="1">
      <c r="A242" s="197">
        <v>42</v>
      </c>
      <c r="B242" s="202" t="s">
        <v>227</v>
      </c>
      <c r="C242" s="478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237"/>
      <c r="X242" s="2"/>
    </row>
    <row r="243" spans="1:24" ht="15.75" customHeight="1">
      <c r="A243" s="229">
        <v>43</v>
      </c>
      <c r="B243" s="74">
        <v>1</v>
      </c>
    </row>
    <row r="244" spans="1:24" ht="15.75" customHeight="1">
      <c r="A244" s="228">
        <v>43</v>
      </c>
      <c r="B244" s="75">
        <v>2</v>
      </c>
    </row>
    <row r="245" spans="1:24" ht="15.75" customHeight="1">
      <c r="A245" s="230">
        <v>43</v>
      </c>
      <c r="B245" s="231">
        <v>3</v>
      </c>
    </row>
    <row r="246" spans="1:24" ht="15.75" customHeight="1">
      <c r="A246" s="229">
        <v>44</v>
      </c>
      <c r="B246" s="74" t="s">
        <v>221</v>
      </c>
    </row>
    <row r="247" spans="1:24" ht="15.75" customHeight="1">
      <c r="A247" s="228">
        <v>44</v>
      </c>
      <c r="B247" s="75" t="s">
        <v>222</v>
      </c>
    </row>
    <row r="248" spans="1:24" ht="15.75" customHeight="1">
      <c r="A248" s="228">
        <v>44</v>
      </c>
      <c r="B248" s="75" t="s">
        <v>223</v>
      </c>
    </row>
    <row r="249" spans="1:24" ht="15.75" customHeight="1">
      <c r="A249" s="228">
        <v>44</v>
      </c>
      <c r="B249" s="75" t="s">
        <v>224</v>
      </c>
    </row>
    <row r="250" spans="1:24" ht="15.75" customHeight="1">
      <c r="A250" s="228">
        <v>44</v>
      </c>
      <c r="B250" s="75" t="s">
        <v>229</v>
      </c>
    </row>
    <row r="251" spans="1:24" ht="15.75" customHeight="1">
      <c r="A251" s="228">
        <v>44</v>
      </c>
      <c r="B251" s="75" t="s">
        <v>225</v>
      </c>
    </row>
    <row r="252" spans="1:24" ht="15.75" customHeight="1">
      <c r="A252" s="228">
        <v>44</v>
      </c>
      <c r="B252" s="75" t="s">
        <v>226</v>
      </c>
    </row>
    <row r="253" spans="1:24" ht="15.75" customHeight="1">
      <c r="A253" s="228">
        <v>44</v>
      </c>
      <c r="B253" s="75" t="s">
        <v>227</v>
      </c>
    </row>
    <row r="254" spans="1:24" ht="15.75" customHeight="1">
      <c r="A254" s="228">
        <v>44</v>
      </c>
      <c r="B254" s="75" t="s">
        <v>228</v>
      </c>
    </row>
    <row r="255" spans="1:24" ht="15.75" customHeight="1">
      <c r="A255" s="228">
        <v>44</v>
      </c>
      <c r="B255" s="75" t="s">
        <v>230</v>
      </c>
      <c r="C255" s="476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24" ht="15.75" customHeight="1">
      <c r="A256" s="199">
        <v>45</v>
      </c>
      <c r="B256" s="200" t="s">
        <v>221</v>
      </c>
      <c r="C256" s="483">
        <f>Loss_modulus_G!C256/1000000</f>
        <v>1.9570000000000001E-6</v>
      </c>
      <c r="D256" s="234">
        <f>Loss_modulus_G!D256/1000000</f>
        <v>4.3540000000000002E-6</v>
      </c>
      <c r="E256" s="234">
        <f>Loss_modulus_G!E256/1000000</f>
        <v>8.799E-6</v>
      </c>
      <c r="F256" s="234">
        <f>Loss_modulus_G!F256/1000000</f>
        <v>1.6681000000000002E-5</v>
      </c>
      <c r="G256" s="234">
        <f>Loss_modulus_G!G256/1000000</f>
        <v>3.3176999999999998E-5</v>
      </c>
      <c r="H256" s="234">
        <f>Loss_modulus_G!H256/1000000</f>
        <v>7.0343000000000001E-5</v>
      </c>
      <c r="I256" s="234">
        <f>Loss_modulus_G!I256/1000000</f>
        <v>1.5155000000000002E-4</v>
      </c>
      <c r="J256" s="234">
        <f>Loss_modulus_G!J256/1000000</f>
        <v>3.5938099999999998E-4</v>
      </c>
      <c r="K256" s="234">
        <f>Loss_modulus_G!K256/1000000</f>
        <v>8.1231100000000002E-4</v>
      </c>
      <c r="L256" s="234">
        <f>Loss_modulus_G!L256/1000000</f>
        <v>1E-3</v>
      </c>
      <c r="M256" s="234"/>
      <c r="N256" s="234"/>
      <c r="O256" s="234"/>
      <c r="P256" s="234"/>
      <c r="Q256" s="234"/>
      <c r="R256" s="235"/>
      <c r="S256" s="2"/>
    </row>
    <row r="257" spans="1:19" ht="15.75" customHeight="1">
      <c r="A257" s="196">
        <v>45</v>
      </c>
      <c r="B257" s="201" t="s">
        <v>222</v>
      </c>
      <c r="C257" s="484">
        <f>Loss_modulus_G!C257/1000000</f>
        <v>7.3799999999999996E-6</v>
      </c>
      <c r="D257" s="2">
        <f>Loss_modulus_G!D257/1000000</f>
        <v>1.3769E-5</v>
      </c>
      <c r="E257" s="2">
        <f>Loss_modulus_G!E257/1000000</f>
        <v>2.8274000000000001E-5</v>
      </c>
      <c r="F257" s="2">
        <f>Loss_modulus_G!F257/1000000</f>
        <v>5.6234000000000004E-5</v>
      </c>
      <c r="G257" s="2">
        <f>Loss_modulus_G!G257/1000000</f>
        <v>1.19231E-4</v>
      </c>
      <c r="H257" s="2">
        <f>Loss_modulus_G!H257/1000000</f>
        <v>2.6101600000000004E-4</v>
      </c>
      <c r="I257" s="2">
        <f>Loss_modulus_G!I257/1000000</f>
        <v>5.71406E-4</v>
      </c>
      <c r="J257" s="2">
        <f>Loss_modulus_G!J257/1000000</f>
        <v>1.0491400000000001E-3</v>
      </c>
      <c r="K257" s="2">
        <f>Loss_modulus_G!K257/1000000</f>
        <v>1.9888919999999999E-3</v>
      </c>
      <c r="L257" s="2">
        <f>Loss_modulus_G!L257/1000000</f>
        <v>3.2132489999999996E-3</v>
      </c>
      <c r="M257" s="2"/>
      <c r="N257" s="2"/>
      <c r="O257" s="2"/>
      <c r="P257" s="2"/>
      <c r="Q257" s="2"/>
      <c r="R257" s="236"/>
      <c r="S257" s="2"/>
    </row>
    <row r="258" spans="1:19" ht="15.75" customHeight="1">
      <c r="A258" s="196">
        <v>45</v>
      </c>
      <c r="B258" s="201" t="s">
        <v>223</v>
      </c>
      <c r="C258" s="484">
        <f>Loss_modulus_G!C258/1000000</f>
        <v>2.1203E-5</v>
      </c>
      <c r="D258" s="2">
        <f>Loss_modulus_G!D258/1000000</f>
        <v>4.2170000000000005E-5</v>
      </c>
      <c r="E258" s="2">
        <f>Loss_modulus_G!E258/1000000</f>
        <v>7.9943000000000004E-5</v>
      </c>
      <c r="F258" s="2">
        <f>Loss_modulus_G!F258/1000000</f>
        <v>1.6681000000000001E-4</v>
      </c>
      <c r="G258" s="2">
        <f>Loss_modulus_G!G258/1000000</f>
        <v>3.3711500000000003E-4</v>
      </c>
      <c r="H258" s="2">
        <f>Loss_modulus_G!H258/1000000</f>
        <v>7.14771E-4</v>
      </c>
      <c r="I258" s="2">
        <f>Loss_modulus_G!I258/1000000</f>
        <v>1.58997E-3</v>
      </c>
      <c r="J258" s="2">
        <f>Loss_modulus_G!J258/1000000</f>
        <v>2.3337570000000001E-3</v>
      </c>
      <c r="K258" s="2">
        <f>Loss_modulus_G!K258/1000000</f>
        <v>4.0842389999999999E-3</v>
      </c>
      <c r="L258" s="2">
        <f>Loss_modulus_G!L258/1000000</f>
        <v>6.2894269999999993E-3</v>
      </c>
      <c r="M258" s="2"/>
      <c r="N258" s="2"/>
      <c r="O258" s="2"/>
      <c r="P258" s="2"/>
      <c r="Q258" s="2"/>
      <c r="R258" s="236"/>
      <c r="S258" s="2"/>
    </row>
    <row r="259" spans="1:19" ht="15.75" customHeight="1">
      <c r="A259" s="196">
        <v>45</v>
      </c>
      <c r="B259" s="201" t="s">
        <v>224</v>
      </c>
      <c r="C259" s="484">
        <f>Loss_modulus_G!C259/1000000</f>
        <v>7.7426E-5</v>
      </c>
      <c r="D259" s="2">
        <f>Loss_modulus_G!D259/1000000</f>
        <v>1.3990500000000001E-4</v>
      </c>
      <c r="E259" s="2">
        <f>Loss_modulus_G!E259/1000000</f>
        <v>2.56875E-4</v>
      </c>
      <c r="F259" s="2">
        <f>Loss_modulus_G!F259/1000000</f>
        <v>4.7164100000000002E-4</v>
      </c>
      <c r="G259" s="2">
        <f>Loss_modulus_G!G259/1000000</f>
        <v>8.659640000000001E-4</v>
      </c>
      <c r="H259" s="2">
        <f>Loss_modulus_G!H259/1000000</f>
        <v>1.6949880000000001E-3</v>
      </c>
      <c r="I259" s="2">
        <f>Loss_modulus_G!I259/1000000</f>
        <v>3.1622779999999997E-3</v>
      </c>
      <c r="J259" s="2">
        <f>Loss_modulus_G!J259/1000000</f>
        <v>5.274997E-3</v>
      </c>
      <c r="K259" s="2">
        <f>Loss_modulus_G!K259/1000000</f>
        <v>8.9410580000000017E-3</v>
      </c>
      <c r="L259" s="2">
        <f>Loss_modulus_G!L259/1000000</f>
        <v>1.5647481000000001E-2</v>
      </c>
      <c r="M259" s="2"/>
      <c r="N259" s="2"/>
      <c r="O259" s="2"/>
      <c r="P259" s="2"/>
      <c r="Q259" s="2"/>
      <c r="R259" s="236"/>
      <c r="S259" s="2"/>
    </row>
    <row r="260" spans="1:19" ht="15.75" customHeight="1">
      <c r="A260" s="196">
        <v>45</v>
      </c>
      <c r="B260" s="201" t="s">
        <v>225</v>
      </c>
      <c r="C260" s="484">
        <v>273.56299999999999</v>
      </c>
      <c r="D260" s="2">
        <v>187.06899999999999</v>
      </c>
      <c r="E260" s="2">
        <v>179.023</v>
      </c>
      <c r="F260" s="2">
        <v>197.126</v>
      </c>
      <c r="G260" s="2">
        <v>227.29900000000001</v>
      </c>
      <c r="H260" s="2">
        <v>287.64400000000001</v>
      </c>
      <c r="I260" s="2">
        <v>329.88499999999999</v>
      </c>
      <c r="J260" s="2">
        <v>237.35599999999999</v>
      </c>
      <c r="K260" s="2">
        <v>128.73599999999999</v>
      </c>
      <c r="L260" s="2">
        <v>82.471000000000004</v>
      </c>
      <c r="M260" s="2">
        <v>76.436999999999998</v>
      </c>
      <c r="N260" s="2">
        <v>82.471000000000004</v>
      </c>
      <c r="O260" s="2">
        <v>94.54</v>
      </c>
      <c r="P260" s="2">
        <v>90.516999999999996</v>
      </c>
      <c r="Q260" s="2">
        <v>88.506</v>
      </c>
      <c r="R260" s="236">
        <v>72.414000000000001</v>
      </c>
      <c r="S260" s="2"/>
    </row>
    <row r="261" spans="1:19" ht="15.75" customHeight="1">
      <c r="A261" s="196">
        <v>45</v>
      </c>
      <c r="B261" s="201" t="s">
        <v>226</v>
      </c>
      <c r="C261" s="484">
        <v>323.851</v>
      </c>
      <c r="D261" s="2">
        <v>247.41399999999999</v>
      </c>
      <c r="E261" s="2">
        <v>239.36799999999999</v>
      </c>
      <c r="F261" s="2">
        <v>259.483</v>
      </c>
      <c r="G261" s="2">
        <v>378.161</v>
      </c>
      <c r="H261" s="2">
        <v>579.30999999999995</v>
      </c>
      <c r="I261" s="2">
        <v>607.471</v>
      </c>
      <c r="J261" s="2">
        <v>283.62099999999998</v>
      </c>
      <c r="K261" s="2">
        <v>106.60899999999999</v>
      </c>
      <c r="L261" s="2">
        <v>60.344999999999999</v>
      </c>
      <c r="M261" s="2">
        <v>56.322000000000003</v>
      </c>
      <c r="N261" s="2">
        <v>62.356000000000002</v>
      </c>
      <c r="O261" s="2">
        <v>74.424999999999997</v>
      </c>
      <c r="P261" s="2">
        <v>74.424999999999997</v>
      </c>
      <c r="Q261" s="2">
        <v>66.379000000000005</v>
      </c>
      <c r="R261" s="236">
        <v>48.276000000000003</v>
      </c>
      <c r="S261" s="2"/>
    </row>
    <row r="262" spans="1:19" ht="15.75" customHeight="1">
      <c r="A262" s="196">
        <v>45</v>
      </c>
      <c r="B262" s="201" t="s">
        <v>227</v>
      </c>
      <c r="C262" s="484">
        <v>1013.793</v>
      </c>
      <c r="D262" s="2">
        <v>716.09199999999998</v>
      </c>
      <c r="E262" s="2">
        <v>603.44799999999998</v>
      </c>
      <c r="F262" s="2">
        <v>726.149</v>
      </c>
      <c r="G262" s="2">
        <v>812.64400000000001</v>
      </c>
      <c r="H262" s="2">
        <v>885.05700000000002</v>
      </c>
      <c r="I262" s="2">
        <v>804.59799999999996</v>
      </c>
      <c r="J262" s="2">
        <v>448.56299999999999</v>
      </c>
      <c r="K262" s="2">
        <v>191.09200000000001</v>
      </c>
      <c r="L262" s="2">
        <v>120.69</v>
      </c>
      <c r="M262" s="2">
        <v>92.528999999999996</v>
      </c>
      <c r="N262" s="2">
        <v>76.436999999999998</v>
      </c>
      <c r="O262" s="2">
        <v>70.402000000000001</v>
      </c>
      <c r="P262" s="2">
        <v>64.367999999999995</v>
      </c>
      <c r="Q262" s="2">
        <v>60.344999999999999</v>
      </c>
      <c r="R262" s="236">
        <v>50.286999999999999</v>
      </c>
      <c r="S262" s="2"/>
    </row>
    <row r="263" spans="1:19" ht="15.75" customHeight="1">
      <c r="A263" s="197">
        <v>45</v>
      </c>
      <c r="B263" s="202" t="s">
        <v>228</v>
      </c>
      <c r="C263" s="485">
        <v>1287.356</v>
      </c>
      <c r="D263" s="34">
        <v>820.69</v>
      </c>
      <c r="E263" s="34">
        <v>683.90800000000002</v>
      </c>
      <c r="F263" s="34">
        <v>627.58600000000001</v>
      </c>
      <c r="G263" s="34">
        <v>887.06899999999996</v>
      </c>
      <c r="H263" s="34">
        <v>1315.5170000000001</v>
      </c>
      <c r="I263" s="34">
        <v>975.57500000000005</v>
      </c>
      <c r="J263" s="34">
        <v>364.08</v>
      </c>
      <c r="K263" s="34">
        <v>150.86199999999999</v>
      </c>
      <c r="L263" s="34">
        <v>80.459999999999994</v>
      </c>
      <c r="M263" s="34">
        <v>66.379000000000005</v>
      </c>
      <c r="N263" s="34">
        <v>66.379000000000005</v>
      </c>
      <c r="O263" s="34">
        <v>80.459999999999994</v>
      </c>
      <c r="P263" s="34">
        <v>72.414000000000001</v>
      </c>
      <c r="Q263" s="34">
        <v>60.344999999999999</v>
      </c>
      <c r="R263" s="237">
        <v>50.286999999999999</v>
      </c>
      <c r="S263" s="2"/>
    </row>
    <row r="264" spans="1:19" ht="15.75" customHeight="1">
      <c r="A264" s="199">
        <v>46</v>
      </c>
      <c r="B264" s="200">
        <v>1</v>
      </c>
      <c r="C264" s="476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</row>
    <row r="265" spans="1:19" ht="15.75" customHeight="1">
      <c r="A265" s="196">
        <v>46</v>
      </c>
      <c r="B265" s="201">
        <v>2</v>
      </c>
    </row>
    <row r="266" spans="1:19" ht="15.75" customHeight="1">
      <c r="A266" s="196">
        <v>46</v>
      </c>
      <c r="B266" s="201">
        <v>3</v>
      </c>
    </row>
    <row r="267" spans="1:19" ht="15.75" customHeight="1">
      <c r="A267" s="196">
        <v>46</v>
      </c>
      <c r="B267" s="201">
        <v>4</v>
      </c>
    </row>
    <row r="268" spans="1:19" ht="15.75" customHeight="1">
      <c r="A268" s="196">
        <v>46</v>
      </c>
      <c r="B268" s="201">
        <v>5</v>
      </c>
    </row>
    <row r="269" spans="1:19" ht="15.75" customHeight="1">
      <c r="A269" s="196">
        <v>46</v>
      </c>
      <c r="B269" s="201">
        <v>6</v>
      </c>
    </row>
    <row r="270" spans="1:19" ht="15.75" customHeight="1">
      <c r="A270" s="199">
        <v>47</v>
      </c>
      <c r="B270" s="200" t="s">
        <v>221</v>
      </c>
    </row>
    <row r="271" spans="1:19" ht="15.75" customHeight="1">
      <c r="A271" s="196">
        <v>47</v>
      </c>
      <c r="B271" s="201">
        <v>2</v>
      </c>
    </row>
    <row r="272" spans="1:19" ht="15.75" customHeight="1">
      <c r="A272" s="196">
        <v>47</v>
      </c>
      <c r="B272" s="201">
        <v>3</v>
      </c>
    </row>
    <row r="273" spans="1:2" ht="15.75" customHeight="1">
      <c r="A273" s="196">
        <v>47</v>
      </c>
      <c r="B273" s="201" t="s">
        <v>224</v>
      </c>
    </row>
    <row r="274" spans="1:2" ht="15.75" customHeight="1">
      <c r="A274" s="196">
        <v>47</v>
      </c>
      <c r="B274" s="201">
        <v>5</v>
      </c>
    </row>
    <row r="275" spans="1:2" ht="15.75" customHeight="1">
      <c r="A275" s="196">
        <v>47</v>
      </c>
      <c r="B275" s="201" t="s">
        <v>225</v>
      </c>
    </row>
    <row r="276" spans="1:2" ht="15.75" customHeight="1">
      <c r="A276" s="196">
        <v>47</v>
      </c>
      <c r="B276" s="201" t="s">
        <v>228</v>
      </c>
    </row>
    <row r="277" spans="1:2" ht="15.75" customHeight="1">
      <c r="A277" s="199">
        <v>48</v>
      </c>
      <c r="B277" s="200">
        <v>1</v>
      </c>
    </row>
    <row r="278" spans="1:2" ht="15.75" customHeight="1">
      <c r="A278" s="196">
        <v>48</v>
      </c>
      <c r="B278" s="201">
        <v>2</v>
      </c>
    </row>
    <row r="279" spans="1:2" ht="15.75" customHeight="1">
      <c r="A279" s="196">
        <v>48</v>
      </c>
      <c r="B279" s="201">
        <v>3</v>
      </c>
    </row>
    <row r="280" spans="1:2" ht="15.75" customHeight="1">
      <c r="A280" s="196">
        <v>48</v>
      </c>
      <c r="B280" s="201">
        <v>4</v>
      </c>
    </row>
    <row r="281" spans="1:2" ht="15.75" customHeight="1">
      <c r="A281" s="196">
        <v>48</v>
      </c>
      <c r="B281" s="201">
        <v>5</v>
      </c>
    </row>
    <row r="282" spans="1:2" ht="15.75" customHeight="1">
      <c r="A282" s="196">
        <v>48</v>
      </c>
      <c r="B282" s="201">
        <v>6</v>
      </c>
    </row>
    <row r="283" spans="1:2" ht="15.75" customHeight="1">
      <c r="A283" s="196">
        <v>48</v>
      </c>
      <c r="B283" s="201">
        <v>7</v>
      </c>
    </row>
    <row r="284" spans="1:2" ht="15.75" customHeight="1">
      <c r="A284" s="196">
        <v>48</v>
      </c>
      <c r="B284" s="201">
        <v>8</v>
      </c>
    </row>
    <row r="285" spans="1:2" ht="15.75" customHeight="1">
      <c r="A285" s="196">
        <v>48</v>
      </c>
      <c r="B285" s="201">
        <v>9</v>
      </c>
    </row>
    <row r="286" spans="1:2" ht="15.75" customHeight="1">
      <c r="A286" s="196">
        <v>48</v>
      </c>
      <c r="B286" s="201">
        <v>10</v>
      </c>
    </row>
    <row r="287" spans="1:2" ht="15.75" customHeight="1">
      <c r="A287" s="196">
        <v>48</v>
      </c>
      <c r="B287" s="201">
        <v>11</v>
      </c>
    </row>
    <row r="288" spans="1:2" ht="15.75" customHeight="1">
      <c r="A288" s="196">
        <v>48</v>
      </c>
      <c r="B288" s="201">
        <v>12</v>
      </c>
    </row>
    <row r="289" spans="1:16" ht="15.75" customHeight="1">
      <c r="A289" s="309">
        <v>49</v>
      </c>
      <c r="B289" s="74">
        <v>1</v>
      </c>
    </row>
    <row r="290" spans="1:16" ht="15.75" customHeight="1">
      <c r="A290" s="238">
        <v>49</v>
      </c>
      <c r="B290" s="75">
        <v>2</v>
      </c>
    </row>
    <row r="291" spans="1:16" ht="15.75" customHeight="1">
      <c r="A291" s="238">
        <v>49</v>
      </c>
      <c r="B291" s="75">
        <v>3</v>
      </c>
    </row>
    <row r="292" spans="1:16" ht="15.75" customHeight="1">
      <c r="A292" s="238">
        <v>49</v>
      </c>
      <c r="B292" s="75">
        <v>4</v>
      </c>
    </row>
    <row r="293" spans="1:16" ht="15.75" customHeight="1">
      <c r="A293" s="229">
        <v>50</v>
      </c>
      <c r="B293" s="74">
        <v>1</v>
      </c>
    </row>
    <row r="294" spans="1:16" ht="15.75" customHeight="1">
      <c r="A294" s="228">
        <v>50</v>
      </c>
      <c r="B294" s="75">
        <v>2</v>
      </c>
    </row>
    <row r="295" spans="1:16" ht="15.75" customHeight="1">
      <c r="A295" s="228">
        <v>50</v>
      </c>
      <c r="B295" s="75">
        <v>3</v>
      </c>
    </row>
    <row r="296" spans="1:16" ht="15.75" customHeight="1">
      <c r="A296" s="228">
        <v>50</v>
      </c>
      <c r="B296" s="75">
        <v>4</v>
      </c>
    </row>
    <row r="297" spans="1:16" ht="15.75" customHeight="1">
      <c r="A297" s="229">
        <v>51</v>
      </c>
      <c r="B297" s="74">
        <v>1</v>
      </c>
    </row>
    <row r="298" spans="1:16" ht="15.75" customHeight="1">
      <c r="A298" s="228">
        <v>51</v>
      </c>
      <c r="B298" s="75">
        <v>2</v>
      </c>
    </row>
    <row r="299" spans="1:16" ht="15.75" customHeight="1">
      <c r="A299" s="228">
        <v>51</v>
      </c>
      <c r="B299" s="75">
        <v>3</v>
      </c>
    </row>
    <row r="300" spans="1:16" ht="15.75" customHeight="1">
      <c r="A300" s="228">
        <v>51</v>
      </c>
      <c r="B300" s="75">
        <v>4</v>
      </c>
    </row>
    <row r="301" spans="1:16" ht="15.75" customHeight="1">
      <c r="A301" s="228">
        <v>51</v>
      </c>
      <c r="B301" s="75">
        <v>5</v>
      </c>
    </row>
    <row r="302" spans="1:16" ht="15.75" customHeight="1">
      <c r="A302" s="228">
        <v>51</v>
      </c>
      <c r="B302" s="75">
        <v>6</v>
      </c>
    </row>
    <row r="303" spans="1:16" ht="15.75" customHeight="1">
      <c r="A303" s="228">
        <v>51</v>
      </c>
      <c r="B303" s="75">
        <v>7</v>
      </c>
    </row>
    <row r="304" spans="1:16" ht="15.75" customHeight="1">
      <c r="A304" s="229">
        <v>52</v>
      </c>
      <c r="B304" s="200">
        <v>1</v>
      </c>
      <c r="C304" s="477">
        <v>30926.641</v>
      </c>
      <c r="D304" s="234">
        <v>32548.262999999999</v>
      </c>
      <c r="E304" s="234">
        <v>34401.544000000002</v>
      </c>
      <c r="F304" s="234">
        <v>40193.050000000003</v>
      </c>
      <c r="G304" s="234">
        <v>50849.421000000002</v>
      </c>
      <c r="H304" s="234">
        <v>66138.995999999999</v>
      </c>
      <c r="I304" s="234">
        <v>72162.161999999997</v>
      </c>
      <c r="J304" s="234">
        <v>58262.548000000003</v>
      </c>
      <c r="K304" s="234">
        <v>47606.178</v>
      </c>
      <c r="L304" s="234">
        <v>38339.767999999996</v>
      </c>
      <c r="M304" s="234">
        <v>33706.563999999998</v>
      </c>
      <c r="N304" s="234">
        <v>34169.883999999998</v>
      </c>
      <c r="O304" s="235">
        <v>42046.332000000002</v>
      </c>
      <c r="P304" s="2"/>
    </row>
    <row r="305" spans="1:16" ht="15.75" customHeight="1">
      <c r="A305" s="228">
        <v>52</v>
      </c>
      <c r="B305" s="201">
        <v>2</v>
      </c>
      <c r="C305" s="476">
        <v>95096.524999999994</v>
      </c>
      <c r="D305" s="2">
        <v>110849.421</v>
      </c>
      <c r="E305" s="2">
        <v>147683.39799999999</v>
      </c>
      <c r="F305" s="2">
        <v>108301.158</v>
      </c>
      <c r="G305" s="2">
        <v>94633.205000000002</v>
      </c>
      <c r="H305" s="2">
        <v>85830.115999999995</v>
      </c>
      <c r="I305" s="2">
        <v>79111.968999999997</v>
      </c>
      <c r="J305" s="2">
        <v>72393.822</v>
      </c>
      <c r="K305" s="2">
        <v>61042.470999999998</v>
      </c>
      <c r="L305" s="2">
        <v>52471.042000000001</v>
      </c>
      <c r="M305" s="2">
        <v>52007.722000000002</v>
      </c>
      <c r="N305" s="2">
        <v>52934.362999999998</v>
      </c>
      <c r="O305" s="236">
        <v>53861.004000000001</v>
      </c>
      <c r="P305" s="2"/>
    </row>
    <row r="306" spans="1:16" ht="15.75" customHeight="1">
      <c r="A306" s="228">
        <v>52</v>
      </c>
      <c r="B306" s="201">
        <v>3</v>
      </c>
      <c r="C306" s="476"/>
      <c r="D306" s="2">
        <v>132625.48300000001</v>
      </c>
      <c r="E306" s="2">
        <v>133320.46299999999</v>
      </c>
      <c r="F306" s="2">
        <v>81891.892000000007</v>
      </c>
      <c r="G306" s="2">
        <v>46911.197</v>
      </c>
      <c r="H306" s="2">
        <v>34401.544000000002</v>
      </c>
      <c r="I306" s="2">
        <v>26525.097000000002</v>
      </c>
      <c r="J306" s="2">
        <v>22123.552</v>
      </c>
      <c r="K306" s="2">
        <v>19575.29</v>
      </c>
      <c r="L306" s="2">
        <v>18648.649000000001</v>
      </c>
      <c r="M306" s="2">
        <v>18416.988000000001</v>
      </c>
      <c r="N306" s="2">
        <v>17490.347000000002</v>
      </c>
      <c r="O306" s="236">
        <v>15405.405000000001</v>
      </c>
      <c r="P306" s="2"/>
    </row>
    <row r="307" spans="1:16" ht="15.75" customHeight="1">
      <c r="A307" s="230">
        <v>52</v>
      </c>
      <c r="B307" s="202">
        <v>4</v>
      </c>
      <c r="C307" s="478"/>
      <c r="D307" s="34">
        <v>132625.48300000001</v>
      </c>
      <c r="E307" s="34">
        <v>126138.996</v>
      </c>
      <c r="F307" s="34">
        <v>60579.150999999998</v>
      </c>
      <c r="G307" s="34">
        <v>35328.184999999998</v>
      </c>
      <c r="H307" s="34">
        <v>25366.794999999998</v>
      </c>
      <c r="I307" s="34">
        <v>20501.931</v>
      </c>
      <c r="J307" s="34">
        <v>16100.386</v>
      </c>
      <c r="K307" s="34">
        <v>15405.405000000001</v>
      </c>
      <c r="L307" s="34">
        <v>14247.103999999999</v>
      </c>
      <c r="M307" s="34">
        <v>13320.463</v>
      </c>
      <c r="N307" s="34">
        <v>12625.483</v>
      </c>
      <c r="O307" s="237">
        <v>11235.521000000001</v>
      </c>
      <c r="P307" s="2"/>
    </row>
    <row r="308" spans="1:16" ht="15.75" customHeight="1">
      <c r="A308" s="199">
        <v>53</v>
      </c>
      <c r="B308" s="201">
        <v>1</v>
      </c>
    </row>
    <row r="309" spans="1:16" ht="15.75" customHeight="1">
      <c r="A309" s="196">
        <v>53</v>
      </c>
      <c r="B309" s="201">
        <v>2</v>
      </c>
    </row>
    <row r="310" spans="1:16" ht="15.75" customHeight="1">
      <c r="A310" s="196">
        <v>53</v>
      </c>
      <c r="B310" s="201">
        <v>3</v>
      </c>
    </row>
    <row r="311" spans="1:16" ht="15.75" customHeight="1">
      <c r="A311" s="196">
        <v>53</v>
      </c>
      <c r="B311" s="201">
        <v>4</v>
      </c>
    </row>
    <row r="312" spans="1:16" ht="15.75" customHeight="1">
      <c r="A312" s="196">
        <v>53</v>
      </c>
      <c r="B312" s="201">
        <v>5</v>
      </c>
    </row>
    <row r="313" spans="1:16" ht="15.75" customHeight="1">
      <c r="A313" s="229">
        <v>54</v>
      </c>
      <c r="B313" s="200">
        <v>1</v>
      </c>
    </row>
    <row r="314" spans="1:16" ht="15.75" customHeight="1">
      <c r="A314" s="228">
        <v>54</v>
      </c>
      <c r="B314" s="201">
        <v>2</v>
      </c>
    </row>
    <row r="315" spans="1:16" ht="15.75" customHeight="1">
      <c r="A315" s="228">
        <v>54</v>
      </c>
      <c r="B315" s="201">
        <v>3</v>
      </c>
    </row>
    <row r="316" spans="1:16" ht="15.75" customHeight="1">
      <c r="A316" s="228">
        <v>54</v>
      </c>
      <c r="B316" s="201">
        <v>4</v>
      </c>
    </row>
    <row r="317" spans="1:16" ht="15.75" customHeight="1">
      <c r="A317" s="229">
        <v>55</v>
      </c>
      <c r="B317" s="200" t="s">
        <v>221</v>
      </c>
    </row>
    <row r="318" spans="1:16" ht="15.75" customHeight="1">
      <c r="A318" s="228">
        <v>55</v>
      </c>
      <c r="B318" s="201" t="s">
        <v>222</v>
      </c>
    </row>
    <row r="319" spans="1:16" ht="15.75" customHeight="1">
      <c r="A319" s="228">
        <v>55</v>
      </c>
      <c r="B319" s="201" t="s">
        <v>223</v>
      </c>
    </row>
    <row r="320" spans="1:16" ht="15.75" customHeight="1">
      <c r="A320" s="228">
        <v>55</v>
      </c>
      <c r="B320" s="201" t="s">
        <v>225</v>
      </c>
    </row>
    <row r="321" spans="1:17" ht="15.75" customHeight="1">
      <c r="A321" s="228">
        <v>55</v>
      </c>
      <c r="B321" s="201" t="s">
        <v>226</v>
      </c>
    </row>
    <row r="322" spans="1:17" ht="15.75" customHeight="1">
      <c r="A322" s="228">
        <v>55</v>
      </c>
      <c r="B322" s="201" t="s">
        <v>227</v>
      </c>
    </row>
    <row r="323" spans="1:17" ht="15.75" customHeight="1">
      <c r="A323" s="228">
        <v>55</v>
      </c>
      <c r="B323" s="201" t="s">
        <v>231</v>
      </c>
    </row>
    <row r="324" spans="1:17" ht="15.75" customHeight="1">
      <c r="A324" s="228">
        <v>55</v>
      </c>
      <c r="B324" s="201" t="s">
        <v>232</v>
      </c>
    </row>
    <row r="325" spans="1:17" ht="15.75" customHeight="1">
      <c r="A325" s="228">
        <v>55</v>
      </c>
      <c r="B325" s="201" t="s">
        <v>233</v>
      </c>
    </row>
    <row r="326" spans="1:17" ht="15.75" customHeight="1">
      <c r="A326" s="199">
        <v>56</v>
      </c>
      <c r="B326" s="200" t="s">
        <v>221</v>
      </c>
      <c r="C326" s="477">
        <v>102343860.287</v>
      </c>
      <c r="D326" s="234">
        <v>105005027.432</v>
      </c>
      <c r="E326" s="234">
        <v>101558740.066</v>
      </c>
      <c r="F326" s="234">
        <v>87960326.263999999</v>
      </c>
      <c r="G326" s="234">
        <v>70536103.107999995</v>
      </c>
      <c r="H326" s="234">
        <v>55271674.848999999</v>
      </c>
      <c r="I326" s="234">
        <v>47139304.737999998</v>
      </c>
      <c r="J326" s="234">
        <v>43870030.502999999</v>
      </c>
      <c r="K326" s="234">
        <v>40410421.511</v>
      </c>
      <c r="L326" s="234">
        <v>39285316.096000001</v>
      </c>
      <c r="M326" s="234">
        <v>38289699.075999998</v>
      </c>
      <c r="N326" s="234">
        <v>37128208.538000003</v>
      </c>
      <c r="O326" s="234">
        <v>35817591.294</v>
      </c>
      <c r="P326" s="234">
        <v>33677547.674000002</v>
      </c>
      <c r="Q326" s="235">
        <v>30080700.475000001</v>
      </c>
    </row>
    <row r="327" spans="1:17" ht="15.75" customHeight="1">
      <c r="A327" s="197">
        <v>56</v>
      </c>
      <c r="B327" s="202" t="s">
        <v>225</v>
      </c>
      <c r="C327" s="478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237"/>
    </row>
    <row r="328" spans="1:17" ht="15.75" customHeight="1">
      <c r="A328" s="199">
        <v>57</v>
      </c>
      <c r="B328" s="200">
        <v>1</v>
      </c>
    </row>
    <row r="329" spans="1:17" ht="15.75" customHeight="1">
      <c r="A329" s="196">
        <v>57</v>
      </c>
      <c r="B329" s="201">
        <v>2</v>
      </c>
      <c r="C329" s="476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7" ht="15.75" customHeight="1">
      <c r="A330" s="199">
        <v>58</v>
      </c>
      <c r="B330" s="200">
        <v>1</v>
      </c>
      <c r="C330" s="477">
        <f>Loss_modulus_G!C330/10000000</f>
        <v>5.1707150000000002E-3</v>
      </c>
      <c r="D330" s="234">
        <f>Loss_modulus_G!D330/10000000</f>
        <v>6.1764305999999995E-3</v>
      </c>
      <c r="E330" s="234">
        <f>Loss_modulus_G!E330/10000000</f>
        <v>7.6749788000000001E-3</v>
      </c>
      <c r="F330" s="234">
        <f>Loss_modulus_G!F330/10000000</f>
        <v>9.1677792999999997E-3</v>
      </c>
      <c r="G330" s="234">
        <f>Loss_modulus_G!G330/10000000</f>
        <v>1.18510391E-2</v>
      </c>
      <c r="H330" s="234">
        <f>Loss_modulus_G!H330/10000000</f>
        <v>1.47263818E-2</v>
      </c>
      <c r="I330" s="234">
        <f>Loss_modulus_G!I330/10000000</f>
        <v>1.8664312899999997E-2</v>
      </c>
      <c r="J330" s="234">
        <f>Loss_modulus_G!J330/10000000</f>
        <v>2.36552727E-2</v>
      </c>
      <c r="K330" s="234">
        <f>Loss_modulus_G!K330/10000000</f>
        <v>2.8256275900000002E-2</v>
      </c>
      <c r="L330" s="234">
        <f>Loss_modulus_G!L330/10000000</f>
        <v>3.3752184499999997E-2</v>
      </c>
      <c r="M330" s="235">
        <f>Loss_modulus_G!M330/10000000</f>
        <v>3.9528699099999995E-2</v>
      </c>
      <c r="N330" s="2"/>
    </row>
    <row r="331" spans="1:17" ht="15.75" customHeight="1">
      <c r="A331" s="196">
        <v>58</v>
      </c>
      <c r="B331" s="201">
        <v>2</v>
      </c>
      <c r="C331" s="476">
        <f>Loss_modulus_G!C331/10000000</f>
        <v>2.5904729999999998E-3</v>
      </c>
      <c r="D331" s="2">
        <f>Loss_modulus_G!D331/10000000</f>
        <v>3.3486622999999997E-3</v>
      </c>
      <c r="E331" s="2">
        <f>Loss_modulus_G!E331/10000000</f>
        <v>4.1611271000000002E-3</v>
      </c>
      <c r="F331" s="2">
        <f>Loss_modulus_G!F331/10000000</f>
        <v>5.1707150000000002E-3</v>
      </c>
      <c r="G331" s="2">
        <f>Loss_modulus_G!G331/10000000</f>
        <v>6.4252529000000001E-3</v>
      </c>
      <c r="H331" s="2">
        <f>Loss_modulus_G!H331/10000000</f>
        <v>8.1434075999999994E-3</v>
      </c>
      <c r="I331" s="2">
        <f>Loss_modulus_G!I331/10000000</f>
        <v>1.0119191099999999E-2</v>
      </c>
      <c r="J331" s="2">
        <f>Loss_modulus_G!J331/10000000</f>
        <v>1.2328467399999999E-2</v>
      </c>
      <c r="K331" s="2">
        <f>Loss_modulus_G!K331/10000000</f>
        <v>1.5625180499999999E-2</v>
      </c>
      <c r="L331" s="2">
        <f>Loss_modulus_G!L331/10000000</f>
        <v>1.9416219200000001E-2</v>
      </c>
      <c r="M331" s="236">
        <f>Loss_modulus_G!M331/10000000</f>
        <v>2.2739206200000001E-2</v>
      </c>
      <c r="N331" s="2"/>
    </row>
    <row r="332" spans="1:17" ht="15.75" customHeight="1">
      <c r="A332" s="196">
        <v>58</v>
      </c>
      <c r="B332" s="201">
        <v>3</v>
      </c>
      <c r="C332" s="476">
        <f>Loss_modulus_G!C332/10000000</f>
        <v>1.0361849999999999E-4</v>
      </c>
      <c r="D332" s="2">
        <f>Loss_modulus_G!D332/10000000</f>
        <v>1.4784659999999999E-4</v>
      </c>
      <c r="E332" s="2">
        <f>Loss_modulus_G!E332/10000000</f>
        <v>2.0278350000000001E-4</v>
      </c>
      <c r="F332" s="2">
        <f>Loss_modulus_G!F332/10000000</f>
        <v>2.9510929999999999E-4</v>
      </c>
      <c r="G332" s="2">
        <f>Loss_modulus_G!G332/10000000</f>
        <v>4.2947030000000004E-4</v>
      </c>
      <c r="H332" s="2">
        <f>Loss_modulus_G!H332/10000000</f>
        <v>6.2500480000000002E-4</v>
      </c>
      <c r="I332" s="2">
        <f>Loss_modulus_G!I332/10000000</f>
        <v>9.095647000000001E-4</v>
      </c>
      <c r="J332" s="2">
        <f>Loss_modulus_G!J332/10000000</f>
        <v>1.2724220999999999E-3</v>
      </c>
      <c r="K332" s="2">
        <f>Loss_modulus_G!K332/10000000</f>
        <v>1.8517462999999999E-3</v>
      </c>
      <c r="L332" s="2">
        <f>Loss_modulus_G!L332/10000000</f>
        <v>2.4414627E-3</v>
      </c>
      <c r="M332" s="236">
        <f>Loss_modulus_G!M332/10000000</f>
        <v>3.0943258E-3</v>
      </c>
      <c r="N332" s="2"/>
    </row>
    <row r="333" spans="1:17" ht="15.75" customHeight="1">
      <c r="A333" s="196">
        <v>58</v>
      </c>
      <c r="B333" s="201">
        <v>4</v>
      </c>
      <c r="C333" s="476">
        <f>Loss_modulus_G!C333/10000000</f>
        <v>8.5049999999999994E-5</v>
      </c>
      <c r="D333" s="2">
        <f>Loss_modulus_G!D333/10000000</f>
        <v>1.2135229999999999E-4</v>
      </c>
      <c r="E333" s="2">
        <f>Loss_modulus_G!E333/10000000</f>
        <v>1.538027E-4</v>
      </c>
      <c r="F333" s="2">
        <f>Loss_modulus_G!F333/10000000</f>
        <v>2.1515999999999999E-4</v>
      </c>
      <c r="G333" s="2">
        <f>Loss_modulus_G!G333/10000000</f>
        <v>3.06998E-4</v>
      </c>
      <c r="H333" s="2">
        <f>Loss_modulus_G!H333/10000000</f>
        <v>4.0476610000000001E-4</v>
      </c>
      <c r="I333" s="2">
        <f>Loss_modulus_G!I333/10000000</f>
        <v>5.6624150000000005E-4</v>
      </c>
      <c r="J333" s="2">
        <f>Loss_modulus_G!J333/10000000</f>
        <v>8.2404699999999995E-4</v>
      </c>
      <c r="K333" s="2">
        <f>Loss_modulus_G!K333/10000000</f>
        <v>1.0652321E-3</v>
      </c>
      <c r="L333" s="2">
        <f>Loss_modulus_G!L333/10000000</f>
        <v>1.4901907E-3</v>
      </c>
      <c r="M333" s="236">
        <f>Loss_modulus_G!M333/10000000</f>
        <v>1.9263453000000002E-3</v>
      </c>
      <c r="N333" s="2"/>
    </row>
    <row r="334" spans="1:17" ht="15.75" customHeight="1">
      <c r="A334" s="197">
        <v>58</v>
      </c>
      <c r="B334" s="202">
        <v>5</v>
      </c>
      <c r="C334" s="478">
        <f>Loss_modulus_G!C334/10000000</f>
        <v>2.052E-5</v>
      </c>
      <c r="D334" s="34">
        <f>Loss_modulus_G!D334/10000000</f>
        <v>2.54987E-5</v>
      </c>
      <c r="E334" s="34">
        <f>Loss_modulus_G!E334/10000000</f>
        <v>3.3619099999999998E-5</v>
      </c>
      <c r="F334" s="34">
        <f>Loss_modulus_G!F334/10000000</f>
        <v>4.0959099999999999E-5</v>
      </c>
      <c r="G334" s="34">
        <f>Loss_modulus_G!G334/10000000</f>
        <v>5.7299100000000002E-5</v>
      </c>
      <c r="H334" s="34">
        <f>Loss_modulus_G!H334/10000000</f>
        <v>7.7053500000000003E-5</v>
      </c>
      <c r="I334" s="34">
        <f>Loss_modulus_G!I334/10000000</f>
        <v>1.0568510000000001E-4</v>
      </c>
      <c r="J334" s="34">
        <f>Loss_modulus_G!J334/10000000</f>
        <v>1.507952E-4</v>
      </c>
      <c r="K334" s="34">
        <f>Loss_modulus_G!K334/10000000</f>
        <v>2.1095279999999998E-4</v>
      </c>
      <c r="L334" s="34">
        <f>Loss_modulus_G!L334/10000000</f>
        <v>2.781339E-4</v>
      </c>
      <c r="M334" s="237">
        <f>Loss_modulus_G!M334/10000000</f>
        <v>4.1283869999999997E-4</v>
      </c>
      <c r="N334" s="2"/>
    </row>
    <row r="335" spans="1:17" ht="15.75" customHeight="1">
      <c r="A335" s="229">
        <v>59</v>
      </c>
      <c r="B335" s="74">
        <v>1</v>
      </c>
      <c r="C335" s="476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7" ht="15.75" customHeight="1">
      <c r="A336" s="228">
        <v>59</v>
      </c>
      <c r="B336" s="75">
        <v>2</v>
      </c>
    </row>
    <row r="337" spans="1:14" ht="15.75" customHeight="1">
      <c r="A337" s="228">
        <v>59</v>
      </c>
      <c r="B337" s="75">
        <v>3</v>
      </c>
    </row>
    <row r="338" spans="1:14" ht="15.75" customHeight="1">
      <c r="A338" s="228">
        <v>59</v>
      </c>
      <c r="B338" s="75">
        <v>4</v>
      </c>
    </row>
    <row r="339" spans="1:14" ht="15.75" customHeight="1">
      <c r="A339" s="228">
        <v>59</v>
      </c>
      <c r="B339" s="75">
        <v>5</v>
      </c>
    </row>
    <row r="340" spans="1:14" ht="15.75" customHeight="1">
      <c r="A340" s="228">
        <v>59</v>
      </c>
      <c r="B340" s="75">
        <v>6</v>
      </c>
      <c r="C340" s="476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4" ht="15.75" customHeight="1">
      <c r="A341" s="229">
        <v>60</v>
      </c>
      <c r="B341" s="74">
        <v>1</v>
      </c>
      <c r="C341" s="477">
        <v>524807460.24977338</v>
      </c>
      <c r="D341" s="234">
        <v>399944749.7610991</v>
      </c>
      <c r="E341" s="234">
        <v>474241985.26024759</v>
      </c>
      <c r="F341" s="234">
        <v>601173737.4832803</v>
      </c>
      <c r="G341" s="234">
        <v>736207097.49474251</v>
      </c>
      <c r="H341" s="234">
        <v>543250331.49243391</v>
      </c>
      <c r="I341" s="234">
        <v>506990708.27470517</v>
      </c>
      <c r="J341" s="234">
        <v>443608643.93143415</v>
      </c>
      <c r="K341" s="234">
        <v>665273156.20174551</v>
      </c>
      <c r="L341" s="234">
        <v>490907876.15260607</v>
      </c>
      <c r="M341" s="235">
        <v>17100153.150902938</v>
      </c>
      <c r="N341" s="2"/>
    </row>
    <row r="342" spans="1:14" ht="15.75" customHeight="1">
      <c r="A342" s="228">
        <v>60</v>
      </c>
      <c r="B342" s="75">
        <v>2</v>
      </c>
      <c r="C342" s="476">
        <v>45708818.96148771</v>
      </c>
      <c r="D342" s="2">
        <v>39902490.236214437</v>
      </c>
      <c r="E342" s="2">
        <v>44157044.735331297</v>
      </c>
      <c r="F342" s="2">
        <v>52360043.658575192</v>
      </c>
      <c r="G342" s="2">
        <v>81283051.616410092</v>
      </c>
      <c r="H342" s="2">
        <v>48865235.934283532</v>
      </c>
      <c r="I342" s="2">
        <v>45708818.96148771</v>
      </c>
      <c r="J342" s="2">
        <v>37239170.625456944</v>
      </c>
      <c r="K342" s="2">
        <v>36057864.302164361</v>
      </c>
      <c r="L342" s="2">
        <v>20230191.786782745</v>
      </c>
      <c r="M342" s="236">
        <v>2157744.4091526712</v>
      </c>
      <c r="N342" s="2"/>
    </row>
    <row r="343" spans="1:14" ht="15.75" customHeight="1">
      <c r="A343" s="228">
        <v>60</v>
      </c>
      <c r="B343" s="75">
        <v>3</v>
      </c>
      <c r="C343" s="476">
        <v>2735268.7263067118</v>
      </c>
      <c r="D343" s="2">
        <v>3243396.1734934989</v>
      </c>
      <c r="E343" s="2">
        <v>4549880.6015004953</v>
      </c>
      <c r="F343" s="2">
        <v>3715352.2909717411</v>
      </c>
      <c r="G343" s="2">
        <v>5046612.9756352911</v>
      </c>
      <c r="H343" s="2">
        <v>3033891.1841942687</v>
      </c>
      <c r="I343" s="2">
        <v>2471724.1450161417</v>
      </c>
      <c r="J343" s="2">
        <v>2648500.1386067118</v>
      </c>
      <c r="K343" s="2">
        <v>3589219.346450055</v>
      </c>
      <c r="L343" s="2">
        <v>2648500.1386067118</v>
      </c>
      <c r="M343" s="236">
        <v>125025.90302177226</v>
      </c>
      <c r="N343" s="2"/>
    </row>
    <row r="344" spans="1:14" ht="15.75" customHeight="1">
      <c r="A344" s="228">
        <v>60</v>
      </c>
      <c r="B344" s="75">
        <v>4</v>
      </c>
      <c r="C344" s="476">
        <v>133967.66874259422</v>
      </c>
      <c r="D344" s="2">
        <v>164058.9773199544</v>
      </c>
      <c r="E344" s="2">
        <v>312607.93671239557</v>
      </c>
      <c r="F344" s="2">
        <v>659173.89524432376</v>
      </c>
      <c r="G344" s="2">
        <v>369828.17978026683</v>
      </c>
      <c r="H344" s="2">
        <v>215278.17347243815</v>
      </c>
      <c r="I344" s="2">
        <v>143218.78992735496</v>
      </c>
      <c r="J344" s="2">
        <v>164058.9773199544</v>
      </c>
      <c r="K344" s="2">
        <v>215278.17347243815</v>
      </c>
      <c r="L344" s="2">
        <v>200909.28126087366</v>
      </c>
      <c r="M344" s="236">
        <v>18113.400926196027</v>
      </c>
      <c r="N344" s="2"/>
    </row>
    <row r="345" spans="1:14" ht="15.75" customHeight="1">
      <c r="A345" s="228">
        <v>60</v>
      </c>
      <c r="B345" s="75">
        <v>5</v>
      </c>
      <c r="C345" s="476">
        <v>27164.392688390799</v>
      </c>
      <c r="D345" s="2">
        <v>31117.163371060218</v>
      </c>
      <c r="E345" s="2">
        <v>63533.093185174723</v>
      </c>
      <c r="F345" s="2">
        <v>102093.94837076843</v>
      </c>
      <c r="G345" s="2">
        <v>18113.400926196027</v>
      </c>
      <c r="H345" s="2">
        <v>16368.165214278164</v>
      </c>
      <c r="I345" s="2">
        <v>13803.842646028885</v>
      </c>
      <c r="J345" s="2">
        <v>12882.495516931333</v>
      </c>
      <c r="K345" s="2">
        <v>14757.065332758968</v>
      </c>
      <c r="L345" s="2">
        <v>12882.495516931333</v>
      </c>
      <c r="M345" s="236">
        <v>1995.2623149688866</v>
      </c>
      <c r="N345" s="2"/>
    </row>
    <row r="346" spans="1:14" ht="15.75" customHeight="1">
      <c r="A346" s="228">
        <v>60</v>
      </c>
      <c r="B346" s="75">
        <v>6</v>
      </c>
      <c r="C346" s="476">
        <v>2999.1625189876609</v>
      </c>
      <c r="D346" s="2">
        <v>3104.5595881283657</v>
      </c>
      <c r="E346" s="2">
        <v>7762.4711662869558</v>
      </c>
      <c r="F346" s="2">
        <v>26302.679918953912</v>
      </c>
      <c r="G346" s="2">
        <v>419.75898399100817</v>
      </c>
      <c r="H346" s="2">
        <v>146.55478409559129</v>
      </c>
      <c r="I346" s="2">
        <v>40.457589169744402</v>
      </c>
      <c r="J346" s="2"/>
      <c r="K346" s="2"/>
      <c r="L346" s="2"/>
      <c r="M346" s="236"/>
      <c r="N346" s="2"/>
    </row>
    <row r="347" spans="1:14" ht="15.75" customHeight="1">
      <c r="A347" s="228">
        <v>60</v>
      </c>
      <c r="B347" s="75">
        <v>7</v>
      </c>
      <c r="C347" s="476">
        <v>570.16427228074883</v>
      </c>
      <c r="D347" s="2">
        <v>532.10825926679559</v>
      </c>
      <c r="E347" s="2">
        <v>1472.3125024327185</v>
      </c>
      <c r="F347" s="2">
        <v>2213.0947096056448</v>
      </c>
      <c r="G347" s="2">
        <v>71.944897800370029</v>
      </c>
      <c r="H347" s="2">
        <v>25.176769277588583</v>
      </c>
      <c r="I347" s="2">
        <v>4.9431068698683598</v>
      </c>
      <c r="J347" s="2"/>
      <c r="K347" s="2"/>
      <c r="L347" s="2"/>
      <c r="M347" s="236"/>
      <c r="N347" s="2"/>
    </row>
    <row r="348" spans="1:14" ht="15.75" customHeight="1">
      <c r="A348" s="230">
        <v>60</v>
      </c>
      <c r="B348" s="231">
        <v>8</v>
      </c>
      <c r="C348" s="478">
        <v>60.813500127871762</v>
      </c>
      <c r="D348" s="34">
        <v>69.502431758879752</v>
      </c>
      <c r="E348" s="34">
        <v>220.29264630534576</v>
      </c>
      <c r="F348" s="34">
        <v>206.06299132700036</v>
      </c>
      <c r="G348" s="34">
        <v>5.6623928903825425</v>
      </c>
      <c r="H348" s="34">
        <v>1.2302687708123821</v>
      </c>
      <c r="I348" s="34">
        <v>0.1721868574986008</v>
      </c>
      <c r="J348" s="34"/>
      <c r="K348" s="34"/>
      <c r="L348" s="34"/>
      <c r="M348" s="237"/>
      <c r="N348" s="2"/>
    </row>
    <row r="349" spans="1:14" ht="15.75" customHeight="1">
      <c r="A349" s="124">
        <v>61</v>
      </c>
      <c r="B349" s="281">
        <v>1</v>
      </c>
      <c r="C349" s="486">
        <v>44645.373</v>
      </c>
      <c r="D349" s="127">
        <v>24912.841</v>
      </c>
      <c r="E349" s="127">
        <v>7495.7259999999997</v>
      </c>
      <c r="F349" s="127">
        <v>3463.3249999999998</v>
      </c>
      <c r="G349" s="127">
        <v>1804.404</v>
      </c>
      <c r="H349" s="127">
        <v>924.10799999999995</v>
      </c>
      <c r="I349" s="127">
        <v>278.04399999999998</v>
      </c>
      <c r="J349" s="127">
        <v>14.536</v>
      </c>
      <c r="K349" s="127">
        <v>11.045999999999999</v>
      </c>
      <c r="L349" s="127">
        <v>7.0709999999999997</v>
      </c>
      <c r="M349" s="154">
        <v>4.1539999999999999</v>
      </c>
    </row>
    <row r="350" spans="1:14" ht="15.75" customHeight="1"/>
    <row r="351" spans="1:14" ht="15.75" customHeight="1"/>
    <row r="352" spans="1:14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639A7-8447-48B0-84DB-747847CAF197}">
  <dimension ref="A1:AT999"/>
  <sheetViews>
    <sheetView workbookViewId="0">
      <selection activeCell="X5" sqref="X5"/>
    </sheetView>
  </sheetViews>
  <sheetFormatPr defaultColWidth="12.5546875" defaultRowHeight="15" customHeight="1"/>
  <cols>
    <col min="1" max="2" width="8.5546875" customWidth="1"/>
    <col min="3" max="3" width="8.5546875" style="504" customWidth="1"/>
    <col min="4" max="10" width="8.5546875" customWidth="1"/>
    <col min="11" max="11" width="11" customWidth="1"/>
    <col min="12" max="46" width="8.5546875" customWidth="1"/>
  </cols>
  <sheetData>
    <row r="1" spans="1:26" ht="14.4">
      <c r="A1" s="16" t="s">
        <v>219</v>
      </c>
      <c r="B1" s="15" t="s">
        <v>220</v>
      </c>
    </row>
    <row r="2" spans="1:26" ht="14.4">
      <c r="A2" s="192">
        <v>1</v>
      </c>
      <c r="B2" s="193">
        <v>1</v>
      </c>
    </row>
    <row r="3" spans="1:26" ht="14.4">
      <c r="A3" s="194">
        <v>1</v>
      </c>
      <c r="B3" s="195">
        <v>2</v>
      </c>
      <c r="I3" s="475"/>
    </row>
    <row r="4" spans="1:26" ht="14.4">
      <c r="A4" s="196">
        <v>1</v>
      </c>
      <c r="B4" s="195">
        <v>3</v>
      </c>
    </row>
    <row r="5" spans="1:26" ht="14.4">
      <c r="A5" s="196">
        <v>1</v>
      </c>
      <c r="B5" s="195">
        <v>4</v>
      </c>
    </row>
    <row r="6" spans="1:26" ht="14.4">
      <c r="A6" s="196">
        <v>1</v>
      </c>
      <c r="B6" s="195">
        <v>5</v>
      </c>
      <c r="D6" s="2"/>
      <c r="E6" s="2"/>
      <c r="F6" s="2"/>
      <c r="G6" s="2"/>
      <c r="H6" s="2"/>
      <c r="I6" s="2"/>
      <c r="J6" s="2"/>
      <c r="K6" s="2"/>
      <c r="L6" s="2"/>
      <c r="M6" s="2"/>
    </row>
    <row r="7" spans="1:26" ht="14.4">
      <c r="A7" s="199">
        <v>2</v>
      </c>
      <c r="B7" s="200">
        <v>1</v>
      </c>
      <c r="C7" s="504">
        <v>2.6282830311377898E-4</v>
      </c>
      <c r="D7" s="234">
        <v>3.7761495033489202E-4</v>
      </c>
      <c r="E7" s="234">
        <v>5.5496078407263696E-4</v>
      </c>
      <c r="F7" s="234">
        <v>7.7947695277198498E-4</v>
      </c>
      <c r="G7" s="234">
        <v>1.0948238818676099E-3</v>
      </c>
      <c r="H7" s="234">
        <v>1.4696472784789401E-3</v>
      </c>
      <c r="I7" s="234">
        <v>1.9727950393776199E-3</v>
      </c>
      <c r="J7" s="234">
        <v>2.4742445535888401E-3</v>
      </c>
      <c r="K7" s="234">
        <v>2.77091338680335E-3</v>
      </c>
      <c r="L7" s="234">
        <v>3.4752304314022999E-3</v>
      </c>
      <c r="M7" s="235">
        <v>3.4752304314022999E-3</v>
      </c>
      <c r="N7" s="2"/>
    </row>
    <row r="8" spans="1:26" ht="14.4">
      <c r="A8" s="196">
        <v>2</v>
      </c>
      <c r="B8" s="201">
        <v>2</v>
      </c>
      <c r="C8" s="504">
        <v>3.5015658260911697E-5</v>
      </c>
      <c r="D8" s="2">
        <v>4.9181670820452405E-5</v>
      </c>
      <c r="E8" s="2">
        <v>6.7531779958544203E-5</v>
      </c>
      <c r="F8" s="2">
        <v>9.0651928835906406E-5</v>
      </c>
      <c r="G8" s="2">
        <v>1.36278150061747E-4</v>
      </c>
      <c r="H8" s="2">
        <v>2.0956148891540098E-4</v>
      </c>
      <c r="I8" s="2">
        <v>3.0108458750973299E-4</v>
      </c>
      <c r="J8" s="2">
        <v>4.3257914087689001E-4</v>
      </c>
      <c r="K8" s="2">
        <v>6.8043537700758895E-4</v>
      </c>
      <c r="L8" s="2">
        <v>1E-3</v>
      </c>
      <c r="M8" s="236">
        <v>1.4696472784789401E-3</v>
      </c>
      <c r="N8" s="2"/>
    </row>
    <row r="9" spans="1:26" ht="14.4">
      <c r="A9" s="196">
        <v>2</v>
      </c>
      <c r="B9" s="201">
        <v>3</v>
      </c>
      <c r="C9" s="504">
        <v>1.1455561822784101E-3</v>
      </c>
      <c r="D9" s="2">
        <v>1.4696472784789401E-3</v>
      </c>
      <c r="E9" s="2">
        <v>2.2093386751530701E-3</v>
      </c>
      <c r="F9" s="2">
        <v>2.9657268396796098E-3</v>
      </c>
      <c r="G9" s="2">
        <v>4.3585723786471195E-3</v>
      </c>
      <c r="H9" s="2">
        <v>6.2621189300962193E-3</v>
      </c>
      <c r="I9" s="2">
        <v>8.5985699673633495E-3</v>
      </c>
      <c r="J9" s="2">
        <v>1.2353877161286501E-2</v>
      </c>
      <c r="K9" s="2">
        <v>1.6583344818690501E-2</v>
      </c>
      <c r="L9" s="2">
        <v>2.5501009735072501E-2</v>
      </c>
      <c r="M9" s="236">
        <v>4.0112403797335501E-2</v>
      </c>
      <c r="N9" s="2"/>
    </row>
    <row r="10" spans="1:26" ht="14.4">
      <c r="A10" s="196">
        <v>2</v>
      </c>
      <c r="B10" s="201">
        <v>4</v>
      </c>
      <c r="C10" s="504">
        <v>3.7195620092518701E-3</v>
      </c>
      <c r="D10" s="2">
        <v>5.46644418403069E-3</v>
      </c>
      <c r="E10" s="2">
        <v>7.5060220532017505E-3</v>
      </c>
      <c r="F10" s="2">
        <v>1.1031204882690899E-2</v>
      </c>
      <c r="G10" s="2">
        <v>1.69632161773558E-2</v>
      </c>
      <c r="H10" s="2">
        <v>2.5501009735072501E-2</v>
      </c>
      <c r="I10" s="2">
        <v>3.8335978903361101E-2</v>
      </c>
      <c r="J10" s="2">
        <v>5.89510850740027E-2</v>
      </c>
      <c r="K10" s="2">
        <v>8.8621885062810601E-2</v>
      </c>
      <c r="L10" s="2">
        <v>0.12447495192494</v>
      </c>
      <c r="M10" s="236">
        <v>0.20028081235439302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6" ht="14.4">
      <c r="A11" s="199">
        <v>3</v>
      </c>
      <c r="B11" s="200">
        <v>1</v>
      </c>
      <c r="C11" s="504">
        <v>1.81071975453401E-5</v>
      </c>
      <c r="D11" s="234">
        <v>2.2579743714184999E-5</v>
      </c>
      <c r="E11" s="234">
        <v>2.8157025675653699E-5</v>
      </c>
      <c r="F11" s="234">
        <v>3.6197425750983601E-5</v>
      </c>
      <c r="G11" s="234">
        <v>5.2560702000401004E-5</v>
      </c>
      <c r="H11" s="234">
        <v>6.4063633990005107E-5</v>
      </c>
      <c r="I11" s="234">
        <v>7.5742361764966407E-5</v>
      </c>
      <c r="J11" s="234">
        <v>8.8197148756035697E-5</v>
      </c>
      <c r="K11" s="234">
        <v>1.01921184626301E-4</v>
      </c>
      <c r="L11" s="234">
        <v>1.13382350121784E-4</v>
      </c>
      <c r="M11" s="234">
        <v>1.28067230110281E-4</v>
      </c>
      <c r="N11" s="234">
        <v>1.3819612567338201E-4</v>
      </c>
      <c r="O11" s="234">
        <v>1.5373645394747601E-4</v>
      </c>
      <c r="P11" s="234">
        <v>1.6716313057451299E-4</v>
      </c>
      <c r="Q11" s="234">
        <v>1.7631164267971599E-4</v>
      </c>
      <c r="R11" s="234">
        <v>1.80384138713225E-4</v>
      </c>
      <c r="S11" s="234">
        <v>1.87381742286038E-4</v>
      </c>
      <c r="T11" s="234">
        <v>1.9465080240770001E-4</v>
      </c>
      <c r="U11" s="234">
        <v>1.9914690152331301E-4</v>
      </c>
      <c r="V11" s="234">
        <v>2.0374685280397E-4</v>
      </c>
      <c r="W11" s="234">
        <v>1.9914690152331301E-4</v>
      </c>
      <c r="X11" s="234">
        <v>2.0374685280397E-4</v>
      </c>
      <c r="Y11" s="235">
        <v>2.0845305505626003E-4</v>
      </c>
      <c r="Z11" s="2"/>
    </row>
    <row r="12" spans="1:26" ht="14.4">
      <c r="A12" s="196">
        <v>3</v>
      </c>
      <c r="B12" s="201">
        <v>2</v>
      </c>
      <c r="C12" s="504">
        <v>6.5543393870584293E-5</v>
      </c>
      <c r="D12" s="2">
        <v>6.2142458327544702E-5</v>
      </c>
      <c r="E12" s="2">
        <v>6.5543393870584293E-5</v>
      </c>
      <c r="F12" s="2">
        <v>7.0727250746341499E-5</v>
      </c>
      <c r="G12" s="2">
        <v>8.2357371883085305E-5</v>
      </c>
      <c r="H12" s="2">
        <v>9.3734793388480599E-5</v>
      </c>
      <c r="I12" s="2">
        <v>1.0668397121819299E-4</v>
      </c>
      <c r="J12" s="2">
        <v>1.2422667923417901E-4</v>
      </c>
      <c r="K12" s="2">
        <v>1.3819612567338201E-4</v>
      </c>
      <c r="L12" s="2">
        <v>1.56094797893609E-4</v>
      </c>
      <c r="M12" s="2">
        <v>1.69727442075686E-4</v>
      </c>
      <c r="N12" s="2">
        <v>1.8315126277905098E-4</v>
      </c>
      <c r="O12" s="2">
        <v>2.0687236496790999E-4</v>
      </c>
      <c r="P12" s="2">
        <v>2.1819408602348302E-4</v>
      </c>
      <c r="Q12" s="2">
        <v>2.3189386346913901E-4</v>
      </c>
      <c r="R12" s="2">
        <v>2.44584962336327E-4</v>
      </c>
      <c r="S12" s="2">
        <v>2.59941746801151E-4</v>
      </c>
      <c r="T12" s="2">
        <v>2.7002561176352901E-4</v>
      </c>
      <c r="U12" s="2">
        <v>2.7626273947749599E-4</v>
      </c>
      <c r="V12" s="2">
        <v>2.89172523407571E-4</v>
      </c>
      <c r="W12" s="2">
        <v>2.93608480218433E-4</v>
      </c>
      <c r="X12" s="2">
        <v>3.1442760027141102E-4</v>
      </c>
      <c r="Y12" s="236">
        <v>3.2169033763502998E-4</v>
      </c>
      <c r="Z12" s="2"/>
    </row>
    <row r="13" spans="1:26" ht="14.4">
      <c r="A13" s="196">
        <v>3</v>
      </c>
      <c r="B13" s="201">
        <v>3</v>
      </c>
      <c r="C13" s="504">
        <v>1.51413740824685E-4</v>
      </c>
      <c r="D13" s="2">
        <v>1.51413740824685E-4</v>
      </c>
      <c r="E13" s="2">
        <v>1.5257067737055199E-4</v>
      </c>
      <c r="F13" s="2">
        <v>1.5257067737055199E-4</v>
      </c>
      <c r="G13" s="2">
        <v>1.6844040655904401E-4</v>
      </c>
      <c r="H13" s="2">
        <v>1.8455070240835201E-4</v>
      </c>
      <c r="I13" s="2">
        <v>1.91709938601457E-4</v>
      </c>
      <c r="J13" s="2">
        <v>2.0687236496790999E-4</v>
      </c>
      <c r="K13" s="2">
        <v>2.2154122125811799E-4</v>
      </c>
      <c r="L13" s="2">
        <v>2.3725021330979498E-4</v>
      </c>
      <c r="M13" s="2">
        <v>2.5214647003477702E-4</v>
      </c>
      <c r="N13" s="2">
        <v>2.7208884920068604E-4</v>
      </c>
      <c r="O13" s="2">
        <v>2.86979741241581E-4</v>
      </c>
      <c r="P13" s="2">
        <v>3.0732883225297297E-4</v>
      </c>
      <c r="Q13" s="2">
        <v>3.2169033763502998E-4</v>
      </c>
      <c r="R13" s="2">
        <v>3.3416960256393299E-4</v>
      </c>
      <c r="S13" s="2">
        <v>3.4188834626274199E-4</v>
      </c>
      <c r="T13" s="2">
        <v>3.5515114824953201E-4</v>
      </c>
      <c r="U13" s="2">
        <v>3.6335452960631397E-4</v>
      </c>
      <c r="V13" s="2">
        <v>3.7174739497860903E-4</v>
      </c>
      <c r="W13" s="2">
        <v>3.7174739497860903E-4</v>
      </c>
      <c r="X13" s="2">
        <v>3.8033412112163499E-4</v>
      </c>
      <c r="Y13" s="236">
        <v>3.8911918588613E-4</v>
      </c>
      <c r="Z13" s="2"/>
    </row>
    <row r="14" spans="1:26" ht="14.4">
      <c r="A14" s="196">
        <v>3</v>
      </c>
      <c r="B14" s="201">
        <v>4</v>
      </c>
      <c r="C14" s="504">
        <v>4.2796175387416397E-5</v>
      </c>
      <c r="D14" s="2">
        <v>6.0278895942636E-5</v>
      </c>
      <c r="E14" s="2">
        <v>9.0234351365101298E-5</v>
      </c>
      <c r="F14" s="2">
        <v>1.0832052189444199E-4</v>
      </c>
      <c r="G14" s="2">
        <v>1.3003180369756899E-4</v>
      </c>
      <c r="H14" s="2">
        <v>1.57287501906596E-4</v>
      </c>
      <c r="I14" s="2">
        <v>1.6844040655904401E-4</v>
      </c>
      <c r="J14" s="2">
        <v>1.88813506566468E-4</v>
      </c>
      <c r="K14" s="2">
        <v>2.05303661181008E-4</v>
      </c>
      <c r="L14" s="2">
        <v>2.2323399454206002E-4</v>
      </c>
      <c r="M14" s="2">
        <v>2.3545115567287801E-4</v>
      </c>
      <c r="N14" s="2">
        <v>2.5214647003477702E-4</v>
      </c>
      <c r="O14" s="2">
        <v>2.7002561176352901E-4</v>
      </c>
      <c r="P14" s="2">
        <v>2.7837363415470401E-4</v>
      </c>
      <c r="Q14" s="2">
        <v>2.8480358684358E-4</v>
      </c>
      <c r="R14" s="2">
        <v>2.95851911885145E-4</v>
      </c>
      <c r="S14" s="2">
        <v>3.0268558276102099E-4</v>
      </c>
      <c r="T14" s="2">
        <v>3.0268558276102099E-4</v>
      </c>
      <c r="U14" s="2">
        <v>3.0732883225297297E-4</v>
      </c>
      <c r="V14" s="2">
        <v>3.1683010865540698E-4</v>
      </c>
      <c r="W14" s="2">
        <v>3.1683010865540698E-4</v>
      </c>
      <c r="X14" s="34">
        <v>3.1442760027141102E-4</v>
      </c>
      <c r="Y14" s="237">
        <v>3.3163560958187797E-4</v>
      </c>
      <c r="Z14" s="2"/>
    </row>
    <row r="15" spans="1:26" ht="14.4">
      <c r="A15" s="199">
        <v>4</v>
      </c>
      <c r="B15" s="200">
        <v>1</v>
      </c>
      <c r="C15" s="504">
        <v>6.0388241190619601E-6</v>
      </c>
      <c r="D15" s="234">
        <v>9.7830931901782907E-6</v>
      </c>
      <c r="E15" s="234">
        <v>1.7301957388458898E-5</v>
      </c>
      <c r="F15" s="234">
        <v>2.9935772947204899E-5</v>
      </c>
      <c r="G15" s="234">
        <v>4.7445002755086595E-5</v>
      </c>
      <c r="H15" s="234">
        <v>7.0407520066064397E-5</v>
      </c>
      <c r="I15" s="234">
        <v>9.7830931901782904E-5</v>
      </c>
      <c r="J15" s="234">
        <v>1.5505157798326202E-4</v>
      </c>
      <c r="K15" s="234">
        <v>2.30093718077846E-4</v>
      </c>
      <c r="L15" s="234">
        <v>3.1971418455273E-4</v>
      </c>
      <c r="M15" s="234">
        <v>4.7445002755086601E-4</v>
      </c>
      <c r="N15" s="234">
        <v>7.3564225445964205E-4</v>
      </c>
      <c r="O15" s="234">
        <v>1.1158839925077501E-3</v>
      </c>
      <c r="P15" s="234">
        <v>1.51688403669445E-3</v>
      </c>
      <c r="Q15" s="234">
        <v>2.1544346900318799E-3</v>
      </c>
      <c r="R15" s="234">
        <v>2.8651202696637801E-3</v>
      </c>
      <c r="S15" s="234">
        <v>4.0693384271671502E-3</v>
      </c>
      <c r="T15" s="234">
        <v>4.9572188818532703E-3</v>
      </c>
      <c r="U15" s="234">
        <v>6.5924617558714002E-3</v>
      </c>
      <c r="V15" s="234">
        <v>7.6862461003977395E-3</v>
      </c>
      <c r="W15" s="235">
        <v>8.7671238729686799E-3</v>
      </c>
      <c r="X15" s="2"/>
      <c r="Y15" s="2"/>
    </row>
    <row r="16" spans="1:26" ht="14.4">
      <c r="A16" s="196">
        <v>4</v>
      </c>
      <c r="B16" s="201">
        <v>2</v>
      </c>
      <c r="C16" s="504">
        <v>2.3519526350709501E-5</v>
      </c>
      <c r="D16" s="2">
        <v>3.4145488738336002E-5</v>
      </c>
      <c r="E16" s="2">
        <v>5.0671283463087695E-5</v>
      </c>
      <c r="F16" s="2">
        <v>7.6862461003977407E-5</v>
      </c>
      <c r="G16" s="2">
        <v>1.0916797088131499E-4</v>
      </c>
      <c r="H16" s="2">
        <v>1.6200328072641301E-4</v>
      </c>
      <c r="I16" s="2">
        <v>2.25102828643017E-4</v>
      </c>
      <c r="J16" s="2">
        <v>3.34048498351324E-4</v>
      </c>
      <c r="K16" s="2">
        <v>4.7445002755086601E-4</v>
      </c>
      <c r="L16" s="2">
        <v>6.3095734448019298E-4</v>
      </c>
      <c r="M16" s="2">
        <v>9.1601959066105198E-4</v>
      </c>
      <c r="N16" s="2">
        <v>1.35935639087852E-3</v>
      </c>
      <c r="O16" s="2">
        <v>1.8077686769634299E-3</v>
      </c>
      <c r="P16" s="2">
        <v>2.5118864315095799E-3</v>
      </c>
      <c r="Q16" s="2">
        <v>3.6467396740964401E-3</v>
      </c>
      <c r="R16" s="2">
        <v>4.9572188818532703E-3</v>
      </c>
      <c r="S16" s="2">
        <v>6.3095734448019398E-3</v>
      </c>
      <c r="T16" s="2">
        <v>8.0308572213915203E-3</v>
      </c>
      <c r="U16" s="2">
        <v>1.0221715980421701E-2</v>
      </c>
      <c r="V16" s="2">
        <v>1.30102521691083E-2</v>
      </c>
      <c r="W16" s="236">
        <v>1.5505157798326199E-2</v>
      </c>
      <c r="X16" s="2"/>
    </row>
    <row r="17" spans="1:46" ht="14.4">
      <c r="A17" s="196">
        <v>4</v>
      </c>
      <c r="B17" s="201">
        <v>3</v>
      </c>
      <c r="C17" s="504">
        <v>6.0388241190619606E-5</v>
      </c>
      <c r="D17" s="2">
        <v>7.5195261882835595E-5</v>
      </c>
      <c r="E17" s="2">
        <v>1.0448347758440801E-4</v>
      </c>
      <c r="F17" s="2">
        <v>1.3298710250628999E-4</v>
      </c>
      <c r="G17" s="2">
        <v>1.8888195803730401E-4</v>
      </c>
      <c r="H17" s="2">
        <v>2.7421754481220804E-4</v>
      </c>
      <c r="I17" s="2">
        <v>3.72759372031494E-4</v>
      </c>
      <c r="J17" s="2">
        <v>5.1794746792312109E-4</v>
      </c>
      <c r="K17" s="2">
        <v>7.0407520066064497E-4</v>
      </c>
      <c r="L17" s="2">
        <v>9.5708912367712903E-4</v>
      </c>
      <c r="M17" s="2">
        <v>1.3298710250628999E-3</v>
      </c>
      <c r="N17" s="2">
        <v>1.84784979742229E-3</v>
      </c>
      <c r="O17" s="2">
        <v>2.5118864315095799E-3</v>
      </c>
      <c r="P17" s="2">
        <v>3.2680275894101302E-3</v>
      </c>
      <c r="Q17" s="2">
        <v>4.6415888336127798E-3</v>
      </c>
      <c r="R17" s="2">
        <v>6.0388241190619599E-3</v>
      </c>
      <c r="S17" s="2">
        <v>7.8566624593889509E-3</v>
      </c>
      <c r="T17" s="2">
        <v>1.0221715980421701E-2</v>
      </c>
      <c r="U17" s="2">
        <v>1.30102521691083E-2</v>
      </c>
      <c r="V17" s="2">
        <v>1.58489319246111E-2</v>
      </c>
      <c r="W17" s="236">
        <v>1.80776867696343E-2</v>
      </c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6" ht="14.4">
      <c r="A18" s="199">
        <v>5</v>
      </c>
      <c r="B18" s="200">
        <v>1</v>
      </c>
      <c r="C18" s="504">
        <v>3.4087379834759098E-5</v>
      </c>
      <c r="D18" s="234">
        <v>3.2492952949915694E-5</v>
      </c>
      <c r="E18" s="234">
        <v>3.5760045133175798E-5</v>
      </c>
      <c r="F18" s="234">
        <v>3.8732196104047702E-5</v>
      </c>
      <c r="G18" s="234">
        <v>4.3312755253265203E-5</v>
      </c>
      <c r="H18" s="234">
        <v>5.0006807121025405E-5</v>
      </c>
      <c r="I18" s="234">
        <v>5.7735434834774601E-5</v>
      </c>
      <c r="J18" s="234">
        <v>6.6658533657090507E-5</v>
      </c>
      <c r="K18" s="234">
        <v>7.4541726115276498E-5</v>
      </c>
      <c r="L18" s="234">
        <v>8.74475351740921E-5</v>
      </c>
      <c r="M18" s="234">
        <v>1.04239066433859E-4</v>
      </c>
      <c r="N18" s="234">
        <v>1.1844289535865499E-4</v>
      </c>
      <c r="O18" s="234">
        <v>1.38949549437313E-4</v>
      </c>
      <c r="P18" s="234">
        <v>1.6042441256935002E-4</v>
      </c>
      <c r="Q18" s="234">
        <v>1.8228417196139798E-4</v>
      </c>
      <c r="R18" s="234">
        <v>2.1384400885248399E-4</v>
      </c>
      <c r="S18" s="234">
        <v>2.4689392402176599E-4</v>
      </c>
      <c r="T18" s="234">
        <v>2.8963999400516004E-4</v>
      </c>
      <c r="U18" s="234">
        <v>3.3978692047485797E-4</v>
      </c>
      <c r="V18" s="234">
        <v>3.98616053429867E-4</v>
      </c>
      <c r="W18" s="234">
        <v>4.6022276769633498E-4</v>
      </c>
      <c r="X18" s="234">
        <v>5.3135089287953202E-4</v>
      </c>
      <c r="Y18" s="234">
        <v>6.3338001365382895E-4</v>
      </c>
      <c r="Z18" s="234">
        <v>7.5500059766922902E-4</v>
      </c>
      <c r="AA18" s="234">
        <v>8.44288715648088E-4</v>
      </c>
      <c r="AB18" s="234">
        <v>9.9046495173116711E-4</v>
      </c>
      <c r="AC18" s="234">
        <v>1.1435428088501002E-3</v>
      </c>
      <c r="AD18" s="234">
        <v>1.3415305119893902E-3</v>
      </c>
      <c r="AE18" s="234">
        <v>1.4300124081209002E-3</v>
      </c>
      <c r="AF18" s="234">
        <v>1.84627678950798E-3</v>
      </c>
      <c r="AG18" s="234">
        <v>2.2722147559973201E-3</v>
      </c>
      <c r="AH18" s="234">
        <v>2.58183139761469E-3</v>
      </c>
      <c r="AI18" s="234">
        <v>2.9336370376589998E-3</v>
      </c>
      <c r="AJ18" s="234">
        <v>3.38703508117855E-3</v>
      </c>
      <c r="AK18" s="234">
        <v>3.9105064784321995E-3</v>
      </c>
      <c r="AL18" s="234">
        <v>4.5148811722786307E-3</v>
      </c>
      <c r="AM18" s="234">
        <v>5.0488214685054603E-3</v>
      </c>
      <c r="AN18" s="234">
        <v>5.5564689322449004E-3</v>
      </c>
      <c r="AO18" s="234">
        <v>6.1151591886536199E-3</v>
      </c>
      <c r="AP18" s="234">
        <v>6.5184902164031897E-3</v>
      </c>
      <c r="AQ18" s="234">
        <v>6.5184902164031897E-3</v>
      </c>
      <c r="AR18" s="234">
        <v>5.1300881381575398E-3</v>
      </c>
      <c r="AS18" s="235">
        <v>1.7265159562230299E-2</v>
      </c>
      <c r="AT18" s="2"/>
    </row>
    <row r="19" spans="1:46" ht="14.4">
      <c r="A19" s="196">
        <v>5</v>
      </c>
      <c r="B19" s="201">
        <v>2</v>
      </c>
      <c r="C19" s="504">
        <v>3.5646024043929202E-4</v>
      </c>
      <c r="D19" s="2">
        <v>3.98616053429867E-4</v>
      </c>
      <c r="E19" s="2">
        <v>4.3174652308656099E-4</v>
      </c>
      <c r="F19" s="2">
        <v>4.5293229419539105E-4</v>
      </c>
      <c r="G19" s="2">
        <v>4.7515764958220598E-4</v>
      </c>
      <c r="H19" s="2">
        <v>4.8280586609810702E-4</v>
      </c>
      <c r="I19" s="2">
        <v>4.6022276769633498E-4</v>
      </c>
      <c r="J19" s="2">
        <v>4.8280586609810702E-4</v>
      </c>
      <c r="K19" s="2">
        <v>4.8280586609810702E-4</v>
      </c>
      <c r="L19" s="2">
        <v>5.3135089287953202E-4</v>
      </c>
      <c r="M19" s="2">
        <v>5.3135089287953202E-4</v>
      </c>
      <c r="N19" s="2">
        <v>5.5742424331334803E-4</v>
      </c>
      <c r="O19" s="2">
        <v>5.4859398336119098E-4</v>
      </c>
      <c r="P19" s="2">
        <v>6.4357500364405301E-4</v>
      </c>
      <c r="Q19" s="2">
        <v>6.2334652437496401E-4</v>
      </c>
      <c r="R19" s="2">
        <v>6.2334652437496401E-4</v>
      </c>
      <c r="S19" s="2">
        <v>6.5393409388793205E-4</v>
      </c>
      <c r="T19" s="2">
        <v>6.5393409388793205E-4</v>
      </c>
      <c r="U19" s="2">
        <v>7.1968567300115206E-4</v>
      </c>
      <c r="V19" s="2">
        <v>7.7950143843900108E-4</v>
      </c>
      <c r="W19" s="2">
        <v>8.5787852716619401E-4</v>
      </c>
      <c r="X19" s="2">
        <v>8.17751518452873E-4</v>
      </c>
      <c r="Y19" s="2">
        <v>8.44288715648088E-4</v>
      </c>
      <c r="Z19" s="2">
        <v>9.4413625309869103E-4</v>
      </c>
      <c r="AA19" s="2">
        <v>1.0226069449233799E-3</v>
      </c>
      <c r="AB19" s="2">
        <v>1.1075996291567301E-3</v>
      </c>
      <c r="AC19" s="2">
        <v>1.21896624136269E-3</v>
      </c>
      <c r="AD19" s="2">
        <v>1.3202790804330499E-3</v>
      </c>
      <c r="AE19" s="2">
        <v>1.4300124081209002E-3</v>
      </c>
      <c r="AF19" s="2">
        <v>1.59912898498415E-3</v>
      </c>
      <c r="AG19" s="2">
        <v>1.7882456796138799E-3</v>
      </c>
      <c r="AH19" s="2">
        <v>1.9680496971379502E-3</v>
      </c>
      <c r="AI19" s="2">
        <v>2.1316216612193299E-3</v>
      </c>
      <c r="AJ19" s="2">
        <v>2.3459513491911298E-3</v>
      </c>
      <c r="AK19" s="2">
        <v>2.5409321316300203E-3</v>
      </c>
      <c r="AL19" s="2">
        <v>2.79641705225999E-3</v>
      </c>
      <c r="AM19" s="2">
        <v>2.8871647538310998E-3</v>
      </c>
      <c r="AN19" s="2">
        <v>3.1271278046105097E-3</v>
      </c>
      <c r="AO19" s="2">
        <v>3.1774625735942101E-3</v>
      </c>
      <c r="AP19" s="2">
        <v>3.1774625735942101E-3</v>
      </c>
      <c r="AQ19" s="2">
        <v>2.9808573470927399E-3</v>
      </c>
      <c r="AR19" s="2">
        <v>3.61043013896385E-3</v>
      </c>
      <c r="AS19" s="236">
        <v>4.7364260695383596E-3</v>
      </c>
      <c r="AT19" s="2"/>
    </row>
    <row r="20" spans="1:46" ht="14.4">
      <c r="A20" s="196">
        <v>5</v>
      </c>
      <c r="B20" s="201">
        <v>3</v>
      </c>
      <c r="C20" s="504">
        <v>1.8819955200992199E-4</v>
      </c>
      <c r="D20" s="2">
        <v>2.2078355039276701E-4</v>
      </c>
      <c r="E20" s="2">
        <v>2.5900899127255002E-4</v>
      </c>
      <c r="F20" s="2">
        <v>2.99039222821119E-4</v>
      </c>
      <c r="G20" s="2">
        <v>3.5081348821520904E-4</v>
      </c>
      <c r="H20" s="2">
        <v>3.8608698296026299E-4</v>
      </c>
      <c r="I20" s="2">
        <v>4.8280586609810702E-4</v>
      </c>
      <c r="J20" s="2">
        <v>5.3990360518087698E-4</v>
      </c>
      <c r="K20" s="2">
        <v>6.0375385502891904E-4</v>
      </c>
      <c r="L20" s="2">
        <v>6.6445992577042793E-4</v>
      </c>
      <c r="M20" s="2">
        <v>7.3126985323132305E-4</v>
      </c>
      <c r="N20" s="2">
        <v>8.3091418283349192E-4</v>
      </c>
      <c r="O20" s="2">
        <v>9.2918001708074908E-4</v>
      </c>
      <c r="P20" s="2">
        <v>1.0557919914054301E-3</v>
      </c>
      <c r="Q20" s="2">
        <v>1.1806523957292999E-3</v>
      </c>
      <c r="R20" s="2">
        <v>1.4073593185755602E-3</v>
      </c>
      <c r="S20" s="2">
        <v>1.5488660826989602E-3</v>
      </c>
      <c r="T20" s="2">
        <v>1.7599177509334699E-3</v>
      </c>
      <c r="U20" s="2">
        <v>1.99972775222345E-3</v>
      </c>
      <c r="V20" s="2">
        <v>2.23622018417296E-3</v>
      </c>
      <c r="W20" s="2">
        <v>2.5006807584394401E-3</v>
      </c>
      <c r="X20" s="2">
        <v>2.7521184954564302E-3</v>
      </c>
      <c r="Y20" s="2">
        <v>3.2286075393869003E-3</v>
      </c>
      <c r="Z20" s="2">
        <v>3.5532366511516699E-3</v>
      </c>
      <c r="AA20" s="2">
        <v>3.9734506407753303E-3</v>
      </c>
      <c r="AB20" s="2">
        <v>4.4433601093134701E-3</v>
      </c>
      <c r="AC20" s="2">
        <v>4.8901298166689E-3</v>
      </c>
      <c r="AD20" s="2">
        <v>5.2965667780366602E-3</v>
      </c>
      <c r="AE20" s="2">
        <v>6.5184902164031897E-3</v>
      </c>
      <c r="AF20" s="2">
        <v>7.0602662950728402E-3</v>
      </c>
      <c r="AG20" s="2">
        <v>7.7701599406248901E-3</v>
      </c>
      <c r="AH20" s="2">
        <v>8.9710499177042009E-3</v>
      </c>
      <c r="AI20" s="2">
        <v>1.0193463573794598E-2</v>
      </c>
      <c r="AJ20" s="2">
        <v>1.10406804199863E-2</v>
      </c>
      <c r="AK20" s="2">
        <v>1.1768878794463601E-2</v>
      </c>
      <c r="AL20" s="2">
        <v>1.2952212669177699E-2</v>
      </c>
      <c r="AM20" s="2">
        <v>1.35877768214965E-2</v>
      </c>
      <c r="AN20" s="2">
        <v>1.51946987546096E-2</v>
      </c>
      <c r="AO20" s="2">
        <v>1.61968792827E-2</v>
      </c>
      <c r="AP20" s="2">
        <v>1.7265159562230299E-2</v>
      </c>
      <c r="AQ20" s="2">
        <v>1.7543062440632102E-2</v>
      </c>
      <c r="AR20" s="2">
        <v>1.69916589944334E-2</v>
      </c>
      <c r="AS20" s="236">
        <v>1.27470342862918E-2</v>
      </c>
      <c r="AT20" s="2"/>
    </row>
    <row r="21" spans="1:46" ht="15.75" customHeight="1">
      <c r="A21" s="196">
        <v>5</v>
      </c>
      <c r="B21" s="201">
        <v>4</v>
      </c>
      <c r="C21" s="504">
        <v>3.8986037025490701E-5</v>
      </c>
      <c r="D21" s="2">
        <v>4.4435213657817998E-5</v>
      </c>
      <c r="E21" s="2">
        <v>4.9824526692653401E-5</v>
      </c>
      <c r="F21" s="2">
        <v>5.4961277427812098E-5</v>
      </c>
      <c r="G21" s="2">
        <v>6.1627241299031196E-5</v>
      </c>
      <c r="H21" s="2">
        <v>7.0241036104127806E-5</v>
      </c>
      <c r="I21" s="2">
        <v>7.6225849440713701E-5</v>
      </c>
      <c r="J21" s="2">
        <v>8.4084492846761506E-5</v>
      </c>
      <c r="K21" s="2">
        <v>9.4282658131083393E-5</v>
      </c>
      <c r="L21" s="2">
        <v>1.02315912494746E-4</v>
      </c>
      <c r="M21" s="2">
        <v>1.1472527064761201E-4</v>
      </c>
      <c r="N21" s="2">
        <v>1.2450031623204E-4</v>
      </c>
      <c r="O21" s="2">
        <v>1.3960030387421499E-4</v>
      </c>
      <c r="P21" s="2">
        <v>1.51494800407257E-4</v>
      </c>
      <c r="Q21" s="2">
        <v>1.6711343402047799E-4</v>
      </c>
      <c r="R21" s="2">
        <v>1.93611798033083E-4</v>
      </c>
      <c r="S21" s="2">
        <v>2.1010828691276002E-4</v>
      </c>
      <c r="T21" s="2">
        <v>2.3559121444194199E-4</v>
      </c>
      <c r="U21" s="2">
        <v>2.6852039212879499E-4</v>
      </c>
      <c r="V21" s="2">
        <v>3.0108781625693901E-4</v>
      </c>
      <c r="W21" s="2">
        <v>3.3212901552503397E-4</v>
      </c>
      <c r="X21" s="2">
        <v>3.8479309728552201E-4</v>
      </c>
      <c r="Y21" s="2">
        <v>4.3857659809731699E-4</v>
      </c>
      <c r="Z21" s="2">
        <v>4.7594505418780103E-4</v>
      </c>
      <c r="AA21" s="2">
        <v>5.3366992312062992E-4</v>
      </c>
      <c r="AB21" s="2">
        <v>5.8868960021324194E-4</v>
      </c>
      <c r="AC21" s="2">
        <v>6.2848577808521998E-4</v>
      </c>
      <c r="AD21" s="2">
        <v>7.4014733853775602E-4</v>
      </c>
      <c r="AE21" s="2">
        <v>8.4359959707334801E-4</v>
      </c>
      <c r="AF21" s="2">
        <v>9.1547761025952005E-4</v>
      </c>
      <c r="AG21" s="2">
        <v>1.0606404399520299E-3</v>
      </c>
      <c r="AH21" s="2">
        <v>1.16998910658906E-3</v>
      </c>
      <c r="AI21" s="2">
        <v>1.2696767934049899E-3</v>
      </c>
      <c r="AJ21" s="2">
        <v>1.51991108295293E-3</v>
      </c>
      <c r="AK21" s="2">
        <v>1.6226590366875901E-3</v>
      </c>
      <c r="AL21" s="2">
        <v>1.7323528848992801E-3</v>
      </c>
      <c r="AM21" s="2">
        <v>1.9744882128159297E-3</v>
      </c>
      <c r="AN21" s="2">
        <v>2.0070436517512303E-3</v>
      </c>
      <c r="AO21" s="2">
        <v>2.10796616808282E-3</v>
      </c>
      <c r="AP21" s="2">
        <v>1.78995003878849E-3</v>
      </c>
      <c r="AQ21" s="2">
        <v>1.2490818824377099E-3</v>
      </c>
      <c r="AR21" s="2">
        <v>6.6008866133473803E-4</v>
      </c>
      <c r="AS21" s="236">
        <v>6.6225115937785708E-3</v>
      </c>
      <c r="AT21" s="2"/>
    </row>
    <row r="22" spans="1:46" ht="15.75" customHeight="1">
      <c r="A22" s="196">
        <v>5</v>
      </c>
      <c r="B22" s="201">
        <v>5</v>
      </c>
      <c r="C22" s="504">
        <v>6.04296390238132E-6</v>
      </c>
      <c r="D22" s="2">
        <v>6.8876041941176492E-6</v>
      </c>
      <c r="E22" s="2">
        <v>7.8503019877601694E-6</v>
      </c>
      <c r="F22" s="2">
        <v>8.245047876757839E-6</v>
      </c>
      <c r="G22" s="2">
        <v>9.7099257531189892E-6</v>
      </c>
      <c r="H22" s="2">
        <v>1.1249581428616499E-5</v>
      </c>
      <c r="I22" s="2">
        <v>1.28219637716641E-5</v>
      </c>
      <c r="J22" s="2">
        <v>1.34667055275396E-5</v>
      </c>
      <c r="K22" s="2">
        <v>1.5348980892617601E-5</v>
      </c>
      <c r="L22" s="2">
        <v>1.8075997505543198E-5</v>
      </c>
      <c r="M22" s="2">
        <v>1.9939575539070598E-5</v>
      </c>
      <c r="N22" s="2">
        <v>2.23579416391938E-5</v>
      </c>
      <c r="O22" s="2">
        <v>2.59031316450154E-5</v>
      </c>
      <c r="P22" s="2">
        <v>2.8110180634136399E-5</v>
      </c>
      <c r="Q22" s="2">
        <v>3.3104448990969099E-5</v>
      </c>
      <c r="R22" s="2">
        <v>3.5925078623023096E-5</v>
      </c>
      <c r="S22" s="2">
        <v>4.0946417386414199E-5</v>
      </c>
      <c r="T22" s="2">
        <v>4.5912592696152801E-5</v>
      </c>
      <c r="U22" s="2">
        <v>5.3192729096653299E-5</v>
      </c>
      <c r="V22" s="2">
        <v>6.3676219732818304E-5</v>
      </c>
      <c r="W22" s="2">
        <v>7.13991730566795E-5</v>
      </c>
      <c r="X22" s="2">
        <v>8.1378815386921007E-5</v>
      </c>
      <c r="Y22" s="2">
        <v>8.9768713244731395E-5</v>
      </c>
      <c r="Z22" s="2">
        <v>1.0065628768368301E-4</v>
      </c>
      <c r="AA22" s="2">
        <v>1.16616865400451E-4</v>
      </c>
      <c r="AB22" s="2">
        <v>1.2863969449369698E-4</v>
      </c>
      <c r="AC22" s="2">
        <v>1.51494800407257E-4</v>
      </c>
      <c r="AD22" s="2">
        <v>1.6711343402047799E-4</v>
      </c>
      <c r="AE22" s="2">
        <v>1.87381742286038E-4</v>
      </c>
      <c r="AF22" s="2">
        <v>2.24311878678825E-4</v>
      </c>
      <c r="AG22" s="2">
        <v>2.55664515184323E-4</v>
      </c>
      <c r="AH22" s="2">
        <v>2.9139938869677504E-4</v>
      </c>
      <c r="AI22" s="2">
        <v>3.2674168582040602E-4</v>
      </c>
      <c r="AJ22" s="2">
        <v>3.6637046402267296E-4</v>
      </c>
      <c r="AK22" s="2">
        <v>4.0414209729914901E-4</v>
      </c>
      <c r="AL22" s="2">
        <v>4.0414209729914901E-4</v>
      </c>
      <c r="AM22" s="2">
        <v>4.1757898696184601E-4</v>
      </c>
      <c r="AN22" s="2">
        <v>3.7855152492586301E-4</v>
      </c>
      <c r="AO22" s="2">
        <v>2.24311878678825E-4</v>
      </c>
      <c r="AP22" s="2">
        <v>2.55664515184323E-4</v>
      </c>
      <c r="AQ22" s="2">
        <v>1.02651106800466E-3</v>
      </c>
      <c r="AR22" s="2">
        <v>3.1211754468334304E-3</v>
      </c>
      <c r="AS22" s="236">
        <v>9.6466161991119893E-3</v>
      </c>
      <c r="AT22" s="2"/>
    </row>
    <row r="23" spans="1:46" ht="15.75" customHeight="1">
      <c r="A23" s="197">
        <v>5</v>
      </c>
      <c r="B23" s="202">
        <v>6</v>
      </c>
      <c r="C23" s="504">
        <v>7.9797380741988205E-6</v>
      </c>
      <c r="D23" s="34">
        <v>6.5578482628834199E-6</v>
      </c>
      <c r="E23" s="34">
        <v>6.1426005277281995E-6</v>
      </c>
      <c r="F23" s="34">
        <v>5.8485129320805299E-6</v>
      </c>
      <c r="G23" s="34">
        <v>6.2438799656536203E-6</v>
      </c>
      <c r="H23" s="34">
        <v>6.6659743217190705E-6</v>
      </c>
      <c r="I23" s="34">
        <v>7.4744552390961401E-6</v>
      </c>
      <c r="J23" s="34">
        <v>8.245047876757839E-6</v>
      </c>
      <c r="K23" s="34">
        <v>8.9475584778323807E-6</v>
      </c>
      <c r="L23" s="34">
        <v>1.10671065427676E-5</v>
      </c>
      <c r="M23" s="34">
        <v>1.34667055275396E-5</v>
      </c>
      <c r="N23" s="34">
        <v>1.48550801717277E-5</v>
      </c>
      <c r="O23" s="34">
        <v>1.7494346628442599E-5</v>
      </c>
      <c r="P23" s="34">
        <v>2.09422204672121E-5</v>
      </c>
      <c r="Q23" s="34">
        <v>2.3869367392260201E-5</v>
      </c>
      <c r="R23" s="34">
        <v>2.85736623926776E-5</v>
      </c>
      <c r="S23" s="34">
        <v>3.2039211413589098E-5</v>
      </c>
      <c r="T23" s="34">
        <v>3.7119513255809999E-5</v>
      </c>
      <c r="U23" s="34">
        <v>4.5167863199823004E-5</v>
      </c>
      <c r="V23" s="34">
        <v>5.3192729096653299E-5</v>
      </c>
      <c r="W23" s="34">
        <v>6.3676219732818304E-5</v>
      </c>
      <c r="X23" s="34">
        <v>7.2576405416634797E-5</v>
      </c>
      <c r="Y23" s="34">
        <v>8.4084492846761506E-5</v>
      </c>
      <c r="Z23" s="34">
        <v>1.0065628768368301E-4</v>
      </c>
      <c r="AA23" s="34">
        <v>1.2248084722897101E-4</v>
      </c>
      <c r="AB23" s="34">
        <v>1.3733590411182801E-4</v>
      </c>
      <c r="AC23" s="34">
        <v>1.5911259011248502E-4</v>
      </c>
      <c r="AD23" s="34">
        <v>1.9680407693710799E-4</v>
      </c>
      <c r="AE23" s="34">
        <v>2.2801034171415199E-4</v>
      </c>
      <c r="AF23" s="34">
        <v>2.55664515184323E-4</v>
      </c>
      <c r="AG23" s="34">
        <v>2.9620399322311501E-4</v>
      </c>
      <c r="AH23" s="34">
        <v>3.4317161901824701E-4</v>
      </c>
      <c r="AI23" s="34">
        <v>4.1080560801772702E-4</v>
      </c>
      <c r="AJ23" s="34">
        <v>4.6063005659858602E-4</v>
      </c>
      <c r="AK23" s="34">
        <v>5.1649745013427608E-4</v>
      </c>
      <c r="AL23" s="34">
        <v>5.5141334535056797E-4</v>
      </c>
      <c r="AM23" s="34">
        <v>5.8868960021324194E-4</v>
      </c>
      <c r="AN23" s="34">
        <v>5.8868960021324194E-4</v>
      </c>
      <c r="AO23" s="34">
        <v>4.7594505418780103E-4</v>
      </c>
      <c r="AP23" s="34">
        <v>5.0811955502302105E-4</v>
      </c>
      <c r="AQ23" s="34">
        <v>7.1633081895081899E-4</v>
      </c>
      <c r="AR23" s="34">
        <v>2.92354034102362E-3</v>
      </c>
      <c r="AS23" s="237">
        <v>9.3362066202466402E-3</v>
      </c>
      <c r="AT23" s="2"/>
    </row>
    <row r="24" spans="1:46" ht="15.75" customHeight="1">
      <c r="A24" s="204">
        <v>6</v>
      </c>
      <c r="B24" s="201">
        <v>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6" ht="15.75" customHeight="1">
      <c r="A25" s="204">
        <v>6</v>
      </c>
      <c r="B25" s="201">
        <v>2</v>
      </c>
    </row>
    <row r="26" spans="1:46" ht="15.75" customHeight="1">
      <c r="A26" s="204">
        <v>6</v>
      </c>
      <c r="B26" s="201">
        <v>3</v>
      </c>
    </row>
    <row r="27" spans="1:46" ht="15.75" customHeight="1">
      <c r="A27" s="204">
        <v>6</v>
      </c>
      <c r="B27" s="201">
        <v>4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46" ht="15.75" customHeight="1">
      <c r="A28" s="199">
        <v>7</v>
      </c>
      <c r="B28" s="200">
        <v>1</v>
      </c>
      <c r="C28" s="504">
        <v>3.9483219301735999E-5</v>
      </c>
      <c r="D28" s="234">
        <v>1.1319093808077599E-4</v>
      </c>
      <c r="E28" s="234">
        <v>3.1786459154047996E-4</v>
      </c>
      <c r="F28" s="234">
        <v>7.5670005723424904E-4</v>
      </c>
      <c r="G28" s="234">
        <v>1.4652754811771999E-3</v>
      </c>
      <c r="H28" s="234">
        <v>2.5067044904611398E-3</v>
      </c>
      <c r="I28" s="234">
        <v>4.0307064091391603E-3</v>
      </c>
      <c r="J28" s="234">
        <v>6.0919083819704302E-3</v>
      </c>
      <c r="K28" s="234">
        <v>8.4771744611583395E-3</v>
      </c>
      <c r="L28" s="234">
        <v>1.1796383389086899E-2</v>
      </c>
      <c r="M28" s="234">
        <v>1.60797031500018E-2</v>
      </c>
      <c r="N28" s="234">
        <v>2.1031485800943703E-2</v>
      </c>
      <c r="O28" s="234">
        <v>2.6395182169172301E-2</v>
      </c>
      <c r="P28" s="234">
        <v>3.3126791342175693E-2</v>
      </c>
      <c r="Q28" s="234">
        <v>4.0725410527238305E-2</v>
      </c>
      <c r="R28" s="234">
        <v>4.0725410527238305E-2</v>
      </c>
      <c r="S28" s="234">
        <v>4.6097474213028296E-2</v>
      </c>
      <c r="T28" s="234">
        <v>5.00670000145918E-2</v>
      </c>
      <c r="U28" s="234">
        <v>5.9060952731354401E-2</v>
      </c>
      <c r="V28" s="234">
        <v>6.41467839994323E-2</v>
      </c>
      <c r="W28" s="234">
        <v>6.6851646436063991E-2</v>
      </c>
      <c r="X28" s="235">
        <v>7.1124288878254199E-2</v>
      </c>
      <c r="Y28" s="2"/>
    </row>
    <row r="29" spans="1:46" ht="15.75" customHeight="1">
      <c r="A29" s="197">
        <v>7</v>
      </c>
      <c r="B29" s="202">
        <v>2</v>
      </c>
      <c r="C29" s="504">
        <v>7.1862486844915304E-3</v>
      </c>
      <c r="D29" s="34">
        <v>1.1087740404707299E-2</v>
      </c>
      <c r="E29" s="34">
        <v>1.9364019695370601E-2</v>
      </c>
      <c r="F29" s="34">
        <v>3.3818004848265401E-2</v>
      </c>
      <c r="G29" s="34">
        <v>5.6671306985418904E-2</v>
      </c>
      <c r="H29" s="34">
        <v>9.1125779344815999E-2</v>
      </c>
      <c r="I29" s="34">
        <v>0.12945165982558901</v>
      </c>
      <c r="J29" s="34">
        <v>0.15270614096563101</v>
      </c>
      <c r="K29" s="34">
        <v>0.180138018469853</v>
      </c>
      <c r="L29" s="34">
        <v>0.22145805423683998</v>
      </c>
      <c r="M29" s="34">
        <v>0.277936886615473</v>
      </c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237"/>
      <c r="Y29" s="2"/>
    </row>
    <row r="30" spans="1:46" ht="15.75" customHeight="1">
      <c r="A30" s="204">
        <v>8</v>
      </c>
      <c r="B30" s="201">
        <v>1</v>
      </c>
      <c r="C30" s="506">
        <v>436.89377981666581</v>
      </c>
      <c r="D30" s="506">
        <v>406.85419077671042</v>
      </c>
      <c r="E30" s="506">
        <v>365.762765488014</v>
      </c>
      <c r="F30" s="506">
        <v>306.683928764705</v>
      </c>
      <c r="G30" s="506">
        <v>217.67894162802085</v>
      </c>
      <c r="H30" s="506">
        <v>146.84973648935491</v>
      </c>
      <c r="I30" s="506">
        <v>120.04096279213033</v>
      </c>
      <c r="J30" s="506">
        <v>108.16966255651099</v>
      </c>
      <c r="K30" s="506">
        <v>91.410302308735638</v>
      </c>
      <c r="L30" s="506">
        <v>74.13557685102667</v>
      </c>
      <c r="M30" s="506">
        <v>60.215928864614611</v>
      </c>
      <c r="N30" s="506">
        <v>45.874996877835862</v>
      </c>
      <c r="O30" s="506">
        <v>35.090626014703261</v>
      </c>
      <c r="P30" s="506">
        <v>19.390720095912855</v>
      </c>
      <c r="Q30" s="504"/>
      <c r="R30" s="504"/>
      <c r="S30" s="504"/>
      <c r="T30" s="504"/>
      <c r="U30" s="504"/>
      <c r="V30" s="504"/>
      <c r="W30" s="504"/>
      <c r="X30" s="504"/>
      <c r="Y30" s="504"/>
      <c r="Z30" s="504"/>
    </row>
    <row r="31" spans="1:46" ht="15.75" customHeight="1">
      <c r="A31" s="204">
        <v>8</v>
      </c>
      <c r="B31" s="201">
        <v>2</v>
      </c>
      <c r="C31" s="506">
        <v>459.88622834258848</v>
      </c>
      <c r="D31" s="506">
        <v>430.41945233079889</v>
      </c>
      <c r="E31" s="506">
        <v>382.55751026151188</v>
      </c>
      <c r="F31" s="506">
        <v>329.0569399462147</v>
      </c>
      <c r="G31" s="506">
        <v>245.05574103522582</v>
      </c>
      <c r="H31" s="506">
        <v>173.58357824975613</v>
      </c>
      <c r="I31" s="506">
        <v>145.67101549425908</v>
      </c>
      <c r="J31" s="506">
        <v>124.12808365734415</v>
      </c>
      <c r="K31" s="506">
        <v>99.464861084514453</v>
      </c>
      <c r="L31" s="506">
        <v>79.324197187554276</v>
      </c>
      <c r="M31" s="506">
        <v>66.106203531791863</v>
      </c>
      <c r="N31" s="506">
        <v>57.082316895486528</v>
      </c>
      <c r="O31" s="506">
        <v>48.03470181252019</v>
      </c>
      <c r="P31" s="506">
        <v>37.198294882148645</v>
      </c>
    </row>
    <row r="32" spans="1:46" ht="15.75" customHeight="1">
      <c r="A32" s="204">
        <v>8</v>
      </c>
      <c r="B32" s="201">
        <v>3</v>
      </c>
      <c r="C32" s="506">
        <v>404.28610678633532</v>
      </c>
      <c r="D32" s="506">
        <v>386.28412525289502</v>
      </c>
      <c r="E32" s="506">
        <v>383.73373352538033</v>
      </c>
      <c r="F32" s="506">
        <v>343.16912138141151</v>
      </c>
      <c r="G32" s="506">
        <v>281.01765895977792</v>
      </c>
      <c r="H32" s="506">
        <v>204.15518404116185</v>
      </c>
      <c r="I32" s="506">
        <v>169.90941561414999</v>
      </c>
      <c r="J32" s="506">
        <v>172.13260455086603</v>
      </c>
      <c r="K32" s="506">
        <v>157.7042519711255</v>
      </c>
      <c r="L32" s="506">
        <v>124.77541233379604</v>
      </c>
      <c r="M32" s="506">
        <v>108.03561764730313</v>
      </c>
      <c r="N32" s="506">
        <v>92.494525805726411</v>
      </c>
      <c r="O32" s="506">
        <v>79.994629877860802</v>
      </c>
      <c r="P32" s="506">
        <v>58.363653015177654</v>
      </c>
    </row>
    <row r="33" spans="1:26" ht="15.75" customHeight="1">
      <c r="A33" s="204">
        <v>8</v>
      </c>
      <c r="B33" s="201">
        <v>4</v>
      </c>
      <c r="C33" s="506">
        <v>232.29857879093106</v>
      </c>
      <c r="D33" s="506">
        <v>217.00039131122551</v>
      </c>
      <c r="E33" s="506">
        <v>200.09075090126461</v>
      </c>
      <c r="F33" s="506">
        <v>172.3120249107055</v>
      </c>
      <c r="G33" s="506">
        <v>137.40352513133857</v>
      </c>
      <c r="H33" s="506">
        <v>103.23289678541936</v>
      </c>
      <c r="I33" s="506">
        <v>79.925942269105391</v>
      </c>
      <c r="J33" s="506">
        <v>64.687908483127359</v>
      </c>
      <c r="K33" s="506">
        <v>51.474077712744126</v>
      </c>
      <c r="L33" s="506">
        <v>46.257982332714448</v>
      </c>
      <c r="M33" s="506">
        <v>41.999350589880777</v>
      </c>
      <c r="N33" s="506">
        <v>40.792946407013559</v>
      </c>
      <c r="O33" s="506">
        <v>31.957638478382091</v>
      </c>
      <c r="P33" s="506">
        <v>20.279912412891587</v>
      </c>
    </row>
    <row r="34" spans="1:26" ht="15.75" customHeight="1">
      <c r="A34" s="203">
        <v>9</v>
      </c>
      <c r="B34" s="200">
        <v>1</v>
      </c>
      <c r="C34" s="506">
        <v>283.09237553029448</v>
      </c>
      <c r="D34" s="506">
        <v>294.90260951850019</v>
      </c>
      <c r="E34" s="506">
        <v>292.99551875106505</v>
      </c>
      <c r="F34" s="506">
        <v>295.83917485705405</v>
      </c>
      <c r="G34" s="506">
        <v>301.9300065817859</v>
      </c>
      <c r="H34" s="506">
        <v>357.7130635039245</v>
      </c>
      <c r="I34" s="506">
        <v>296.11061785752116</v>
      </c>
      <c r="J34" s="506">
        <v>152.38977550468726</v>
      </c>
      <c r="K34" s="506">
        <v>83.102066501383163</v>
      </c>
      <c r="L34" s="506">
        <v>48.48973753759379</v>
      </c>
      <c r="M34" s="506">
        <v>36.043600838765421</v>
      </c>
      <c r="N34" s="506">
        <v>27.553080271498846</v>
      </c>
      <c r="O34" s="506">
        <v>22.302895399055995</v>
      </c>
      <c r="P34" s="506">
        <v>18.822434807324218</v>
      </c>
      <c r="Q34" s="504"/>
      <c r="R34" s="504"/>
      <c r="S34" s="504"/>
      <c r="T34" s="504"/>
      <c r="U34" s="504"/>
      <c r="V34" s="504"/>
      <c r="W34" s="504"/>
      <c r="X34" s="504"/>
      <c r="Y34" s="504"/>
      <c r="Z34" s="504"/>
    </row>
    <row r="35" spans="1:26" ht="15.75" customHeight="1">
      <c r="A35" s="204">
        <v>9</v>
      </c>
      <c r="B35" s="201">
        <v>2</v>
      </c>
      <c r="C35" s="506">
        <v>69.919072104369818</v>
      </c>
      <c r="D35" s="506">
        <v>67.324820321106188</v>
      </c>
      <c r="E35" s="506">
        <v>76.942651795549779</v>
      </c>
      <c r="F35" s="506">
        <v>78.418249974426374</v>
      </c>
      <c r="G35" s="506">
        <v>108.72240577144653</v>
      </c>
      <c r="H35" s="506">
        <v>199.01624052457814</v>
      </c>
      <c r="I35" s="506">
        <v>240.43269320009279</v>
      </c>
      <c r="J35" s="506">
        <v>128.19886462910756</v>
      </c>
      <c r="K35" s="506">
        <v>66.331965374698839</v>
      </c>
      <c r="L35" s="506">
        <v>32.854227853260205</v>
      </c>
      <c r="M35" s="506">
        <v>25.296133633266635</v>
      </c>
      <c r="N35" s="506">
        <v>22.42674203428264</v>
      </c>
      <c r="O35" s="506">
        <v>20.014431401296633</v>
      </c>
      <c r="P35" s="506">
        <v>17.673496816074184</v>
      </c>
    </row>
    <row r="36" spans="1:26" ht="15.75" customHeight="1">
      <c r="A36" s="204">
        <v>9</v>
      </c>
      <c r="B36" s="201">
        <v>3</v>
      </c>
      <c r="C36" s="506">
        <v>207.87029491809548</v>
      </c>
      <c r="D36" s="506">
        <v>198.26532172752141</v>
      </c>
      <c r="E36" s="506">
        <v>195.23844770090386</v>
      </c>
      <c r="F36" s="506">
        <v>200.12212085949332</v>
      </c>
      <c r="G36" s="506">
        <v>212.00584898440383</v>
      </c>
      <c r="H36" s="506">
        <v>288.37340392811615</v>
      </c>
      <c r="I36" s="506">
        <v>305.12381286253782</v>
      </c>
      <c r="J36" s="506">
        <v>177.64324379695677</v>
      </c>
      <c r="K36" s="506">
        <v>97.288200956031091</v>
      </c>
      <c r="L36" s="506">
        <v>60.300663742177846</v>
      </c>
      <c r="M36" s="506">
        <v>45.903155632977125</v>
      </c>
      <c r="N36" s="506">
        <v>33.703875682929947</v>
      </c>
      <c r="O36" s="506">
        <v>28.102759519777521</v>
      </c>
      <c r="P36" s="506">
        <v>22.246355067499639</v>
      </c>
    </row>
    <row r="37" spans="1:26" ht="14.4">
      <c r="A37" s="205">
        <v>9</v>
      </c>
      <c r="B37" s="202">
        <v>4</v>
      </c>
      <c r="C37" s="506">
        <v>187.59881136441211</v>
      </c>
      <c r="D37" s="506">
        <v>189.95217162026404</v>
      </c>
      <c r="E37" s="506">
        <v>182.58577605985872</v>
      </c>
      <c r="F37" s="506">
        <v>192.8574402851217</v>
      </c>
      <c r="G37" s="506">
        <v>220.00184315655997</v>
      </c>
      <c r="H37" s="506">
        <v>299.39389808383726</v>
      </c>
      <c r="I37" s="506">
        <v>327.84949673246672</v>
      </c>
      <c r="J37" s="506">
        <v>186.17748184361892</v>
      </c>
      <c r="K37" s="506">
        <v>99.155228002247355</v>
      </c>
      <c r="L37" s="506">
        <v>61.295702105468287</v>
      </c>
      <c r="M37" s="506">
        <v>44.948003072950307</v>
      </c>
      <c r="N37" s="506">
        <v>39.458195921478826</v>
      </c>
      <c r="O37" s="506">
        <v>19.143782114671577</v>
      </c>
      <c r="P37" s="506"/>
    </row>
    <row r="38" spans="1:26" ht="15.75" customHeight="1">
      <c r="A38" s="203">
        <v>11</v>
      </c>
      <c r="B38" s="200" t="s">
        <v>221</v>
      </c>
    </row>
    <row r="39" spans="1:26" ht="15.75" customHeight="1">
      <c r="A39" s="204">
        <v>11</v>
      </c>
      <c r="B39" s="201" t="s">
        <v>222</v>
      </c>
    </row>
    <row r="40" spans="1:26" ht="15.75" customHeight="1">
      <c r="A40" s="204">
        <v>11</v>
      </c>
      <c r="B40" s="201" t="s">
        <v>223</v>
      </c>
    </row>
    <row r="41" spans="1:26" ht="15.75" customHeight="1">
      <c r="A41" s="204">
        <v>11</v>
      </c>
      <c r="B41" s="201" t="s">
        <v>224</v>
      </c>
    </row>
    <row r="42" spans="1:26" ht="15.75" customHeight="1">
      <c r="A42" s="204">
        <v>11</v>
      </c>
      <c r="B42" s="201" t="s">
        <v>225</v>
      </c>
      <c r="C42" s="506">
        <v>55.42960734906562</v>
      </c>
      <c r="D42" s="506">
        <v>61.250932983919846</v>
      </c>
      <c r="E42" s="506">
        <v>75.832896792330473</v>
      </c>
      <c r="F42" s="506">
        <v>89.910856651109754</v>
      </c>
      <c r="G42" s="506">
        <v>82.183209612638251</v>
      </c>
      <c r="H42" s="506">
        <v>66.227111187130788</v>
      </c>
      <c r="I42" s="506">
        <v>63.504842127676739</v>
      </c>
      <c r="J42" s="506">
        <v>68.991076752342039</v>
      </c>
      <c r="K42" s="506">
        <v>79.464772340004771</v>
      </c>
      <c r="L42" s="506">
        <v>90.229077912266746</v>
      </c>
      <c r="M42" s="506">
        <v>91.237135288109926</v>
      </c>
      <c r="N42" s="506">
        <v>81.509794405121326</v>
      </c>
      <c r="O42" s="506">
        <v>74.219059700022711</v>
      </c>
      <c r="P42" s="504"/>
      <c r="Q42" s="504"/>
      <c r="R42" s="504"/>
      <c r="S42" s="504"/>
      <c r="T42" s="504"/>
      <c r="U42" s="504"/>
    </row>
    <row r="43" spans="1:26" ht="15.75" customHeight="1">
      <c r="A43" s="204">
        <v>11</v>
      </c>
      <c r="B43" s="201" t="s">
        <v>226</v>
      </c>
      <c r="C43" s="506">
        <v>41.866770811095158</v>
      </c>
      <c r="D43" s="506">
        <v>53.416224827949151</v>
      </c>
      <c r="E43" s="506">
        <v>62.839108548321356</v>
      </c>
      <c r="F43" s="506">
        <v>80.643802368328849</v>
      </c>
      <c r="G43" s="506">
        <v>74.787556920928964</v>
      </c>
      <c r="H43" s="506">
        <v>66.319708688811673</v>
      </c>
      <c r="I43" s="506">
        <v>62.426820082013428</v>
      </c>
      <c r="J43" s="506">
        <v>64.920138028418606</v>
      </c>
      <c r="K43" s="506">
        <v>69.873232126133757</v>
      </c>
      <c r="L43" s="506">
        <v>69.022044652377716</v>
      </c>
      <c r="M43" s="506">
        <v>62.707121824249803</v>
      </c>
      <c r="N43" s="506">
        <v>57.134769774441132</v>
      </c>
      <c r="O43" s="506">
        <v>52.099700391069682</v>
      </c>
      <c r="P43" s="504"/>
      <c r="Q43" s="504"/>
      <c r="R43" s="504"/>
      <c r="S43" s="504"/>
      <c r="T43" s="504"/>
      <c r="U43" s="504"/>
    </row>
    <row r="44" spans="1:26" ht="15.75" customHeight="1">
      <c r="A44" s="204">
        <v>11</v>
      </c>
      <c r="B44" s="201" t="s">
        <v>227</v>
      </c>
      <c r="C44" s="506">
        <v>39.545737965918526</v>
      </c>
      <c r="D44" s="506">
        <v>47.973943085277405</v>
      </c>
      <c r="E44" s="506">
        <v>58.448441248872058</v>
      </c>
      <c r="F44" s="506">
        <v>72.468258544444083</v>
      </c>
      <c r="G44" s="506">
        <v>62.762359757014984</v>
      </c>
      <c r="H44" s="506">
        <v>52.998935036578757</v>
      </c>
      <c r="I44" s="506">
        <v>49.581641416622901</v>
      </c>
      <c r="J44" s="506">
        <v>53.728713142328921</v>
      </c>
      <c r="K44" s="506">
        <v>60.088082222353265</v>
      </c>
      <c r="L44" s="506">
        <v>59.54983390780064</v>
      </c>
      <c r="M44" s="506">
        <v>54.76295169725492</v>
      </c>
      <c r="N44" s="506">
        <v>49.385881833629028</v>
      </c>
      <c r="O44" s="506">
        <v>44.649194965615962</v>
      </c>
      <c r="P44" s="504"/>
      <c r="Q44" s="504"/>
      <c r="R44" s="504"/>
      <c r="S44" s="504"/>
      <c r="T44" s="504"/>
      <c r="U44" s="504"/>
    </row>
    <row r="45" spans="1:26" ht="15.75" customHeight="1">
      <c r="A45" s="205">
        <v>11</v>
      </c>
      <c r="B45" s="202" t="s">
        <v>228</v>
      </c>
      <c r="C45" s="506">
        <v>32.230482091965889</v>
      </c>
      <c r="D45" s="506">
        <v>34.755547459991092</v>
      </c>
      <c r="E45" s="506">
        <v>41.648292805849302</v>
      </c>
      <c r="F45" s="506">
        <v>49.32709774230355</v>
      </c>
      <c r="G45" s="506">
        <v>46.986565646126877</v>
      </c>
      <c r="H45" s="506">
        <v>47.383439548272115</v>
      </c>
      <c r="I45" s="506">
        <v>49.212263804906385</v>
      </c>
      <c r="J45" s="506">
        <v>46.518648326734478</v>
      </c>
      <c r="K45" s="506">
        <v>49.283790782171742</v>
      </c>
      <c r="L45" s="506">
        <v>47.811206161856042</v>
      </c>
      <c r="M45" s="506">
        <v>42.740345872854839</v>
      </c>
      <c r="N45" s="506">
        <v>38.275280623120601</v>
      </c>
      <c r="O45" s="506">
        <v>35.943067895966884</v>
      </c>
      <c r="P45" s="504"/>
      <c r="Q45" s="504"/>
      <c r="R45" s="504"/>
      <c r="S45" s="504"/>
      <c r="T45" s="504"/>
      <c r="U45" s="504"/>
    </row>
    <row r="46" spans="1:26" ht="15.75" customHeight="1">
      <c r="A46" s="203">
        <v>12</v>
      </c>
      <c r="B46" s="200" t="s">
        <v>221</v>
      </c>
      <c r="D46" s="504"/>
      <c r="E46" s="504"/>
      <c r="F46" s="504"/>
      <c r="G46" s="504"/>
      <c r="H46" s="504"/>
      <c r="I46" s="504"/>
      <c r="J46" s="504"/>
      <c r="K46" s="504"/>
      <c r="L46" s="504"/>
      <c r="M46" s="504"/>
      <c r="N46" s="504"/>
      <c r="O46" s="504"/>
      <c r="P46" s="504"/>
      <c r="Q46" s="504"/>
      <c r="R46" s="504"/>
      <c r="S46" s="504"/>
      <c r="T46" s="504"/>
      <c r="U46" s="504"/>
    </row>
    <row r="47" spans="1:26" ht="15.75" customHeight="1">
      <c r="A47" s="204">
        <v>12</v>
      </c>
      <c r="B47" s="201" t="s">
        <v>222</v>
      </c>
      <c r="D47" s="504"/>
      <c r="E47" s="504"/>
      <c r="F47" s="504"/>
      <c r="G47" s="504"/>
      <c r="H47" s="504"/>
      <c r="I47" s="504"/>
      <c r="J47" s="504"/>
      <c r="K47" s="504"/>
      <c r="L47" s="504"/>
      <c r="M47" s="504"/>
      <c r="N47" s="504"/>
      <c r="O47" s="504"/>
      <c r="P47" s="504"/>
      <c r="Q47" s="504"/>
      <c r="R47" s="504"/>
      <c r="S47" s="504"/>
      <c r="T47" s="504"/>
      <c r="U47" s="504"/>
    </row>
    <row r="48" spans="1:26" ht="15.75" customHeight="1">
      <c r="A48" s="204">
        <v>12</v>
      </c>
      <c r="B48" s="201" t="s">
        <v>223</v>
      </c>
      <c r="D48" s="504"/>
      <c r="E48" s="504"/>
      <c r="F48" s="504"/>
      <c r="G48" s="504"/>
      <c r="H48" s="504"/>
      <c r="I48" s="504"/>
      <c r="J48" s="504"/>
      <c r="K48" s="504"/>
      <c r="L48" s="504"/>
      <c r="M48" s="504"/>
      <c r="N48" s="504"/>
      <c r="O48" s="504"/>
      <c r="P48" s="504"/>
      <c r="Q48" s="504"/>
      <c r="R48" s="504"/>
      <c r="S48" s="504"/>
      <c r="T48" s="504"/>
      <c r="U48" s="504"/>
    </row>
    <row r="49" spans="1:21" ht="15.75" customHeight="1">
      <c r="A49" s="204">
        <v>12</v>
      </c>
      <c r="B49" s="201" t="s">
        <v>224</v>
      </c>
      <c r="D49" s="504"/>
      <c r="E49" s="504"/>
      <c r="F49" s="504"/>
      <c r="G49" s="504"/>
      <c r="H49" s="504"/>
      <c r="I49" s="504"/>
      <c r="J49" s="504"/>
      <c r="K49" s="504"/>
      <c r="L49" s="504"/>
      <c r="M49" s="504"/>
      <c r="N49" s="504"/>
      <c r="O49" s="504"/>
      <c r="P49" s="504"/>
      <c r="Q49" s="504"/>
      <c r="R49" s="504"/>
      <c r="S49" s="504"/>
      <c r="T49" s="504"/>
      <c r="U49" s="504"/>
    </row>
    <row r="50" spans="1:21" ht="15.75" customHeight="1">
      <c r="A50" s="205">
        <v>12</v>
      </c>
      <c r="B50" s="202" t="s">
        <v>229</v>
      </c>
      <c r="D50" s="504"/>
      <c r="E50" s="504"/>
      <c r="F50" s="504"/>
      <c r="G50" s="504"/>
      <c r="H50" s="504"/>
      <c r="I50" s="504"/>
      <c r="J50" s="504"/>
      <c r="K50" s="504"/>
      <c r="L50" s="504"/>
      <c r="M50" s="504"/>
      <c r="N50" s="504"/>
      <c r="O50" s="504"/>
      <c r="P50" s="504"/>
      <c r="Q50" s="504"/>
      <c r="R50" s="504"/>
      <c r="S50" s="504"/>
      <c r="T50" s="504"/>
      <c r="U50" s="504"/>
    </row>
    <row r="51" spans="1:21" ht="15.75" customHeight="1">
      <c r="A51" s="204">
        <v>12</v>
      </c>
      <c r="B51" s="201" t="s">
        <v>225</v>
      </c>
      <c r="C51" s="506">
        <v>183.02564680068784</v>
      </c>
      <c r="D51" s="506">
        <v>184.96506015626994</v>
      </c>
      <c r="E51" s="506">
        <v>228.27857572116616</v>
      </c>
      <c r="F51" s="506">
        <v>523.65405024377412</v>
      </c>
      <c r="G51" s="506">
        <v>317.04298557541682</v>
      </c>
      <c r="H51" s="506">
        <v>171.25361711493977</v>
      </c>
      <c r="I51" s="506">
        <v>239.73645485213493</v>
      </c>
      <c r="J51" s="506">
        <v>209.45199671270328</v>
      </c>
      <c r="K51" s="504"/>
      <c r="L51" s="504"/>
      <c r="M51" s="504"/>
      <c r="N51" s="504"/>
      <c r="O51" s="504"/>
      <c r="P51" s="504"/>
      <c r="Q51" s="504"/>
      <c r="R51" s="504"/>
      <c r="S51" s="504"/>
      <c r="T51" s="504"/>
      <c r="U51" s="504"/>
    </row>
    <row r="52" spans="1:21" ht="15.75" customHeight="1">
      <c r="A52" s="204">
        <v>12</v>
      </c>
      <c r="B52" s="201" t="s">
        <v>226</v>
      </c>
      <c r="C52" s="506">
        <v>188.97135653972396</v>
      </c>
      <c r="D52" s="506">
        <v>166.51878835881092</v>
      </c>
      <c r="E52" s="506">
        <v>231.82029352740156</v>
      </c>
      <c r="F52" s="506">
        <v>602.21315611235786</v>
      </c>
      <c r="G52" s="506">
        <v>195.83297200943636</v>
      </c>
      <c r="H52" s="506">
        <v>123.75192210165761</v>
      </c>
      <c r="I52" s="506">
        <v>150.75796711326637</v>
      </c>
      <c r="J52" s="506">
        <v>137.36836398118584</v>
      </c>
      <c r="K52" s="504"/>
      <c r="L52" s="504"/>
      <c r="M52" s="504"/>
      <c r="N52" s="504"/>
      <c r="O52" s="504"/>
      <c r="P52" s="504"/>
      <c r="Q52" s="504"/>
      <c r="R52" s="504"/>
      <c r="S52" s="504"/>
      <c r="T52" s="504"/>
      <c r="U52" s="504"/>
    </row>
    <row r="53" spans="1:21" ht="15.75" customHeight="1">
      <c r="A53" s="204">
        <v>12</v>
      </c>
      <c r="B53" s="201" t="s">
        <v>227</v>
      </c>
      <c r="C53" s="506">
        <v>175.01351666531659</v>
      </c>
      <c r="D53" s="506">
        <v>142.81484256908044</v>
      </c>
      <c r="E53" s="506">
        <v>267.95324841484512</v>
      </c>
      <c r="F53" s="506">
        <v>643.01538334115889</v>
      </c>
      <c r="G53" s="506">
        <v>183.56604067293776</v>
      </c>
      <c r="H53" s="506">
        <v>134.42115767194514</v>
      </c>
      <c r="I53" s="506">
        <v>163.54831642442656</v>
      </c>
      <c r="J53" s="506">
        <v>136.34372644172069</v>
      </c>
      <c r="K53" s="504"/>
      <c r="L53" s="504"/>
      <c r="M53" s="504"/>
      <c r="N53" s="504"/>
      <c r="O53" s="504"/>
      <c r="P53" s="504"/>
      <c r="Q53" s="504"/>
      <c r="R53" s="504"/>
      <c r="S53" s="504"/>
      <c r="T53" s="504"/>
      <c r="U53" s="504"/>
    </row>
    <row r="54" spans="1:21" ht="15.75" customHeight="1">
      <c r="A54" s="204">
        <v>12</v>
      </c>
      <c r="B54" s="201" t="s">
        <v>228</v>
      </c>
      <c r="C54" s="506">
        <v>221.09583379548189</v>
      </c>
      <c r="D54" s="506">
        <v>192.01793290011233</v>
      </c>
      <c r="E54" s="506">
        <v>269.41441758761442</v>
      </c>
      <c r="F54" s="506">
        <v>560.26605200144172</v>
      </c>
      <c r="G54" s="506">
        <v>343.99901744776309</v>
      </c>
      <c r="H54" s="506">
        <v>211.29417082526427</v>
      </c>
      <c r="I54" s="506">
        <v>311.66514408202062</v>
      </c>
      <c r="J54" s="506">
        <v>287.77203095005933</v>
      </c>
      <c r="K54" s="504"/>
      <c r="L54" s="504"/>
      <c r="M54" s="504"/>
      <c r="N54" s="504"/>
      <c r="O54" s="504"/>
      <c r="P54" s="504"/>
      <c r="Q54" s="504"/>
      <c r="R54" s="504"/>
      <c r="S54" s="504"/>
      <c r="T54" s="504"/>
      <c r="U54" s="504"/>
    </row>
    <row r="55" spans="1:21" ht="15.75" customHeight="1">
      <c r="A55" s="204">
        <v>12</v>
      </c>
      <c r="B55" s="201" t="s">
        <v>230</v>
      </c>
      <c r="C55" s="506">
        <v>128.16711626263572</v>
      </c>
      <c r="D55" s="506">
        <v>176.55348625441255</v>
      </c>
      <c r="E55" s="506">
        <v>271.4331090118539</v>
      </c>
      <c r="F55" s="506">
        <v>570.8169755133847</v>
      </c>
      <c r="G55" s="506">
        <v>217.4177908357066</v>
      </c>
      <c r="H55" s="506">
        <v>150.79766775813391</v>
      </c>
      <c r="I55" s="506">
        <v>198.35443765537647</v>
      </c>
      <c r="J55" s="506">
        <v>190.12359444251049</v>
      </c>
      <c r="K55" s="504"/>
      <c r="L55" s="504"/>
      <c r="M55" s="504"/>
      <c r="N55" s="504"/>
      <c r="O55" s="504"/>
      <c r="P55" s="504"/>
      <c r="Q55" s="504"/>
      <c r="R55" s="504"/>
      <c r="S55" s="504"/>
      <c r="T55" s="504"/>
      <c r="U55" s="504"/>
    </row>
    <row r="56" spans="1:21" ht="15.75" customHeight="1">
      <c r="A56" s="203">
        <v>13</v>
      </c>
      <c r="B56" s="200">
        <v>1</v>
      </c>
    </row>
    <row r="57" spans="1:21" ht="15.75" customHeight="1">
      <c r="A57" s="204">
        <v>13</v>
      </c>
      <c r="B57" s="201">
        <v>2</v>
      </c>
    </row>
    <row r="58" spans="1:21" ht="15.75" customHeight="1">
      <c r="A58" s="204">
        <v>13</v>
      </c>
      <c r="B58" s="201">
        <v>3</v>
      </c>
    </row>
    <row r="59" spans="1:21" ht="15.75" customHeight="1">
      <c r="A59" s="204">
        <v>13</v>
      </c>
      <c r="B59" s="201">
        <v>4</v>
      </c>
    </row>
    <row r="60" spans="1:21" ht="15.75" customHeight="1">
      <c r="A60" s="204">
        <v>13</v>
      </c>
      <c r="B60" s="201">
        <v>5</v>
      </c>
    </row>
    <row r="61" spans="1:21" ht="15.75" customHeight="1">
      <c r="A61" s="204">
        <v>13</v>
      </c>
      <c r="B61" s="201">
        <v>6</v>
      </c>
    </row>
    <row r="62" spans="1:21" ht="15.75" customHeight="1">
      <c r="A62" s="204">
        <v>13</v>
      </c>
      <c r="B62" s="201">
        <v>7</v>
      </c>
    </row>
    <row r="63" spans="1:21" ht="15.75" customHeight="1">
      <c r="A63" s="204">
        <v>13</v>
      </c>
      <c r="B63" s="201">
        <v>8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21" ht="15.75" customHeight="1">
      <c r="A64" s="199">
        <v>14</v>
      </c>
      <c r="B64" s="200">
        <v>1</v>
      </c>
      <c r="C64" s="504">
        <v>1.2941039544084299E-3</v>
      </c>
      <c r="D64" s="234">
        <v>1.8632462436183701E-3</v>
      </c>
      <c r="E64" s="234">
        <v>2.7552085224235999E-3</v>
      </c>
      <c r="F64" s="234">
        <v>3.8625376794457502E-3</v>
      </c>
      <c r="G64" s="234">
        <v>5.4149031132843901E-3</v>
      </c>
      <c r="H64" s="234">
        <v>7.7273571086088396E-3</v>
      </c>
      <c r="I64" s="234">
        <v>1.02702964936111E-2</v>
      </c>
      <c r="J64" s="234">
        <v>1.40190346323277E-2</v>
      </c>
      <c r="K64" s="234">
        <v>1.7822360997015001E-2</v>
      </c>
      <c r="L64" s="234">
        <v>2.2258214688228001E-2</v>
      </c>
      <c r="M64" s="234">
        <v>2.7308219256962099E-2</v>
      </c>
      <c r="N64" s="234">
        <v>3.1763655150792401E-2</v>
      </c>
      <c r="O64" s="235">
        <v>3.6946011713350199E-2</v>
      </c>
      <c r="P64" s="2"/>
    </row>
    <row r="65" spans="1:16" ht="15.75" customHeight="1">
      <c r="A65" s="196">
        <v>14</v>
      </c>
      <c r="B65" s="201">
        <v>2</v>
      </c>
      <c r="C65" s="504">
        <v>1.10273454821906E-3</v>
      </c>
      <c r="D65" s="2">
        <v>1.4919187205819202E-3</v>
      </c>
      <c r="E65" s="2">
        <v>2.1480592362295302E-3</v>
      </c>
      <c r="F65" s="2">
        <v>2.9847197872225001E-3</v>
      </c>
      <c r="G65" s="2">
        <v>4.1472534907492304E-3</v>
      </c>
      <c r="H65" s="2">
        <v>5.9183511143303504E-3</v>
      </c>
      <c r="I65" s="2">
        <v>8.1507327085643903E-3</v>
      </c>
      <c r="J65" s="2">
        <v>1.1125813572304499E-2</v>
      </c>
      <c r="K65" s="2">
        <v>1.47871411621528E-2</v>
      </c>
      <c r="L65" s="2">
        <v>1.87988527610869E-2</v>
      </c>
      <c r="M65" s="2">
        <v>2.3063987843131902E-2</v>
      </c>
      <c r="N65" s="2">
        <v>2.9061661236835599E-2</v>
      </c>
      <c r="O65" s="236">
        <v>3.5339674528287304E-2</v>
      </c>
      <c r="P65" s="2"/>
    </row>
    <row r="66" spans="1:16" ht="15.75" customHeight="1">
      <c r="A66" s="196">
        <v>14</v>
      </c>
      <c r="B66" s="201">
        <v>3</v>
      </c>
      <c r="C66" s="504">
        <v>1.84675511099487E-3</v>
      </c>
      <c r="D66" s="2">
        <v>2.3269944377424701E-3</v>
      </c>
      <c r="E66" s="2">
        <v>3.0113727037689602E-3</v>
      </c>
      <c r="F66" s="2">
        <v>3.8625376794457502E-3</v>
      </c>
      <c r="G66" s="2">
        <v>5.2723939888692905E-3</v>
      </c>
      <c r="H66" s="2">
        <v>6.7027780146759492E-3</v>
      </c>
      <c r="I66" s="2">
        <v>8.9085431445664002E-3</v>
      </c>
      <c r="J66" s="2">
        <v>1.14265481623633E-2</v>
      </c>
      <c r="K66" s="2">
        <v>1.4526530072221299E-2</v>
      </c>
      <c r="L66" s="2">
        <v>1.7664619678672198E-2</v>
      </c>
      <c r="M66" s="2">
        <v>2.1672416859702302E-2</v>
      </c>
      <c r="N66" s="2">
        <v>2.6120913617840601E-2</v>
      </c>
      <c r="O66" s="236">
        <v>3.0927690520474799E-2</v>
      </c>
      <c r="P66" s="2"/>
    </row>
    <row r="67" spans="1:16" ht="15.75" customHeight="1">
      <c r="A67" s="196">
        <v>14</v>
      </c>
      <c r="B67" s="201">
        <v>4</v>
      </c>
      <c r="C67" s="504">
        <v>2.1672424209635602E-3</v>
      </c>
      <c r="D67" s="2">
        <v>2.4327661446037802E-3</v>
      </c>
      <c r="E67" s="2">
        <v>2.6354176790570798E-3</v>
      </c>
      <c r="F67" s="2">
        <v>3.3503982661319399E-3</v>
      </c>
      <c r="G67" s="2">
        <v>4.0381062998707598E-3</v>
      </c>
      <c r="H67" s="2">
        <v>4.6969365254071003E-3</v>
      </c>
      <c r="I67" s="2">
        <v>5.7115851169816899E-3</v>
      </c>
      <c r="J67" s="2">
        <v>7.0074475316398805E-3</v>
      </c>
      <c r="K67" s="2">
        <v>8.5973163753734205E-3</v>
      </c>
      <c r="L67" s="2">
        <v>1.04545421559491E-2</v>
      </c>
      <c r="M67" s="2">
        <v>1.26004536988144E-2</v>
      </c>
      <c r="N67" s="2">
        <v>1.5322447604745401E-2</v>
      </c>
      <c r="O67" s="236">
        <v>1.87988527610869E-2</v>
      </c>
      <c r="P67" s="2"/>
    </row>
    <row r="68" spans="1:16" ht="15.75" customHeight="1">
      <c r="A68" s="196">
        <v>14</v>
      </c>
      <c r="B68" s="201">
        <v>5</v>
      </c>
      <c r="C68" s="504">
        <v>3.3803189069540099E-3</v>
      </c>
      <c r="D68" s="2">
        <v>3.5339686513302698E-3</v>
      </c>
      <c r="E68" s="2">
        <v>4.8238947087242108E-3</v>
      </c>
      <c r="F68" s="2">
        <v>5.4149031132843901E-3</v>
      </c>
      <c r="G68" s="2">
        <v>6.7027780146759492E-3</v>
      </c>
      <c r="H68" s="2">
        <v>8.1507327085643903E-3</v>
      </c>
      <c r="I68" s="2">
        <v>1.0362011583673801E-2</v>
      </c>
      <c r="J68" s="2">
        <v>1.27129644629413E-2</v>
      </c>
      <c r="K68" s="2">
        <v>1.54592790645697E-2</v>
      </c>
      <c r="L68" s="2">
        <v>1.93069791596104E-2</v>
      </c>
      <c r="M68" s="2">
        <v>2.38989228145991E-2</v>
      </c>
      <c r="N68" s="2">
        <v>2.9321185670172598E-2</v>
      </c>
      <c r="O68" s="236">
        <v>3.4716865643580001E-2</v>
      </c>
      <c r="P68" s="2"/>
    </row>
    <row r="69" spans="1:16" ht="15.75" customHeight="1">
      <c r="A69" s="196">
        <v>14</v>
      </c>
      <c r="B69" s="201">
        <v>6</v>
      </c>
      <c r="C69" s="504">
        <v>3.1763655150792301E-3</v>
      </c>
      <c r="D69" s="2">
        <v>3.9318289719378402E-3</v>
      </c>
      <c r="E69" s="2">
        <v>4.3357636450445198E-3</v>
      </c>
      <c r="F69" s="2">
        <v>5.0431610588217296E-3</v>
      </c>
      <c r="G69" s="2">
        <v>6.1326022802940198E-3</v>
      </c>
      <c r="H69" s="2">
        <v>7.07002255629179E-3</v>
      </c>
      <c r="I69" s="2">
        <v>8.5212178703560001E-3</v>
      </c>
      <c r="J69" s="2">
        <v>9.8237649630279304E-3</v>
      </c>
      <c r="K69" s="2">
        <v>1.14265481623633E-2</v>
      </c>
      <c r="L69" s="2">
        <v>1.3173197437833999E-2</v>
      </c>
      <c r="M69" s="2">
        <v>1.4919187205819201E-2</v>
      </c>
      <c r="N69" s="2">
        <v>1.89667225410091E-2</v>
      </c>
      <c r="O69" s="236">
        <v>2.1672416859702302E-2</v>
      </c>
      <c r="P69" s="2"/>
    </row>
    <row r="70" spans="1:16" ht="15.75" customHeight="1">
      <c r="A70" s="196">
        <v>14</v>
      </c>
      <c r="B70" s="201">
        <v>7</v>
      </c>
      <c r="C70" s="504">
        <v>2.4112343319032002E-3</v>
      </c>
      <c r="D70" s="2">
        <v>2.7066530127698202E-3</v>
      </c>
      <c r="E70" s="2">
        <v>2.5889732638646403E-3</v>
      </c>
      <c r="F70" s="2">
        <v>2.8046350848154301E-3</v>
      </c>
      <c r="G70" s="2">
        <v>3.1203878839213199E-3</v>
      </c>
      <c r="H70" s="2">
        <v>3.5973656394762401E-3</v>
      </c>
      <c r="I70" s="2">
        <v>4.0381062998707598E-3</v>
      </c>
      <c r="J70" s="2">
        <v>4.7811963643028203E-3</v>
      </c>
      <c r="K70" s="2">
        <v>5.8659692493604398E-3</v>
      </c>
      <c r="L70" s="2">
        <v>7.1968563813365402E-3</v>
      </c>
      <c r="M70" s="2">
        <v>8.9881006474373214E-3</v>
      </c>
      <c r="N70" s="2">
        <v>1.1225172348577599E-2</v>
      </c>
      <c r="O70" s="236">
        <v>1.40190346323277E-2</v>
      </c>
      <c r="P70" s="2"/>
    </row>
    <row r="71" spans="1:16" ht="15.75" customHeight="1">
      <c r="A71" s="196">
        <v>14</v>
      </c>
      <c r="B71" s="201">
        <v>8</v>
      </c>
      <c r="C71" s="504">
        <v>4.4135472823130005E-3</v>
      </c>
      <c r="D71" s="2">
        <v>4.3357636450445198E-3</v>
      </c>
      <c r="E71" s="2">
        <v>4.3357636450445198E-3</v>
      </c>
      <c r="F71" s="2">
        <v>4.4135472823130005E-3</v>
      </c>
      <c r="G71" s="2">
        <v>4.3744810975475104E-3</v>
      </c>
      <c r="H71" s="2">
        <v>4.4135472823130005E-3</v>
      </c>
      <c r="I71" s="2">
        <v>4.9104320908685802E-3</v>
      </c>
      <c r="J71" s="2">
        <v>5.6610332868211998E-3</v>
      </c>
      <c r="K71" s="2">
        <v>6.1326022802940198E-3</v>
      </c>
      <c r="L71" s="2">
        <v>6.76263240496725E-3</v>
      </c>
      <c r="M71" s="2">
        <v>7.3913873925235398E-3</v>
      </c>
      <c r="N71" s="2">
        <v>8.9881006474373214E-3</v>
      </c>
      <c r="O71" s="236">
        <v>1.0929745169051699E-2</v>
      </c>
      <c r="P71" s="2"/>
    </row>
    <row r="72" spans="1:16" ht="15.75" customHeight="1">
      <c r="A72" s="196">
        <v>14</v>
      </c>
      <c r="B72" s="201">
        <v>9</v>
      </c>
      <c r="C72" s="504">
        <v>5.4632570530422702E-3</v>
      </c>
      <c r="D72" s="2">
        <v>5.6610332868211998E-3</v>
      </c>
      <c r="E72" s="2">
        <v>5.4149031132843901E-3</v>
      </c>
      <c r="F72" s="2">
        <v>5.4632570530422702E-3</v>
      </c>
      <c r="G72" s="2">
        <v>5.7625922729181807E-3</v>
      </c>
      <c r="H72" s="2">
        <v>6.4686069500604401E-3</v>
      </c>
      <c r="I72" s="2">
        <v>7.1331539435603199E-3</v>
      </c>
      <c r="J72" s="2">
        <v>7.9362248617426811E-3</v>
      </c>
      <c r="K72" s="2">
        <v>9.231048986955509E-3</v>
      </c>
      <c r="L72" s="2">
        <v>1.02702964936111E-2</v>
      </c>
      <c r="M72" s="2">
        <v>1.14265481623633E-2</v>
      </c>
      <c r="N72" s="2">
        <v>1.37719747942477E-2</v>
      </c>
      <c r="O72" s="236">
        <v>1.7047481115060801E-2</v>
      </c>
      <c r="P72" s="2"/>
    </row>
    <row r="73" spans="1:16" ht="15.75" customHeight="1">
      <c r="A73" s="197">
        <v>14</v>
      </c>
      <c r="B73" s="202">
        <v>10</v>
      </c>
      <c r="C73" s="504">
        <v>1.00893013070457E-2</v>
      </c>
      <c r="D73" s="34">
        <v>1.02702964936111E-2</v>
      </c>
      <c r="E73" s="34">
        <v>1.0642085905190401E-2</v>
      </c>
      <c r="F73" s="34">
        <v>9.8237649630279304E-3</v>
      </c>
      <c r="G73" s="34">
        <v>1.0547902583858201E-2</v>
      </c>
      <c r="H73" s="34">
        <v>1.0642085905190401E-2</v>
      </c>
      <c r="I73" s="34">
        <v>1.1631528701088901E-2</v>
      </c>
      <c r="J73" s="34">
        <v>1.1945932946041E-2</v>
      </c>
      <c r="K73" s="34">
        <v>1.42705313951309E-2</v>
      </c>
      <c r="L73" s="34">
        <v>1.46562588549381E-2</v>
      </c>
      <c r="M73" s="34">
        <v>1.55973271575734E-2</v>
      </c>
      <c r="N73" s="34">
        <v>1.9136091362568001E-2</v>
      </c>
      <c r="O73" s="237">
        <v>2.2258214688228001E-2</v>
      </c>
      <c r="P73" s="2"/>
    </row>
    <row r="74" spans="1:16" ht="15.75" customHeight="1">
      <c r="A74" s="204">
        <v>15</v>
      </c>
      <c r="B74" s="201">
        <v>1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6" ht="15.75" customHeight="1">
      <c r="A75" s="204">
        <v>15</v>
      </c>
      <c r="B75" s="201">
        <v>2</v>
      </c>
    </row>
    <row r="76" spans="1:16" ht="15.75" customHeight="1">
      <c r="A76" s="204">
        <v>15</v>
      </c>
      <c r="B76" s="201">
        <v>3</v>
      </c>
    </row>
    <row r="77" spans="1:16" ht="15.75" customHeight="1">
      <c r="A77" s="204">
        <v>15</v>
      </c>
      <c r="B77" s="201">
        <v>4</v>
      </c>
    </row>
    <row r="78" spans="1:16" ht="15.75" customHeight="1">
      <c r="A78" s="204">
        <v>15</v>
      </c>
      <c r="B78" s="201">
        <v>5</v>
      </c>
    </row>
    <row r="79" spans="1:16" ht="15.75" customHeight="1">
      <c r="A79" s="205">
        <v>15</v>
      </c>
      <c r="B79" s="202">
        <v>6</v>
      </c>
    </row>
    <row r="80" spans="1:16" ht="15.75" customHeight="1">
      <c r="A80" s="204">
        <v>16</v>
      </c>
      <c r="B80" s="201">
        <v>1</v>
      </c>
    </row>
    <row r="81" spans="1:23" ht="15.75" customHeight="1">
      <c r="A81" s="204">
        <v>16</v>
      </c>
      <c r="B81" s="201">
        <v>2</v>
      </c>
    </row>
    <row r="82" spans="1:23" ht="15.75" customHeight="1">
      <c r="A82" s="204">
        <v>16</v>
      </c>
      <c r="B82" s="201">
        <v>3</v>
      </c>
    </row>
    <row r="83" spans="1:23" ht="15.75" customHeight="1">
      <c r="A83" s="229">
        <v>17</v>
      </c>
      <c r="B83" s="74">
        <v>1</v>
      </c>
    </row>
    <row r="84" spans="1:23" ht="15.75" customHeight="1">
      <c r="A84" s="228">
        <v>17</v>
      </c>
      <c r="B84" s="75">
        <v>2</v>
      </c>
    </row>
    <row r="85" spans="1:23" ht="15.75" customHeight="1">
      <c r="A85" s="228">
        <v>17</v>
      </c>
      <c r="B85" s="75">
        <v>3</v>
      </c>
    </row>
    <row r="86" spans="1:23" ht="15.75" customHeight="1">
      <c r="A86" s="228">
        <v>17</v>
      </c>
      <c r="B86" s="75">
        <v>4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spans="1:23" ht="15.75" customHeight="1">
      <c r="A87" s="229">
        <v>18</v>
      </c>
      <c r="B87" s="74">
        <v>1</v>
      </c>
      <c r="C87" s="504">
        <v>8.0566999999999998E-4</v>
      </c>
      <c r="D87" s="234">
        <v>8.0566999999999998E-4</v>
      </c>
      <c r="E87" s="234">
        <v>8.7367E-4</v>
      </c>
      <c r="F87" s="234">
        <v>9.2840999999999996E-4</v>
      </c>
      <c r="G87" s="234">
        <v>9.2840999999999996E-4</v>
      </c>
      <c r="H87" s="234">
        <v>1.0067799999999999E-3</v>
      </c>
      <c r="I87" s="234">
        <v>1.0484000000000001E-3</v>
      </c>
      <c r="J87" s="234">
        <v>1.0917500000000001E-3</v>
      </c>
      <c r="K87" s="234">
        <v>1.1140899999999999E-3</v>
      </c>
      <c r="L87" s="234">
        <v>1.1839000000000001E-3</v>
      </c>
      <c r="M87" s="234">
        <v>1.28382E-3</v>
      </c>
      <c r="N87" s="234">
        <v>1.50968E-3</v>
      </c>
      <c r="O87" s="234">
        <v>1.47941E-3</v>
      </c>
      <c r="P87" s="234">
        <v>1.6370999999999998E-3</v>
      </c>
      <c r="Q87" s="234">
        <v>1.73968E-3</v>
      </c>
      <c r="R87" s="234">
        <v>2.0875999999999998E-3</v>
      </c>
      <c r="S87" s="234">
        <v>2.3101300000000001E-3</v>
      </c>
      <c r="T87" s="234">
        <v>2.7165500000000003E-3</v>
      </c>
      <c r="U87" s="234">
        <v>2.8867600000000004E-3</v>
      </c>
      <c r="V87" s="235">
        <v>2.8867600000000004E-3</v>
      </c>
      <c r="W87" s="2"/>
    </row>
    <row r="88" spans="1:23" ht="15.75" customHeight="1">
      <c r="A88" s="228">
        <v>18</v>
      </c>
      <c r="B88" s="75">
        <v>2</v>
      </c>
      <c r="C88" s="504">
        <v>1.11516E-3</v>
      </c>
      <c r="D88" s="2">
        <v>1.48456E-3</v>
      </c>
      <c r="E88" s="2">
        <v>2.0171300000000002E-3</v>
      </c>
      <c r="F88" s="2">
        <v>2.5777600000000001E-3</v>
      </c>
      <c r="G88" s="2">
        <v>3.4316500000000001E-3</v>
      </c>
      <c r="H88" s="2">
        <v>4.7589899999999994E-3</v>
      </c>
      <c r="I88" s="2">
        <v>6.2072500000000001E-3</v>
      </c>
      <c r="J88" s="2">
        <v>7.9324700000000005E-3</v>
      </c>
      <c r="K88" s="2">
        <v>1.034649E-2</v>
      </c>
      <c r="L88" s="2">
        <v>1.3495139999999999E-2</v>
      </c>
      <c r="M88" s="2">
        <v>1.6897040000000002E-2</v>
      </c>
      <c r="N88" s="2">
        <v>2.1156500000000002E-2</v>
      </c>
      <c r="O88" s="34">
        <v>2.5953810000000001E-2</v>
      </c>
      <c r="P88" s="34">
        <v>3.0563779999999999E-2</v>
      </c>
      <c r="Q88" s="34">
        <v>3.5264459999999997E-2</v>
      </c>
      <c r="R88" s="34">
        <v>4.1528209999999996E-2</v>
      </c>
      <c r="S88" s="34">
        <v>4.4154039999999999E-2</v>
      </c>
      <c r="T88" s="34"/>
      <c r="U88" s="34"/>
      <c r="V88" s="237"/>
      <c r="W88" s="2"/>
    </row>
    <row r="89" spans="1:23" ht="15.75" customHeight="1">
      <c r="A89" s="229">
        <v>19</v>
      </c>
      <c r="B89" s="74">
        <v>1</v>
      </c>
      <c r="C89" s="504">
        <v>234.94</v>
      </c>
      <c r="D89" s="250">
        <v>234.1</v>
      </c>
      <c r="E89" s="250">
        <v>243.31</v>
      </c>
      <c r="F89" s="250">
        <v>243.72</v>
      </c>
      <c r="G89" s="250">
        <v>215.69</v>
      </c>
      <c r="H89" s="250">
        <v>165.48</v>
      </c>
      <c r="I89" s="250">
        <v>147.49</v>
      </c>
      <c r="J89" s="250">
        <v>148.33000000000001</v>
      </c>
      <c r="K89" s="250">
        <v>146.22999999999999</v>
      </c>
      <c r="L89" s="250">
        <v>141.63</v>
      </c>
      <c r="M89" s="250">
        <v>132.85</v>
      </c>
      <c r="N89" s="137">
        <v>117.78</v>
      </c>
      <c r="O89" s="2"/>
      <c r="P89" s="2"/>
      <c r="Q89" s="2"/>
      <c r="R89" s="2"/>
      <c r="S89" s="2"/>
      <c r="T89" s="2"/>
      <c r="U89" s="2"/>
      <c r="V89" s="2"/>
    </row>
    <row r="90" spans="1:23" ht="15.75" customHeight="1">
      <c r="A90" s="228">
        <v>19</v>
      </c>
      <c r="B90" s="75">
        <v>2</v>
      </c>
      <c r="C90" s="504">
        <v>208.16</v>
      </c>
      <c r="D90" s="274">
        <v>209</v>
      </c>
      <c r="E90" s="274">
        <v>219.87</v>
      </c>
      <c r="F90" s="274">
        <v>211.09</v>
      </c>
      <c r="G90" s="274">
        <v>176.78</v>
      </c>
      <c r="H90" s="274">
        <v>126.15</v>
      </c>
      <c r="I90" s="274">
        <v>106.49</v>
      </c>
      <c r="J90" s="274">
        <v>102.72</v>
      </c>
      <c r="K90" s="274">
        <v>98.95</v>
      </c>
      <c r="L90" s="274">
        <v>93.1</v>
      </c>
      <c r="M90" s="274">
        <v>81.38</v>
      </c>
      <c r="N90" s="138">
        <v>66.319999999999993</v>
      </c>
      <c r="O90" s="2"/>
    </row>
    <row r="91" spans="1:23" ht="15.75" customHeight="1">
      <c r="A91" s="228">
        <v>19</v>
      </c>
      <c r="B91" s="75">
        <v>3</v>
      </c>
      <c r="C91" s="504">
        <v>200.21</v>
      </c>
      <c r="D91" s="326">
        <v>203.97</v>
      </c>
      <c r="E91" s="326">
        <v>211.51</v>
      </c>
      <c r="F91" s="326">
        <v>201.46</v>
      </c>
      <c r="G91" s="326">
        <v>164.64</v>
      </c>
      <c r="H91" s="326">
        <v>114.02</v>
      </c>
      <c r="I91" s="326">
        <v>93.1</v>
      </c>
      <c r="J91" s="326">
        <v>85.15</v>
      </c>
      <c r="K91" s="326">
        <v>80.540000000000006</v>
      </c>
      <c r="L91" s="326">
        <v>74.69</v>
      </c>
      <c r="M91" s="326">
        <v>63.39</v>
      </c>
      <c r="N91" s="139">
        <v>50.84</v>
      </c>
      <c r="O91" s="2"/>
    </row>
    <row r="92" spans="1:23" ht="15.75" customHeight="1">
      <c r="A92" s="228">
        <v>19</v>
      </c>
      <c r="B92" s="75">
        <v>4</v>
      </c>
      <c r="C92" s="504">
        <v>197.7</v>
      </c>
      <c r="D92" s="274">
        <v>206.07</v>
      </c>
      <c r="E92" s="274">
        <v>215.69</v>
      </c>
      <c r="F92" s="274">
        <v>187.24</v>
      </c>
      <c r="G92" s="274">
        <v>140.38</v>
      </c>
      <c r="H92" s="274">
        <v>79.709999999999994</v>
      </c>
      <c r="I92" s="274">
        <v>66.319999999999993</v>
      </c>
      <c r="J92" s="274">
        <v>58.37</v>
      </c>
      <c r="K92" s="274">
        <v>55.02</v>
      </c>
      <c r="L92" s="274">
        <v>51.67</v>
      </c>
      <c r="M92" s="274"/>
      <c r="N92" s="138"/>
      <c r="O92" s="2"/>
    </row>
    <row r="93" spans="1:23" ht="15.75" customHeight="1">
      <c r="A93" s="230">
        <v>19</v>
      </c>
      <c r="B93" s="231">
        <v>5</v>
      </c>
      <c r="C93" s="504">
        <v>170.5</v>
      </c>
      <c r="D93" s="327">
        <v>162.97</v>
      </c>
      <c r="E93" s="327">
        <v>166.74</v>
      </c>
      <c r="F93" s="327">
        <v>149.58000000000001</v>
      </c>
      <c r="G93" s="327">
        <v>110.67</v>
      </c>
      <c r="H93" s="327">
        <v>73.010000000000005</v>
      </c>
      <c r="I93" s="327">
        <v>54.18</v>
      </c>
      <c r="J93" s="327"/>
      <c r="K93" s="327"/>
      <c r="L93" s="327"/>
      <c r="M93" s="327"/>
      <c r="N93" s="155"/>
      <c r="O93" s="2"/>
    </row>
    <row r="94" spans="1:23" ht="15.75" customHeight="1">
      <c r="A94" s="228">
        <v>20</v>
      </c>
      <c r="B94" s="75" t="s">
        <v>221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23" ht="15.75" customHeight="1">
      <c r="A95" s="228">
        <v>20</v>
      </c>
      <c r="B95" s="75" t="s">
        <v>222</v>
      </c>
    </row>
    <row r="96" spans="1:23" ht="15.75" customHeight="1">
      <c r="A96" s="228">
        <v>20</v>
      </c>
      <c r="B96" s="75" t="s">
        <v>223</v>
      </c>
    </row>
    <row r="97" spans="1:2" ht="15.75" customHeight="1">
      <c r="A97" s="228">
        <v>20</v>
      </c>
      <c r="B97" s="75" t="s">
        <v>224</v>
      </c>
    </row>
    <row r="98" spans="1:2" ht="15.75" customHeight="1">
      <c r="A98" s="228">
        <v>20</v>
      </c>
      <c r="B98" s="75" t="s">
        <v>225</v>
      </c>
    </row>
    <row r="99" spans="1:2" ht="15.75" customHeight="1">
      <c r="A99" s="228">
        <v>20</v>
      </c>
      <c r="B99" s="75" t="s">
        <v>226</v>
      </c>
    </row>
    <row r="100" spans="1:2" ht="15.75" customHeight="1">
      <c r="A100" s="228">
        <v>20</v>
      </c>
      <c r="B100" s="75" t="s">
        <v>227</v>
      </c>
    </row>
    <row r="101" spans="1:2" ht="15.75" customHeight="1">
      <c r="A101" s="228">
        <v>20</v>
      </c>
      <c r="B101" s="75" t="s">
        <v>228</v>
      </c>
    </row>
    <row r="102" spans="1:2" ht="15.75" customHeight="1">
      <c r="A102" s="228">
        <v>20</v>
      </c>
      <c r="B102" s="75" t="s">
        <v>231</v>
      </c>
    </row>
    <row r="103" spans="1:2" ht="15.75" customHeight="1">
      <c r="A103" s="228">
        <v>20</v>
      </c>
      <c r="B103" s="75" t="s">
        <v>232</v>
      </c>
    </row>
    <row r="104" spans="1:2" ht="15.75" customHeight="1">
      <c r="A104" s="228">
        <v>20</v>
      </c>
      <c r="B104" s="75" t="s">
        <v>233</v>
      </c>
    </row>
    <row r="105" spans="1:2" ht="15.75" customHeight="1">
      <c r="A105" s="228">
        <v>20</v>
      </c>
      <c r="B105" s="75" t="s">
        <v>234</v>
      </c>
    </row>
    <row r="106" spans="1:2" ht="15.75" customHeight="1">
      <c r="A106" s="228">
        <v>20</v>
      </c>
      <c r="B106" s="75" t="s">
        <v>235</v>
      </c>
    </row>
    <row r="107" spans="1:2" ht="15.75" customHeight="1">
      <c r="A107" s="228">
        <v>20</v>
      </c>
      <c r="B107" s="75" t="s">
        <v>236</v>
      </c>
    </row>
    <row r="108" spans="1:2" ht="15.75" customHeight="1">
      <c r="A108" s="228">
        <v>20</v>
      </c>
      <c r="B108" s="75" t="s">
        <v>237</v>
      </c>
    </row>
    <row r="109" spans="1:2" ht="15.75" customHeight="1">
      <c r="A109" s="228">
        <v>20</v>
      </c>
      <c r="B109" s="75" t="s">
        <v>238</v>
      </c>
    </row>
    <row r="110" spans="1:2" ht="15.75" customHeight="1">
      <c r="A110" s="228">
        <v>20</v>
      </c>
      <c r="B110" s="75" t="s">
        <v>239</v>
      </c>
    </row>
    <row r="111" spans="1:2" ht="15.75" customHeight="1">
      <c r="A111" s="228">
        <v>20</v>
      </c>
      <c r="B111" s="75" t="s">
        <v>240</v>
      </c>
    </row>
    <row r="112" spans="1:2" ht="15.75" customHeight="1">
      <c r="A112" s="228">
        <v>20</v>
      </c>
      <c r="B112" s="75" t="s">
        <v>241</v>
      </c>
    </row>
    <row r="113" spans="1:11" ht="15.75" customHeight="1">
      <c r="A113" s="228">
        <v>20</v>
      </c>
      <c r="B113" s="75" t="s">
        <v>242</v>
      </c>
      <c r="D113" s="2"/>
      <c r="E113" s="2"/>
      <c r="F113" s="2"/>
      <c r="G113" s="2"/>
      <c r="H113" s="2"/>
      <c r="I113" s="2"/>
      <c r="J113" s="2"/>
    </row>
    <row r="114" spans="1:11" ht="15.75" customHeight="1">
      <c r="A114" s="229">
        <v>21</v>
      </c>
      <c r="B114" s="74" t="s">
        <v>221</v>
      </c>
      <c r="C114" s="504">
        <v>57.31</v>
      </c>
      <c r="D114" s="2">
        <v>53.72</v>
      </c>
      <c r="E114" s="2">
        <v>68.77</v>
      </c>
      <c r="F114" s="2">
        <v>113.9</v>
      </c>
      <c r="G114" s="2">
        <v>108.88</v>
      </c>
      <c r="H114" s="2">
        <v>59.46</v>
      </c>
      <c r="I114" s="2">
        <v>57.31</v>
      </c>
      <c r="J114" s="2">
        <v>80.95</v>
      </c>
      <c r="K114" s="2"/>
    </row>
    <row r="115" spans="1:11" ht="15.75" customHeight="1">
      <c r="A115" s="228">
        <v>21</v>
      </c>
      <c r="B115" s="75" t="s">
        <v>222</v>
      </c>
      <c r="C115" s="504">
        <v>76.650000000000006</v>
      </c>
      <c r="D115" s="8">
        <v>74.5</v>
      </c>
      <c r="E115" s="8">
        <v>89.54</v>
      </c>
      <c r="F115" s="8">
        <v>105.3</v>
      </c>
      <c r="G115" s="8">
        <v>95.99</v>
      </c>
      <c r="H115" s="8">
        <v>52.29</v>
      </c>
      <c r="I115" s="8">
        <v>51.58</v>
      </c>
      <c r="J115" s="8">
        <v>66.62</v>
      </c>
      <c r="K115" s="2"/>
    </row>
    <row r="116" spans="1:11" ht="15.75" customHeight="1">
      <c r="A116" s="228">
        <v>21</v>
      </c>
      <c r="B116" s="75" t="s">
        <v>223</v>
      </c>
      <c r="C116" s="504">
        <v>83.09</v>
      </c>
      <c r="D116" s="8">
        <v>88.83</v>
      </c>
      <c r="E116" s="8">
        <v>84.53</v>
      </c>
      <c r="F116" s="8">
        <v>85.96</v>
      </c>
      <c r="G116" s="8">
        <v>68.77</v>
      </c>
      <c r="H116" s="8">
        <v>43.7</v>
      </c>
      <c r="I116" s="8">
        <v>44.41</v>
      </c>
      <c r="J116" s="8">
        <v>53.72</v>
      </c>
      <c r="K116" s="2"/>
    </row>
    <row r="117" spans="1:11" ht="15.75" customHeight="1">
      <c r="A117" s="228">
        <v>21</v>
      </c>
      <c r="B117" s="75" t="s">
        <v>224</v>
      </c>
      <c r="C117" s="504">
        <v>121.06</v>
      </c>
      <c r="D117" s="8">
        <v>135.38999999999999</v>
      </c>
      <c r="E117" s="8">
        <v>115.33</v>
      </c>
      <c r="F117" s="8">
        <v>81.66</v>
      </c>
      <c r="G117" s="8">
        <v>53.01</v>
      </c>
      <c r="H117" s="8">
        <v>34.380000000000003</v>
      </c>
      <c r="I117" s="8">
        <v>37.25</v>
      </c>
      <c r="J117" s="8">
        <v>45.85</v>
      </c>
      <c r="K117" s="2"/>
    </row>
    <row r="118" spans="1:11" ht="15.75" customHeight="1">
      <c r="A118" s="228">
        <v>21</v>
      </c>
      <c r="B118" s="75" t="s">
        <v>229</v>
      </c>
      <c r="C118" s="504">
        <v>51.49</v>
      </c>
      <c r="D118" s="8">
        <v>52.24</v>
      </c>
      <c r="E118" s="8">
        <v>64.180000000000007</v>
      </c>
      <c r="F118" s="8">
        <v>84.33</v>
      </c>
      <c r="G118" s="8">
        <v>97.01</v>
      </c>
      <c r="H118" s="8">
        <v>49.25</v>
      </c>
      <c r="I118" s="8">
        <v>47.01</v>
      </c>
      <c r="J118" s="8">
        <v>63.43</v>
      </c>
      <c r="K118" s="2"/>
    </row>
    <row r="119" spans="1:11" ht="15.75" customHeight="1">
      <c r="A119" s="228">
        <v>21</v>
      </c>
      <c r="B119" s="75" t="s">
        <v>243</v>
      </c>
      <c r="C119" s="504">
        <v>75.37</v>
      </c>
      <c r="D119" s="8">
        <v>85.07</v>
      </c>
      <c r="E119" s="8">
        <v>102.99</v>
      </c>
      <c r="F119" s="8">
        <v>118.66</v>
      </c>
      <c r="G119" s="8">
        <v>108.21</v>
      </c>
      <c r="H119" s="8">
        <v>61.19</v>
      </c>
      <c r="I119" s="8">
        <v>62.69</v>
      </c>
      <c r="J119" s="8">
        <v>77.61</v>
      </c>
      <c r="K119" s="2"/>
    </row>
    <row r="120" spans="1:11" ht="15.75" customHeight="1">
      <c r="A120" s="228">
        <v>21</v>
      </c>
      <c r="B120" s="75" t="s">
        <v>244</v>
      </c>
      <c r="C120" s="504">
        <v>81.34</v>
      </c>
      <c r="D120" s="8">
        <v>98.51</v>
      </c>
      <c r="E120" s="8">
        <v>93.28</v>
      </c>
      <c r="F120" s="8">
        <v>89.55</v>
      </c>
      <c r="G120" s="8">
        <v>64.930000000000007</v>
      </c>
      <c r="H120" s="8">
        <v>42.54</v>
      </c>
      <c r="I120" s="8">
        <v>42.54</v>
      </c>
      <c r="J120" s="8">
        <v>57.46</v>
      </c>
      <c r="K120" s="2"/>
    </row>
    <row r="121" spans="1:11" ht="15.75" customHeight="1">
      <c r="A121" s="230">
        <v>21</v>
      </c>
      <c r="B121" s="231" t="s">
        <v>245</v>
      </c>
      <c r="C121" s="504">
        <v>115.67</v>
      </c>
      <c r="D121" s="8">
        <v>125.37</v>
      </c>
      <c r="E121" s="8">
        <v>97.76</v>
      </c>
      <c r="F121" s="8">
        <v>72.39</v>
      </c>
      <c r="G121" s="8">
        <v>40.299999999999997</v>
      </c>
      <c r="H121" s="8">
        <v>28.36</v>
      </c>
      <c r="I121" s="8">
        <v>35.82</v>
      </c>
      <c r="J121" s="8">
        <v>43.28</v>
      </c>
      <c r="K121" s="2"/>
    </row>
    <row r="122" spans="1:11" ht="15.75" customHeight="1">
      <c r="A122" s="228">
        <v>21</v>
      </c>
      <c r="B122" s="75" t="s">
        <v>225</v>
      </c>
      <c r="D122" s="2"/>
      <c r="E122" s="2"/>
      <c r="F122" s="2"/>
      <c r="G122" s="2"/>
      <c r="H122" s="2"/>
      <c r="I122" s="2"/>
      <c r="J122" s="2"/>
    </row>
    <row r="123" spans="1:11" ht="15.75" customHeight="1">
      <c r="A123" s="228">
        <v>21</v>
      </c>
      <c r="B123" s="75" t="s">
        <v>226</v>
      </c>
    </row>
    <row r="124" spans="1:11" ht="15.75" customHeight="1">
      <c r="A124" s="228">
        <v>21</v>
      </c>
      <c r="B124" s="75" t="s">
        <v>227</v>
      </c>
    </row>
    <row r="125" spans="1:11" ht="15.75" customHeight="1">
      <c r="A125" s="228">
        <v>21</v>
      </c>
      <c r="B125" s="75" t="s">
        <v>228</v>
      </c>
    </row>
    <row r="126" spans="1:11" ht="15.75" customHeight="1">
      <c r="A126" s="228">
        <v>21</v>
      </c>
      <c r="B126" s="75" t="s">
        <v>230</v>
      </c>
    </row>
    <row r="127" spans="1:11" ht="15.75" customHeight="1">
      <c r="A127" s="228">
        <v>21</v>
      </c>
      <c r="B127" s="75" t="s">
        <v>246</v>
      </c>
    </row>
    <row r="128" spans="1:11" ht="15.75" customHeight="1">
      <c r="A128" s="228">
        <v>21</v>
      </c>
      <c r="B128" s="75" t="s">
        <v>247</v>
      </c>
    </row>
    <row r="129" spans="1:10" ht="15.75" customHeight="1">
      <c r="A129" s="228">
        <v>21</v>
      </c>
      <c r="B129" s="75" t="s">
        <v>248</v>
      </c>
    </row>
    <row r="130" spans="1:10" ht="15.75" customHeight="1">
      <c r="A130" s="229">
        <v>22</v>
      </c>
      <c r="B130" s="74">
        <v>1</v>
      </c>
    </row>
    <row r="131" spans="1:10" ht="15.75" customHeight="1">
      <c r="A131" s="228">
        <v>22</v>
      </c>
      <c r="B131" s="75">
        <v>2</v>
      </c>
    </row>
    <row r="132" spans="1:10" ht="15.75" customHeight="1">
      <c r="A132" s="228">
        <v>22</v>
      </c>
      <c r="B132" s="75">
        <v>3</v>
      </c>
    </row>
    <row r="133" spans="1:10" ht="15.75" customHeight="1">
      <c r="A133" s="228">
        <v>22</v>
      </c>
      <c r="B133" s="75">
        <v>4</v>
      </c>
    </row>
    <row r="134" spans="1:10" ht="15.75" customHeight="1">
      <c r="A134" s="228">
        <v>22</v>
      </c>
      <c r="B134" s="75">
        <v>5</v>
      </c>
    </row>
    <row r="135" spans="1:10" ht="15.75" customHeight="1">
      <c r="A135" s="228">
        <v>22</v>
      </c>
      <c r="B135" s="75">
        <v>6</v>
      </c>
    </row>
    <row r="136" spans="1:10" ht="15.75" customHeight="1">
      <c r="A136" s="228">
        <v>22</v>
      </c>
      <c r="B136" s="75">
        <v>7</v>
      </c>
    </row>
    <row r="137" spans="1:10" ht="15.75" customHeight="1">
      <c r="A137" s="228">
        <v>22</v>
      </c>
      <c r="B137" s="75">
        <v>8</v>
      </c>
      <c r="D137" s="2"/>
      <c r="E137" s="2"/>
      <c r="F137" s="2"/>
      <c r="G137" s="2"/>
      <c r="H137" s="2"/>
      <c r="I137" s="2"/>
    </row>
    <row r="138" spans="1:10" ht="15.75" customHeight="1">
      <c r="A138" s="229">
        <v>23</v>
      </c>
      <c r="B138" s="74">
        <v>1</v>
      </c>
      <c r="C138" s="504">
        <v>90</v>
      </c>
      <c r="D138" s="234">
        <v>110</v>
      </c>
      <c r="E138" s="234">
        <v>140</v>
      </c>
      <c r="F138" s="234">
        <v>120</v>
      </c>
      <c r="G138" s="234">
        <v>100</v>
      </c>
      <c r="H138" s="234">
        <v>100</v>
      </c>
      <c r="I138" s="235">
        <v>110</v>
      </c>
      <c r="J138" s="2"/>
    </row>
    <row r="139" spans="1:10" ht="15.75" customHeight="1">
      <c r="A139" s="228">
        <v>23</v>
      </c>
      <c r="B139" s="75">
        <v>2</v>
      </c>
      <c r="C139" s="504">
        <v>100</v>
      </c>
      <c r="D139" s="2">
        <v>140</v>
      </c>
      <c r="E139" s="2">
        <v>190</v>
      </c>
      <c r="F139" s="2">
        <v>110</v>
      </c>
      <c r="G139" s="2">
        <v>100</v>
      </c>
      <c r="H139" s="2">
        <v>110</v>
      </c>
      <c r="I139" s="236">
        <v>130</v>
      </c>
      <c r="J139" s="2"/>
    </row>
    <row r="140" spans="1:10" ht="15.75" customHeight="1">
      <c r="A140" s="228">
        <v>23</v>
      </c>
      <c r="B140" s="75">
        <v>3</v>
      </c>
      <c r="C140" s="504">
        <v>140</v>
      </c>
      <c r="D140" s="2">
        <v>190</v>
      </c>
      <c r="E140" s="2">
        <v>300</v>
      </c>
      <c r="F140" s="2">
        <v>150</v>
      </c>
      <c r="G140" s="2">
        <v>120</v>
      </c>
      <c r="H140" s="2">
        <v>130</v>
      </c>
      <c r="I140" s="236">
        <v>150</v>
      </c>
      <c r="J140" s="2"/>
    </row>
    <row r="141" spans="1:10" ht="15.75" customHeight="1">
      <c r="A141" s="228">
        <v>23</v>
      </c>
      <c r="B141" s="75">
        <v>4</v>
      </c>
      <c r="C141" s="504">
        <v>160</v>
      </c>
      <c r="D141" s="2">
        <v>200</v>
      </c>
      <c r="E141" s="2">
        <v>320</v>
      </c>
      <c r="F141" s="2">
        <v>180</v>
      </c>
      <c r="G141" s="2">
        <v>150</v>
      </c>
      <c r="H141" s="2">
        <v>150</v>
      </c>
      <c r="I141" s="236">
        <v>180</v>
      </c>
      <c r="J141" s="2"/>
    </row>
    <row r="142" spans="1:10" ht="15.75" customHeight="1">
      <c r="A142" s="230">
        <v>23</v>
      </c>
      <c r="B142" s="231">
        <v>5</v>
      </c>
      <c r="C142" s="504">
        <v>120</v>
      </c>
      <c r="D142" s="34">
        <v>150</v>
      </c>
      <c r="E142" s="34">
        <v>220</v>
      </c>
      <c r="F142" s="34">
        <v>140</v>
      </c>
      <c r="G142" s="34">
        <v>110</v>
      </c>
      <c r="H142" s="34">
        <v>120</v>
      </c>
      <c r="I142" s="237">
        <v>130</v>
      </c>
      <c r="J142" s="2"/>
    </row>
    <row r="143" spans="1:10" ht="15.75" customHeight="1">
      <c r="A143" s="238">
        <v>24</v>
      </c>
      <c r="B143" s="239">
        <v>1</v>
      </c>
      <c r="D143" s="2"/>
      <c r="E143" s="2"/>
      <c r="F143" s="2"/>
      <c r="G143" s="2"/>
      <c r="H143" s="2"/>
      <c r="I143" s="2"/>
    </row>
    <row r="144" spans="1:10" ht="15.75" customHeight="1">
      <c r="A144" s="238">
        <v>24</v>
      </c>
      <c r="B144" s="239">
        <v>2</v>
      </c>
    </row>
    <row r="145" spans="1:20" ht="15.75" customHeight="1">
      <c r="A145" s="238">
        <v>24</v>
      </c>
      <c r="B145" s="239">
        <v>3</v>
      </c>
    </row>
    <row r="146" spans="1:20" ht="15.75" customHeight="1">
      <c r="A146" s="238">
        <v>24</v>
      </c>
      <c r="B146" s="239">
        <v>4</v>
      </c>
    </row>
    <row r="147" spans="1:20" ht="15.75" customHeight="1">
      <c r="A147" s="238">
        <v>24</v>
      </c>
      <c r="B147" s="239">
        <v>5</v>
      </c>
    </row>
    <row r="148" spans="1:20" ht="15.75" customHeight="1">
      <c r="A148" s="238">
        <v>24</v>
      </c>
      <c r="B148" s="239">
        <v>6</v>
      </c>
    </row>
    <row r="149" spans="1:20" ht="15.75" customHeight="1">
      <c r="A149" s="238">
        <v>24</v>
      </c>
      <c r="B149" s="239">
        <v>7</v>
      </c>
    </row>
    <row r="150" spans="1:20" ht="15.75" customHeight="1">
      <c r="A150" s="229">
        <v>25</v>
      </c>
      <c r="B150" s="74">
        <v>1</v>
      </c>
    </row>
    <row r="151" spans="1:20" ht="15.75" customHeight="1">
      <c r="A151" s="228">
        <v>25</v>
      </c>
      <c r="B151" s="75">
        <v>2</v>
      </c>
    </row>
    <row r="152" spans="1:20" ht="15.75" customHeight="1">
      <c r="A152" s="228">
        <v>25</v>
      </c>
      <c r="B152" s="75">
        <v>3</v>
      </c>
    </row>
    <row r="153" spans="1:20" ht="15.75" customHeight="1">
      <c r="A153" s="228">
        <v>25</v>
      </c>
      <c r="B153" s="75">
        <v>4</v>
      </c>
    </row>
    <row r="154" spans="1:20" ht="15.75" customHeight="1">
      <c r="A154" s="229">
        <v>26</v>
      </c>
      <c r="B154" s="200" t="s">
        <v>221</v>
      </c>
    </row>
    <row r="155" spans="1:20" ht="15.75" customHeight="1">
      <c r="A155" s="228">
        <v>26</v>
      </c>
      <c r="B155" s="201" t="s">
        <v>222</v>
      </c>
    </row>
    <row r="156" spans="1:20" ht="15.75" customHeight="1">
      <c r="A156" s="228">
        <v>26</v>
      </c>
      <c r="B156" s="201" t="s">
        <v>223</v>
      </c>
    </row>
    <row r="157" spans="1:20" ht="15.75" customHeight="1">
      <c r="A157" s="228">
        <v>26</v>
      </c>
      <c r="B157" s="201" t="s">
        <v>224</v>
      </c>
    </row>
    <row r="158" spans="1:20" ht="15.75" customHeight="1">
      <c r="A158" s="228">
        <v>26</v>
      </c>
      <c r="B158" s="201" t="s">
        <v>229</v>
      </c>
    </row>
    <row r="159" spans="1:20" ht="15.75" customHeight="1">
      <c r="A159" s="228">
        <v>26</v>
      </c>
      <c r="B159" s="201" t="s">
        <v>225</v>
      </c>
      <c r="C159" s="506">
        <v>83.767264712642785</v>
      </c>
      <c r="D159" s="506">
        <v>138.78039636947346</v>
      </c>
      <c r="E159" s="506">
        <v>215.80127547509389</v>
      </c>
      <c r="F159" s="506">
        <v>348.65527695174853</v>
      </c>
      <c r="G159" s="506">
        <v>370.62770084073634</v>
      </c>
      <c r="H159" s="506">
        <v>250.77456332788643</v>
      </c>
      <c r="I159" s="506">
        <v>151.51181289197274</v>
      </c>
      <c r="J159" s="506">
        <v>89.389104941624566</v>
      </c>
      <c r="K159" s="506">
        <v>80.839113166348739</v>
      </c>
      <c r="L159" s="506">
        <v>108.49804358542106</v>
      </c>
      <c r="M159" s="506">
        <v>122.87501099222622</v>
      </c>
      <c r="N159" s="506">
        <v>130.60515560797359</v>
      </c>
      <c r="O159" s="504"/>
      <c r="P159" s="504"/>
      <c r="Q159" s="504"/>
      <c r="R159" s="504"/>
      <c r="S159" s="504"/>
      <c r="T159" s="504"/>
    </row>
    <row r="160" spans="1:20" ht="15.75" customHeight="1">
      <c r="A160" s="228">
        <v>26</v>
      </c>
      <c r="B160" s="201" t="s">
        <v>226</v>
      </c>
      <c r="C160" s="506">
        <v>54.158587417021934</v>
      </c>
      <c r="D160" s="506">
        <v>110.90964184982252</v>
      </c>
      <c r="E160" s="506">
        <v>255.58730527807927</v>
      </c>
      <c r="F160" s="506">
        <v>538.5059258544145</v>
      </c>
      <c r="G160" s="506">
        <v>585.3120352854927</v>
      </c>
      <c r="H160" s="506">
        <v>429.60065438109973</v>
      </c>
      <c r="I160" s="506">
        <v>265.05526451396588</v>
      </c>
      <c r="J160" s="506">
        <v>166.96238122146127</v>
      </c>
      <c r="K160" s="506">
        <v>134.14511211989625</v>
      </c>
      <c r="L160" s="506">
        <v>144.25212161765535</v>
      </c>
      <c r="M160" s="506">
        <v>166.19685492322662</v>
      </c>
      <c r="N160" s="506">
        <v>190.54560000000001</v>
      </c>
      <c r="O160" s="504"/>
      <c r="P160" s="504"/>
      <c r="Q160" s="504"/>
      <c r="R160" s="504"/>
      <c r="S160" s="504"/>
      <c r="T160" s="504"/>
    </row>
    <row r="161" spans="1:20" ht="15.75" customHeight="1">
      <c r="A161" s="228">
        <v>26</v>
      </c>
      <c r="B161" s="201" t="s">
        <v>227</v>
      </c>
      <c r="C161" s="506">
        <v>47.018872000000002</v>
      </c>
      <c r="D161" s="506">
        <v>68.349066000000008</v>
      </c>
      <c r="E161" s="506">
        <v>154.85849400000001</v>
      </c>
      <c r="F161" s="506">
        <v>278.15094900000003</v>
      </c>
      <c r="G161" s="506">
        <v>431.42460899999998</v>
      </c>
      <c r="H161" s="506">
        <v>399.09902099999994</v>
      </c>
      <c r="I161" s="506">
        <v>260.12266799999998</v>
      </c>
      <c r="J161" s="506">
        <v>159.58026000000001</v>
      </c>
      <c r="K161" s="506">
        <v>123.82077500000001</v>
      </c>
      <c r="L161" s="506">
        <v>130.75471200000001</v>
      </c>
      <c r="M161" s="506">
        <v>150.466995</v>
      </c>
      <c r="N161" s="506">
        <v>171.69834499999999</v>
      </c>
      <c r="O161" s="504"/>
      <c r="P161" s="504"/>
      <c r="Q161" s="504"/>
      <c r="R161" s="504"/>
      <c r="S161" s="504"/>
      <c r="T161" s="504"/>
    </row>
    <row r="162" spans="1:20" ht="15.75" customHeight="1">
      <c r="A162" s="228">
        <v>26</v>
      </c>
      <c r="B162" s="201" t="s">
        <v>228</v>
      </c>
      <c r="C162" s="506">
        <v>50.849060000000001</v>
      </c>
      <c r="D162" s="506">
        <v>87.136804999999995</v>
      </c>
      <c r="E162" s="506">
        <v>191.77360000000002</v>
      </c>
      <c r="F162" s="506">
        <v>370.47168400000004</v>
      </c>
      <c r="G162" s="506">
        <v>427.132068</v>
      </c>
      <c r="H162" s="506">
        <v>319.95281799999998</v>
      </c>
      <c r="I162" s="506">
        <v>182.264184</v>
      </c>
      <c r="J162" s="506">
        <v>120.650976</v>
      </c>
      <c r="K162" s="506">
        <v>126.396226</v>
      </c>
      <c r="L162" s="506">
        <v>153.63681300000002</v>
      </c>
      <c r="M162" s="506">
        <v>172.88686799999999</v>
      </c>
      <c r="N162" s="506">
        <v>192.30204000000001</v>
      </c>
      <c r="O162" s="504"/>
      <c r="P162" s="504"/>
      <c r="Q162" s="504"/>
      <c r="R162" s="504"/>
      <c r="S162" s="504"/>
      <c r="T162" s="504"/>
    </row>
    <row r="163" spans="1:20" ht="15.75" customHeight="1">
      <c r="A163" s="228">
        <v>26</v>
      </c>
      <c r="B163" s="75" t="s">
        <v>230</v>
      </c>
      <c r="C163" s="506">
        <v>60.259440000000005</v>
      </c>
      <c r="D163" s="506">
        <v>118.20755</v>
      </c>
      <c r="E163" s="506">
        <v>193.09434700000003</v>
      </c>
      <c r="F163" s="506">
        <v>367.50003500000003</v>
      </c>
      <c r="G163" s="506">
        <v>490.33011500000003</v>
      </c>
      <c r="H163" s="506">
        <v>377.20767899999998</v>
      </c>
      <c r="I163" s="506">
        <v>210.29718600000001</v>
      </c>
      <c r="J163" s="506">
        <v>119.95756500000002</v>
      </c>
      <c r="K163" s="506">
        <v>103.316073</v>
      </c>
      <c r="L163" s="506">
        <v>130.75471200000001</v>
      </c>
      <c r="M163" s="506">
        <v>158.292475</v>
      </c>
      <c r="N163" s="506">
        <v>170.443556</v>
      </c>
      <c r="O163" s="504"/>
      <c r="P163" s="504"/>
      <c r="Q163" s="504"/>
      <c r="R163" s="504"/>
      <c r="S163" s="504"/>
      <c r="T163" s="504"/>
    </row>
    <row r="164" spans="1:20" ht="15.75" customHeight="1">
      <c r="A164" s="199">
        <v>27</v>
      </c>
      <c r="B164" s="200">
        <v>1</v>
      </c>
      <c r="C164" s="506">
        <v>36.050409999999999</v>
      </c>
      <c r="D164" s="506">
        <v>35.659660000000002</v>
      </c>
      <c r="E164" s="506">
        <v>34.18488</v>
      </c>
      <c r="F164" s="506">
        <v>31.764696000000001</v>
      </c>
      <c r="G164" s="506">
        <v>24.453780000000002</v>
      </c>
      <c r="H164" s="506">
        <v>18.756304</v>
      </c>
      <c r="I164" s="506">
        <v>17.142864000000003</v>
      </c>
      <c r="J164" s="506">
        <v>17.243693999999998</v>
      </c>
      <c r="K164" s="506">
        <v>18.857146</v>
      </c>
      <c r="L164" s="506">
        <v>20.760515999999999</v>
      </c>
      <c r="M164" s="506">
        <v>23.999987999999998</v>
      </c>
      <c r="N164" s="506">
        <v>27.390747000000001</v>
      </c>
      <c r="O164" s="504"/>
      <c r="P164" s="504"/>
      <c r="Q164" s="504"/>
      <c r="R164" s="504"/>
      <c r="S164" s="504"/>
      <c r="T164" s="504"/>
    </row>
    <row r="165" spans="1:20" ht="15.75" customHeight="1">
      <c r="A165" s="196">
        <v>27</v>
      </c>
      <c r="B165" s="201">
        <v>2</v>
      </c>
      <c r="C165" s="506">
        <v>133.512608</v>
      </c>
      <c r="D165" s="506">
        <v>138.403368</v>
      </c>
      <c r="E165" s="506">
        <v>128.72270399999999</v>
      </c>
      <c r="F165" s="506">
        <v>117.529427</v>
      </c>
      <c r="G165" s="506">
        <v>91.563040000000001</v>
      </c>
      <c r="H165" s="506">
        <v>68.168074000000004</v>
      </c>
      <c r="I165" s="506">
        <v>58.386552000000002</v>
      </c>
      <c r="J165" s="506">
        <v>65.420159999999996</v>
      </c>
      <c r="K165" s="506">
        <v>70.789913999999996</v>
      </c>
      <c r="L165" s="506">
        <v>74.735290000000006</v>
      </c>
      <c r="M165" s="506">
        <v>76.878123000000002</v>
      </c>
      <c r="N165" s="506">
        <v>81.756306000000009</v>
      </c>
      <c r="O165" s="504"/>
      <c r="P165" s="504"/>
      <c r="Q165" s="504"/>
      <c r="R165" s="504"/>
      <c r="S165" s="504"/>
      <c r="T165" s="504"/>
    </row>
    <row r="166" spans="1:20" ht="15.75" customHeight="1">
      <c r="A166" s="196">
        <v>27</v>
      </c>
      <c r="B166" s="201">
        <v>3</v>
      </c>
      <c r="C166" s="506">
        <v>179.55882000000003</v>
      </c>
      <c r="D166" s="506">
        <v>179.62185799999997</v>
      </c>
      <c r="E166" s="506">
        <v>174.70588799999999</v>
      </c>
      <c r="F166" s="506">
        <v>151.94117400000002</v>
      </c>
      <c r="G166" s="506">
        <v>124.05882800000001</v>
      </c>
      <c r="H166" s="506">
        <v>89.24369999999999</v>
      </c>
      <c r="I166" s="506">
        <v>76.941171999999995</v>
      </c>
      <c r="J166" s="506">
        <v>82.941180000000003</v>
      </c>
      <c r="K166" s="506">
        <v>89.054639999999992</v>
      </c>
      <c r="L166" s="506">
        <v>99.075659999999999</v>
      </c>
      <c r="M166" s="506">
        <v>99.806685999999999</v>
      </c>
      <c r="N166" s="506">
        <v>104.268912</v>
      </c>
      <c r="O166" s="504"/>
      <c r="P166" s="504"/>
      <c r="Q166" s="504"/>
      <c r="R166" s="504"/>
      <c r="S166" s="504"/>
      <c r="T166" s="504"/>
    </row>
    <row r="167" spans="1:20" ht="15.75" customHeight="1">
      <c r="A167" s="197">
        <v>27</v>
      </c>
      <c r="B167" s="202">
        <v>4</v>
      </c>
      <c r="C167" s="506">
        <v>214.78992</v>
      </c>
      <c r="D167" s="506">
        <v>202.68907999999999</v>
      </c>
      <c r="E167" s="506">
        <v>190.58822999999998</v>
      </c>
      <c r="F167" s="506">
        <v>180.90755799999999</v>
      </c>
      <c r="G167" s="506">
        <v>160.613462</v>
      </c>
      <c r="H167" s="506">
        <v>136.58825299999998</v>
      </c>
      <c r="I167" s="506">
        <v>113.06724</v>
      </c>
      <c r="J167" s="506">
        <v>102.844523</v>
      </c>
      <c r="K167" s="506">
        <v>93.176467999999986</v>
      </c>
      <c r="L167" s="506">
        <v>93.529417999999993</v>
      </c>
      <c r="M167" s="506">
        <v>98.319325000000006</v>
      </c>
      <c r="N167" s="506">
        <v>106.462158</v>
      </c>
      <c r="O167" s="504"/>
      <c r="P167" s="504"/>
      <c r="Q167" s="504"/>
      <c r="R167" s="504"/>
      <c r="S167" s="504"/>
      <c r="T167" s="504"/>
    </row>
    <row r="168" spans="1:20" ht="15.75" customHeight="1">
      <c r="A168" s="228">
        <v>28</v>
      </c>
      <c r="B168" s="75">
        <v>1</v>
      </c>
    </row>
    <row r="169" spans="1:20" ht="15.75" customHeight="1">
      <c r="A169" s="228">
        <v>28</v>
      </c>
      <c r="B169" s="75">
        <v>2</v>
      </c>
    </row>
    <row r="170" spans="1:20" ht="15.75" customHeight="1">
      <c r="A170" s="228">
        <v>28</v>
      </c>
      <c r="B170" s="75">
        <v>3</v>
      </c>
    </row>
    <row r="171" spans="1:20" ht="15.75" customHeight="1">
      <c r="A171" s="228">
        <v>28</v>
      </c>
      <c r="B171" s="75">
        <v>4</v>
      </c>
    </row>
    <row r="172" spans="1:20" ht="15.75" customHeight="1">
      <c r="A172" s="228">
        <v>28</v>
      </c>
      <c r="B172" s="75">
        <v>5</v>
      </c>
    </row>
    <row r="173" spans="1:20" ht="15.75" customHeight="1">
      <c r="A173" s="228">
        <v>28</v>
      </c>
      <c r="B173" s="75">
        <v>6</v>
      </c>
    </row>
    <row r="174" spans="1:20" ht="15.75" customHeight="1">
      <c r="A174" s="229">
        <v>29</v>
      </c>
      <c r="B174" s="74">
        <v>1</v>
      </c>
    </row>
    <row r="175" spans="1:20" ht="15.75" customHeight="1">
      <c r="A175" s="228">
        <v>29</v>
      </c>
      <c r="B175" s="75">
        <v>2</v>
      </c>
    </row>
    <row r="176" spans="1:20" ht="15.75" customHeight="1">
      <c r="A176" s="228">
        <v>29</v>
      </c>
      <c r="B176" s="75">
        <v>3</v>
      </c>
    </row>
    <row r="177" spans="1:28" ht="15.75" customHeight="1">
      <c r="A177" s="228">
        <v>29</v>
      </c>
      <c r="B177" s="75">
        <v>4</v>
      </c>
    </row>
    <row r="178" spans="1:28" ht="15.75" customHeight="1">
      <c r="A178" s="228">
        <v>29</v>
      </c>
      <c r="B178" s="75">
        <v>5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spans="1:28" ht="15.75" customHeight="1">
      <c r="A179" s="229">
        <v>30</v>
      </c>
      <c r="B179" s="74">
        <v>1</v>
      </c>
      <c r="C179" s="504">
        <v>172.2</v>
      </c>
      <c r="D179" s="234">
        <v>164.08</v>
      </c>
      <c r="E179" s="234">
        <v>166.79</v>
      </c>
      <c r="F179" s="234">
        <v>149.46</v>
      </c>
      <c r="G179" s="234">
        <v>114.8</v>
      </c>
      <c r="H179" s="234">
        <v>72.02</v>
      </c>
      <c r="I179" s="234">
        <v>53.07</v>
      </c>
      <c r="J179" s="234">
        <v>46.03</v>
      </c>
      <c r="K179" s="234">
        <v>40.07</v>
      </c>
      <c r="L179" s="234">
        <v>36.28</v>
      </c>
      <c r="M179" s="234">
        <v>30.32</v>
      </c>
      <c r="N179" s="234">
        <v>24.91</v>
      </c>
      <c r="O179" s="235">
        <v>17.329999999999998</v>
      </c>
      <c r="P179" s="2"/>
    </row>
    <row r="180" spans="1:28" ht="15.75" customHeight="1">
      <c r="A180" s="228">
        <v>30</v>
      </c>
      <c r="B180" s="75">
        <v>2</v>
      </c>
      <c r="C180" s="504">
        <v>237.18</v>
      </c>
      <c r="D180" s="2">
        <v>237.18</v>
      </c>
      <c r="E180" s="2">
        <v>252.35</v>
      </c>
      <c r="F180" s="2">
        <v>235.56</v>
      </c>
      <c r="G180" s="2">
        <v>187.36</v>
      </c>
      <c r="H180" s="2">
        <v>150</v>
      </c>
      <c r="I180" s="2">
        <v>148.38</v>
      </c>
      <c r="J180" s="2">
        <v>145.13</v>
      </c>
      <c r="K180" s="2">
        <v>136.46</v>
      </c>
      <c r="L180" s="2">
        <v>131.05000000000001</v>
      </c>
      <c r="M180" s="2">
        <v>119.68</v>
      </c>
      <c r="N180" s="2">
        <v>104.51</v>
      </c>
      <c r="O180" s="236">
        <v>87.18</v>
      </c>
      <c r="P180" s="2"/>
    </row>
    <row r="181" spans="1:28" ht="15.75" customHeight="1">
      <c r="A181" s="230">
        <v>30</v>
      </c>
      <c r="B181" s="231">
        <v>3</v>
      </c>
      <c r="C181" s="504">
        <v>224.19</v>
      </c>
      <c r="D181" s="34">
        <v>227.44</v>
      </c>
      <c r="E181" s="34">
        <v>244.77</v>
      </c>
      <c r="F181" s="34">
        <v>232.85</v>
      </c>
      <c r="G181" s="34">
        <v>194.95</v>
      </c>
      <c r="H181" s="34">
        <v>165.7</v>
      </c>
      <c r="I181" s="34">
        <v>168.95</v>
      </c>
      <c r="J181" s="34">
        <v>164.08</v>
      </c>
      <c r="K181" s="34">
        <v>160.83000000000001</v>
      </c>
      <c r="L181" s="34">
        <v>153.79</v>
      </c>
      <c r="M181" s="34">
        <v>141.88</v>
      </c>
      <c r="N181" s="34">
        <v>124.55</v>
      </c>
      <c r="O181" s="237">
        <v>103.43</v>
      </c>
      <c r="P181" s="2"/>
    </row>
    <row r="182" spans="1:28" ht="15.75" customHeight="1">
      <c r="A182" s="228">
        <v>31</v>
      </c>
      <c r="B182" s="75">
        <v>1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spans="1:28" ht="15.75" customHeight="1">
      <c r="A183" s="228">
        <v>31</v>
      </c>
      <c r="B183" s="75">
        <v>2</v>
      </c>
    </row>
    <row r="184" spans="1:28" ht="15.75" customHeight="1">
      <c r="A184" s="228">
        <v>31</v>
      </c>
      <c r="B184" s="75">
        <v>3</v>
      </c>
    </row>
    <row r="185" spans="1:28" ht="15.75" customHeight="1">
      <c r="A185" s="228">
        <v>31</v>
      </c>
      <c r="B185" s="75">
        <v>4</v>
      </c>
    </row>
    <row r="186" spans="1:28" ht="15.75" customHeight="1">
      <c r="A186" s="228">
        <v>31</v>
      </c>
      <c r="B186" s="75">
        <v>5</v>
      </c>
      <c r="D186" s="2"/>
      <c r="E186" s="2"/>
      <c r="F186" s="2"/>
      <c r="G186" s="2"/>
      <c r="H186" s="2"/>
      <c r="I186" s="2"/>
      <c r="J186" s="2"/>
    </row>
    <row r="187" spans="1:28" ht="15.75" customHeight="1">
      <c r="A187" s="199">
        <v>32</v>
      </c>
      <c r="B187" s="200">
        <v>1</v>
      </c>
      <c r="D187" s="234"/>
      <c r="E187" s="234"/>
      <c r="F187" s="234"/>
      <c r="G187" s="392"/>
      <c r="H187" s="234"/>
      <c r="I187" s="234"/>
      <c r="J187" s="235"/>
      <c r="K187" s="2"/>
    </row>
    <row r="188" spans="1:28" ht="15.75" customHeight="1">
      <c r="A188" s="196">
        <v>32</v>
      </c>
      <c r="B188" s="201">
        <v>2</v>
      </c>
      <c r="C188" s="504">
        <v>130.548</v>
      </c>
      <c r="D188" s="2">
        <v>130.548</v>
      </c>
      <c r="E188" s="2">
        <v>156.28299999999999</v>
      </c>
      <c r="F188" s="2">
        <v>196.72499999999999</v>
      </c>
      <c r="G188" s="2">
        <v>233.155</v>
      </c>
      <c r="H188" s="2">
        <v>70.721999999999994</v>
      </c>
      <c r="I188" s="2">
        <v>52.673999999999999</v>
      </c>
      <c r="J188" s="236">
        <v>62.366</v>
      </c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8" ht="15.75" customHeight="1">
      <c r="A189" s="229">
        <v>33</v>
      </c>
      <c r="B189" s="200">
        <v>1</v>
      </c>
      <c r="C189" s="504">
        <v>2.791E-6</v>
      </c>
      <c r="D189" s="234">
        <v>6.4150000000000004E-6</v>
      </c>
      <c r="E189" s="234">
        <v>1.3796E-5</v>
      </c>
      <c r="F189" s="234">
        <v>2.7757000000000002E-5</v>
      </c>
      <c r="G189" s="234">
        <v>4.5734E-5</v>
      </c>
      <c r="H189" s="234">
        <v>8.0542000000000002E-5</v>
      </c>
      <c r="I189" s="234">
        <v>1.20093E-4</v>
      </c>
      <c r="J189" s="234">
        <v>1.8512700000000002E-4</v>
      </c>
      <c r="K189" s="234">
        <v>2.9503899999999998E-4</v>
      </c>
      <c r="L189" s="234">
        <v>4.3992E-4</v>
      </c>
      <c r="M189" s="234">
        <v>6.7814899999999996E-4</v>
      </c>
      <c r="N189" s="234">
        <v>1.011159E-3</v>
      </c>
      <c r="O189" s="234">
        <v>1.507694E-3</v>
      </c>
      <c r="P189" s="234">
        <v>2.1744499999999996E-3</v>
      </c>
      <c r="Q189" s="234">
        <v>3.2422269999999999E-3</v>
      </c>
      <c r="R189" s="234">
        <v>4.8343419999999993E-3</v>
      </c>
      <c r="S189" s="234">
        <v>6.5231569999999999E-3</v>
      </c>
      <c r="T189" s="234">
        <v>9.4079279999999994E-3</v>
      </c>
      <c r="U189" s="234">
        <v>1.3124183000000001E-2</v>
      </c>
      <c r="V189" s="234">
        <v>1.7129116000000003E-2</v>
      </c>
      <c r="W189" s="234">
        <v>2.3112952000000003E-2</v>
      </c>
      <c r="X189" s="234">
        <v>3.0166024E-2</v>
      </c>
      <c r="Y189" s="234">
        <v>4.4979233E-2</v>
      </c>
      <c r="Z189" s="234">
        <v>5.6782807999999997E-2</v>
      </c>
      <c r="AA189" s="235">
        <v>8.1894175E-2</v>
      </c>
      <c r="AB189" s="2"/>
    </row>
    <row r="190" spans="1:28" ht="15.75" customHeight="1">
      <c r="A190" s="228">
        <v>33</v>
      </c>
      <c r="B190" s="201">
        <v>2</v>
      </c>
      <c r="C190" s="504">
        <v>1.2076000000000001E-5</v>
      </c>
      <c r="D190" s="2">
        <v>2.8697E-5</v>
      </c>
      <c r="E190" s="2">
        <v>6.5958999999999996E-5</v>
      </c>
      <c r="F190" s="2">
        <v>1.3270599999999999E-4</v>
      </c>
      <c r="G190" s="2">
        <v>2.5825499999999999E-4</v>
      </c>
      <c r="H190" s="2">
        <v>3.9810700000000003E-4</v>
      </c>
      <c r="I190" s="2">
        <v>6.7814899999999996E-4</v>
      </c>
      <c r="J190" s="2">
        <v>1.0453869999999998E-3</v>
      </c>
      <c r="K190" s="2">
        <v>1.6660450000000001E-3</v>
      </c>
      <c r="L190" s="2">
        <v>2.4841669999999998E-3</v>
      </c>
      <c r="M190" s="2">
        <v>3.5827530000000002E-3</v>
      </c>
      <c r="N190" s="2">
        <v>4.9979880000000001E-3</v>
      </c>
      <c r="O190" s="2">
        <v>7.2082749999999992E-3</v>
      </c>
      <c r="P190" s="2">
        <v>1.0396029000000001E-2</v>
      </c>
      <c r="Q190" s="2">
        <v>1.3124183000000001E-2</v>
      </c>
      <c r="R190" s="2">
        <v>1.7129116000000003E-2</v>
      </c>
      <c r="S190" s="2">
        <v>2.1624186E-2</v>
      </c>
      <c r="T190" s="2">
        <v>2.9178316999999999E-2</v>
      </c>
      <c r="U190" s="2">
        <v>3.6835372000000005E-2</v>
      </c>
      <c r="V190" s="2">
        <v>4.3506507E-2</v>
      </c>
      <c r="W190" s="2">
        <v>4.3506507E-2</v>
      </c>
      <c r="X190" s="2">
        <v>7.1683910000000003E-2</v>
      </c>
      <c r="Y190" s="2">
        <v>7.1683910000000003E-2</v>
      </c>
      <c r="Z190" s="2">
        <v>9.049539999999999E-2</v>
      </c>
      <c r="AA190" s="236">
        <v>0.10688473</v>
      </c>
      <c r="AB190" s="2"/>
    </row>
    <row r="191" spans="1:28" ht="15.75" customHeight="1">
      <c r="A191" s="228">
        <v>33</v>
      </c>
      <c r="B191" s="201">
        <v>3</v>
      </c>
      <c r="C191" s="504">
        <v>1.6295000000000002E-5</v>
      </c>
      <c r="D191" s="2">
        <v>4.0031999999999999E-5</v>
      </c>
      <c r="E191" s="2">
        <v>9.5129000000000003E-5</v>
      </c>
      <c r="F191" s="2">
        <v>1.79066E-4</v>
      </c>
      <c r="G191" s="2">
        <v>3.26027E-4</v>
      </c>
      <c r="H191" s="2">
        <v>5.9360000000000001E-4</v>
      </c>
      <c r="I191" s="2">
        <v>1.011159E-3</v>
      </c>
      <c r="J191" s="2">
        <v>1.507694E-3</v>
      </c>
      <c r="K191" s="2">
        <v>2.402829E-3</v>
      </c>
      <c r="L191" s="2">
        <v>3.5827530000000002E-3</v>
      </c>
      <c r="M191" s="2">
        <v>5.1671729999999997E-3</v>
      </c>
      <c r="N191" s="2">
        <v>7.4522799999999995E-3</v>
      </c>
      <c r="O191" s="2">
        <v>1.0747942E-2</v>
      </c>
      <c r="P191" s="2">
        <v>1.4502596999999999E-2</v>
      </c>
      <c r="Q191" s="2">
        <v>1.8308409000000001E-2</v>
      </c>
      <c r="R191" s="2">
        <v>2.822295E-2</v>
      </c>
      <c r="S191" s="2">
        <v>3.5629294999999998E-2</v>
      </c>
      <c r="T191" s="2">
        <v>3.6835372000000005E-2</v>
      </c>
      <c r="U191" s="2">
        <v>4.2082000999999994E-2</v>
      </c>
      <c r="V191" s="2">
        <v>6.4870642000000006E-2</v>
      </c>
      <c r="W191" s="2">
        <v>7.4110462000000002E-2</v>
      </c>
      <c r="X191" s="2">
        <v>7.4110462000000002E-2</v>
      </c>
      <c r="Y191" s="2">
        <v>8.4666351000000001E-2</v>
      </c>
      <c r="Z191" s="2">
        <v>9.049539999999999E-2</v>
      </c>
      <c r="AA191" s="236">
        <v>9.049539999999999E-2</v>
      </c>
      <c r="AB191" s="2"/>
    </row>
    <row r="192" spans="1:28" ht="15.75" customHeight="1">
      <c r="A192" s="228">
        <v>33</v>
      </c>
      <c r="B192" s="201">
        <v>4</v>
      </c>
      <c r="C192" s="504">
        <v>5.3718100000000007E-4</v>
      </c>
      <c r="D192" s="2">
        <v>7.4937400000000003E-4</v>
      </c>
      <c r="E192" s="2">
        <v>1.011159E-3</v>
      </c>
      <c r="F192" s="2">
        <v>1.1942860000000001E-3</v>
      </c>
      <c r="G192" s="2">
        <v>1.558731E-3</v>
      </c>
      <c r="H192" s="2">
        <v>2.0343879999999998E-3</v>
      </c>
      <c r="I192" s="2">
        <v>2.568257E-3</v>
      </c>
      <c r="J192" s="2">
        <v>3.5827530000000002E-3</v>
      </c>
      <c r="K192" s="2">
        <v>4.6760539999999998E-3</v>
      </c>
      <c r="L192" s="2">
        <v>6.3095730000000006E-3</v>
      </c>
      <c r="M192" s="2">
        <v>8.8019380000000005E-3</v>
      </c>
      <c r="N192" s="2">
        <v>1.1111767E-2</v>
      </c>
      <c r="O192" s="2">
        <v>1.6025784000000001E-2</v>
      </c>
      <c r="P192" s="2">
        <v>2.1624186E-2</v>
      </c>
      <c r="Q192" s="2">
        <v>2.6405035E-2</v>
      </c>
      <c r="R192" s="2">
        <v>3.6835372000000005E-2</v>
      </c>
      <c r="S192" s="2">
        <v>4.6501811999999997E-2</v>
      </c>
      <c r="T192" s="2">
        <v>5.3125276999999999E-2</v>
      </c>
      <c r="U192" s="2">
        <v>5.8704947E-2</v>
      </c>
      <c r="V192" s="2">
        <v>8.7532367E-2</v>
      </c>
      <c r="W192" s="34">
        <v>9.6725763999999992E-2</v>
      </c>
      <c r="X192" s="34">
        <v>0.11050285400000001</v>
      </c>
      <c r="Y192" s="34">
        <v>0.13950131899999998</v>
      </c>
      <c r="Z192" s="34">
        <v>0.159371125</v>
      </c>
      <c r="AA192" s="237">
        <v>0.22985067499999998</v>
      </c>
      <c r="AB192" s="2"/>
    </row>
    <row r="193" spans="1:27" ht="15.75" customHeight="1">
      <c r="A193" s="199">
        <v>34</v>
      </c>
      <c r="B193" s="200">
        <v>1</v>
      </c>
      <c r="C193" s="504">
        <v>8.3941000000000002E-5</v>
      </c>
      <c r="D193" s="234">
        <v>1.20746E-4</v>
      </c>
      <c r="E193" s="234">
        <v>1.8578299999999999E-4</v>
      </c>
      <c r="F193" s="234">
        <v>2.6723899999999995E-4</v>
      </c>
      <c r="G193" s="234">
        <v>4.1118299999999997E-4</v>
      </c>
      <c r="H193" s="234">
        <v>6.3265900000000004E-4</v>
      </c>
      <c r="I193" s="234">
        <v>9.6040899999999996E-4</v>
      </c>
      <c r="J193" s="234">
        <v>1.41921E-3</v>
      </c>
      <c r="K193" s="234">
        <v>2.1544350000000001E-3</v>
      </c>
      <c r="L193" s="234">
        <v>3.2705430000000003E-3</v>
      </c>
      <c r="M193" s="234">
        <v>4.7682889999999993E-3</v>
      </c>
      <c r="N193" s="234">
        <v>7.0461719999999999E-3</v>
      </c>
      <c r="O193" s="234">
        <v>9.734286E-3</v>
      </c>
      <c r="P193" s="234">
        <v>1.4002282E-2</v>
      </c>
      <c r="Q193" s="234">
        <v>1.8329807E-2</v>
      </c>
      <c r="R193" s="234">
        <v>2.4320075E-2</v>
      </c>
      <c r="S193" s="234">
        <v>3.0575960999999999E-2</v>
      </c>
      <c r="T193" s="234">
        <v>3.8441057000000001E-2</v>
      </c>
      <c r="U193" s="234">
        <v>4.5182552000000001E-2</v>
      </c>
      <c r="V193" s="235">
        <v>5.1003777E-2</v>
      </c>
      <c r="W193" s="2"/>
      <c r="X193" s="2"/>
      <c r="Y193" s="2"/>
      <c r="Z193" s="2"/>
      <c r="AA193" s="2"/>
    </row>
    <row r="194" spans="1:27" ht="15.75" customHeight="1">
      <c r="A194" s="196">
        <v>34</v>
      </c>
      <c r="B194" s="201">
        <v>2</v>
      </c>
      <c r="C194" s="504">
        <v>1.2951799999999999E-4</v>
      </c>
      <c r="D194" s="2">
        <v>1.7980199999999998E-4</v>
      </c>
      <c r="E194" s="2">
        <v>2.5598800000000002E-4</v>
      </c>
      <c r="F194" s="2">
        <v>3.6908200000000001E-4</v>
      </c>
      <c r="G194" s="2">
        <v>5.4574099999999998E-4</v>
      </c>
      <c r="H194" s="2">
        <v>7.9683800000000002E-4</v>
      </c>
      <c r="I194" s="2">
        <v>1.2392260000000002E-3</v>
      </c>
      <c r="J194" s="2">
        <v>1.8556379999999999E-3</v>
      </c>
      <c r="K194" s="2">
        <v>2.709422E-3</v>
      </c>
      <c r="L194" s="2">
        <v>3.7613389999999998E-3</v>
      </c>
      <c r="M194" s="2">
        <v>5.1561879999999999E-3</v>
      </c>
      <c r="N194" s="2">
        <v>7.0683019999999994E-3</v>
      </c>
      <c r="O194" s="2">
        <v>8.6494060000000001E-3</v>
      </c>
      <c r="P194" s="2">
        <v>9.9371140000000004E-3</v>
      </c>
      <c r="Q194" s="2">
        <v>1.0992485E-2</v>
      </c>
      <c r="R194" s="2">
        <v>1.1856939E-2</v>
      </c>
      <c r="S194" s="2">
        <v>1.2789375E-2</v>
      </c>
      <c r="T194" s="2">
        <v>1.4327300999999999E-2</v>
      </c>
      <c r="U194" s="2">
        <v>1.4509211999999999E-2</v>
      </c>
      <c r="V194" s="236">
        <v>1.4693433000000001E-2</v>
      </c>
      <c r="W194" s="2"/>
    </row>
    <row r="195" spans="1:27" ht="15.75" customHeight="1">
      <c r="A195" s="196">
        <v>34</v>
      </c>
      <c r="B195" s="201">
        <v>3</v>
      </c>
      <c r="C195" s="504">
        <v>2.12671E-4</v>
      </c>
      <c r="D195" s="2">
        <v>2.8648599999999997E-4</v>
      </c>
      <c r="E195" s="2">
        <v>4.0121300000000004E-4</v>
      </c>
      <c r="F195" s="2">
        <v>5.7663400000000002E-4</v>
      </c>
      <c r="G195" s="2">
        <v>7.8690300000000004E-4</v>
      </c>
      <c r="H195" s="2">
        <v>1.1606400000000001E-3</v>
      </c>
      <c r="I195" s="2">
        <v>1.6898499999999999E-3</v>
      </c>
      <c r="J195" s="2">
        <v>2.3665790000000002E-3</v>
      </c>
      <c r="K195" s="2">
        <v>3.445652E-3</v>
      </c>
      <c r="L195" s="2">
        <v>4.952176E-3</v>
      </c>
      <c r="M195" s="2">
        <v>6.9353590000000003E-3</v>
      </c>
      <c r="N195" s="2">
        <v>9.4643330000000001E-3</v>
      </c>
      <c r="O195" s="2">
        <v>1.2423200000000001E-2</v>
      </c>
      <c r="P195" s="2">
        <v>1.6097225999999999E-2</v>
      </c>
      <c r="Q195" s="2">
        <v>1.9804556000000001E-2</v>
      </c>
      <c r="R195" s="2">
        <v>2.5005235000000001E-2</v>
      </c>
      <c r="S195" s="2">
        <v>3.0764155999999997E-2</v>
      </c>
      <c r="T195" s="2">
        <v>3.2822707E-2</v>
      </c>
      <c r="U195" s="2">
        <v>3.7362264999999999E-2</v>
      </c>
      <c r="V195" s="236"/>
      <c r="W195" s="2"/>
    </row>
    <row r="196" spans="1:27" ht="15.75" customHeight="1">
      <c r="A196" s="197">
        <v>34</v>
      </c>
      <c r="B196" s="202">
        <v>4</v>
      </c>
      <c r="C196" s="504">
        <v>1.9486449999999999E-3</v>
      </c>
      <c r="D196" s="34">
        <v>2.1336050000000002E-3</v>
      </c>
      <c r="E196" s="34">
        <v>2.4286939999999999E-3</v>
      </c>
      <c r="F196" s="34">
        <v>2.6938890000000001E-3</v>
      </c>
      <c r="G196" s="34">
        <v>3.027002E-3</v>
      </c>
      <c r="H196" s="34">
        <v>3.4905779999999998E-3</v>
      </c>
      <c r="I196" s="34">
        <v>3.9222049999999998E-3</v>
      </c>
      <c r="J196" s="34">
        <v>4.4646670000000003E-3</v>
      </c>
      <c r="K196" s="34">
        <v>5.1484170000000006E-3</v>
      </c>
      <c r="L196" s="34">
        <v>5.7850429999999993E-3</v>
      </c>
      <c r="M196" s="34">
        <v>6.5003919999999998E-3</v>
      </c>
      <c r="N196" s="34">
        <v>7.3041959999999998E-3</v>
      </c>
      <c r="O196" s="34">
        <v>8.1017620000000002E-3</v>
      </c>
      <c r="P196" s="34">
        <v>9.3425220000000007E-3</v>
      </c>
      <c r="Q196" s="34">
        <v>1.0634642999999999E-2</v>
      </c>
      <c r="R196" s="34">
        <v>1.1494184999999999E-2</v>
      </c>
      <c r="S196" s="34">
        <v>1.2585178000000001E-2</v>
      </c>
      <c r="T196" s="34">
        <v>1.4141395000000001E-2</v>
      </c>
      <c r="U196" s="34">
        <v>1.5685534000000001E-2</v>
      </c>
      <c r="V196" s="237">
        <v>3.0368205000000002E-2</v>
      </c>
      <c r="W196" s="2"/>
    </row>
    <row r="197" spans="1:27" ht="15.75" customHeight="1">
      <c r="A197" s="228">
        <v>35</v>
      </c>
      <c r="B197" s="75">
        <v>1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spans="1:27" ht="15.75" customHeight="1">
      <c r="A198" s="228">
        <v>35</v>
      </c>
      <c r="B198" s="75">
        <v>2</v>
      </c>
    </row>
    <row r="199" spans="1:27" ht="15.75" customHeight="1">
      <c r="A199" s="228">
        <v>35</v>
      </c>
      <c r="B199" s="75">
        <v>3</v>
      </c>
    </row>
    <row r="200" spans="1:27" ht="15.75" customHeight="1">
      <c r="A200" s="230">
        <v>35</v>
      </c>
      <c r="B200" s="231">
        <v>4</v>
      </c>
    </row>
    <row r="201" spans="1:27" ht="15.75" customHeight="1">
      <c r="A201" s="233">
        <v>36</v>
      </c>
      <c r="B201" s="75">
        <v>1</v>
      </c>
    </row>
    <row r="202" spans="1:27" ht="15.75" customHeight="1">
      <c r="A202" s="233">
        <v>36</v>
      </c>
      <c r="B202" s="75">
        <v>2</v>
      </c>
    </row>
    <row r="203" spans="1:27" ht="15.75" customHeight="1">
      <c r="A203" s="233">
        <v>36</v>
      </c>
      <c r="B203" s="75">
        <v>3</v>
      </c>
    </row>
    <row r="204" spans="1:27" ht="15.75" customHeight="1">
      <c r="A204" s="233">
        <v>36</v>
      </c>
      <c r="B204" s="75">
        <v>4</v>
      </c>
    </row>
    <row r="205" spans="1:27" ht="15.75" customHeight="1">
      <c r="A205" s="229">
        <v>37</v>
      </c>
      <c r="B205" s="200">
        <v>1</v>
      </c>
      <c r="C205" s="506">
        <v>139.66834</v>
      </c>
      <c r="D205" s="506">
        <v>136.44387900000001</v>
      </c>
      <c r="E205" s="506">
        <v>131.71078199999999</v>
      </c>
      <c r="F205" s="506">
        <v>106.26331399999999</v>
      </c>
      <c r="G205" s="506">
        <v>78.65970999999999</v>
      </c>
      <c r="H205" s="506">
        <v>65.573379000000003</v>
      </c>
      <c r="I205" s="506">
        <v>71.098570999999993</v>
      </c>
      <c r="J205" s="506">
        <v>84.807215999999997</v>
      </c>
      <c r="K205" s="506">
        <v>92.771208000000001</v>
      </c>
      <c r="L205" s="506">
        <v>91.112949</v>
      </c>
      <c r="M205" s="506">
        <v>79.928100000000001</v>
      </c>
      <c r="N205" s="506">
        <v>56.835296999999997</v>
      </c>
      <c r="O205" s="506">
        <v>40.215800000000002</v>
      </c>
      <c r="P205" s="504"/>
      <c r="Q205" s="504"/>
      <c r="R205" s="504"/>
      <c r="S205" s="504"/>
      <c r="T205" s="504"/>
      <c r="U205" s="504"/>
    </row>
    <row r="206" spans="1:27" ht="15.75" customHeight="1">
      <c r="A206" s="228">
        <v>37</v>
      </c>
      <c r="B206" s="201">
        <v>2</v>
      </c>
      <c r="C206" s="506">
        <v>129.90934200000001</v>
      </c>
      <c r="D206" s="506">
        <v>125.26979500000002</v>
      </c>
      <c r="E206" s="506">
        <v>123.322312</v>
      </c>
      <c r="F206" s="506">
        <v>105.643152</v>
      </c>
      <c r="G206" s="506">
        <v>79.920869999999994</v>
      </c>
      <c r="H206" s="506">
        <v>65.246769</v>
      </c>
      <c r="I206" s="506">
        <v>73.298575</v>
      </c>
      <c r="J206" s="506">
        <v>85.719400000000007</v>
      </c>
      <c r="K206" s="506">
        <v>92.637402000000009</v>
      </c>
      <c r="L206" s="506">
        <v>92.246769</v>
      </c>
      <c r="M206" s="506">
        <v>80.59069199999999</v>
      </c>
      <c r="N206" s="506">
        <v>55.656084</v>
      </c>
      <c r="O206" s="506"/>
      <c r="P206" s="504"/>
      <c r="Q206" s="504"/>
      <c r="R206" s="504"/>
      <c r="S206" s="504"/>
      <c r="T206" s="504"/>
      <c r="U206" s="504"/>
    </row>
    <row r="207" spans="1:27" ht="15.75" customHeight="1">
      <c r="A207" s="228">
        <v>37</v>
      </c>
      <c r="B207" s="201">
        <v>3</v>
      </c>
      <c r="C207" s="506">
        <v>149.44821999999999</v>
      </c>
      <c r="D207" s="506">
        <v>142.023754</v>
      </c>
      <c r="E207" s="506">
        <v>130.89207999999999</v>
      </c>
      <c r="F207" s="506">
        <v>111.40575600000001</v>
      </c>
      <c r="G207" s="506">
        <v>83.169065000000003</v>
      </c>
      <c r="H207" s="506">
        <v>66.348928000000001</v>
      </c>
      <c r="I207" s="506">
        <v>71.350344000000007</v>
      </c>
      <c r="J207" s="506">
        <v>84.269768999999997</v>
      </c>
      <c r="K207" s="506">
        <v>89.176956000000004</v>
      </c>
      <c r="L207" s="506">
        <v>81.826607999999993</v>
      </c>
      <c r="M207" s="506">
        <v>59.710753999999994</v>
      </c>
      <c r="N207" s="506">
        <v>38.460419999999999</v>
      </c>
      <c r="O207" s="506"/>
      <c r="P207" s="504"/>
      <c r="Q207" s="504"/>
      <c r="R207" s="504"/>
      <c r="S207" s="504"/>
      <c r="T207" s="504"/>
      <c r="U207" s="504"/>
    </row>
    <row r="208" spans="1:27" ht="15.75" customHeight="1">
      <c r="A208" s="228">
        <v>37</v>
      </c>
      <c r="B208" s="201">
        <v>4</v>
      </c>
      <c r="C208" s="506">
        <v>155.971959</v>
      </c>
      <c r="D208" s="506">
        <v>145.19279399999999</v>
      </c>
      <c r="E208" s="506">
        <v>146.21439000000001</v>
      </c>
      <c r="F208" s="506">
        <v>124.97840000000001</v>
      </c>
      <c r="G208" s="506">
        <v>93.610803000000004</v>
      </c>
      <c r="H208" s="506">
        <v>80.265478999999999</v>
      </c>
      <c r="I208" s="506">
        <v>80.365463999999989</v>
      </c>
      <c r="J208" s="506">
        <v>94.184912999999995</v>
      </c>
      <c r="K208" s="506">
        <v>104.83811600000001</v>
      </c>
      <c r="L208" s="506">
        <v>105.03384400000002</v>
      </c>
      <c r="M208" s="506">
        <v>98.936692000000008</v>
      </c>
      <c r="N208" s="506">
        <v>79.763294000000002</v>
      </c>
      <c r="O208" s="506">
        <v>50.210112000000002</v>
      </c>
      <c r="P208" s="504"/>
      <c r="Q208" s="504"/>
      <c r="R208" s="504"/>
      <c r="S208" s="504"/>
      <c r="T208" s="504"/>
      <c r="U208" s="504"/>
    </row>
    <row r="209" spans="1:21" ht="15.75" customHeight="1">
      <c r="A209" s="228">
        <v>37</v>
      </c>
      <c r="B209" s="201">
        <v>5</v>
      </c>
      <c r="C209" s="506">
        <v>146.15827999999999</v>
      </c>
      <c r="D209" s="506">
        <v>140.40288000000001</v>
      </c>
      <c r="E209" s="506">
        <v>137.81654799999998</v>
      </c>
      <c r="F209" s="506">
        <v>115.7698</v>
      </c>
      <c r="G209" s="506">
        <v>78.366900000000001</v>
      </c>
      <c r="H209" s="506">
        <v>67.01870000000001</v>
      </c>
      <c r="I209" s="506">
        <v>74.97842399999999</v>
      </c>
      <c r="J209" s="506">
        <v>90.557548999999995</v>
      </c>
      <c r="K209" s="506">
        <v>101.28994899999998</v>
      </c>
      <c r="L209" s="506">
        <v>95.21077600000001</v>
      </c>
      <c r="M209" s="506">
        <v>72.248216999999997</v>
      </c>
      <c r="N209" s="506">
        <v>48.405708000000004</v>
      </c>
      <c r="O209" s="506">
        <v>29.853200000000001</v>
      </c>
      <c r="P209" s="504"/>
      <c r="Q209" s="504"/>
      <c r="R209" s="504"/>
      <c r="S209" s="504"/>
      <c r="T209" s="504"/>
      <c r="U209" s="504"/>
    </row>
    <row r="210" spans="1:21" ht="15.75" customHeight="1">
      <c r="A210" s="228">
        <v>37</v>
      </c>
      <c r="B210" s="201">
        <v>6</v>
      </c>
      <c r="C210" s="506">
        <v>168.31725300000002</v>
      </c>
      <c r="D210" s="506">
        <v>162.705738</v>
      </c>
      <c r="E210" s="506">
        <v>157.36328900000001</v>
      </c>
      <c r="F210" s="506">
        <v>135.54606000000001</v>
      </c>
      <c r="G210" s="506">
        <v>100.166912</v>
      </c>
      <c r="H210" s="506">
        <v>85.446029999999993</v>
      </c>
      <c r="I210" s="506">
        <v>91.754671999999999</v>
      </c>
      <c r="J210" s="506">
        <v>105.907932</v>
      </c>
      <c r="K210" s="506">
        <v>108.35970000000002</v>
      </c>
      <c r="L210" s="506">
        <v>89.582767999999987</v>
      </c>
      <c r="M210" s="506">
        <v>63.288519000000008</v>
      </c>
      <c r="N210" s="506">
        <v>40.798552000000001</v>
      </c>
      <c r="O210" s="506"/>
      <c r="P210" s="504"/>
      <c r="Q210" s="504"/>
      <c r="R210" s="504"/>
      <c r="S210" s="504"/>
      <c r="T210" s="504"/>
      <c r="U210" s="504"/>
    </row>
    <row r="211" spans="1:21" ht="15.75" customHeight="1">
      <c r="A211" s="228">
        <v>37</v>
      </c>
      <c r="B211" s="201">
        <v>7</v>
      </c>
      <c r="C211" s="506">
        <v>137.154675</v>
      </c>
      <c r="D211" s="506">
        <v>134.85754799999998</v>
      </c>
      <c r="E211" s="506">
        <v>131.41437400000001</v>
      </c>
      <c r="F211" s="506">
        <v>110.56475500000001</v>
      </c>
      <c r="G211" s="506">
        <v>84.767638000000005</v>
      </c>
      <c r="H211" s="506">
        <v>70.012956000000003</v>
      </c>
      <c r="I211" s="506">
        <v>70.413682000000009</v>
      </c>
      <c r="J211" s="506">
        <v>83.268335000000008</v>
      </c>
      <c r="K211" s="506">
        <v>98.432355000000001</v>
      </c>
      <c r="L211" s="506">
        <v>103.15464500000002</v>
      </c>
      <c r="M211" s="506">
        <v>95.743128000000013</v>
      </c>
      <c r="N211" s="506">
        <v>81.079100000000011</v>
      </c>
      <c r="O211" s="506">
        <v>66.320155</v>
      </c>
      <c r="P211" s="504"/>
      <c r="Q211" s="504"/>
      <c r="R211" s="504"/>
      <c r="S211" s="504"/>
      <c r="T211" s="504"/>
      <c r="U211" s="504"/>
    </row>
    <row r="212" spans="1:21" ht="15.75" customHeight="1">
      <c r="A212" s="229">
        <v>38</v>
      </c>
      <c r="B212" s="74">
        <v>1</v>
      </c>
    </row>
    <row r="213" spans="1:21" ht="15.75" customHeight="1">
      <c r="A213" s="228">
        <v>38</v>
      </c>
      <c r="B213" s="75">
        <v>2</v>
      </c>
    </row>
    <row r="214" spans="1:21" ht="15.75" customHeight="1">
      <c r="A214" s="228">
        <v>38</v>
      </c>
      <c r="B214" s="75">
        <v>3</v>
      </c>
    </row>
    <row r="215" spans="1:21" ht="15.75" customHeight="1">
      <c r="A215" s="228">
        <v>38</v>
      </c>
      <c r="B215" s="75">
        <v>4</v>
      </c>
    </row>
    <row r="216" spans="1:21" ht="15.75" customHeight="1">
      <c r="A216" s="228">
        <v>38</v>
      </c>
      <c r="B216" s="75">
        <v>5</v>
      </c>
    </row>
    <row r="217" spans="1:21" ht="15.75" customHeight="1">
      <c r="A217" s="230">
        <v>38</v>
      </c>
      <c r="B217" s="231">
        <v>6</v>
      </c>
    </row>
    <row r="218" spans="1:21" ht="15.75" customHeight="1">
      <c r="A218" s="233">
        <v>39</v>
      </c>
      <c r="B218" s="75">
        <v>1</v>
      </c>
    </row>
    <row r="219" spans="1:21" ht="15.75" customHeight="1">
      <c r="A219" s="233">
        <v>39</v>
      </c>
      <c r="B219" s="75">
        <v>2</v>
      </c>
    </row>
    <row r="220" spans="1:21" ht="15.75" customHeight="1">
      <c r="A220" s="233">
        <v>39</v>
      </c>
      <c r="B220" s="75">
        <v>3</v>
      </c>
    </row>
    <row r="221" spans="1:21" ht="15.75" customHeight="1">
      <c r="A221" s="233">
        <v>39</v>
      </c>
      <c r="B221" s="75">
        <v>4</v>
      </c>
    </row>
    <row r="222" spans="1:21" ht="15.75" customHeight="1">
      <c r="A222" s="233">
        <v>39</v>
      </c>
      <c r="B222" s="75">
        <v>5</v>
      </c>
    </row>
    <row r="223" spans="1:21" ht="15.75" customHeight="1">
      <c r="A223" s="233">
        <v>39</v>
      </c>
      <c r="B223" s="75">
        <v>6</v>
      </c>
    </row>
    <row r="224" spans="1:21" ht="15.75" customHeight="1">
      <c r="A224" s="233">
        <v>39</v>
      </c>
      <c r="B224" s="75">
        <v>7</v>
      </c>
    </row>
    <row r="225" spans="1:27" ht="15.75" customHeight="1">
      <c r="A225" s="233">
        <v>39</v>
      </c>
      <c r="B225" s="75">
        <v>8</v>
      </c>
    </row>
    <row r="226" spans="1:27" ht="15.75" customHeight="1">
      <c r="A226" s="229">
        <v>40</v>
      </c>
      <c r="B226" s="74">
        <v>1</v>
      </c>
      <c r="C226" s="506">
        <v>144.52843799999999</v>
      </c>
      <c r="D226" s="506">
        <v>188.26393999999999</v>
      </c>
      <c r="E226" s="506">
        <v>13.43235</v>
      </c>
      <c r="F226" s="506">
        <v>0.65533199999999991</v>
      </c>
      <c r="G226" s="506">
        <v>0.34422399999999997</v>
      </c>
      <c r="H226" s="506">
        <v>0.34487999999999996</v>
      </c>
      <c r="I226" s="504"/>
      <c r="J226" s="504"/>
      <c r="K226" s="504"/>
      <c r="L226" s="504"/>
      <c r="M226" s="504"/>
      <c r="N226" s="504"/>
      <c r="O226" s="504"/>
      <c r="P226" s="504"/>
      <c r="Q226" s="504"/>
      <c r="R226" s="504"/>
      <c r="S226" s="504"/>
    </row>
    <row r="227" spans="1:27" ht="15.75" customHeight="1">
      <c r="A227" s="228">
        <v>40</v>
      </c>
      <c r="B227" s="75">
        <v>2</v>
      </c>
      <c r="C227" s="506">
        <v>270.17103700000001</v>
      </c>
      <c r="D227" s="506">
        <v>316.47763799999996</v>
      </c>
      <c r="E227" s="506">
        <v>26.684988000000001</v>
      </c>
      <c r="F227" s="506">
        <v>1.1973609999999999</v>
      </c>
      <c r="G227" s="506">
        <v>0.62040000000000006</v>
      </c>
      <c r="H227" s="506">
        <v>0.40975</v>
      </c>
      <c r="I227" s="504"/>
      <c r="J227" s="504"/>
      <c r="K227" s="504"/>
      <c r="L227" s="504"/>
      <c r="M227" s="504"/>
      <c r="N227" s="504"/>
      <c r="O227" s="504"/>
      <c r="P227" s="504"/>
      <c r="Q227" s="504"/>
      <c r="R227" s="504"/>
      <c r="S227" s="504"/>
    </row>
    <row r="228" spans="1:27" ht="15.75" customHeight="1">
      <c r="A228" s="228">
        <v>40</v>
      </c>
      <c r="B228" s="75">
        <v>3</v>
      </c>
      <c r="C228" s="506">
        <v>202.64620500000001</v>
      </c>
      <c r="D228" s="506">
        <v>261.50572800000003</v>
      </c>
      <c r="E228" s="506">
        <v>40.158041999999995</v>
      </c>
      <c r="F228" s="506">
        <v>2.9972700000000003</v>
      </c>
      <c r="G228" s="506">
        <v>1.5526800000000001</v>
      </c>
      <c r="H228" s="506">
        <v>1.45503</v>
      </c>
      <c r="I228" s="504"/>
      <c r="J228" s="504"/>
      <c r="K228" s="504"/>
      <c r="L228" s="504"/>
      <c r="M228" s="504"/>
      <c r="N228" s="504"/>
      <c r="O228" s="504"/>
      <c r="P228" s="504"/>
      <c r="Q228" s="504"/>
      <c r="R228" s="504"/>
      <c r="S228" s="504"/>
    </row>
    <row r="229" spans="1:27" ht="15.75" customHeight="1">
      <c r="A229" s="228">
        <v>40</v>
      </c>
      <c r="B229" s="75">
        <v>4</v>
      </c>
      <c r="C229" s="506">
        <v>239.76480000000001</v>
      </c>
      <c r="D229" s="506">
        <v>225.2046</v>
      </c>
      <c r="E229" s="506">
        <v>66.921263999999994</v>
      </c>
      <c r="F229" s="506">
        <v>5.4625760000000003</v>
      </c>
      <c r="G229" s="506">
        <v>3.1283159999999999</v>
      </c>
      <c r="H229" s="506">
        <v>2.6024320000000003</v>
      </c>
      <c r="I229" s="504"/>
      <c r="J229" s="504"/>
      <c r="K229" s="504"/>
      <c r="L229" s="504"/>
      <c r="M229" s="504"/>
      <c r="N229" s="504"/>
      <c r="O229" s="504"/>
      <c r="P229" s="504"/>
      <c r="Q229" s="504"/>
      <c r="R229" s="504"/>
      <c r="S229" s="504"/>
    </row>
    <row r="230" spans="1:27" ht="15.75" customHeight="1">
      <c r="A230" s="228">
        <v>40</v>
      </c>
      <c r="B230" s="75">
        <v>5</v>
      </c>
      <c r="C230" s="506">
        <v>161.28277199999999</v>
      </c>
      <c r="D230" s="506">
        <v>139.87247399999998</v>
      </c>
      <c r="E230" s="506">
        <v>103.87773</v>
      </c>
      <c r="F230" s="506">
        <v>11.789021999999999</v>
      </c>
      <c r="G230" s="506">
        <v>6.634544</v>
      </c>
      <c r="H230" s="506">
        <v>6.3109980000000006</v>
      </c>
      <c r="I230" s="504"/>
      <c r="J230" s="504"/>
      <c r="K230" s="504"/>
      <c r="L230" s="504"/>
      <c r="M230" s="504"/>
      <c r="N230" s="504"/>
      <c r="O230" s="504"/>
      <c r="P230" s="504"/>
      <c r="Q230" s="504"/>
      <c r="R230" s="504"/>
      <c r="S230" s="504"/>
    </row>
    <row r="231" spans="1:27" ht="15.75" customHeight="1">
      <c r="A231" s="199">
        <v>41</v>
      </c>
      <c r="B231" s="200">
        <v>1</v>
      </c>
      <c r="C231" s="504">
        <v>16.030999999999999</v>
      </c>
      <c r="D231" s="234">
        <v>18.495999999999999</v>
      </c>
      <c r="E231" s="234">
        <v>23.587</v>
      </c>
      <c r="F231" s="234">
        <v>33.725000000000001</v>
      </c>
      <c r="G231" s="234">
        <v>49.619</v>
      </c>
      <c r="H231" s="234">
        <v>69.938999999999993</v>
      </c>
      <c r="I231" s="234">
        <v>100</v>
      </c>
      <c r="J231" s="234">
        <v>145.041</v>
      </c>
      <c r="K231" s="234">
        <v>201.53399999999999</v>
      </c>
      <c r="L231" s="234">
        <v>284.06400000000002</v>
      </c>
      <c r="M231" s="234">
        <v>394.70600000000002</v>
      </c>
      <c r="N231" s="234">
        <v>548.44200000000001</v>
      </c>
      <c r="O231" s="234">
        <v>762.05700000000002</v>
      </c>
      <c r="P231" s="234">
        <v>1074.1279999999999</v>
      </c>
      <c r="Q231" s="234">
        <v>1471.3019999999999</v>
      </c>
      <c r="R231" s="234">
        <v>1958.509</v>
      </c>
      <c r="S231" s="234">
        <v>2760.538</v>
      </c>
      <c r="T231" s="234">
        <v>3727.5940000000001</v>
      </c>
      <c r="U231" s="234">
        <v>5105.9260000000004</v>
      </c>
      <c r="V231" s="234">
        <v>6700.1880000000001</v>
      </c>
      <c r="W231" s="234">
        <v>9047.357</v>
      </c>
      <c r="X231" s="234">
        <v>11703.695</v>
      </c>
      <c r="Y231" s="234">
        <v>15358.026</v>
      </c>
      <c r="Z231" s="235">
        <v>17719.326000000001</v>
      </c>
      <c r="AA231" s="2"/>
    </row>
    <row r="232" spans="1:27" ht="15.75" customHeight="1">
      <c r="A232" s="196">
        <v>41</v>
      </c>
      <c r="B232" s="201">
        <v>2</v>
      </c>
      <c r="C232" s="504">
        <v>102.902</v>
      </c>
      <c r="D232" s="2">
        <v>151.399</v>
      </c>
      <c r="E232" s="2">
        <v>213.399</v>
      </c>
      <c r="F232" s="2">
        <v>305.12099999999998</v>
      </c>
      <c r="G232" s="2">
        <v>436.26600000000002</v>
      </c>
      <c r="H232" s="2">
        <v>597.58199999999999</v>
      </c>
      <c r="I232" s="2">
        <v>806.923</v>
      </c>
      <c r="J232" s="2">
        <v>1153.75</v>
      </c>
      <c r="K232" s="2">
        <v>1513.9939999999999</v>
      </c>
      <c r="L232" s="2">
        <v>2015.338</v>
      </c>
      <c r="M232" s="2">
        <v>2682.6959999999999</v>
      </c>
      <c r="N232" s="2">
        <v>3520.3339999999998</v>
      </c>
      <c r="O232" s="2">
        <v>4553.9170000000004</v>
      </c>
      <c r="P232" s="2">
        <v>6061.8990000000003</v>
      </c>
      <c r="Q232" s="2">
        <v>8069.2340000000004</v>
      </c>
      <c r="R232" s="2">
        <v>10588.751</v>
      </c>
      <c r="S232" s="2">
        <v>13503.14</v>
      </c>
      <c r="T232" s="2">
        <v>17719.326000000001</v>
      </c>
      <c r="U232" s="2">
        <v>22596.296999999999</v>
      </c>
      <c r="V232" s="2">
        <v>28406.397000000001</v>
      </c>
      <c r="W232" s="2">
        <v>35710.425999999999</v>
      </c>
      <c r="X232" s="2">
        <v>45539.167999999998</v>
      </c>
      <c r="Y232" s="2">
        <v>55634.17</v>
      </c>
      <c r="Z232" s="236">
        <v>61492.178</v>
      </c>
      <c r="AA232" s="2"/>
    </row>
    <row r="233" spans="1:27" ht="15.75" customHeight="1">
      <c r="A233" s="196">
        <v>41</v>
      </c>
      <c r="B233" s="201">
        <v>3</v>
      </c>
      <c r="C233" s="504">
        <v>1014.405</v>
      </c>
      <c r="D233" s="2">
        <v>1239.2750000000001</v>
      </c>
      <c r="E233" s="2">
        <v>1513.9939999999999</v>
      </c>
      <c r="F233" s="2">
        <v>1797.4559999999999</v>
      </c>
      <c r="G233" s="2">
        <v>2259.63</v>
      </c>
      <c r="H233" s="2">
        <v>3051.21</v>
      </c>
      <c r="I233" s="2">
        <v>3891.0079999999998</v>
      </c>
      <c r="J233" s="2">
        <v>5033.4219999999996</v>
      </c>
      <c r="K233" s="2">
        <v>6418.7939999999999</v>
      </c>
      <c r="L233" s="2">
        <v>8069.2340000000004</v>
      </c>
      <c r="M233" s="2">
        <v>10438.391</v>
      </c>
      <c r="N233" s="2">
        <v>13122.374</v>
      </c>
      <c r="O233" s="2">
        <v>16734.105</v>
      </c>
      <c r="P233" s="2">
        <v>20738.157999999999</v>
      </c>
      <c r="Q233" s="2">
        <v>26826.957999999999</v>
      </c>
      <c r="R233" s="2">
        <v>34210.663</v>
      </c>
      <c r="S233" s="2">
        <v>43007.120999999999</v>
      </c>
      <c r="T233" s="2">
        <v>54065.379000000001</v>
      </c>
      <c r="U233" s="2">
        <v>67001.875</v>
      </c>
      <c r="V233" s="2">
        <v>77303.429000000004</v>
      </c>
      <c r="W233" s="2">
        <v>87922.369000000006</v>
      </c>
      <c r="X233" s="2">
        <v>105887.50599999999</v>
      </c>
      <c r="Y233" s="2">
        <v>133113.96</v>
      </c>
      <c r="Z233" s="236">
        <v>210368.818</v>
      </c>
      <c r="AA233" s="2"/>
    </row>
    <row r="234" spans="1:27" ht="15.75" customHeight="1">
      <c r="A234" s="196">
        <v>41</v>
      </c>
      <c r="B234" s="201">
        <v>4</v>
      </c>
      <c r="C234" s="504">
        <v>10144.045</v>
      </c>
      <c r="D234" s="2">
        <v>10290.165999999999</v>
      </c>
      <c r="E234" s="2">
        <v>10588.751</v>
      </c>
      <c r="F234" s="2">
        <v>10896</v>
      </c>
      <c r="G234" s="2">
        <v>11052.950999999999</v>
      </c>
      <c r="H234" s="2">
        <v>11703.695</v>
      </c>
      <c r="I234" s="2">
        <v>12216.772999999999</v>
      </c>
      <c r="J234" s="2">
        <v>12936.037</v>
      </c>
      <c r="K234" s="2">
        <v>14095.105</v>
      </c>
      <c r="L234" s="2">
        <v>15358.026</v>
      </c>
      <c r="M234" s="2">
        <v>17467.712</v>
      </c>
      <c r="N234" s="2">
        <v>19585.084999999999</v>
      </c>
      <c r="O234" s="2">
        <v>22596.296999999999</v>
      </c>
      <c r="P234" s="2">
        <v>27213.387999999999</v>
      </c>
      <c r="Q234" s="2">
        <v>30951.609</v>
      </c>
      <c r="R234" s="2">
        <v>35203.338000000003</v>
      </c>
      <c r="S234" s="2">
        <v>42396.421000000002</v>
      </c>
      <c r="T234" s="2">
        <v>51794.747000000003</v>
      </c>
      <c r="U234" s="2">
        <v>62377.944000000003</v>
      </c>
      <c r="V234" s="2">
        <v>71968.566999999995</v>
      </c>
      <c r="W234" s="2">
        <v>85443.104000000007</v>
      </c>
      <c r="X234" s="2">
        <v>105887.50599999999</v>
      </c>
      <c r="Y234" s="2">
        <v>133113.96</v>
      </c>
      <c r="Z234" s="236">
        <v>195850.85200000001</v>
      </c>
      <c r="AA234" s="2"/>
    </row>
    <row r="235" spans="1:27" ht="15.75" customHeight="1">
      <c r="A235" s="196">
        <v>41</v>
      </c>
      <c r="B235" s="201">
        <v>5</v>
      </c>
      <c r="C235" s="504">
        <v>23926.654999999999</v>
      </c>
      <c r="D235" s="2">
        <v>22596.296999999999</v>
      </c>
      <c r="E235" s="2">
        <v>21339.907999999999</v>
      </c>
      <c r="F235" s="2">
        <v>21339.907999999999</v>
      </c>
      <c r="G235" s="2">
        <v>21339.907999999999</v>
      </c>
      <c r="H235" s="2">
        <v>20443.677</v>
      </c>
      <c r="I235" s="2">
        <v>22596.296999999999</v>
      </c>
      <c r="J235" s="2">
        <v>22596.296999999999</v>
      </c>
      <c r="K235" s="2">
        <v>22921.786</v>
      </c>
      <c r="L235" s="2">
        <v>24620.923999999999</v>
      </c>
      <c r="M235" s="2">
        <v>27213.387999999999</v>
      </c>
      <c r="N235" s="2">
        <v>29230.651999999998</v>
      </c>
      <c r="O235" s="2">
        <v>33245.978999999999</v>
      </c>
      <c r="P235" s="2">
        <v>36746.618999999999</v>
      </c>
      <c r="Q235" s="2">
        <v>41794.392</v>
      </c>
      <c r="R235" s="2">
        <v>48220.29</v>
      </c>
      <c r="S235" s="2">
        <v>54844.165999999997</v>
      </c>
      <c r="T235" s="2">
        <v>64187.936999999998</v>
      </c>
      <c r="U235" s="2">
        <v>71968.566999999995</v>
      </c>
      <c r="V235" s="2">
        <v>85443.104000000007</v>
      </c>
      <c r="W235" s="2">
        <v>102901.655</v>
      </c>
      <c r="X235" s="2">
        <v>122167.735</v>
      </c>
      <c r="Y235" s="2">
        <v>222754.29500000001</v>
      </c>
      <c r="Z235" s="236">
        <v>347034.51500000001</v>
      </c>
      <c r="AA235" s="2"/>
    </row>
    <row r="236" spans="1:27" ht="15.75" customHeight="1">
      <c r="A236" s="196">
        <v>41</v>
      </c>
      <c r="B236" s="201">
        <v>6</v>
      </c>
      <c r="C236" s="504">
        <v>147130.21299999999</v>
      </c>
      <c r="D236" s="2">
        <v>125712.621</v>
      </c>
      <c r="E236" s="2">
        <v>110529.514</v>
      </c>
      <c r="F236" s="2">
        <v>97180.167000000001</v>
      </c>
      <c r="G236" s="2">
        <v>94439.847999999998</v>
      </c>
      <c r="H236" s="2">
        <v>86673.872000000003</v>
      </c>
      <c r="I236" s="2">
        <v>84229.812999999995</v>
      </c>
      <c r="J236" s="2">
        <v>77303.429000000004</v>
      </c>
      <c r="K236" s="2">
        <v>74056.846999999994</v>
      </c>
      <c r="L236" s="2">
        <v>70946.615000000005</v>
      </c>
      <c r="M236" s="2">
        <v>68946.038</v>
      </c>
      <c r="N236" s="2">
        <v>66050.448999999993</v>
      </c>
      <c r="O236" s="2">
        <v>67967.005999999994</v>
      </c>
      <c r="P236" s="2">
        <v>67967.005999999994</v>
      </c>
      <c r="Q236" s="2">
        <v>69939.173999999999</v>
      </c>
      <c r="R236" s="2">
        <v>67967.005999999994</v>
      </c>
      <c r="S236" s="2">
        <v>76205.721000000005</v>
      </c>
      <c r="T236" s="2">
        <v>78416.948000000004</v>
      </c>
      <c r="U236" s="2">
        <v>83033.751000000004</v>
      </c>
      <c r="V236" s="2">
        <v>85443.104000000007</v>
      </c>
      <c r="W236" s="2">
        <v>102901.655</v>
      </c>
      <c r="X236" s="34">
        <v>85443.104000000007</v>
      </c>
      <c r="Y236" s="34">
        <v>158036.63099999999</v>
      </c>
      <c r="Z236" s="237">
        <v>296517.06300000002</v>
      </c>
      <c r="AA236" s="2"/>
    </row>
    <row r="237" spans="1:27" ht="15.75" customHeight="1">
      <c r="A237" s="199">
        <v>42</v>
      </c>
      <c r="B237" s="200" t="s">
        <v>221</v>
      </c>
      <c r="C237" s="504">
        <v>6.0701E-5</v>
      </c>
      <c r="D237" s="234">
        <v>1.0846599999999999E-4</v>
      </c>
      <c r="E237" s="234">
        <v>1.7662799999999999E-4</v>
      </c>
      <c r="F237" s="234">
        <v>2.9437899999999999E-4</v>
      </c>
      <c r="G237" s="234">
        <v>4.4711600000000001E-4</v>
      </c>
      <c r="H237" s="234">
        <v>7.1137900000000005E-4</v>
      </c>
      <c r="I237" s="234">
        <v>1.105853E-3</v>
      </c>
      <c r="J237" s="234">
        <v>1.6410660000000001E-3</v>
      </c>
      <c r="K237" s="234">
        <v>2.4925199999999998E-3</v>
      </c>
      <c r="L237" s="234">
        <v>3.4499679999999999E-3</v>
      </c>
      <c r="M237" s="234">
        <v>5.3630489999999999E-3</v>
      </c>
      <c r="N237" s="234">
        <v>7.9586670000000009E-3</v>
      </c>
      <c r="O237" s="234">
        <v>1.1274592E-2</v>
      </c>
      <c r="P237" s="234">
        <v>1.5972075000000002E-2</v>
      </c>
      <c r="Q237" s="234">
        <v>2.3702269000000002E-2</v>
      </c>
      <c r="R237" s="234">
        <v>3.1318310000000002E-2</v>
      </c>
      <c r="S237" s="234">
        <v>4.3348571000000002E-2</v>
      </c>
      <c r="T237" s="234">
        <v>4.8684976000000005E-2</v>
      </c>
      <c r="U237" s="234">
        <v>6.4328491000000002E-2</v>
      </c>
      <c r="V237" s="234">
        <v>6.2852033000000002E-2</v>
      </c>
      <c r="W237" s="235">
        <v>5.7277386E-2</v>
      </c>
      <c r="X237" s="2"/>
      <c r="Y237" s="2"/>
      <c r="Z237" s="2"/>
    </row>
    <row r="238" spans="1:27" ht="15.75" customHeight="1">
      <c r="A238" s="196">
        <v>42</v>
      </c>
      <c r="B238" s="201" t="s">
        <v>222</v>
      </c>
      <c r="C238" s="504">
        <v>1.01168E-4</v>
      </c>
      <c r="D238" s="2">
        <v>1.7662799999999999E-4</v>
      </c>
      <c r="E238" s="2">
        <v>2.8762299999999998E-4</v>
      </c>
      <c r="F238" s="2">
        <v>4.6836900000000006E-4</v>
      </c>
      <c r="G238" s="2">
        <v>6.6351199999999989E-4</v>
      </c>
      <c r="H238" s="2">
        <v>9.6203999999999994E-4</v>
      </c>
      <c r="I238" s="2">
        <v>1.6034010000000002E-3</v>
      </c>
      <c r="J238" s="2">
        <v>2.1683750000000002E-3</v>
      </c>
      <c r="K238" s="2">
        <v>3.2178290000000002E-3</v>
      </c>
      <c r="L238" s="2">
        <v>4.5585159999999994E-3</v>
      </c>
      <c r="M238" s="2">
        <v>6.6094919999999998E-3</v>
      </c>
      <c r="N238" s="2">
        <v>9.3632919999999988E-3</v>
      </c>
      <c r="O238" s="2">
        <v>1.4221362E-2</v>
      </c>
      <c r="P238" s="2">
        <v>1.9684193999999999E-2</v>
      </c>
      <c r="Q238" s="2">
        <v>2.7885482E-2</v>
      </c>
      <c r="R238" s="2">
        <v>4.0431764000000002E-2</v>
      </c>
      <c r="S238" s="2">
        <v>5.2197182000000002E-2</v>
      </c>
      <c r="T238" s="2">
        <v>7.0589400999999996E-2</v>
      </c>
      <c r="U238" s="2">
        <v>6.4328491000000002E-2</v>
      </c>
      <c r="V238" s="2">
        <v>7.5681824999999994E-2</v>
      </c>
      <c r="W238" s="236">
        <v>7.9279274000000011E-2</v>
      </c>
      <c r="X238" s="2"/>
    </row>
    <row r="239" spans="1:27" ht="15.75" customHeight="1">
      <c r="A239" s="196">
        <v>42</v>
      </c>
      <c r="B239" s="201" t="s">
        <v>223</v>
      </c>
      <c r="C239" s="504">
        <v>4.6836900000000006E-4</v>
      </c>
      <c r="D239" s="2">
        <v>6.3340399999999995E-4</v>
      </c>
      <c r="E239" s="2">
        <v>8.7671199999999998E-4</v>
      </c>
      <c r="F239" s="2">
        <v>1.1584190000000002E-3</v>
      </c>
      <c r="G239" s="2">
        <v>1.7190719999999999E-3</v>
      </c>
      <c r="H239" s="2">
        <v>2.3248049999999997E-3</v>
      </c>
      <c r="I239" s="2">
        <v>3.2178290000000002E-3</v>
      </c>
      <c r="J239" s="2">
        <v>4.8873750000000002E-3</v>
      </c>
      <c r="K239" s="2">
        <v>6.7647549999999999E-3</v>
      </c>
      <c r="L239" s="2">
        <v>9.1483870000000009E-3</v>
      </c>
      <c r="M239" s="2">
        <v>1.3264445E-2</v>
      </c>
      <c r="N239" s="2">
        <v>1.8359699E-2</v>
      </c>
      <c r="O239" s="2">
        <v>2.4259058999999999E-2</v>
      </c>
      <c r="P239" s="2">
        <v>3.5173734999999998E-2</v>
      </c>
      <c r="Q239" s="2">
        <v>4.8684976000000005E-2</v>
      </c>
      <c r="R239" s="2">
        <v>5.5962764000000005E-2</v>
      </c>
      <c r="S239" s="2">
        <v>6.4328491000000002E-2</v>
      </c>
      <c r="T239" s="2">
        <v>6.4328491000000002E-2</v>
      </c>
      <c r="U239" s="2">
        <v>6.2852033000000002E-2</v>
      </c>
      <c r="V239" s="2">
        <v>6.7386271999999997E-2</v>
      </c>
      <c r="W239" s="236">
        <v>6.8969243E-2</v>
      </c>
      <c r="X239" s="2"/>
    </row>
    <row r="240" spans="1:27" ht="15.75" customHeight="1">
      <c r="A240" s="196">
        <v>42</v>
      </c>
      <c r="B240" s="201" t="s">
        <v>225</v>
      </c>
      <c r="C240" s="506">
        <v>1.7083964106000001E-2</v>
      </c>
      <c r="D240" s="506">
        <v>1.7533642500000002E-2</v>
      </c>
      <c r="E240" s="506">
        <v>1.8885756988000001E-2</v>
      </c>
      <c r="F240" s="506">
        <v>2.3464465287999999E-2</v>
      </c>
      <c r="G240" s="506">
        <v>3.1260047329999999E-2</v>
      </c>
      <c r="H240" s="506">
        <v>2.8485246723999998E-2</v>
      </c>
      <c r="I240" s="506">
        <v>2.2239924398999997E-2</v>
      </c>
      <c r="J240" s="506">
        <v>2.016486093E-2</v>
      </c>
      <c r="K240" s="506">
        <v>2.0517138240000003E-2</v>
      </c>
      <c r="L240" s="506">
        <v>2.2897958691E-2</v>
      </c>
      <c r="M240" s="506">
        <v>2.9269365467000003E-2</v>
      </c>
      <c r="N240" s="506">
        <v>4.2676756731999999E-2</v>
      </c>
      <c r="O240" s="506">
        <v>6.0627989009999994E-2</v>
      </c>
      <c r="P240" s="506">
        <v>9.2401748693999988E-2</v>
      </c>
      <c r="Q240" s="506">
        <v>0.14533839364499998</v>
      </c>
      <c r="R240" s="504"/>
      <c r="S240" s="504"/>
      <c r="T240" s="504"/>
      <c r="U240" s="504"/>
      <c r="V240" s="504"/>
      <c r="W240" s="504"/>
      <c r="X240" s="2"/>
    </row>
    <row r="241" spans="1:24" ht="15.75" customHeight="1">
      <c r="A241" s="196">
        <v>42</v>
      </c>
      <c r="B241" s="201" t="s">
        <v>226</v>
      </c>
      <c r="C241" s="506">
        <v>3.0134308353000003E-2</v>
      </c>
      <c r="D241" s="506">
        <v>3.2436760528E-2</v>
      </c>
      <c r="E241" s="506">
        <v>3.0658077540999997E-2</v>
      </c>
      <c r="F241" s="506">
        <v>3.5731985041999995E-2</v>
      </c>
      <c r="G241" s="506">
        <v>3.9831331720000002E-2</v>
      </c>
      <c r="H241" s="506">
        <v>3.3978785597000002E-2</v>
      </c>
      <c r="I241" s="506">
        <v>2.5093653360000003E-2</v>
      </c>
      <c r="J241" s="506">
        <v>2.1203188725000002E-2</v>
      </c>
      <c r="K241" s="506">
        <v>2.0816022603000004E-2</v>
      </c>
      <c r="L241" s="506">
        <v>2.4570674400000003E-2</v>
      </c>
      <c r="M241" s="506">
        <v>3.2136846616000005E-2</v>
      </c>
      <c r="N241" s="506">
        <v>4.7948151482999996E-2</v>
      </c>
      <c r="O241" s="506">
        <v>7.6403593124999988E-2</v>
      </c>
      <c r="P241" s="506">
        <v>0.106314824273</v>
      </c>
      <c r="Q241" s="506">
        <v>0.16086196601800001</v>
      </c>
      <c r="R241" s="504"/>
      <c r="S241" s="504"/>
      <c r="T241" s="504"/>
      <c r="U241" s="504"/>
      <c r="V241" s="504"/>
      <c r="W241" s="504"/>
      <c r="X241" s="2"/>
    </row>
    <row r="242" spans="1:24" ht="15.75" customHeight="1">
      <c r="A242" s="197">
        <v>42</v>
      </c>
      <c r="B242" s="202" t="s">
        <v>227</v>
      </c>
      <c r="C242" s="506">
        <v>3.0134308353000003E-2</v>
      </c>
      <c r="D242" s="506">
        <v>3.2436760528E-2</v>
      </c>
      <c r="E242" s="506">
        <v>3.0658077540999997E-2</v>
      </c>
      <c r="F242" s="506">
        <v>3.5731985041999995E-2</v>
      </c>
      <c r="G242" s="506">
        <v>4.7159323091999987E-2</v>
      </c>
      <c r="H242" s="506">
        <v>3.9198287243E-2</v>
      </c>
      <c r="I242" s="506">
        <v>2.5093653360000003E-2</v>
      </c>
      <c r="J242" s="506">
        <v>2.1203188725000002E-2</v>
      </c>
      <c r="K242" s="506">
        <v>2.0816022603000004E-2</v>
      </c>
      <c r="L242" s="506">
        <v>2.4570674400000003E-2</v>
      </c>
      <c r="M242" s="506">
        <v>3.2136846616000005E-2</v>
      </c>
      <c r="N242" s="506">
        <v>4.7948151482999996E-2</v>
      </c>
      <c r="O242" s="506">
        <v>7.6403593124999988E-2</v>
      </c>
      <c r="P242" s="506">
        <v>0.106314824273</v>
      </c>
      <c r="Q242" s="506">
        <v>0.312020097547</v>
      </c>
      <c r="R242" s="504"/>
      <c r="S242" s="504"/>
      <c r="T242" s="504"/>
      <c r="U242" s="504"/>
      <c r="V242" s="504"/>
      <c r="W242" s="504"/>
      <c r="X242" s="2"/>
    </row>
    <row r="243" spans="1:24" ht="15.75" customHeight="1">
      <c r="A243" s="229">
        <v>43</v>
      </c>
      <c r="B243" s="74">
        <v>1</v>
      </c>
    </row>
    <row r="244" spans="1:24" ht="15.75" customHeight="1">
      <c r="A244" s="228">
        <v>43</v>
      </c>
      <c r="B244" s="75">
        <v>2</v>
      </c>
    </row>
    <row r="245" spans="1:24" ht="15.75" customHeight="1">
      <c r="A245" s="230">
        <v>43</v>
      </c>
      <c r="B245" s="231">
        <v>3</v>
      </c>
    </row>
    <row r="246" spans="1:24" ht="15.75" customHeight="1">
      <c r="A246" s="229">
        <v>44</v>
      </c>
      <c r="B246" s="74" t="s">
        <v>221</v>
      </c>
    </row>
    <row r="247" spans="1:24" ht="15.75" customHeight="1">
      <c r="A247" s="228">
        <v>44</v>
      </c>
      <c r="B247" s="75" t="s">
        <v>222</v>
      </c>
    </row>
    <row r="248" spans="1:24" ht="15.75" customHeight="1">
      <c r="A248" s="228">
        <v>44</v>
      </c>
      <c r="B248" s="75" t="s">
        <v>223</v>
      </c>
    </row>
    <row r="249" spans="1:24" ht="15.75" customHeight="1">
      <c r="A249" s="228">
        <v>44</v>
      </c>
      <c r="B249" s="75" t="s">
        <v>224</v>
      </c>
    </row>
    <row r="250" spans="1:24" ht="15.75" customHeight="1">
      <c r="A250" s="228">
        <v>44</v>
      </c>
      <c r="B250" s="75" t="s">
        <v>229</v>
      </c>
    </row>
    <row r="251" spans="1:24" ht="15.75" customHeight="1">
      <c r="A251" s="228">
        <v>44</v>
      </c>
      <c r="B251" s="75" t="s">
        <v>225</v>
      </c>
    </row>
    <row r="252" spans="1:24" ht="15.75" customHeight="1">
      <c r="A252" s="228">
        <v>44</v>
      </c>
      <c r="B252" s="75" t="s">
        <v>226</v>
      </c>
    </row>
    <row r="253" spans="1:24" ht="15.75" customHeight="1">
      <c r="A253" s="228">
        <v>44</v>
      </c>
      <c r="B253" s="75" t="s">
        <v>227</v>
      </c>
    </row>
    <row r="254" spans="1:24" ht="15.75" customHeight="1">
      <c r="A254" s="228">
        <v>44</v>
      </c>
      <c r="B254" s="75" t="s">
        <v>228</v>
      </c>
    </row>
    <row r="255" spans="1:24" ht="15.75" customHeight="1">
      <c r="A255" s="228">
        <v>44</v>
      </c>
      <c r="B255" s="75" t="s">
        <v>230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24" ht="15.75" customHeight="1">
      <c r="A256" s="199">
        <v>45</v>
      </c>
      <c r="B256" s="200" t="s">
        <v>221</v>
      </c>
      <c r="C256" s="504">
        <v>1.9570000000000001E-6</v>
      </c>
      <c r="D256" s="234">
        <v>4.3540000000000002E-6</v>
      </c>
      <c r="E256" s="234">
        <v>8.799E-6</v>
      </c>
      <c r="F256" s="234">
        <v>1.6681000000000002E-5</v>
      </c>
      <c r="G256" s="234">
        <v>3.3176999999999998E-5</v>
      </c>
      <c r="H256" s="234">
        <v>7.0343000000000001E-5</v>
      </c>
      <c r="I256" s="234">
        <v>1.5155000000000002E-4</v>
      </c>
      <c r="J256" s="234">
        <v>3.5938099999999998E-4</v>
      </c>
      <c r="K256" s="234">
        <v>8.1231100000000002E-4</v>
      </c>
      <c r="L256" s="234">
        <v>1E-3</v>
      </c>
      <c r="M256" s="234"/>
      <c r="N256" s="234"/>
      <c r="O256" s="234"/>
      <c r="P256" s="234"/>
      <c r="Q256" s="234"/>
      <c r="R256" s="235"/>
      <c r="S256" s="2"/>
    </row>
    <row r="257" spans="1:24" ht="15.75" customHeight="1">
      <c r="A257" s="196">
        <v>45</v>
      </c>
      <c r="B257" s="201" t="s">
        <v>222</v>
      </c>
      <c r="C257" s="504">
        <v>7.3799999999999996E-6</v>
      </c>
      <c r="D257" s="2">
        <v>1.3769E-5</v>
      </c>
      <c r="E257" s="2">
        <v>2.8274000000000001E-5</v>
      </c>
      <c r="F257" s="2">
        <v>5.6234000000000004E-5</v>
      </c>
      <c r="G257" s="2">
        <v>1.19231E-4</v>
      </c>
      <c r="H257" s="2">
        <v>2.6101600000000004E-4</v>
      </c>
      <c r="I257" s="2">
        <v>5.71406E-4</v>
      </c>
      <c r="J257" s="2">
        <v>1.0491400000000001E-3</v>
      </c>
      <c r="K257" s="2">
        <v>1.9888919999999999E-3</v>
      </c>
      <c r="L257" s="2">
        <v>3.2132489999999996E-3</v>
      </c>
      <c r="M257" s="2"/>
      <c r="N257" s="2"/>
      <c r="O257" s="2"/>
      <c r="P257" s="2"/>
      <c r="Q257" s="2"/>
      <c r="R257" s="236"/>
      <c r="S257" s="2"/>
    </row>
    <row r="258" spans="1:24" ht="15.75" customHeight="1">
      <c r="A258" s="196">
        <v>45</v>
      </c>
      <c r="B258" s="201" t="s">
        <v>223</v>
      </c>
      <c r="C258" s="504">
        <v>2.1203E-5</v>
      </c>
      <c r="D258" s="2">
        <v>4.2170000000000005E-5</v>
      </c>
      <c r="E258" s="2">
        <v>7.9943000000000004E-5</v>
      </c>
      <c r="F258" s="2">
        <v>1.6681000000000001E-4</v>
      </c>
      <c r="G258" s="2">
        <v>3.3711500000000003E-4</v>
      </c>
      <c r="H258" s="2">
        <v>7.14771E-4</v>
      </c>
      <c r="I258" s="2">
        <v>1.58997E-3</v>
      </c>
      <c r="J258" s="2">
        <v>2.3337570000000001E-3</v>
      </c>
      <c r="K258" s="2">
        <v>4.0842389999999999E-3</v>
      </c>
      <c r="L258" s="2">
        <v>6.2894269999999993E-3</v>
      </c>
      <c r="M258" s="2"/>
      <c r="N258" s="2"/>
      <c r="O258" s="2"/>
      <c r="P258" s="2"/>
      <c r="Q258" s="2"/>
      <c r="R258" s="236"/>
      <c r="S258" s="2"/>
    </row>
    <row r="259" spans="1:24" ht="15.75" customHeight="1">
      <c r="A259" s="196">
        <v>45</v>
      </c>
      <c r="B259" s="201" t="s">
        <v>224</v>
      </c>
      <c r="C259" s="504">
        <v>7.7426E-5</v>
      </c>
      <c r="D259" s="2">
        <v>1.3990500000000001E-4</v>
      </c>
      <c r="E259" s="2">
        <v>2.56875E-4</v>
      </c>
      <c r="F259" s="2">
        <v>4.7164100000000002E-4</v>
      </c>
      <c r="G259" s="2">
        <v>8.659640000000001E-4</v>
      </c>
      <c r="H259" s="2">
        <v>1.6949880000000001E-3</v>
      </c>
      <c r="I259" s="2">
        <v>3.1622779999999997E-3</v>
      </c>
      <c r="J259" s="2">
        <v>5.274997E-3</v>
      </c>
      <c r="K259" s="2">
        <v>8.9410580000000017E-3</v>
      </c>
      <c r="L259" s="2">
        <v>1.5647481000000001E-2</v>
      </c>
      <c r="M259" s="2"/>
      <c r="N259" s="2"/>
      <c r="O259" s="2"/>
      <c r="P259" s="2"/>
      <c r="Q259" s="2"/>
      <c r="R259" s="236"/>
      <c r="S259" s="2"/>
    </row>
    <row r="260" spans="1:24" ht="15.75" customHeight="1">
      <c r="A260" s="196">
        <v>45</v>
      </c>
      <c r="B260" s="201" t="s">
        <v>225</v>
      </c>
      <c r="C260" s="504">
        <v>273.56299999999999</v>
      </c>
      <c r="D260" s="2">
        <v>187.06899999999999</v>
      </c>
      <c r="E260" s="2">
        <v>179.023</v>
      </c>
      <c r="F260" s="2">
        <v>197.126</v>
      </c>
      <c r="G260" s="2">
        <v>227.29900000000001</v>
      </c>
      <c r="H260" s="2">
        <v>287.64400000000001</v>
      </c>
      <c r="I260" s="2">
        <v>329.88499999999999</v>
      </c>
      <c r="J260" s="2">
        <v>237.35599999999999</v>
      </c>
      <c r="K260" s="2">
        <v>128.73599999999999</v>
      </c>
      <c r="L260" s="2">
        <v>82.471000000000004</v>
      </c>
      <c r="M260" s="2">
        <v>76.436999999999998</v>
      </c>
      <c r="N260" s="2">
        <v>82.471000000000004</v>
      </c>
      <c r="O260" s="2">
        <v>94.54</v>
      </c>
      <c r="P260" s="2">
        <v>90.516999999999996</v>
      </c>
      <c r="Q260" s="2">
        <v>88.506</v>
      </c>
      <c r="R260" s="236">
        <v>72.414000000000001</v>
      </c>
      <c r="S260" s="2"/>
    </row>
    <row r="261" spans="1:24" ht="15.75" customHeight="1">
      <c r="A261" s="196">
        <v>45</v>
      </c>
      <c r="B261" s="201" t="s">
        <v>226</v>
      </c>
      <c r="C261" s="504">
        <v>323.851</v>
      </c>
      <c r="D261" s="2">
        <v>247.41399999999999</v>
      </c>
      <c r="E261" s="2">
        <v>239.36799999999999</v>
      </c>
      <c r="F261" s="2">
        <v>259.483</v>
      </c>
      <c r="G261" s="2">
        <v>378.161</v>
      </c>
      <c r="H261" s="2">
        <v>579.30999999999995</v>
      </c>
      <c r="I261" s="2">
        <v>607.471</v>
      </c>
      <c r="J261" s="2">
        <v>283.62099999999998</v>
      </c>
      <c r="K261" s="2">
        <v>106.60899999999999</v>
      </c>
      <c r="L261" s="2">
        <v>60.344999999999999</v>
      </c>
      <c r="M261" s="2">
        <v>56.322000000000003</v>
      </c>
      <c r="N261" s="2">
        <v>62.356000000000002</v>
      </c>
      <c r="O261" s="2">
        <v>74.424999999999997</v>
      </c>
      <c r="P261" s="2">
        <v>74.424999999999997</v>
      </c>
      <c r="Q261" s="2">
        <v>66.379000000000005</v>
      </c>
      <c r="R261" s="236">
        <v>48.276000000000003</v>
      </c>
      <c r="S261" s="2"/>
    </row>
    <row r="262" spans="1:24" ht="15.75" customHeight="1">
      <c r="A262" s="196">
        <v>45</v>
      </c>
      <c r="B262" s="201" t="s">
        <v>227</v>
      </c>
      <c r="C262" s="504">
        <v>1013.793</v>
      </c>
      <c r="D262" s="2">
        <v>716.09199999999998</v>
      </c>
      <c r="E262" s="2">
        <v>603.44799999999998</v>
      </c>
      <c r="F262" s="2">
        <v>726.149</v>
      </c>
      <c r="G262" s="2">
        <v>812.64400000000001</v>
      </c>
      <c r="H262" s="2">
        <v>885.05700000000002</v>
      </c>
      <c r="I262" s="2">
        <v>804.59799999999996</v>
      </c>
      <c r="J262" s="2">
        <v>448.56299999999999</v>
      </c>
      <c r="K262" s="2">
        <v>191.09200000000001</v>
      </c>
      <c r="L262" s="2">
        <v>120.69</v>
      </c>
      <c r="M262" s="2">
        <v>92.528999999999996</v>
      </c>
      <c r="N262" s="2">
        <v>76.436999999999998</v>
      </c>
      <c r="O262" s="2">
        <v>70.402000000000001</v>
      </c>
      <c r="P262" s="2">
        <v>64.367999999999995</v>
      </c>
      <c r="Q262" s="2">
        <v>60.344999999999999</v>
      </c>
      <c r="R262" s="236">
        <v>50.286999999999999</v>
      </c>
      <c r="S262" s="2"/>
    </row>
    <row r="263" spans="1:24" ht="15.75" customHeight="1">
      <c r="A263" s="197">
        <v>45</v>
      </c>
      <c r="B263" s="202" t="s">
        <v>228</v>
      </c>
      <c r="C263" s="504">
        <v>1287.356</v>
      </c>
      <c r="D263" s="34">
        <v>820.69</v>
      </c>
      <c r="E263" s="34">
        <v>683.90800000000002</v>
      </c>
      <c r="F263" s="34">
        <v>627.58600000000001</v>
      </c>
      <c r="G263" s="34">
        <v>887.06899999999996</v>
      </c>
      <c r="H263" s="34">
        <v>1315.5170000000001</v>
      </c>
      <c r="I263" s="34">
        <v>975.57500000000005</v>
      </c>
      <c r="J263" s="34">
        <v>364.08</v>
      </c>
      <c r="K263" s="34">
        <v>150.86199999999999</v>
      </c>
      <c r="L263" s="34">
        <v>80.459999999999994</v>
      </c>
      <c r="M263" s="34">
        <v>66.379000000000005</v>
      </c>
      <c r="N263" s="34">
        <v>66.379000000000005</v>
      </c>
      <c r="O263" s="34">
        <v>80.459999999999994</v>
      </c>
      <c r="P263" s="34">
        <v>72.414000000000001</v>
      </c>
      <c r="Q263" s="34">
        <v>60.344999999999999</v>
      </c>
      <c r="R263" s="237">
        <v>50.286999999999999</v>
      </c>
      <c r="S263" s="2"/>
    </row>
    <row r="264" spans="1:24" ht="15.75" customHeight="1">
      <c r="A264" s="199">
        <v>46</v>
      </c>
      <c r="B264" s="200">
        <v>1</v>
      </c>
      <c r="C264" s="506">
        <v>1.6497153E-5</v>
      </c>
      <c r="D264" s="506">
        <v>1.352754E-5</v>
      </c>
      <c r="E264" s="506">
        <v>1.5441010000000001E-5</v>
      </c>
      <c r="F264" s="506">
        <v>1.5646236000000001E-5</v>
      </c>
      <c r="G264" s="506">
        <v>1.8246194999999998E-5</v>
      </c>
      <c r="H264" s="506">
        <v>2.0221081999999999E-5</v>
      </c>
      <c r="I264" s="506">
        <v>2.4998921999999999E-5</v>
      </c>
      <c r="J264" s="506">
        <v>2.9949894E-5</v>
      </c>
      <c r="K264" s="506">
        <v>3.8332308000000001E-5</v>
      </c>
      <c r="L264" s="506">
        <v>5.1844214999999995E-5</v>
      </c>
      <c r="M264" s="506">
        <v>6.9966016000000004E-5</v>
      </c>
      <c r="N264" s="506">
        <v>9.3909836999999988E-5</v>
      </c>
      <c r="O264" s="506">
        <v>1.3682862199999998E-4</v>
      </c>
      <c r="P264" s="506">
        <v>1.9568991199999999E-4</v>
      </c>
      <c r="Q264" s="506">
        <v>2.63251866E-4</v>
      </c>
      <c r="R264" s="506">
        <v>3.8731391999999998E-4</v>
      </c>
      <c r="S264" s="506">
        <v>5.3371918999999999E-4</v>
      </c>
      <c r="T264" s="506">
        <v>7.8918789599999989E-4</v>
      </c>
      <c r="U264" s="506">
        <v>1.0952011980000001E-3</v>
      </c>
      <c r="V264" s="504"/>
      <c r="W264" s="504"/>
      <c r="X264" s="504"/>
    </row>
    <row r="265" spans="1:24" ht="15.75" customHeight="1">
      <c r="A265" s="196">
        <v>46</v>
      </c>
      <c r="B265" s="201">
        <v>2</v>
      </c>
      <c r="C265" s="506">
        <v>1.2976074299999999E-3</v>
      </c>
      <c r="D265" s="506">
        <v>9.5154017400000002E-4</v>
      </c>
      <c r="E265" s="506">
        <v>8.9783922400000007E-4</v>
      </c>
      <c r="F265" s="506">
        <v>8.3182163400000002E-4</v>
      </c>
      <c r="G265" s="506">
        <v>8.2088640899999994E-4</v>
      </c>
      <c r="H265" s="506">
        <v>8.4057330800000002E-4</v>
      </c>
      <c r="I265" s="506">
        <v>8.8124621000000005E-4</v>
      </c>
      <c r="J265" s="506">
        <v>1.0113994280000001E-3</v>
      </c>
      <c r="K265" s="506">
        <v>1.0435067489999999E-3</v>
      </c>
      <c r="L265" s="506">
        <v>1.1435690399999999E-3</v>
      </c>
      <c r="M265" s="506">
        <v>1.3356973629999999E-3</v>
      </c>
      <c r="N265" s="506">
        <v>1.497155286E-3</v>
      </c>
      <c r="O265" s="506">
        <v>1.769948999E-3</v>
      </c>
      <c r="P265" s="506">
        <v>2.0770500720000001E-3</v>
      </c>
      <c r="Q265" s="506">
        <v>2.5535192100000002E-3</v>
      </c>
      <c r="R265" s="506">
        <v>3.066950262E-3</v>
      </c>
      <c r="S265" s="506">
        <v>3.8879487180000002E-3</v>
      </c>
      <c r="T265" s="506">
        <v>4.8511292660000007E-3</v>
      </c>
      <c r="U265" s="506">
        <v>6.1392344610000007E-3</v>
      </c>
      <c r="V265" s="504"/>
      <c r="W265" s="504"/>
      <c r="X265" s="504"/>
    </row>
    <row r="266" spans="1:24" ht="15.75" customHeight="1">
      <c r="A266" s="196">
        <v>46</v>
      </c>
      <c r="B266" s="201">
        <v>3</v>
      </c>
      <c r="C266" s="506">
        <v>1.6983922559999998E-3</v>
      </c>
      <c r="D266" s="506">
        <v>1.376078325E-3</v>
      </c>
      <c r="E266" s="506">
        <v>1.202257905E-3</v>
      </c>
      <c r="F266" s="506">
        <v>1.1448834540000001E-3</v>
      </c>
      <c r="G266" s="506">
        <v>1.1755890120000001E-3</v>
      </c>
      <c r="H266" s="506">
        <v>1.13037405E-3</v>
      </c>
      <c r="I266" s="506">
        <v>1.237066587E-3</v>
      </c>
      <c r="J266" s="506">
        <v>1.2250698239999998E-3</v>
      </c>
      <c r="K266" s="506">
        <v>1.4270648210000002E-3</v>
      </c>
      <c r="L266" s="506">
        <v>1.6526571359999998E-3</v>
      </c>
      <c r="M266" s="506">
        <v>1.96760431E-3</v>
      </c>
      <c r="N266" s="506">
        <v>2.2354462620000001E-3</v>
      </c>
      <c r="O266" s="506">
        <v>2.7164707200000001E-3</v>
      </c>
      <c r="P266" s="506">
        <v>3.2427869219999999E-3</v>
      </c>
      <c r="Q266" s="506">
        <v>3.9050565120000006E-3</v>
      </c>
      <c r="R266" s="506">
        <v>4.77904544E-3</v>
      </c>
      <c r="S266" s="506">
        <v>6.0272154539999998E-3</v>
      </c>
      <c r="T266" s="506">
        <v>7.2947941290000002E-3</v>
      </c>
      <c r="U266" s="506">
        <v>9.2346580889999998E-3</v>
      </c>
      <c r="V266" s="504"/>
      <c r="W266" s="504"/>
      <c r="X266" s="504"/>
    </row>
    <row r="267" spans="1:24" ht="15.75" customHeight="1">
      <c r="A267" s="196">
        <v>46</v>
      </c>
      <c r="B267" s="201">
        <v>4</v>
      </c>
      <c r="C267" s="506">
        <v>2.1268611360000002E-3</v>
      </c>
      <c r="D267" s="506">
        <v>1.6542849599999999E-3</v>
      </c>
      <c r="E267" s="506">
        <v>1.4714381999999999E-3</v>
      </c>
      <c r="F267" s="506">
        <v>1.3770245519999999E-3</v>
      </c>
      <c r="G267" s="506">
        <v>1.3746795999999999E-3</v>
      </c>
      <c r="H267" s="506">
        <v>1.3372278660000001E-3</v>
      </c>
      <c r="I267" s="506">
        <v>1.5123731999999999E-3</v>
      </c>
      <c r="J267" s="506">
        <v>1.55219103E-3</v>
      </c>
      <c r="K267" s="506">
        <v>1.6959885510000002E-3</v>
      </c>
      <c r="L267" s="506">
        <v>1.8798909240000002E-3</v>
      </c>
      <c r="M267" s="506">
        <v>2.1741086849999995E-3</v>
      </c>
      <c r="N267" s="506">
        <v>2.5387763829999997E-3</v>
      </c>
      <c r="O267" s="506">
        <v>3.0808416210000001E-3</v>
      </c>
      <c r="P267" s="506">
        <v>3.4040068260000004E-3</v>
      </c>
      <c r="Q267" s="506">
        <v>4.2367859729999999E-3</v>
      </c>
      <c r="R267" s="506">
        <v>5.1336975759999999E-3</v>
      </c>
      <c r="S267" s="506">
        <v>6.4313676800000002E-3</v>
      </c>
      <c r="T267" s="506">
        <v>8.0640552180000005E-3</v>
      </c>
      <c r="U267" s="506">
        <v>9.8693558959999997E-3</v>
      </c>
      <c r="V267" s="504"/>
      <c r="W267" s="504"/>
      <c r="X267" s="504"/>
    </row>
    <row r="268" spans="1:24" ht="15.75" customHeight="1">
      <c r="A268" s="196">
        <v>46</v>
      </c>
      <c r="B268" s="201">
        <v>5</v>
      </c>
      <c r="C268" s="506">
        <v>1.2161759890000001E-3</v>
      </c>
      <c r="D268" s="506">
        <v>8.1908873700000013E-4</v>
      </c>
      <c r="E268" s="506">
        <v>7.7999999999999999E-4</v>
      </c>
      <c r="F268" s="506">
        <v>7.8884336700000006E-4</v>
      </c>
      <c r="G268" s="506">
        <v>7.7012411199999995E-4</v>
      </c>
      <c r="H268" s="506">
        <v>8.2000000000000009E-4</v>
      </c>
      <c r="I268" s="506">
        <v>8.6843143200000003E-4</v>
      </c>
      <c r="J268" s="506">
        <v>9.9305477599999988E-4</v>
      </c>
      <c r="K268" s="506">
        <v>1.0965333599999999E-3</v>
      </c>
      <c r="L268" s="506">
        <v>1.2230564400000001E-3</v>
      </c>
      <c r="M268" s="506">
        <v>1.4723859120000001E-3</v>
      </c>
      <c r="N268" s="506">
        <v>1.7333527460000001E-3</v>
      </c>
      <c r="O268" s="506">
        <v>2.1232952389999998E-3</v>
      </c>
      <c r="P268" s="506">
        <v>2.5669040369999999E-3</v>
      </c>
      <c r="Q268" s="506">
        <v>3.1893754350000004E-3</v>
      </c>
      <c r="R268" s="506">
        <v>3.8433896259999997E-3</v>
      </c>
      <c r="S268" s="506">
        <v>4.7448422190000004E-3</v>
      </c>
      <c r="T268" s="506">
        <v>6.1272541479999998E-3</v>
      </c>
      <c r="U268" s="506">
        <v>7.5408751470000005E-3</v>
      </c>
      <c r="V268" s="504"/>
      <c r="W268" s="504"/>
      <c r="X268" s="504"/>
    </row>
    <row r="269" spans="1:24" ht="15.75" customHeight="1">
      <c r="A269" s="196">
        <v>46</v>
      </c>
      <c r="B269" s="201">
        <v>6</v>
      </c>
      <c r="C269" s="506">
        <v>1.9995269860000001E-3</v>
      </c>
      <c r="D269" s="506">
        <v>1.5893838879999999E-3</v>
      </c>
      <c r="E269" s="506">
        <v>1.4291439929999998E-3</v>
      </c>
      <c r="F269" s="506">
        <v>1.314271899E-3</v>
      </c>
      <c r="G269" s="506">
        <v>1.3317796220000001E-3</v>
      </c>
      <c r="H269" s="506">
        <v>1.385714472E-3</v>
      </c>
      <c r="I269" s="506">
        <v>1.5887406239999998E-3</v>
      </c>
      <c r="J269" s="506">
        <v>1.6939054879999999E-3</v>
      </c>
      <c r="K269" s="506">
        <v>1.8629204479999998E-3</v>
      </c>
      <c r="L269" s="506">
        <v>2.3177693399999998E-3</v>
      </c>
      <c r="M269" s="506">
        <v>2.6581259999999998E-3</v>
      </c>
      <c r="N269" s="506">
        <v>3.2723202449999995E-3</v>
      </c>
      <c r="O269" s="506">
        <v>4.0103860550000005E-3</v>
      </c>
      <c r="P269" s="506">
        <v>4.8154147360000002E-3</v>
      </c>
      <c r="Q269" s="506">
        <v>5.8872402119999993E-3</v>
      </c>
      <c r="R269" s="506">
        <v>7.9227750799999996E-3</v>
      </c>
      <c r="S269" s="506">
        <v>9.2437830989999994E-3</v>
      </c>
      <c r="T269" s="506">
        <v>1.1786040684000002E-2</v>
      </c>
      <c r="U269" s="506">
        <v>1.4039999999999999E-2</v>
      </c>
      <c r="V269" s="504"/>
      <c r="W269" s="504"/>
      <c r="X269" s="504"/>
    </row>
    <row r="270" spans="1:24" ht="15.75" customHeight="1">
      <c r="A270" s="199">
        <v>47</v>
      </c>
      <c r="B270" s="200" t="s">
        <v>221</v>
      </c>
      <c r="D270" s="504"/>
      <c r="E270" s="504"/>
      <c r="F270" s="504"/>
      <c r="G270" s="504"/>
      <c r="H270" s="504"/>
      <c r="I270" s="504"/>
      <c r="J270" s="504"/>
      <c r="K270" s="504"/>
      <c r="L270" s="504"/>
      <c r="M270" s="504"/>
      <c r="N270" s="504"/>
      <c r="O270" s="504"/>
      <c r="P270" s="504"/>
      <c r="Q270" s="504"/>
      <c r="R270" s="504"/>
      <c r="S270" s="504"/>
      <c r="T270" s="504"/>
      <c r="U270" s="504"/>
      <c r="V270" s="504"/>
      <c r="W270" s="504"/>
      <c r="X270" s="504"/>
    </row>
    <row r="271" spans="1:24" ht="15.75" customHeight="1">
      <c r="A271" s="196">
        <v>47</v>
      </c>
      <c r="B271" s="201">
        <v>2</v>
      </c>
      <c r="D271" s="504"/>
      <c r="E271" s="504"/>
      <c r="F271" s="504"/>
      <c r="G271" s="504"/>
      <c r="H271" s="504"/>
      <c r="I271" s="504"/>
      <c r="J271" s="504"/>
      <c r="K271" s="504"/>
      <c r="L271" s="504"/>
      <c r="M271" s="504"/>
      <c r="N271" s="504"/>
      <c r="O271" s="504"/>
      <c r="P271" s="504"/>
      <c r="Q271" s="504"/>
      <c r="R271" s="504"/>
      <c r="S271" s="504"/>
      <c r="T271" s="504"/>
      <c r="U271" s="504"/>
      <c r="V271" s="504"/>
      <c r="W271" s="504"/>
      <c r="X271" s="504"/>
    </row>
    <row r="272" spans="1:24" ht="15.75" customHeight="1">
      <c r="A272" s="196">
        <v>47</v>
      </c>
      <c r="B272" s="201">
        <v>3</v>
      </c>
      <c r="D272" s="504"/>
      <c r="E272" s="504"/>
      <c r="F272" s="504"/>
      <c r="G272" s="504"/>
      <c r="H272" s="504"/>
      <c r="I272" s="504"/>
      <c r="J272" s="504"/>
      <c r="K272" s="504"/>
      <c r="L272" s="504"/>
      <c r="M272" s="504"/>
      <c r="N272" s="504"/>
      <c r="O272" s="504"/>
      <c r="P272" s="504"/>
      <c r="Q272" s="504"/>
      <c r="R272" s="504"/>
      <c r="S272" s="504"/>
      <c r="T272" s="504"/>
      <c r="U272" s="504"/>
      <c r="V272" s="504"/>
      <c r="W272" s="504"/>
      <c r="X272" s="504"/>
    </row>
    <row r="273" spans="1:24" ht="15.75" customHeight="1">
      <c r="A273" s="196">
        <v>47</v>
      </c>
      <c r="B273" s="201" t="s">
        <v>224</v>
      </c>
      <c r="D273" s="504"/>
      <c r="E273" s="504"/>
      <c r="F273" s="504"/>
      <c r="G273" s="504"/>
      <c r="H273" s="504"/>
      <c r="I273" s="504"/>
      <c r="J273" s="504"/>
      <c r="K273" s="504"/>
      <c r="L273" s="504"/>
      <c r="M273" s="504"/>
      <c r="N273" s="504"/>
      <c r="O273" s="504"/>
      <c r="P273" s="504"/>
      <c r="Q273" s="504"/>
      <c r="R273" s="504"/>
      <c r="S273" s="504"/>
      <c r="T273" s="504"/>
      <c r="U273" s="504"/>
      <c r="V273" s="504"/>
      <c r="W273" s="504"/>
      <c r="X273" s="504"/>
    </row>
    <row r="274" spans="1:24" ht="15.75" customHeight="1">
      <c r="A274" s="196">
        <v>47</v>
      </c>
      <c r="B274" s="201">
        <v>5</v>
      </c>
      <c r="D274" s="504"/>
      <c r="E274" s="504"/>
      <c r="F274" s="504"/>
      <c r="G274" s="504"/>
      <c r="H274" s="504"/>
      <c r="I274" s="504"/>
      <c r="J274" s="504"/>
      <c r="K274" s="504"/>
      <c r="L274" s="504"/>
      <c r="M274" s="504"/>
      <c r="N274" s="504"/>
      <c r="O274" s="504"/>
      <c r="P274" s="504"/>
      <c r="Q274" s="504"/>
      <c r="R274" s="504"/>
      <c r="S274" s="504"/>
      <c r="T274" s="504"/>
      <c r="U274" s="504"/>
      <c r="V274" s="504"/>
      <c r="W274" s="504"/>
      <c r="X274" s="504"/>
    </row>
    <row r="275" spans="1:24" ht="15.75" customHeight="1">
      <c r="A275" s="196">
        <v>47</v>
      </c>
      <c r="B275" s="201" t="s">
        <v>225</v>
      </c>
      <c r="C275" s="506">
        <v>26.012999999999998</v>
      </c>
      <c r="D275" s="506">
        <v>28.73</v>
      </c>
      <c r="E275" s="506">
        <v>29.213999999999999</v>
      </c>
      <c r="F275" s="506">
        <v>30.711000000000002</v>
      </c>
      <c r="G275" s="506">
        <v>36.936</v>
      </c>
      <c r="H275" s="506">
        <v>47.85</v>
      </c>
      <c r="I275" s="506">
        <v>44.303999999999995</v>
      </c>
      <c r="J275" s="506">
        <v>33.54</v>
      </c>
      <c r="K275" s="506">
        <v>23.834000000000003</v>
      </c>
      <c r="L275" s="506">
        <v>23.290000000000003</v>
      </c>
      <c r="M275" s="506">
        <v>29.163999999999998</v>
      </c>
      <c r="N275" s="506">
        <v>42.042000000000002</v>
      </c>
      <c r="O275" s="506">
        <v>45.78</v>
      </c>
      <c r="P275" s="504"/>
      <c r="Q275" s="504"/>
      <c r="R275" s="504"/>
      <c r="S275" s="504"/>
      <c r="T275" s="504"/>
      <c r="U275" s="504"/>
      <c r="V275" s="504"/>
      <c r="W275" s="504"/>
      <c r="X275" s="504"/>
    </row>
    <row r="276" spans="1:24" ht="15.75" customHeight="1">
      <c r="A276" s="196">
        <v>47</v>
      </c>
      <c r="B276" s="201" t="s">
        <v>228</v>
      </c>
      <c r="C276" s="506">
        <v>18.134999999999998</v>
      </c>
      <c r="D276" s="506">
        <v>20.55</v>
      </c>
      <c r="E276" s="506">
        <v>20.234999999999999</v>
      </c>
      <c r="F276" s="506">
        <v>23.904</v>
      </c>
      <c r="G276" s="506">
        <v>30.061</v>
      </c>
      <c r="H276" s="506">
        <v>35.112000000000002</v>
      </c>
      <c r="I276" s="506">
        <v>38.544000000000004</v>
      </c>
      <c r="J276" s="506">
        <v>35.872</v>
      </c>
      <c r="K276" s="506">
        <v>31.233000000000001</v>
      </c>
      <c r="L276" s="506">
        <v>32.405999999999999</v>
      </c>
      <c r="M276" s="506">
        <v>44.496000000000002</v>
      </c>
      <c r="N276" s="506">
        <v>52.36</v>
      </c>
      <c r="O276" s="506">
        <v>60.9</v>
      </c>
      <c r="P276" s="504"/>
      <c r="Q276" s="504"/>
      <c r="R276" s="504"/>
      <c r="S276" s="504"/>
      <c r="T276" s="504"/>
      <c r="U276" s="504"/>
      <c r="V276" s="504"/>
      <c r="W276" s="504"/>
      <c r="X276" s="504"/>
    </row>
    <row r="277" spans="1:24" ht="15.75" customHeight="1">
      <c r="A277" s="199">
        <v>48</v>
      </c>
      <c r="B277" s="200">
        <v>1</v>
      </c>
    </row>
    <row r="278" spans="1:24" ht="15.75" customHeight="1">
      <c r="A278" s="196">
        <v>48</v>
      </c>
      <c r="B278" s="201">
        <v>2</v>
      </c>
    </row>
    <row r="279" spans="1:24" ht="15.75" customHeight="1">
      <c r="A279" s="196">
        <v>48</v>
      </c>
      <c r="B279" s="201">
        <v>3</v>
      </c>
    </row>
    <row r="280" spans="1:24" ht="15.75" customHeight="1">
      <c r="A280" s="196">
        <v>48</v>
      </c>
      <c r="B280" s="201">
        <v>4</v>
      </c>
    </row>
    <row r="281" spans="1:24" ht="15.75" customHeight="1">
      <c r="A281" s="196">
        <v>48</v>
      </c>
      <c r="B281" s="201">
        <v>5</v>
      </c>
    </row>
    <row r="282" spans="1:24" ht="15.75" customHeight="1">
      <c r="A282" s="196">
        <v>48</v>
      </c>
      <c r="B282" s="201">
        <v>6</v>
      </c>
    </row>
    <row r="283" spans="1:24" ht="15.75" customHeight="1">
      <c r="A283" s="196">
        <v>48</v>
      </c>
      <c r="B283" s="201">
        <v>7</v>
      </c>
    </row>
    <row r="284" spans="1:24" ht="15.75" customHeight="1">
      <c r="A284" s="196">
        <v>48</v>
      </c>
      <c r="B284" s="201">
        <v>8</v>
      </c>
    </row>
    <row r="285" spans="1:24" ht="15.75" customHeight="1">
      <c r="A285" s="196">
        <v>48</v>
      </c>
      <c r="B285" s="201">
        <v>9</v>
      </c>
    </row>
    <row r="286" spans="1:24" ht="15.75" customHeight="1">
      <c r="A286" s="196">
        <v>48</v>
      </c>
      <c r="B286" s="201">
        <v>10</v>
      </c>
    </row>
    <row r="287" spans="1:24" ht="15.75" customHeight="1">
      <c r="A287" s="196">
        <v>48</v>
      </c>
      <c r="B287" s="201">
        <v>11</v>
      </c>
    </row>
    <row r="288" spans="1:24" ht="15.75" customHeight="1">
      <c r="A288" s="196">
        <v>48</v>
      </c>
      <c r="B288" s="201">
        <v>12</v>
      </c>
    </row>
    <row r="289" spans="1:21" ht="15.75" customHeight="1">
      <c r="A289" s="309">
        <v>49</v>
      </c>
      <c r="B289" s="74">
        <v>1</v>
      </c>
    </row>
    <row r="290" spans="1:21" ht="15.75" customHeight="1">
      <c r="A290" s="238">
        <v>49</v>
      </c>
      <c r="B290" s="75">
        <v>2</v>
      </c>
    </row>
    <row r="291" spans="1:21" ht="15.75" customHeight="1">
      <c r="A291" s="238">
        <v>49</v>
      </c>
      <c r="B291" s="75">
        <v>3</v>
      </c>
    </row>
    <row r="292" spans="1:21" ht="15.75" customHeight="1">
      <c r="A292" s="238">
        <v>49</v>
      </c>
      <c r="B292" s="75">
        <v>4</v>
      </c>
    </row>
    <row r="293" spans="1:21" ht="15.75" customHeight="1">
      <c r="A293" s="229">
        <v>50</v>
      </c>
      <c r="B293" s="74">
        <v>1</v>
      </c>
    </row>
    <row r="294" spans="1:21" ht="15.75" customHeight="1">
      <c r="A294" s="228">
        <v>50</v>
      </c>
      <c r="B294" s="75">
        <v>2</v>
      </c>
    </row>
    <row r="295" spans="1:21" ht="15.75" customHeight="1">
      <c r="A295" s="228">
        <v>50</v>
      </c>
      <c r="B295" s="75">
        <v>3</v>
      </c>
    </row>
    <row r="296" spans="1:21" ht="15.75" customHeight="1">
      <c r="A296" s="228">
        <v>50</v>
      </c>
      <c r="B296" s="75">
        <v>4</v>
      </c>
    </row>
    <row r="297" spans="1:21" ht="15.75" customHeight="1">
      <c r="A297" s="229">
        <v>51</v>
      </c>
      <c r="B297" s="74">
        <v>1</v>
      </c>
      <c r="C297" s="506">
        <v>110.18892</v>
      </c>
      <c r="D297" s="506">
        <v>154.14332399999998</v>
      </c>
      <c r="E297" s="506">
        <v>272.83384000000001</v>
      </c>
      <c r="F297" s="506">
        <v>163.43159699999998</v>
      </c>
      <c r="G297" s="506">
        <v>72.214979999999997</v>
      </c>
      <c r="H297" s="506">
        <v>60.68403</v>
      </c>
      <c r="I297" s="506">
        <v>50.892463999999997</v>
      </c>
      <c r="J297" s="504"/>
      <c r="K297" s="504"/>
      <c r="L297" s="504"/>
      <c r="M297" s="504"/>
      <c r="N297" s="504"/>
      <c r="O297" s="504"/>
      <c r="P297" s="504"/>
      <c r="Q297" s="504"/>
      <c r="R297" s="504"/>
      <c r="S297" s="504"/>
      <c r="T297" s="504"/>
      <c r="U297" s="504"/>
    </row>
    <row r="298" spans="1:21" ht="15.75" customHeight="1">
      <c r="A298" s="228">
        <v>51</v>
      </c>
      <c r="B298" s="75">
        <v>2</v>
      </c>
      <c r="C298" s="506">
        <v>217.98045500000001</v>
      </c>
      <c r="D298" s="506">
        <v>251.315946</v>
      </c>
      <c r="E298" s="506">
        <v>341.17914600000006</v>
      </c>
      <c r="F298" s="506">
        <v>247.61399</v>
      </c>
      <c r="G298" s="506">
        <v>157.01628799999997</v>
      </c>
      <c r="H298" s="506">
        <v>159.550524</v>
      </c>
      <c r="I298" s="506">
        <v>147.47882799999999</v>
      </c>
      <c r="J298" s="504"/>
      <c r="K298" s="504"/>
      <c r="L298" s="504"/>
      <c r="M298" s="504"/>
      <c r="N298" s="504"/>
      <c r="O298" s="504"/>
      <c r="P298" s="504"/>
      <c r="Q298" s="504"/>
      <c r="R298" s="504"/>
      <c r="S298" s="504"/>
      <c r="T298" s="504"/>
      <c r="U298" s="504"/>
    </row>
    <row r="299" spans="1:21" ht="15.75" customHeight="1">
      <c r="A299" s="228">
        <v>51</v>
      </c>
      <c r="B299" s="75">
        <v>3</v>
      </c>
      <c r="C299" s="506">
        <v>200.68728900000002</v>
      </c>
      <c r="D299" s="506">
        <v>233.48536000000001</v>
      </c>
      <c r="E299" s="506">
        <v>323.30616500000002</v>
      </c>
      <c r="F299" s="506">
        <v>231.771961</v>
      </c>
      <c r="G299" s="506">
        <v>149.86317600000001</v>
      </c>
      <c r="H299" s="506">
        <v>135.908784</v>
      </c>
      <c r="I299" s="506">
        <v>126.14988</v>
      </c>
      <c r="J299" s="504"/>
      <c r="K299" s="504"/>
      <c r="L299" s="504"/>
      <c r="M299" s="504"/>
      <c r="N299" s="504"/>
      <c r="O299" s="504"/>
      <c r="P299" s="504"/>
      <c r="Q299" s="504"/>
      <c r="R299" s="504"/>
      <c r="S299" s="504"/>
      <c r="T299" s="504"/>
      <c r="U299" s="504"/>
    </row>
    <row r="300" spans="1:21" ht="15.75" customHeight="1">
      <c r="A300" s="228">
        <v>51</v>
      </c>
      <c r="B300" s="75">
        <v>4</v>
      </c>
      <c r="C300" s="506">
        <v>206.57980000000001</v>
      </c>
      <c r="D300" s="506">
        <v>231.97718</v>
      </c>
      <c r="E300" s="506">
        <v>373.99346399999996</v>
      </c>
      <c r="F300" s="506">
        <v>283.49186199999997</v>
      </c>
      <c r="G300" s="506">
        <v>141.27685600000001</v>
      </c>
      <c r="H300" s="506">
        <v>127.700352</v>
      </c>
      <c r="I300" s="506">
        <v>110.74269999999999</v>
      </c>
      <c r="J300" s="504"/>
      <c r="K300" s="504"/>
      <c r="L300" s="504"/>
      <c r="M300" s="504"/>
      <c r="N300" s="504"/>
      <c r="O300" s="504"/>
      <c r="P300" s="504"/>
      <c r="Q300" s="504"/>
      <c r="R300" s="504"/>
      <c r="S300" s="504"/>
      <c r="T300" s="504"/>
      <c r="U300" s="504"/>
    </row>
    <row r="301" spans="1:21" ht="15.75" customHeight="1">
      <c r="A301" s="228">
        <v>51</v>
      </c>
      <c r="B301" s="75">
        <v>5</v>
      </c>
      <c r="C301" s="506">
        <v>225.31434899999999</v>
      </c>
      <c r="D301" s="506">
        <v>265.51140199999998</v>
      </c>
      <c r="E301" s="506">
        <v>355.96413299999995</v>
      </c>
      <c r="F301" s="506">
        <v>238.86484900000002</v>
      </c>
      <c r="G301" s="506">
        <v>147.35180099999999</v>
      </c>
      <c r="H301" s="506">
        <v>132.78829200000001</v>
      </c>
      <c r="I301" s="506">
        <v>115.33877099999999</v>
      </c>
      <c r="J301" s="504"/>
      <c r="K301" s="504"/>
      <c r="L301" s="504"/>
      <c r="M301" s="504"/>
      <c r="N301" s="504"/>
      <c r="O301" s="504"/>
      <c r="P301" s="504"/>
      <c r="Q301" s="504"/>
      <c r="R301" s="504"/>
      <c r="S301" s="504"/>
      <c r="T301" s="504"/>
      <c r="U301" s="504"/>
    </row>
    <row r="302" spans="1:21" ht="15.75" customHeight="1">
      <c r="A302" s="228">
        <v>51</v>
      </c>
      <c r="B302" s="75">
        <v>6</v>
      </c>
      <c r="C302" s="506">
        <v>174.47232300000002</v>
      </c>
      <c r="D302" s="506">
        <v>223.83714599999999</v>
      </c>
      <c r="E302" s="506">
        <v>332.73615000000001</v>
      </c>
      <c r="F302" s="506">
        <v>211.15800900000002</v>
      </c>
      <c r="G302" s="506">
        <v>136.23125400000001</v>
      </c>
      <c r="H302" s="506">
        <v>123.01303000000001</v>
      </c>
      <c r="I302" s="506">
        <v>102.77034699999999</v>
      </c>
      <c r="J302" s="504"/>
      <c r="K302" s="504"/>
      <c r="L302" s="504"/>
      <c r="M302" s="504"/>
      <c r="N302" s="504"/>
      <c r="O302" s="504"/>
      <c r="P302" s="504"/>
      <c r="Q302" s="504"/>
      <c r="R302" s="504"/>
      <c r="S302" s="504"/>
      <c r="T302" s="504"/>
      <c r="U302" s="504"/>
    </row>
    <row r="303" spans="1:21" ht="15.75" customHeight="1">
      <c r="A303" s="228">
        <v>51</v>
      </c>
      <c r="B303" s="75">
        <v>7</v>
      </c>
      <c r="C303" s="506">
        <v>223.201953</v>
      </c>
      <c r="D303" s="506">
        <v>262.98369600000001</v>
      </c>
      <c r="E303" s="506">
        <v>380.46250800000001</v>
      </c>
      <c r="F303" s="506">
        <v>248.193826</v>
      </c>
      <c r="G303" s="506">
        <v>142.11890499999998</v>
      </c>
      <c r="H303" s="506">
        <v>112.07037599999998</v>
      </c>
      <c r="I303" s="506">
        <v>99.043931999999984</v>
      </c>
      <c r="J303" s="504"/>
      <c r="K303" s="504"/>
      <c r="L303" s="504"/>
      <c r="M303" s="504"/>
      <c r="N303" s="504"/>
      <c r="O303" s="504"/>
      <c r="P303" s="504"/>
      <c r="Q303" s="504"/>
      <c r="R303" s="504"/>
      <c r="S303" s="504"/>
      <c r="T303" s="504"/>
      <c r="U303" s="504"/>
    </row>
    <row r="304" spans="1:21" ht="15.75" customHeight="1">
      <c r="A304" s="229">
        <v>52</v>
      </c>
      <c r="B304" s="200">
        <v>1</v>
      </c>
      <c r="C304" s="504">
        <v>30926.641</v>
      </c>
      <c r="D304" s="234">
        <v>32548.262999999999</v>
      </c>
      <c r="E304" s="234">
        <v>34401.544000000002</v>
      </c>
      <c r="F304" s="234">
        <v>40193.050000000003</v>
      </c>
      <c r="G304" s="234">
        <v>50849.421000000002</v>
      </c>
      <c r="H304" s="234">
        <v>66138.995999999999</v>
      </c>
      <c r="I304" s="234">
        <v>72162.161999999997</v>
      </c>
      <c r="J304" s="234">
        <v>58262.548000000003</v>
      </c>
      <c r="K304" s="234">
        <v>47606.178</v>
      </c>
      <c r="L304" s="234">
        <v>38339.767999999996</v>
      </c>
      <c r="M304" s="234">
        <v>33706.563999999998</v>
      </c>
      <c r="N304" s="234">
        <v>34169.883999999998</v>
      </c>
      <c r="O304" s="235">
        <v>42046.332000000002</v>
      </c>
      <c r="P304" s="2"/>
    </row>
    <row r="305" spans="1:21" ht="15.75" customHeight="1">
      <c r="A305" s="228">
        <v>52</v>
      </c>
      <c r="B305" s="201">
        <v>2</v>
      </c>
      <c r="C305" s="504">
        <v>95096.524999999994</v>
      </c>
      <c r="D305" s="2">
        <v>110849.421</v>
      </c>
      <c r="E305" s="2">
        <v>147683.39799999999</v>
      </c>
      <c r="F305" s="2">
        <v>108301.158</v>
      </c>
      <c r="G305" s="2">
        <v>94633.205000000002</v>
      </c>
      <c r="H305" s="2">
        <v>85830.115999999995</v>
      </c>
      <c r="I305" s="2">
        <v>79111.968999999997</v>
      </c>
      <c r="J305" s="2">
        <v>72393.822</v>
      </c>
      <c r="K305" s="2">
        <v>61042.470999999998</v>
      </c>
      <c r="L305" s="2">
        <v>52471.042000000001</v>
      </c>
      <c r="M305" s="2">
        <v>52007.722000000002</v>
      </c>
      <c r="N305" s="2">
        <v>52934.362999999998</v>
      </c>
      <c r="O305" s="236">
        <v>53861.004000000001</v>
      </c>
      <c r="P305" s="2"/>
    </row>
    <row r="306" spans="1:21" ht="15.75" customHeight="1">
      <c r="A306" s="228">
        <v>52</v>
      </c>
      <c r="B306" s="201">
        <v>3</v>
      </c>
      <c r="D306" s="503">
        <v>132625.48300000001</v>
      </c>
      <c r="E306" s="503">
        <v>133320.46299999999</v>
      </c>
      <c r="F306" s="503">
        <v>81891.892000000007</v>
      </c>
      <c r="G306" s="503">
        <v>46911.197</v>
      </c>
      <c r="H306" s="503">
        <v>34401.544000000002</v>
      </c>
      <c r="I306" s="503">
        <v>26525.097000000002</v>
      </c>
      <c r="J306" s="503">
        <v>22123.552</v>
      </c>
      <c r="K306" s="503">
        <v>19575.29</v>
      </c>
      <c r="L306" s="503">
        <v>18648.649000000001</v>
      </c>
      <c r="M306" s="503">
        <v>18416.988000000001</v>
      </c>
      <c r="N306" s="503">
        <v>17490.347000000002</v>
      </c>
      <c r="O306" s="507">
        <v>15405.405000000001</v>
      </c>
      <c r="P306" s="2"/>
    </row>
    <row r="307" spans="1:21" ht="15.75" customHeight="1">
      <c r="A307" s="230">
        <v>52</v>
      </c>
      <c r="B307" s="202">
        <v>4</v>
      </c>
      <c r="D307" s="508">
        <v>132625.48300000001</v>
      </c>
      <c r="E307" s="508">
        <v>126138.996</v>
      </c>
      <c r="F307" s="508">
        <v>60579.150999999998</v>
      </c>
      <c r="G307" s="508">
        <v>35328.184999999998</v>
      </c>
      <c r="H307" s="508">
        <v>25366.794999999998</v>
      </c>
      <c r="I307" s="508">
        <v>20501.931</v>
      </c>
      <c r="J307" s="508">
        <v>16100.386</v>
      </c>
      <c r="K307" s="508">
        <v>15405.405000000001</v>
      </c>
      <c r="L307" s="508">
        <v>14247.103999999999</v>
      </c>
      <c r="M307" s="508">
        <v>13320.463</v>
      </c>
      <c r="N307" s="508">
        <v>12625.483</v>
      </c>
      <c r="O307" s="509">
        <v>11235.521000000001</v>
      </c>
      <c r="P307" s="2"/>
    </row>
    <row r="308" spans="1:21" ht="15.75" customHeight="1">
      <c r="A308" s="199">
        <v>53</v>
      </c>
      <c r="B308" s="201">
        <v>1</v>
      </c>
    </row>
    <row r="309" spans="1:21" ht="15.75" customHeight="1">
      <c r="A309" s="196">
        <v>53</v>
      </c>
      <c r="B309" s="201">
        <v>2</v>
      </c>
    </row>
    <row r="310" spans="1:21" ht="15.75" customHeight="1">
      <c r="A310" s="196">
        <v>53</v>
      </c>
      <c r="B310" s="201">
        <v>3</v>
      </c>
    </row>
    <row r="311" spans="1:21" ht="15.75" customHeight="1">
      <c r="A311" s="196">
        <v>53</v>
      </c>
      <c r="B311" s="201">
        <v>4</v>
      </c>
    </row>
    <row r="312" spans="1:21" ht="15.75" customHeight="1">
      <c r="A312" s="196">
        <v>53</v>
      </c>
      <c r="B312" s="201">
        <v>5</v>
      </c>
    </row>
    <row r="313" spans="1:21" ht="15.75" customHeight="1">
      <c r="A313" s="229">
        <v>54</v>
      </c>
      <c r="B313" s="200">
        <v>1</v>
      </c>
      <c r="C313" s="506">
        <v>35.149257000000006</v>
      </c>
      <c r="D313" s="506">
        <v>32.175263999999999</v>
      </c>
      <c r="E313" s="506">
        <v>33.277216000000003</v>
      </c>
      <c r="F313" s="506">
        <v>30.400590000000005</v>
      </c>
      <c r="G313" s="506">
        <v>20.223648000000001</v>
      </c>
      <c r="H313" s="506">
        <v>13.666848</v>
      </c>
      <c r="I313" s="506">
        <v>12.711582000000002</v>
      </c>
      <c r="J313" s="504"/>
      <c r="K313" s="504"/>
      <c r="L313" s="504"/>
      <c r="M313" s="504"/>
      <c r="N313" s="504"/>
      <c r="O313" s="504"/>
      <c r="P313" s="504"/>
      <c r="Q313" s="504"/>
      <c r="R313" s="504"/>
      <c r="S313" s="504"/>
      <c r="T313" s="504"/>
      <c r="U313" s="504"/>
    </row>
    <row r="314" spans="1:21" ht="15.75" customHeight="1">
      <c r="A314" s="228">
        <v>54</v>
      </c>
      <c r="B314" s="201">
        <v>2</v>
      </c>
      <c r="C314" s="506">
        <v>24.524487999999998</v>
      </c>
      <c r="D314" s="506">
        <v>27.83286</v>
      </c>
      <c r="E314" s="506">
        <v>50.876097999999999</v>
      </c>
      <c r="F314" s="506">
        <v>32.728500000000004</v>
      </c>
      <c r="G314" s="506">
        <v>17.231385</v>
      </c>
      <c r="H314" s="506">
        <v>14.424774000000001</v>
      </c>
      <c r="I314" s="506">
        <v>14.494807</v>
      </c>
      <c r="J314" s="504"/>
      <c r="K314" s="504"/>
      <c r="L314" s="504"/>
      <c r="M314" s="504"/>
      <c r="N314" s="504"/>
      <c r="O314" s="504"/>
      <c r="P314" s="504"/>
      <c r="Q314" s="504"/>
      <c r="R314" s="504"/>
      <c r="S314" s="504"/>
      <c r="T314" s="504"/>
      <c r="U314" s="504"/>
    </row>
    <row r="315" spans="1:21" ht="15.75" customHeight="1">
      <c r="A315" s="228">
        <v>54</v>
      </c>
      <c r="B315" s="201">
        <v>3</v>
      </c>
      <c r="C315" s="506">
        <v>13.614405999999999</v>
      </c>
      <c r="D315" s="506">
        <v>17.328535000000002</v>
      </c>
      <c r="E315" s="506">
        <v>31.779855999999999</v>
      </c>
      <c r="F315" s="506">
        <v>25.866295999999998</v>
      </c>
      <c r="G315" s="506">
        <v>16.225634000000003</v>
      </c>
      <c r="H315" s="506">
        <v>12.276070999999998</v>
      </c>
      <c r="I315" s="506">
        <v>11.949299999999999</v>
      </c>
      <c r="J315" s="504"/>
      <c r="K315" s="504"/>
      <c r="L315" s="504"/>
      <c r="M315" s="504"/>
      <c r="N315" s="504"/>
      <c r="O315" s="504"/>
      <c r="P315" s="504"/>
      <c r="Q315" s="504"/>
      <c r="R315" s="504"/>
      <c r="S315" s="504"/>
      <c r="T315" s="504"/>
      <c r="U315" s="504"/>
    </row>
    <row r="316" spans="1:21" ht="15.75" customHeight="1">
      <c r="A316" s="228">
        <v>54</v>
      </c>
      <c r="B316" s="201">
        <v>4</v>
      </c>
      <c r="C316" s="506">
        <v>20.495650000000005</v>
      </c>
      <c r="D316" s="506">
        <v>25.289349999999995</v>
      </c>
      <c r="E316" s="506">
        <v>26.602314</v>
      </c>
      <c r="F316" s="506">
        <v>23.340043999999999</v>
      </c>
      <c r="G316" s="506">
        <v>14.83569</v>
      </c>
      <c r="H316" s="506">
        <v>10.951000000000001</v>
      </c>
      <c r="I316" s="506">
        <v>10.459624</v>
      </c>
      <c r="J316" s="504"/>
      <c r="K316" s="504"/>
      <c r="L316" s="504"/>
      <c r="M316" s="504"/>
      <c r="N316" s="504"/>
      <c r="O316" s="504"/>
      <c r="P316" s="504"/>
      <c r="Q316" s="504"/>
      <c r="R316" s="504"/>
      <c r="S316" s="504"/>
      <c r="T316" s="504"/>
      <c r="U316" s="504"/>
    </row>
    <row r="317" spans="1:21" ht="15.75" customHeight="1">
      <c r="A317" s="229">
        <v>55</v>
      </c>
      <c r="B317" s="200" t="s">
        <v>221</v>
      </c>
    </row>
    <row r="318" spans="1:21" ht="15.75" customHeight="1">
      <c r="A318" s="228">
        <v>55</v>
      </c>
      <c r="B318" s="201" t="s">
        <v>222</v>
      </c>
    </row>
    <row r="319" spans="1:21" ht="15.75" customHeight="1">
      <c r="A319" s="228">
        <v>55</v>
      </c>
      <c r="B319" s="201" t="s">
        <v>223</v>
      </c>
    </row>
    <row r="320" spans="1:21" ht="15.75" customHeight="1">
      <c r="A320" s="228">
        <v>55</v>
      </c>
      <c r="B320" s="201" t="s">
        <v>225</v>
      </c>
    </row>
    <row r="321" spans="1:24" ht="15.75" customHeight="1">
      <c r="A321" s="228">
        <v>55</v>
      </c>
      <c r="B321" s="201" t="s">
        <v>226</v>
      </c>
    </row>
    <row r="322" spans="1:24" ht="15.75" customHeight="1">
      <c r="A322" s="228">
        <v>55</v>
      </c>
      <c r="B322" s="201" t="s">
        <v>227</v>
      </c>
    </row>
    <row r="323" spans="1:24" ht="15.75" customHeight="1">
      <c r="A323" s="228">
        <v>55</v>
      </c>
      <c r="B323" s="201" t="s">
        <v>231</v>
      </c>
    </row>
    <row r="324" spans="1:24" ht="15.75" customHeight="1">
      <c r="A324" s="228">
        <v>55</v>
      </c>
      <c r="B324" s="201" t="s">
        <v>232</v>
      </c>
    </row>
    <row r="325" spans="1:24" ht="15.75" customHeight="1">
      <c r="A325" s="228">
        <v>55</v>
      </c>
      <c r="B325" s="201" t="s">
        <v>233</v>
      </c>
    </row>
    <row r="326" spans="1:24" ht="15.75" customHeight="1">
      <c r="A326" s="199">
        <v>56</v>
      </c>
      <c r="B326" s="200" t="s">
        <v>221</v>
      </c>
      <c r="C326" s="504">
        <v>102343860.287</v>
      </c>
      <c r="D326" s="234">
        <v>105005027.432</v>
      </c>
      <c r="E326" s="234">
        <v>101558740.066</v>
      </c>
      <c r="F326" s="234">
        <v>87960326.263999999</v>
      </c>
      <c r="G326" s="234">
        <v>70536103.107999995</v>
      </c>
      <c r="H326" s="234">
        <v>55271674.848999999</v>
      </c>
      <c r="I326" s="234">
        <v>47139304.737999998</v>
      </c>
      <c r="J326" s="234">
        <v>43870030.502999999</v>
      </c>
      <c r="K326" s="234">
        <v>40410421.511</v>
      </c>
      <c r="L326" s="234">
        <v>39285316.096000001</v>
      </c>
      <c r="M326" s="234">
        <v>38289699.075999998</v>
      </c>
      <c r="N326" s="234">
        <v>37128208.538000003</v>
      </c>
      <c r="O326" s="234">
        <v>35817591.294</v>
      </c>
      <c r="P326" s="234">
        <v>33677547.674000002</v>
      </c>
      <c r="Q326" s="235">
        <v>30080700.475000001</v>
      </c>
    </row>
    <row r="327" spans="1:24" ht="15.75" customHeight="1">
      <c r="A327" s="197">
        <v>56</v>
      </c>
      <c r="B327" s="202" t="s">
        <v>225</v>
      </c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237"/>
    </row>
    <row r="328" spans="1:24" ht="15.75" customHeight="1">
      <c r="A328" s="199">
        <v>57</v>
      </c>
      <c r="B328" s="200">
        <v>1</v>
      </c>
    </row>
    <row r="329" spans="1:24" ht="15.75" customHeight="1">
      <c r="A329" s="196">
        <v>57</v>
      </c>
      <c r="B329" s="201">
        <v>2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24" ht="15.75" customHeight="1">
      <c r="A330" s="199">
        <v>58</v>
      </c>
      <c r="B330" s="200">
        <v>1</v>
      </c>
      <c r="C330" s="504">
        <v>5.1707150000000002E-3</v>
      </c>
      <c r="D330" s="234">
        <v>6.1764305999999995E-3</v>
      </c>
      <c r="E330" s="234">
        <v>7.6749788000000001E-3</v>
      </c>
      <c r="F330" s="234">
        <v>9.1677792999999997E-3</v>
      </c>
      <c r="G330" s="234">
        <v>1.18510391E-2</v>
      </c>
      <c r="H330" s="234">
        <v>1.47263818E-2</v>
      </c>
      <c r="I330" s="234">
        <v>1.8664312899999997E-2</v>
      </c>
      <c r="J330" s="234">
        <v>2.36552727E-2</v>
      </c>
      <c r="K330" s="234">
        <v>2.8256275900000002E-2</v>
      </c>
      <c r="L330" s="234">
        <v>3.3752184499999997E-2</v>
      </c>
      <c r="M330" s="235">
        <v>3.9528699099999995E-2</v>
      </c>
      <c r="N330" s="2"/>
    </row>
    <row r="331" spans="1:24" ht="15.75" customHeight="1">
      <c r="A331" s="196">
        <v>58</v>
      </c>
      <c r="B331" s="201">
        <v>2</v>
      </c>
      <c r="C331" s="504">
        <v>2.5904729999999998E-3</v>
      </c>
      <c r="D331" s="2">
        <v>3.3486622999999997E-3</v>
      </c>
      <c r="E331" s="2">
        <v>4.1611271000000002E-3</v>
      </c>
      <c r="F331" s="2">
        <v>5.1707150000000002E-3</v>
      </c>
      <c r="G331" s="2">
        <v>6.4252529000000001E-3</v>
      </c>
      <c r="H331" s="2">
        <v>8.1434075999999994E-3</v>
      </c>
      <c r="I331" s="2">
        <v>1.0119191099999999E-2</v>
      </c>
      <c r="J331" s="2">
        <v>1.2328467399999999E-2</v>
      </c>
      <c r="K331" s="2">
        <v>1.5625180499999999E-2</v>
      </c>
      <c r="L331" s="2">
        <v>1.9416219200000001E-2</v>
      </c>
      <c r="M331" s="236">
        <v>2.2739206200000001E-2</v>
      </c>
      <c r="N331" s="2"/>
    </row>
    <row r="332" spans="1:24" ht="15.75" customHeight="1">
      <c r="A332" s="196">
        <v>58</v>
      </c>
      <c r="B332" s="201">
        <v>3</v>
      </c>
      <c r="C332" s="504">
        <v>1.0361849999999999E-4</v>
      </c>
      <c r="D332" s="2">
        <v>1.4784659999999999E-4</v>
      </c>
      <c r="E332" s="2">
        <v>2.0278350000000001E-4</v>
      </c>
      <c r="F332" s="2">
        <v>2.9510929999999999E-4</v>
      </c>
      <c r="G332" s="2">
        <v>4.2947030000000004E-4</v>
      </c>
      <c r="H332" s="2">
        <v>6.2500480000000002E-4</v>
      </c>
      <c r="I332" s="2">
        <v>9.095647000000001E-4</v>
      </c>
      <c r="J332" s="2">
        <v>1.2724220999999999E-3</v>
      </c>
      <c r="K332" s="2">
        <v>1.8517462999999999E-3</v>
      </c>
      <c r="L332" s="2">
        <v>2.4414627E-3</v>
      </c>
      <c r="M332" s="236">
        <v>3.0943258E-3</v>
      </c>
      <c r="N332" s="2"/>
    </row>
    <row r="333" spans="1:24" ht="15.75" customHeight="1">
      <c r="A333" s="196">
        <v>58</v>
      </c>
      <c r="B333" s="201">
        <v>4</v>
      </c>
      <c r="C333" s="504">
        <v>8.5049999999999994E-5</v>
      </c>
      <c r="D333" s="2">
        <v>1.2135229999999999E-4</v>
      </c>
      <c r="E333" s="2">
        <v>1.538027E-4</v>
      </c>
      <c r="F333" s="2">
        <v>2.1515999999999999E-4</v>
      </c>
      <c r="G333" s="2">
        <v>3.06998E-4</v>
      </c>
      <c r="H333" s="2">
        <v>4.0476610000000001E-4</v>
      </c>
      <c r="I333" s="2">
        <v>5.6624150000000005E-4</v>
      </c>
      <c r="J333" s="2">
        <v>8.2404699999999995E-4</v>
      </c>
      <c r="K333" s="2">
        <v>1.0652321E-3</v>
      </c>
      <c r="L333" s="2">
        <v>1.4901907E-3</v>
      </c>
      <c r="M333" s="236">
        <v>1.9263453000000002E-3</v>
      </c>
      <c r="N333" s="2"/>
    </row>
    <row r="334" spans="1:24" ht="15.75" customHeight="1">
      <c r="A334" s="197">
        <v>58</v>
      </c>
      <c r="B334" s="202">
        <v>5</v>
      </c>
      <c r="C334" s="504">
        <v>2.052E-5</v>
      </c>
      <c r="D334" s="34">
        <v>2.54987E-5</v>
      </c>
      <c r="E334" s="34">
        <v>3.3619099999999998E-5</v>
      </c>
      <c r="F334" s="34">
        <v>4.0959099999999999E-5</v>
      </c>
      <c r="G334" s="34">
        <v>5.7299100000000002E-5</v>
      </c>
      <c r="H334" s="34">
        <v>7.7053500000000003E-5</v>
      </c>
      <c r="I334" s="34">
        <v>1.0568510000000001E-4</v>
      </c>
      <c r="J334" s="34">
        <v>1.507952E-4</v>
      </c>
      <c r="K334" s="34">
        <v>2.1095279999999998E-4</v>
      </c>
      <c r="L334" s="34">
        <v>2.781339E-4</v>
      </c>
      <c r="M334" s="237">
        <v>4.1283869999999997E-4</v>
      </c>
      <c r="N334" s="2"/>
    </row>
    <row r="335" spans="1:24" ht="15.75" customHeight="1">
      <c r="A335" s="229">
        <v>59</v>
      </c>
      <c r="B335" s="74">
        <v>1</v>
      </c>
      <c r="C335" s="506">
        <v>125.12748000000001</v>
      </c>
      <c r="D335" s="506">
        <v>159.016986</v>
      </c>
      <c r="E335" s="506">
        <v>184.73655200000002</v>
      </c>
      <c r="F335" s="506">
        <v>197.16006200000001</v>
      </c>
      <c r="G335" s="506">
        <v>208.71105</v>
      </c>
      <c r="H335" s="506">
        <v>195.42491999999999</v>
      </c>
      <c r="I335" s="506">
        <v>184.85549599999999</v>
      </c>
      <c r="J335" s="506">
        <v>161.45609599999997</v>
      </c>
      <c r="K335" s="506">
        <v>134.150115</v>
      </c>
      <c r="L335" s="506">
        <v>124.89942599999999</v>
      </c>
      <c r="M335" s="506">
        <v>118.682739</v>
      </c>
      <c r="N335" s="506">
        <v>108.50990400000001</v>
      </c>
      <c r="O335" s="506">
        <v>94.648737999999994</v>
      </c>
      <c r="P335" s="506">
        <v>86.944793000000004</v>
      </c>
      <c r="Q335" s="506">
        <v>85.596283999999997</v>
      </c>
      <c r="R335" s="506">
        <v>83.286100000000005</v>
      </c>
      <c r="S335" s="506">
        <v>79.954672000000002</v>
      </c>
      <c r="T335" s="504"/>
      <c r="U335" s="504"/>
      <c r="V335" s="504"/>
      <c r="W335" s="504"/>
      <c r="X335" s="504"/>
    </row>
    <row r="336" spans="1:24" ht="15.75" customHeight="1">
      <c r="A336" s="228">
        <v>59</v>
      </c>
      <c r="B336" s="75">
        <v>2</v>
      </c>
      <c r="C336" s="506">
        <v>132.06798000000001</v>
      </c>
      <c r="D336" s="506">
        <v>169.18980299999998</v>
      </c>
      <c r="E336" s="506">
        <v>196.87251200000003</v>
      </c>
      <c r="F336" s="506">
        <v>214.64020700000003</v>
      </c>
      <c r="G336" s="506">
        <v>227.05380000000002</v>
      </c>
      <c r="H336" s="506">
        <v>213.093504</v>
      </c>
      <c r="I336" s="506">
        <v>201.82011999999997</v>
      </c>
      <c r="J336" s="506">
        <v>176.08072099999998</v>
      </c>
      <c r="K336" s="506">
        <v>157.36120099999999</v>
      </c>
      <c r="L336" s="506">
        <v>147.53538600000002</v>
      </c>
      <c r="M336" s="506">
        <v>141.58640399999999</v>
      </c>
      <c r="N336" s="506">
        <v>126.594872</v>
      </c>
      <c r="O336" s="506">
        <v>116.451837</v>
      </c>
      <c r="P336" s="506">
        <v>104.51418100000001</v>
      </c>
      <c r="Q336" s="506">
        <v>101.43063600000001</v>
      </c>
      <c r="R336" s="506">
        <v>96.929143999999994</v>
      </c>
      <c r="S336" s="506">
        <v>88.164297000000005</v>
      </c>
      <c r="T336" s="504"/>
      <c r="U336" s="504"/>
      <c r="V336" s="504"/>
      <c r="W336" s="504"/>
      <c r="X336" s="504"/>
    </row>
    <row r="337" spans="1:24" ht="15.75" customHeight="1">
      <c r="A337" s="228">
        <v>59</v>
      </c>
      <c r="B337" s="75">
        <v>3</v>
      </c>
      <c r="C337" s="506">
        <v>134.685552</v>
      </c>
      <c r="D337" s="506">
        <v>154.37675999999999</v>
      </c>
      <c r="E337" s="506">
        <v>156.75638800000002</v>
      </c>
      <c r="F337" s="506">
        <v>160.08782399999998</v>
      </c>
      <c r="G337" s="506">
        <v>180.45325000000003</v>
      </c>
      <c r="H337" s="506">
        <v>185.44048100000001</v>
      </c>
      <c r="I337" s="506">
        <v>177.33995400000001</v>
      </c>
      <c r="J337" s="506">
        <v>163.10195999999999</v>
      </c>
      <c r="K337" s="506">
        <v>138.88952399999999</v>
      </c>
      <c r="L337" s="506">
        <v>123.828642</v>
      </c>
      <c r="M337" s="506">
        <v>122.192618</v>
      </c>
      <c r="N337" s="506">
        <v>115.84704400000001</v>
      </c>
      <c r="O337" s="506">
        <v>104.19692099999999</v>
      </c>
      <c r="P337" s="506">
        <v>102.12460299999999</v>
      </c>
      <c r="Q337" s="506">
        <v>97.20677400000001</v>
      </c>
      <c r="R337" s="506">
        <v>91.198296000000013</v>
      </c>
      <c r="S337" s="506">
        <v>86.300296000000017</v>
      </c>
      <c r="T337" s="504"/>
      <c r="U337" s="504"/>
      <c r="V337" s="504"/>
      <c r="W337" s="504"/>
      <c r="X337" s="504"/>
    </row>
    <row r="338" spans="1:24" ht="15.75" customHeight="1">
      <c r="A338" s="228">
        <v>59</v>
      </c>
      <c r="B338" s="75">
        <v>4</v>
      </c>
      <c r="C338" s="506">
        <v>175.97165799999999</v>
      </c>
      <c r="D338" s="506">
        <v>211.626082</v>
      </c>
      <c r="E338" s="506">
        <v>184.538262</v>
      </c>
      <c r="F338" s="506">
        <v>167.61331999999999</v>
      </c>
      <c r="G338" s="506">
        <v>173.09630200000001</v>
      </c>
      <c r="H338" s="506">
        <v>164.98585600000001</v>
      </c>
      <c r="I338" s="506">
        <v>158.392338</v>
      </c>
      <c r="J338" s="506">
        <v>142.33996199999999</v>
      </c>
      <c r="K338" s="506">
        <v>121.796008</v>
      </c>
      <c r="L338" s="506">
        <v>111.464584</v>
      </c>
      <c r="M338" s="506">
        <v>110.373964</v>
      </c>
      <c r="N338" s="506">
        <v>100.02262399999999</v>
      </c>
      <c r="O338" s="506">
        <v>89.631713000000005</v>
      </c>
      <c r="P338" s="506">
        <v>84.674222</v>
      </c>
      <c r="Q338" s="506">
        <v>81.203980000000001</v>
      </c>
      <c r="R338" s="506">
        <v>75.800314000000014</v>
      </c>
      <c r="S338" s="506">
        <v>67.957559000000003</v>
      </c>
      <c r="T338" s="504"/>
      <c r="U338" s="504"/>
      <c r="V338" s="504"/>
      <c r="W338" s="504"/>
      <c r="X338" s="504"/>
    </row>
    <row r="339" spans="1:24" ht="15.75" customHeight="1">
      <c r="A339" s="228">
        <v>59</v>
      </c>
      <c r="B339" s="75">
        <v>5</v>
      </c>
      <c r="C339" s="506">
        <v>148.169984</v>
      </c>
      <c r="D339" s="506">
        <v>160.68271199999998</v>
      </c>
      <c r="E339" s="506">
        <v>166.264881</v>
      </c>
      <c r="F339" s="506">
        <v>168.75352999999998</v>
      </c>
      <c r="G339" s="506">
        <v>180.849885</v>
      </c>
      <c r="H339" s="506">
        <v>184.03259100000002</v>
      </c>
      <c r="I339" s="506">
        <v>167.28610799999998</v>
      </c>
      <c r="J339" s="506">
        <v>137.858318</v>
      </c>
      <c r="K339" s="506">
        <v>113.754949</v>
      </c>
      <c r="L339" s="506">
        <v>91.922111000000001</v>
      </c>
      <c r="M339" s="506">
        <v>78.824399999999997</v>
      </c>
      <c r="N339" s="506">
        <v>65.042482000000007</v>
      </c>
      <c r="O339" s="506">
        <v>58.002839999999999</v>
      </c>
      <c r="P339" s="506">
        <v>53.303136000000002</v>
      </c>
      <c r="Q339" s="506">
        <v>52.053854999999999</v>
      </c>
      <c r="R339" s="506">
        <v>51.31024</v>
      </c>
      <c r="S339" s="506">
        <v>47.096375000000002</v>
      </c>
      <c r="T339" s="504"/>
      <c r="U339" s="504"/>
      <c r="V339" s="504"/>
      <c r="W339" s="504"/>
      <c r="X339" s="504"/>
    </row>
    <row r="340" spans="1:24" ht="15.75" customHeight="1">
      <c r="A340" s="228">
        <v>59</v>
      </c>
      <c r="B340" s="75">
        <v>6</v>
      </c>
      <c r="C340" s="506">
        <v>191.776196</v>
      </c>
      <c r="D340" s="506">
        <v>188.21673200000001</v>
      </c>
      <c r="E340" s="506">
        <v>182.04957300000001</v>
      </c>
      <c r="F340" s="506">
        <v>182.75351999999998</v>
      </c>
      <c r="G340" s="506">
        <v>196.91219999999998</v>
      </c>
      <c r="H340" s="506">
        <v>186.73940199999998</v>
      </c>
      <c r="I340" s="506">
        <v>168.95184</v>
      </c>
      <c r="J340" s="506">
        <v>140.72376100000002</v>
      </c>
      <c r="K340" s="506">
        <v>111.04816000000001</v>
      </c>
      <c r="L340" s="506">
        <v>88.511362999999989</v>
      </c>
      <c r="M340" s="506">
        <v>77.535385000000005</v>
      </c>
      <c r="N340" s="506">
        <v>58.240798999999996</v>
      </c>
      <c r="O340" s="506">
        <v>44.270569999999999</v>
      </c>
      <c r="P340" s="506">
        <v>40.651600000000002</v>
      </c>
      <c r="Q340" s="506">
        <v>39.987304000000002</v>
      </c>
      <c r="R340" s="506">
        <v>38.609009999999998</v>
      </c>
      <c r="S340" s="506">
        <v>35.535360000000004</v>
      </c>
      <c r="T340" s="504"/>
      <c r="U340" s="504"/>
      <c r="V340" s="504"/>
      <c r="W340" s="504"/>
      <c r="X340" s="504"/>
    </row>
    <row r="341" spans="1:24" ht="15.75" customHeight="1">
      <c r="A341" s="229">
        <v>60</v>
      </c>
      <c r="B341" s="74">
        <v>1</v>
      </c>
      <c r="C341" s="504">
        <v>524807460.24977338</v>
      </c>
      <c r="D341" s="234">
        <v>399944749.7610991</v>
      </c>
      <c r="E341" s="234">
        <v>474241985.26024759</v>
      </c>
      <c r="F341" s="234">
        <v>601173737.4832803</v>
      </c>
      <c r="G341" s="234">
        <v>736207097.49474251</v>
      </c>
      <c r="H341" s="234">
        <v>543250331.49243391</v>
      </c>
      <c r="I341" s="234">
        <v>506990708.27470517</v>
      </c>
      <c r="J341" s="234">
        <v>443608643.93143415</v>
      </c>
      <c r="K341" s="234">
        <v>665273156.20174551</v>
      </c>
      <c r="L341" s="234">
        <v>490907876.15260607</v>
      </c>
      <c r="M341" s="235">
        <v>17100153.150902938</v>
      </c>
      <c r="N341" s="2"/>
    </row>
    <row r="342" spans="1:24" ht="15.75" customHeight="1">
      <c r="A342" s="228">
        <v>60</v>
      </c>
      <c r="B342" s="75">
        <v>2</v>
      </c>
      <c r="C342" s="504">
        <v>45708818.96148771</v>
      </c>
      <c r="D342" s="2">
        <v>39902490.236214437</v>
      </c>
      <c r="E342" s="2">
        <v>44157044.735331297</v>
      </c>
      <c r="F342" s="2">
        <v>52360043.658575192</v>
      </c>
      <c r="G342" s="2">
        <v>81283051.616410092</v>
      </c>
      <c r="H342" s="2">
        <v>48865235.934283532</v>
      </c>
      <c r="I342" s="2">
        <v>45708818.96148771</v>
      </c>
      <c r="J342" s="2">
        <v>37239170.625456944</v>
      </c>
      <c r="K342" s="2">
        <v>36057864.302164361</v>
      </c>
      <c r="L342" s="2">
        <v>20230191.786782745</v>
      </c>
      <c r="M342" s="236">
        <v>2157744.4091526712</v>
      </c>
      <c r="N342" s="2"/>
    </row>
    <row r="343" spans="1:24" ht="15.75" customHeight="1">
      <c r="A343" s="228">
        <v>60</v>
      </c>
      <c r="B343" s="75">
        <v>3</v>
      </c>
      <c r="C343" s="504">
        <v>2735268.7263067118</v>
      </c>
      <c r="D343" s="2">
        <v>3243396.1734934989</v>
      </c>
      <c r="E343" s="2">
        <v>4549880.6015004953</v>
      </c>
      <c r="F343" s="2">
        <v>3715352.2909717411</v>
      </c>
      <c r="G343" s="2">
        <v>5046612.9756352911</v>
      </c>
      <c r="H343" s="2">
        <v>3033891.1841942687</v>
      </c>
      <c r="I343" s="2">
        <v>2471724.1450161417</v>
      </c>
      <c r="J343" s="2">
        <v>2648500.1386067118</v>
      </c>
      <c r="K343" s="2">
        <v>3589219.346450055</v>
      </c>
      <c r="L343" s="2">
        <v>2648500.1386067118</v>
      </c>
      <c r="M343" s="236">
        <v>125025.90302177226</v>
      </c>
      <c r="N343" s="2"/>
    </row>
    <row r="344" spans="1:24" ht="15.75" customHeight="1">
      <c r="A344" s="228">
        <v>60</v>
      </c>
      <c r="B344" s="75">
        <v>4</v>
      </c>
      <c r="C344" s="504">
        <v>133967.66874259422</v>
      </c>
      <c r="D344" s="2">
        <v>164058.9773199544</v>
      </c>
      <c r="E344" s="2">
        <v>312607.93671239557</v>
      </c>
      <c r="F344" s="2">
        <v>659173.89524432376</v>
      </c>
      <c r="G344" s="2">
        <v>369828.17978026683</v>
      </c>
      <c r="H344" s="2">
        <v>215278.17347243815</v>
      </c>
      <c r="I344" s="2">
        <v>143218.78992735496</v>
      </c>
      <c r="J344" s="2">
        <v>164058.9773199544</v>
      </c>
      <c r="K344" s="2">
        <v>215278.17347243815</v>
      </c>
      <c r="L344" s="2">
        <v>200909.28126087366</v>
      </c>
      <c r="M344" s="236">
        <v>18113.400926196027</v>
      </c>
      <c r="N344" s="2"/>
    </row>
    <row r="345" spans="1:24" ht="15.75" customHeight="1">
      <c r="A345" s="228">
        <v>60</v>
      </c>
      <c r="B345" s="75">
        <v>5</v>
      </c>
      <c r="C345" s="504">
        <v>27164.392688390799</v>
      </c>
      <c r="D345" s="2">
        <v>31117.163371060218</v>
      </c>
      <c r="E345" s="2">
        <v>63533.093185174723</v>
      </c>
      <c r="F345" s="2">
        <v>102093.94837076843</v>
      </c>
      <c r="G345" s="2">
        <v>18113.400926196027</v>
      </c>
      <c r="H345" s="2">
        <v>16368.165214278164</v>
      </c>
      <c r="I345" s="2">
        <v>13803.842646028885</v>
      </c>
      <c r="J345" s="2">
        <v>12882.495516931333</v>
      </c>
      <c r="K345" s="2">
        <v>14757.065332758968</v>
      </c>
      <c r="L345" s="2">
        <v>12882.495516931333</v>
      </c>
      <c r="M345" s="236">
        <v>1995.2623149688866</v>
      </c>
      <c r="N345" s="2"/>
    </row>
    <row r="346" spans="1:24" ht="15.75" customHeight="1">
      <c r="A346" s="228">
        <v>60</v>
      </c>
      <c r="B346" s="75">
        <v>6</v>
      </c>
      <c r="C346" s="504">
        <v>2999.1625189876609</v>
      </c>
      <c r="D346" s="2">
        <v>3104.5595881283657</v>
      </c>
      <c r="E346" s="2">
        <v>7762.4711662869558</v>
      </c>
      <c r="F346" s="2">
        <v>26302.679918953912</v>
      </c>
      <c r="G346" s="2">
        <v>419.75898399100817</v>
      </c>
      <c r="H346" s="2">
        <v>146.55478409559129</v>
      </c>
      <c r="I346" s="2">
        <v>40.457589169744402</v>
      </c>
      <c r="J346" s="2"/>
      <c r="K346" s="2"/>
      <c r="L346" s="2"/>
      <c r="M346" s="236"/>
      <c r="N346" s="2"/>
    </row>
    <row r="347" spans="1:24" ht="15.75" customHeight="1">
      <c r="A347" s="228">
        <v>60</v>
      </c>
      <c r="B347" s="75">
        <v>7</v>
      </c>
      <c r="C347" s="504">
        <v>570.16427228074883</v>
      </c>
      <c r="D347" s="2">
        <v>532.10825926679559</v>
      </c>
      <c r="E347" s="2">
        <v>1472.3125024327185</v>
      </c>
      <c r="F347" s="2">
        <v>2213.0947096056448</v>
      </c>
      <c r="G347" s="2">
        <v>71.944897800370029</v>
      </c>
      <c r="H347" s="2">
        <v>25.176769277588583</v>
      </c>
      <c r="I347" s="2">
        <v>4.9431068698683598</v>
      </c>
      <c r="J347" s="2"/>
      <c r="K347" s="2"/>
      <c r="L347" s="2"/>
      <c r="M347" s="236"/>
      <c r="N347" s="2"/>
    </row>
    <row r="348" spans="1:24" ht="15.75" customHeight="1">
      <c r="A348" s="230">
        <v>60</v>
      </c>
      <c r="B348" s="231">
        <v>8</v>
      </c>
      <c r="C348" s="504">
        <v>60.813500127871762</v>
      </c>
      <c r="D348" s="34">
        <v>69.502431758879752</v>
      </c>
      <c r="E348" s="34">
        <v>220.29264630534576</v>
      </c>
      <c r="F348" s="34">
        <v>206.06299132700036</v>
      </c>
      <c r="G348" s="34">
        <v>5.6623928903825425</v>
      </c>
      <c r="H348" s="34">
        <v>1.2302687708123821</v>
      </c>
      <c r="I348" s="34">
        <v>0.1721868574986008</v>
      </c>
      <c r="J348" s="34"/>
      <c r="K348" s="34"/>
      <c r="L348" s="34"/>
      <c r="M348" s="237"/>
      <c r="N348" s="2"/>
    </row>
    <row r="349" spans="1:24" ht="15.75" customHeight="1">
      <c r="A349" s="124">
        <v>61</v>
      </c>
      <c r="B349" s="281">
        <v>1</v>
      </c>
      <c r="C349" s="504">
        <v>44645.373</v>
      </c>
      <c r="D349" s="127">
        <v>24912.841</v>
      </c>
      <c r="E349" s="127">
        <v>7495.7259999999997</v>
      </c>
      <c r="F349" s="127">
        <v>3463.3249999999998</v>
      </c>
      <c r="G349" s="127">
        <v>1804.404</v>
      </c>
      <c r="H349" s="127">
        <v>924.10799999999995</v>
      </c>
      <c r="I349" s="127">
        <v>278.04399999999998</v>
      </c>
      <c r="J349" s="127">
        <v>14.536</v>
      </c>
      <c r="K349" s="127">
        <v>11.045999999999999</v>
      </c>
      <c r="L349" s="127">
        <v>7.0709999999999997</v>
      </c>
      <c r="M349" s="154">
        <v>4.1539999999999999</v>
      </c>
    </row>
    <row r="350" spans="1:24" ht="15.75" customHeight="1"/>
    <row r="351" spans="1:24" ht="15.75" customHeight="1"/>
    <row r="352" spans="1:24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4CEF6-8E04-454C-BE2A-1B8E120F1E93}">
  <dimension ref="A1:AU999"/>
  <sheetViews>
    <sheetView workbookViewId="0">
      <selection activeCell="D1" sqref="D1:D1048576"/>
    </sheetView>
  </sheetViews>
  <sheetFormatPr defaultColWidth="12.5546875" defaultRowHeight="15" customHeight="1"/>
  <cols>
    <col min="1" max="3" width="8.5546875" customWidth="1"/>
    <col min="4" max="4" width="8.5546875" style="504" customWidth="1"/>
    <col min="5" max="11" width="8.5546875" customWidth="1"/>
    <col min="12" max="12" width="11" customWidth="1"/>
    <col min="13" max="47" width="8.5546875" customWidth="1"/>
  </cols>
  <sheetData>
    <row r="1" spans="1:27" ht="14.4">
      <c r="A1" s="16" t="s">
        <v>219</v>
      </c>
      <c r="B1" s="15" t="s">
        <v>220</v>
      </c>
      <c r="C1" s="511" t="s">
        <v>573</v>
      </c>
    </row>
    <row r="2" spans="1:27" ht="14.4">
      <c r="A2" s="192">
        <v>1</v>
      </c>
      <c r="B2" s="193">
        <v>1</v>
      </c>
      <c r="C2" s="505"/>
    </row>
    <row r="3" spans="1:27" ht="14.4">
      <c r="A3" s="194">
        <v>1</v>
      </c>
      <c r="B3" s="195">
        <v>2</v>
      </c>
      <c r="C3" s="195"/>
      <c r="J3" s="475"/>
    </row>
    <row r="4" spans="1:27" ht="14.4">
      <c r="A4" s="196">
        <v>1</v>
      </c>
      <c r="B4" s="195">
        <v>3</v>
      </c>
      <c r="C4" s="195"/>
    </row>
    <row r="5" spans="1:27" ht="14.4">
      <c r="A5" s="196">
        <v>1</v>
      </c>
      <c r="B5" s="195">
        <v>4</v>
      </c>
      <c r="C5" s="195"/>
    </row>
    <row r="6" spans="1:27" ht="14.4">
      <c r="A6" s="196">
        <v>1</v>
      </c>
      <c r="B6" s="195">
        <v>5</v>
      </c>
      <c r="C6" s="195"/>
      <c r="E6" s="2"/>
      <c r="F6" s="2"/>
      <c r="G6" s="2"/>
      <c r="H6" s="2"/>
      <c r="I6" s="2"/>
      <c r="J6" s="2"/>
      <c r="K6" s="2"/>
      <c r="L6" s="2"/>
      <c r="M6" s="2"/>
      <c r="N6" s="2"/>
    </row>
    <row r="7" spans="1:27" ht="14.4">
      <c r="A7" s="199">
        <v>2</v>
      </c>
      <c r="B7" s="200">
        <v>1</v>
      </c>
      <c r="C7" s="468" t="s">
        <v>572</v>
      </c>
      <c r="D7" s="504">
        <v>2.6282830311377898E-4</v>
      </c>
      <c r="E7" s="234">
        <v>3.7761495033489202E-4</v>
      </c>
      <c r="F7" s="234">
        <v>5.5496078407263696E-4</v>
      </c>
      <c r="G7" s="234">
        <v>7.7947695277198498E-4</v>
      </c>
      <c r="H7" s="234">
        <v>1.0948238818676099E-3</v>
      </c>
      <c r="I7" s="234">
        <v>1.4696472784789401E-3</v>
      </c>
      <c r="J7" s="234">
        <v>1.9727950393776199E-3</v>
      </c>
      <c r="K7" s="234">
        <v>2.4742445535888401E-3</v>
      </c>
      <c r="L7" s="234">
        <v>2.77091338680335E-3</v>
      </c>
      <c r="M7" s="234">
        <v>3.4752304314022999E-3</v>
      </c>
      <c r="N7" s="235">
        <v>3.4752304314022999E-3</v>
      </c>
      <c r="O7" s="2"/>
    </row>
    <row r="8" spans="1:27" ht="14.4">
      <c r="A8" s="196">
        <v>2</v>
      </c>
      <c r="B8" s="201">
        <v>2</v>
      </c>
      <c r="C8" s="468" t="s">
        <v>572</v>
      </c>
      <c r="D8" s="504">
        <v>3.5015658260911697E-5</v>
      </c>
      <c r="E8" s="2">
        <v>4.9181670820452405E-5</v>
      </c>
      <c r="F8" s="2">
        <v>6.7531779958544203E-5</v>
      </c>
      <c r="G8" s="2">
        <v>9.0651928835906406E-5</v>
      </c>
      <c r="H8" s="2">
        <v>1.36278150061747E-4</v>
      </c>
      <c r="I8" s="2">
        <v>2.0956148891540098E-4</v>
      </c>
      <c r="J8" s="2">
        <v>3.0108458750973299E-4</v>
      </c>
      <c r="K8" s="2">
        <v>4.3257914087689001E-4</v>
      </c>
      <c r="L8" s="2">
        <v>6.8043537700758895E-4</v>
      </c>
      <c r="M8" s="2">
        <v>1E-3</v>
      </c>
      <c r="N8" s="236">
        <v>1.4696472784789401E-3</v>
      </c>
      <c r="O8" s="2"/>
    </row>
    <row r="9" spans="1:27" ht="14.4">
      <c r="A9" s="196">
        <v>2</v>
      </c>
      <c r="B9" s="201">
        <v>3</v>
      </c>
      <c r="C9" s="468" t="s">
        <v>572</v>
      </c>
      <c r="D9" s="504">
        <v>1.1455561822784101E-3</v>
      </c>
      <c r="E9" s="2">
        <v>1.4696472784789401E-3</v>
      </c>
      <c r="F9" s="2">
        <v>2.2093386751530701E-3</v>
      </c>
      <c r="G9" s="2">
        <v>2.9657268396796098E-3</v>
      </c>
      <c r="H9" s="2">
        <v>4.3585723786471195E-3</v>
      </c>
      <c r="I9" s="2">
        <v>6.2621189300962193E-3</v>
      </c>
      <c r="J9" s="2">
        <v>8.5985699673633495E-3</v>
      </c>
      <c r="K9" s="2">
        <v>1.2353877161286501E-2</v>
      </c>
      <c r="L9" s="2">
        <v>1.6583344818690501E-2</v>
      </c>
      <c r="M9" s="2">
        <v>2.5501009735072501E-2</v>
      </c>
      <c r="N9" s="236">
        <v>4.0112403797335501E-2</v>
      </c>
      <c r="O9" s="2"/>
    </row>
    <row r="10" spans="1:27" ht="14.4">
      <c r="A10" s="196">
        <v>2</v>
      </c>
      <c r="B10" s="201">
        <v>4</v>
      </c>
      <c r="C10" s="468" t="s">
        <v>572</v>
      </c>
      <c r="D10" s="504">
        <v>3.7195620092518701E-3</v>
      </c>
      <c r="E10" s="2">
        <v>5.46644418403069E-3</v>
      </c>
      <c r="F10" s="2">
        <v>7.5060220532017505E-3</v>
      </c>
      <c r="G10" s="2">
        <v>1.1031204882690899E-2</v>
      </c>
      <c r="H10" s="2">
        <v>1.69632161773558E-2</v>
      </c>
      <c r="I10" s="2">
        <v>2.5501009735072501E-2</v>
      </c>
      <c r="J10" s="2">
        <v>3.8335978903361101E-2</v>
      </c>
      <c r="K10" s="2">
        <v>5.89510850740027E-2</v>
      </c>
      <c r="L10" s="2">
        <v>8.8621885062810601E-2</v>
      </c>
      <c r="M10" s="2">
        <v>0.12447495192494</v>
      </c>
      <c r="N10" s="236">
        <v>0.20028081235439302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7" ht="14.4">
      <c r="A11" s="199">
        <v>3</v>
      </c>
      <c r="B11" s="200">
        <v>1</v>
      </c>
      <c r="C11" s="468" t="s">
        <v>572</v>
      </c>
      <c r="D11" s="504">
        <v>1.81071975453401E-5</v>
      </c>
      <c r="E11" s="234">
        <v>2.2579743714184999E-5</v>
      </c>
      <c r="F11" s="234">
        <v>2.8157025675653699E-5</v>
      </c>
      <c r="G11" s="234">
        <v>3.6197425750983601E-5</v>
      </c>
      <c r="H11" s="234">
        <v>5.2560702000401004E-5</v>
      </c>
      <c r="I11" s="234">
        <v>6.4063633990005107E-5</v>
      </c>
      <c r="J11" s="234">
        <v>7.5742361764966407E-5</v>
      </c>
      <c r="K11" s="234">
        <v>8.8197148756035697E-5</v>
      </c>
      <c r="L11" s="234">
        <v>1.01921184626301E-4</v>
      </c>
      <c r="M11" s="234">
        <v>1.13382350121784E-4</v>
      </c>
      <c r="N11" s="234">
        <v>1.28067230110281E-4</v>
      </c>
      <c r="O11" s="234">
        <v>1.3819612567338201E-4</v>
      </c>
      <c r="P11" s="234">
        <v>1.5373645394747601E-4</v>
      </c>
      <c r="Q11" s="234">
        <v>1.6716313057451299E-4</v>
      </c>
      <c r="R11" s="234">
        <v>1.7631164267971599E-4</v>
      </c>
      <c r="S11" s="234">
        <v>1.80384138713225E-4</v>
      </c>
      <c r="T11" s="234">
        <v>1.87381742286038E-4</v>
      </c>
      <c r="U11" s="234">
        <v>1.9465080240770001E-4</v>
      </c>
      <c r="V11" s="234">
        <v>1.9914690152331301E-4</v>
      </c>
      <c r="W11" s="234">
        <v>2.0374685280397E-4</v>
      </c>
      <c r="X11" s="234">
        <v>1.9914690152331301E-4</v>
      </c>
      <c r="Y11" s="234">
        <v>2.0374685280397E-4</v>
      </c>
      <c r="Z11" s="235">
        <v>2.0845305505626003E-4</v>
      </c>
      <c r="AA11" s="2"/>
    </row>
    <row r="12" spans="1:27" ht="14.4">
      <c r="A12" s="196">
        <v>3</v>
      </c>
      <c r="B12" s="201">
        <v>2</v>
      </c>
      <c r="C12" s="468" t="s">
        <v>572</v>
      </c>
      <c r="D12" s="504">
        <v>6.5543393870584293E-5</v>
      </c>
      <c r="E12" s="2">
        <v>6.2142458327544702E-5</v>
      </c>
      <c r="F12" s="2">
        <v>6.5543393870584293E-5</v>
      </c>
      <c r="G12" s="2">
        <v>7.0727250746341499E-5</v>
      </c>
      <c r="H12" s="2">
        <v>8.2357371883085305E-5</v>
      </c>
      <c r="I12" s="2">
        <v>9.3734793388480599E-5</v>
      </c>
      <c r="J12" s="2">
        <v>1.0668397121819299E-4</v>
      </c>
      <c r="K12" s="2">
        <v>1.2422667923417901E-4</v>
      </c>
      <c r="L12" s="2">
        <v>1.3819612567338201E-4</v>
      </c>
      <c r="M12" s="2">
        <v>1.56094797893609E-4</v>
      </c>
      <c r="N12" s="2">
        <v>1.69727442075686E-4</v>
      </c>
      <c r="O12" s="2">
        <v>1.8315126277905098E-4</v>
      </c>
      <c r="P12" s="2">
        <v>2.0687236496790999E-4</v>
      </c>
      <c r="Q12" s="2">
        <v>2.1819408602348302E-4</v>
      </c>
      <c r="R12" s="2">
        <v>2.3189386346913901E-4</v>
      </c>
      <c r="S12" s="2">
        <v>2.44584962336327E-4</v>
      </c>
      <c r="T12" s="2">
        <v>2.59941746801151E-4</v>
      </c>
      <c r="U12" s="2">
        <v>2.7002561176352901E-4</v>
      </c>
      <c r="V12" s="2">
        <v>2.7626273947749599E-4</v>
      </c>
      <c r="W12" s="2">
        <v>2.89172523407571E-4</v>
      </c>
      <c r="X12" s="2">
        <v>2.93608480218433E-4</v>
      </c>
      <c r="Y12" s="2">
        <v>3.1442760027141102E-4</v>
      </c>
      <c r="Z12" s="236">
        <v>3.2169033763502998E-4</v>
      </c>
      <c r="AA12" s="2"/>
    </row>
    <row r="13" spans="1:27" ht="14.4">
      <c r="A13" s="196">
        <v>3</v>
      </c>
      <c r="B13" s="201">
        <v>3</v>
      </c>
      <c r="C13" s="468" t="s">
        <v>572</v>
      </c>
      <c r="D13" s="504">
        <v>1.51413740824685E-4</v>
      </c>
      <c r="E13" s="2">
        <v>1.51413740824685E-4</v>
      </c>
      <c r="F13" s="2">
        <v>1.5257067737055199E-4</v>
      </c>
      <c r="G13" s="2">
        <v>1.5257067737055199E-4</v>
      </c>
      <c r="H13" s="2">
        <v>1.6844040655904401E-4</v>
      </c>
      <c r="I13" s="2">
        <v>1.8455070240835201E-4</v>
      </c>
      <c r="J13" s="2">
        <v>1.91709938601457E-4</v>
      </c>
      <c r="K13" s="2">
        <v>2.0687236496790999E-4</v>
      </c>
      <c r="L13" s="2">
        <v>2.2154122125811799E-4</v>
      </c>
      <c r="M13" s="2">
        <v>2.3725021330979498E-4</v>
      </c>
      <c r="N13" s="2">
        <v>2.5214647003477702E-4</v>
      </c>
      <c r="O13" s="2">
        <v>2.7208884920068604E-4</v>
      </c>
      <c r="P13" s="2">
        <v>2.86979741241581E-4</v>
      </c>
      <c r="Q13" s="2">
        <v>3.0732883225297297E-4</v>
      </c>
      <c r="R13" s="2">
        <v>3.2169033763502998E-4</v>
      </c>
      <c r="S13" s="2">
        <v>3.3416960256393299E-4</v>
      </c>
      <c r="T13" s="2">
        <v>3.4188834626274199E-4</v>
      </c>
      <c r="U13" s="2">
        <v>3.5515114824953201E-4</v>
      </c>
      <c r="V13" s="2">
        <v>3.6335452960631397E-4</v>
      </c>
      <c r="W13" s="2">
        <v>3.7174739497860903E-4</v>
      </c>
      <c r="X13" s="2">
        <v>3.7174739497860903E-4</v>
      </c>
      <c r="Y13" s="2">
        <v>3.8033412112163499E-4</v>
      </c>
      <c r="Z13" s="236">
        <v>3.8911918588613E-4</v>
      </c>
      <c r="AA13" s="2"/>
    </row>
    <row r="14" spans="1:27" ht="14.4">
      <c r="A14" s="196">
        <v>3</v>
      </c>
      <c r="B14" s="201">
        <v>4</v>
      </c>
      <c r="C14" s="468" t="s">
        <v>572</v>
      </c>
      <c r="D14" s="504">
        <v>4.2796175387416397E-5</v>
      </c>
      <c r="E14" s="2">
        <v>6.0278895942636E-5</v>
      </c>
      <c r="F14" s="2">
        <v>9.0234351365101298E-5</v>
      </c>
      <c r="G14" s="2">
        <v>1.0832052189444199E-4</v>
      </c>
      <c r="H14" s="2">
        <v>1.3003180369756899E-4</v>
      </c>
      <c r="I14" s="2">
        <v>1.57287501906596E-4</v>
      </c>
      <c r="J14" s="2">
        <v>1.6844040655904401E-4</v>
      </c>
      <c r="K14" s="2">
        <v>1.88813506566468E-4</v>
      </c>
      <c r="L14" s="2">
        <v>2.05303661181008E-4</v>
      </c>
      <c r="M14" s="2">
        <v>2.2323399454206002E-4</v>
      </c>
      <c r="N14" s="2">
        <v>2.3545115567287801E-4</v>
      </c>
      <c r="O14" s="2">
        <v>2.5214647003477702E-4</v>
      </c>
      <c r="P14" s="2">
        <v>2.7002561176352901E-4</v>
      </c>
      <c r="Q14" s="2">
        <v>2.7837363415470401E-4</v>
      </c>
      <c r="R14" s="2">
        <v>2.8480358684358E-4</v>
      </c>
      <c r="S14" s="2">
        <v>2.95851911885145E-4</v>
      </c>
      <c r="T14" s="2">
        <v>3.0268558276102099E-4</v>
      </c>
      <c r="U14" s="2">
        <v>3.0268558276102099E-4</v>
      </c>
      <c r="V14" s="2">
        <v>3.0732883225297297E-4</v>
      </c>
      <c r="W14" s="2">
        <v>3.1683010865540698E-4</v>
      </c>
      <c r="X14" s="2">
        <v>3.1683010865540698E-4</v>
      </c>
      <c r="Y14" s="34">
        <v>3.1442760027141102E-4</v>
      </c>
      <c r="Z14" s="237">
        <v>3.3163560958187797E-4</v>
      </c>
      <c r="AA14" s="2"/>
    </row>
    <row r="15" spans="1:27" ht="14.4">
      <c r="A15" s="199">
        <v>4</v>
      </c>
      <c r="B15" s="200">
        <v>1</v>
      </c>
      <c r="C15" s="468" t="s">
        <v>572</v>
      </c>
      <c r="D15" s="504">
        <v>6.0388241190619601E-6</v>
      </c>
      <c r="E15" s="234">
        <v>9.7830931901782907E-6</v>
      </c>
      <c r="F15" s="234">
        <v>1.7301957388458898E-5</v>
      </c>
      <c r="G15" s="234">
        <v>2.9935772947204899E-5</v>
      </c>
      <c r="H15" s="234">
        <v>4.7445002755086595E-5</v>
      </c>
      <c r="I15" s="234">
        <v>7.0407520066064397E-5</v>
      </c>
      <c r="J15" s="234">
        <v>9.7830931901782904E-5</v>
      </c>
      <c r="K15" s="234">
        <v>1.5505157798326202E-4</v>
      </c>
      <c r="L15" s="234">
        <v>2.30093718077846E-4</v>
      </c>
      <c r="M15" s="234">
        <v>3.1971418455273E-4</v>
      </c>
      <c r="N15" s="234">
        <v>4.7445002755086601E-4</v>
      </c>
      <c r="O15" s="234">
        <v>7.3564225445964205E-4</v>
      </c>
      <c r="P15" s="234">
        <v>1.1158839925077501E-3</v>
      </c>
      <c r="Q15" s="234">
        <v>1.51688403669445E-3</v>
      </c>
      <c r="R15" s="234">
        <v>2.1544346900318799E-3</v>
      </c>
      <c r="S15" s="234">
        <v>2.8651202696637801E-3</v>
      </c>
      <c r="T15" s="234">
        <v>4.0693384271671502E-3</v>
      </c>
      <c r="U15" s="234">
        <v>4.9572188818532703E-3</v>
      </c>
      <c r="V15" s="234">
        <v>6.5924617558714002E-3</v>
      </c>
      <c r="W15" s="234">
        <v>7.6862461003977395E-3</v>
      </c>
      <c r="X15" s="235">
        <v>8.7671238729686799E-3</v>
      </c>
      <c r="Y15" s="2"/>
      <c r="Z15" s="2"/>
    </row>
    <row r="16" spans="1:27" ht="14.4">
      <c r="A16" s="196">
        <v>4</v>
      </c>
      <c r="B16" s="201">
        <v>2</v>
      </c>
      <c r="C16" s="468" t="s">
        <v>572</v>
      </c>
      <c r="D16" s="504">
        <v>2.3519526350709501E-5</v>
      </c>
      <c r="E16" s="2">
        <v>3.4145488738336002E-5</v>
      </c>
      <c r="F16" s="2">
        <v>5.0671283463087695E-5</v>
      </c>
      <c r="G16" s="2">
        <v>7.6862461003977407E-5</v>
      </c>
      <c r="H16" s="2">
        <v>1.0916797088131499E-4</v>
      </c>
      <c r="I16" s="2">
        <v>1.6200328072641301E-4</v>
      </c>
      <c r="J16" s="2">
        <v>2.25102828643017E-4</v>
      </c>
      <c r="K16" s="2">
        <v>3.34048498351324E-4</v>
      </c>
      <c r="L16" s="2">
        <v>4.7445002755086601E-4</v>
      </c>
      <c r="M16" s="2">
        <v>6.3095734448019298E-4</v>
      </c>
      <c r="N16" s="2">
        <v>9.1601959066105198E-4</v>
      </c>
      <c r="O16" s="2">
        <v>1.35935639087852E-3</v>
      </c>
      <c r="P16" s="2">
        <v>1.8077686769634299E-3</v>
      </c>
      <c r="Q16" s="2">
        <v>2.5118864315095799E-3</v>
      </c>
      <c r="R16" s="2">
        <v>3.6467396740964401E-3</v>
      </c>
      <c r="S16" s="2">
        <v>4.9572188818532703E-3</v>
      </c>
      <c r="T16" s="2">
        <v>6.3095734448019398E-3</v>
      </c>
      <c r="U16" s="2">
        <v>8.0308572213915203E-3</v>
      </c>
      <c r="V16" s="2">
        <v>1.0221715980421701E-2</v>
      </c>
      <c r="W16" s="2">
        <v>1.30102521691083E-2</v>
      </c>
      <c r="X16" s="236">
        <v>1.5505157798326199E-2</v>
      </c>
      <c r="Y16" s="2"/>
    </row>
    <row r="17" spans="1:47" ht="14.4">
      <c r="A17" s="196">
        <v>4</v>
      </c>
      <c r="B17" s="201">
        <v>3</v>
      </c>
      <c r="C17" s="468" t="s">
        <v>572</v>
      </c>
      <c r="D17" s="504">
        <v>6.0388241190619606E-5</v>
      </c>
      <c r="E17" s="2">
        <v>7.5195261882835595E-5</v>
      </c>
      <c r="F17" s="2">
        <v>1.0448347758440801E-4</v>
      </c>
      <c r="G17" s="2">
        <v>1.3298710250628999E-4</v>
      </c>
      <c r="H17" s="2">
        <v>1.8888195803730401E-4</v>
      </c>
      <c r="I17" s="2">
        <v>2.7421754481220804E-4</v>
      </c>
      <c r="J17" s="2">
        <v>3.72759372031494E-4</v>
      </c>
      <c r="K17" s="2">
        <v>5.1794746792312109E-4</v>
      </c>
      <c r="L17" s="2">
        <v>7.0407520066064497E-4</v>
      </c>
      <c r="M17" s="2">
        <v>9.5708912367712903E-4</v>
      </c>
      <c r="N17" s="2">
        <v>1.3298710250628999E-3</v>
      </c>
      <c r="O17" s="2">
        <v>1.84784979742229E-3</v>
      </c>
      <c r="P17" s="2">
        <v>2.5118864315095799E-3</v>
      </c>
      <c r="Q17" s="2">
        <v>3.2680275894101302E-3</v>
      </c>
      <c r="R17" s="2">
        <v>4.6415888336127798E-3</v>
      </c>
      <c r="S17" s="2">
        <v>6.0388241190619599E-3</v>
      </c>
      <c r="T17" s="2">
        <v>7.8566624593889509E-3</v>
      </c>
      <c r="U17" s="2">
        <v>1.0221715980421701E-2</v>
      </c>
      <c r="V17" s="2">
        <v>1.30102521691083E-2</v>
      </c>
      <c r="W17" s="2">
        <v>1.58489319246111E-2</v>
      </c>
      <c r="X17" s="236">
        <v>1.80776867696343E-2</v>
      </c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</row>
    <row r="18" spans="1:47" ht="14.4">
      <c r="A18" s="199">
        <v>5</v>
      </c>
      <c r="B18" s="200">
        <v>1</v>
      </c>
      <c r="C18" s="468" t="s">
        <v>572</v>
      </c>
      <c r="D18" s="504">
        <v>3.4087379834759098E-5</v>
      </c>
      <c r="E18" s="234">
        <v>3.2492952949915694E-5</v>
      </c>
      <c r="F18" s="234">
        <v>3.5760045133175798E-5</v>
      </c>
      <c r="G18" s="234">
        <v>3.8732196104047702E-5</v>
      </c>
      <c r="H18" s="234">
        <v>4.3312755253265203E-5</v>
      </c>
      <c r="I18" s="234">
        <v>5.0006807121025405E-5</v>
      </c>
      <c r="J18" s="234">
        <v>5.7735434834774601E-5</v>
      </c>
      <c r="K18" s="234">
        <v>6.6658533657090507E-5</v>
      </c>
      <c r="L18" s="234">
        <v>7.4541726115276498E-5</v>
      </c>
      <c r="M18" s="234">
        <v>8.74475351740921E-5</v>
      </c>
      <c r="N18" s="234">
        <v>1.04239066433859E-4</v>
      </c>
      <c r="O18" s="234">
        <v>1.1844289535865499E-4</v>
      </c>
      <c r="P18" s="234">
        <v>1.38949549437313E-4</v>
      </c>
      <c r="Q18" s="234">
        <v>1.6042441256935002E-4</v>
      </c>
      <c r="R18" s="234">
        <v>1.8228417196139798E-4</v>
      </c>
      <c r="S18" s="234">
        <v>2.1384400885248399E-4</v>
      </c>
      <c r="T18" s="234">
        <v>2.4689392402176599E-4</v>
      </c>
      <c r="U18" s="234">
        <v>2.8963999400516004E-4</v>
      </c>
      <c r="V18" s="234">
        <v>3.3978692047485797E-4</v>
      </c>
      <c r="W18" s="234">
        <v>3.98616053429867E-4</v>
      </c>
      <c r="X18" s="234">
        <v>4.6022276769633498E-4</v>
      </c>
      <c r="Y18" s="234">
        <v>5.3135089287953202E-4</v>
      </c>
      <c r="Z18" s="234">
        <v>6.3338001365382895E-4</v>
      </c>
      <c r="AA18" s="234">
        <v>7.5500059766922902E-4</v>
      </c>
      <c r="AB18" s="234">
        <v>8.44288715648088E-4</v>
      </c>
      <c r="AC18" s="234">
        <v>9.9046495173116711E-4</v>
      </c>
      <c r="AD18" s="234">
        <v>1.1435428088501002E-3</v>
      </c>
      <c r="AE18" s="234">
        <v>1.3415305119893902E-3</v>
      </c>
      <c r="AF18" s="234">
        <v>1.4300124081209002E-3</v>
      </c>
      <c r="AG18" s="234">
        <v>1.84627678950798E-3</v>
      </c>
      <c r="AH18" s="234">
        <v>2.2722147559973201E-3</v>
      </c>
      <c r="AI18" s="234">
        <v>2.58183139761469E-3</v>
      </c>
      <c r="AJ18" s="234">
        <v>2.9336370376589998E-3</v>
      </c>
      <c r="AK18" s="234">
        <v>3.38703508117855E-3</v>
      </c>
      <c r="AL18" s="234">
        <v>3.9105064784321995E-3</v>
      </c>
      <c r="AM18" s="234">
        <v>4.5148811722786307E-3</v>
      </c>
      <c r="AN18" s="234">
        <v>5.0488214685054603E-3</v>
      </c>
      <c r="AO18" s="234">
        <v>5.5564689322449004E-3</v>
      </c>
      <c r="AP18" s="234">
        <v>6.1151591886536199E-3</v>
      </c>
      <c r="AQ18" s="234">
        <v>6.5184902164031897E-3</v>
      </c>
      <c r="AR18" s="234">
        <v>6.5184902164031897E-3</v>
      </c>
      <c r="AS18" s="234">
        <v>5.1300881381575398E-3</v>
      </c>
      <c r="AT18" s="235">
        <v>1.7265159562230299E-2</v>
      </c>
      <c r="AU18" s="2"/>
    </row>
    <row r="19" spans="1:47" ht="14.4">
      <c r="A19" s="196">
        <v>5</v>
      </c>
      <c r="B19" s="201">
        <v>2</v>
      </c>
      <c r="C19" s="468" t="s">
        <v>572</v>
      </c>
      <c r="D19" s="504">
        <v>3.5646024043929202E-4</v>
      </c>
      <c r="E19" s="2">
        <v>3.98616053429867E-4</v>
      </c>
      <c r="F19" s="2">
        <v>4.3174652308656099E-4</v>
      </c>
      <c r="G19" s="2">
        <v>4.5293229419539105E-4</v>
      </c>
      <c r="H19" s="2">
        <v>4.7515764958220598E-4</v>
      </c>
      <c r="I19" s="2">
        <v>4.8280586609810702E-4</v>
      </c>
      <c r="J19" s="2">
        <v>4.6022276769633498E-4</v>
      </c>
      <c r="K19" s="2">
        <v>4.8280586609810702E-4</v>
      </c>
      <c r="L19" s="2">
        <v>4.8280586609810702E-4</v>
      </c>
      <c r="M19" s="2">
        <v>5.3135089287953202E-4</v>
      </c>
      <c r="N19" s="2">
        <v>5.3135089287953202E-4</v>
      </c>
      <c r="O19" s="2">
        <v>5.5742424331334803E-4</v>
      </c>
      <c r="P19" s="2">
        <v>5.4859398336119098E-4</v>
      </c>
      <c r="Q19" s="2">
        <v>6.4357500364405301E-4</v>
      </c>
      <c r="R19" s="2">
        <v>6.2334652437496401E-4</v>
      </c>
      <c r="S19" s="2">
        <v>6.2334652437496401E-4</v>
      </c>
      <c r="T19" s="2">
        <v>6.5393409388793205E-4</v>
      </c>
      <c r="U19" s="2">
        <v>6.5393409388793205E-4</v>
      </c>
      <c r="V19" s="2">
        <v>7.1968567300115206E-4</v>
      </c>
      <c r="W19" s="2">
        <v>7.7950143843900108E-4</v>
      </c>
      <c r="X19" s="2">
        <v>8.5787852716619401E-4</v>
      </c>
      <c r="Y19" s="2">
        <v>8.17751518452873E-4</v>
      </c>
      <c r="Z19" s="2">
        <v>8.44288715648088E-4</v>
      </c>
      <c r="AA19" s="2">
        <v>9.4413625309869103E-4</v>
      </c>
      <c r="AB19" s="2">
        <v>1.0226069449233799E-3</v>
      </c>
      <c r="AC19" s="2">
        <v>1.1075996291567301E-3</v>
      </c>
      <c r="AD19" s="2">
        <v>1.21896624136269E-3</v>
      </c>
      <c r="AE19" s="2">
        <v>1.3202790804330499E-3</v>
      </c>
      <c r="AF19" s="2">
        <v>1.4300124081209002E-3</v>
      </c>
      <c r="AG19" s="2">
        <v>1.59912898498415E-3</v>
      </c>
      <c r="AH19" s="2">
        <v>1.7882456796138799E-3</v>
      </c>
      <c r="AI19" s="2">
        <v>1.9680496971379502E-3</v>
      </c>
      <c r="AJ19" s="2">
        <v>2.1316216612193299E-3</v>
      </c>
      <c r="AK19" s="2">
        <v>2.3459513491911298E-3</v>
      </c>
      <c r="AL19" s="2">
        <v>2.5409321316300203E-3</v>
      </c>
      <c r="AM19" s="2">
        <v>2.79641705225999E-3</v>
      </c>
      <c r="AN19" s="2">
        <v>2.8871647538310998E-3</v>
      </c>
      <c r="AO19" s="2">
        <v>3.1271278046105097E-3</v>
      </c>
      <c r="AP19" s="2">
        <v>3.1774625735942101E-3</v>
      </c>
      <c r="AQ19" s="2">
        <v>3.1774625735942101E-3</v>
      </c>
      <c r="AR19" s="2">
        <v>2.9808573470927399E-3</v>
      </c>
      <c r="AS19" s="2">
        <v>3.61043013896385E-3</v>
      </c>
      <c r="AT19" s="236">
        <v>4.7364260695383596E-3</v>
      </c>
      <c r="AU19" s="2"/>
    </row>
    <row r="20" spans="1:47" ht="14.4">
      <c r="A20" s="196">
        <v>5</v>
      </c>
      <c r="B20" s="201">
        <v>3</v>
      </c>
      <c r="C20" s="468" t="s">
        <v>572</v>
      </c>
      <c r="D20" s="504">
        <v>1.8819955200992199E-4</v>
      </c>
      <c r="E20" s="2">
        <v>2.2078355039276701E-4</v>
      </c>
      <c r="F20" s="2">
        <v>2.5900899127255002E-4</v>
      </c>
      <c r="G20" s="2">
        <v>2.99039222821119E-4</v>
      </c>
      <c r="H20" s="2">
        <v>3.5081348821520904E-4</v>
      </c>
      <c r="I20" s="2">
        <v>3.8608698296026299E-4</v>
      </c>
      <c r="J20" s="2">
        <v>4.8280586609810702E-4</v>
      </c>
      <c r="K20" s="2">
        <v>5.3990360518087698E-4</v>
      </c>
      <c r="L20" s="2">
        <v>6.0375385502891904E-4</v>
      </c>
      <c r="M20" s="2">
        <v>6.6445992577042793E-4</v>
      </c>
      <c r="N20" s="2">
        <v>7.3126985323132305E-4</v>
      </c>
      <c r="O20" s="2">
        <v>8.3091418283349192E-4</v>
      </c>
      <c r="P20" s="2">
        <v>9.2918001708074908E-4</v>
      </c>
      <c r="Q20" s="2">
        <v>1.0557919914054301E-3</v>
      </c>
      <c r="R20" s="2">
        <v>1.1806523957292999E-3</v>
      </c>
      <c r="S20" s="2">
        <v>1.4073593185755602E-3</v>
      </c>
      <c r="T20" s="2">
        <v>1.5488660826989602E-3</v>
      </c>
      <c r="U20" s="2">
        <v>1.7599177509334699E-3</v>
      </c>
      <c r="V20" s="2">
        <v>1.99972775222345E-3</v>
      </c>
      <c r="W20" s="2">
        <v>2.23622018417296E-3</v>
      </c>
      <c r="X20" s="2">
        <v>2.5006807584394401E-3</v>
      </c>
      <c r="Y20" s="2">
        <v>2.7521184954564302E-3</v>
      </c>
      <c r="Z20" s="2">
        <v>3.2286075393869003E-3</v>
      </c>
      <c r="AA20" s="2">
        <v>3.5532366511516699E-3</v>
      </c>
      <c r="AB20" s="2">
        <v>3.9734506407753303E-3</v>
      </c>
      <c r="AC20" s="2">
        <v>4.4433601093134701E-3</v>
      </c>
      <c r="AD20" s="2">
        <v>4.8901298166689E-3</v>
      </c>
      <c r="AE20" s="2">
        <v>5.2965667780366602E-3</v>
      </c>
      <c r="AF20" s="2">
        <v>6.5184902164031897E-3</v>
      </c>
      <c r="AG20" s="2">
        <v>7.0602662950728402E-3</v>
      </c>
      <c r="AH20" s="2">
        <v>7.7701599406248901E-3</v>
      </c>
      <c r="AI20" s="2">
        <v>8.9710499177042009E-3</v>
      </c>
      <c r="AJ20" s="2">
        <v>1.0193463573794598E-2</v>
      </c>
      <c r="AK20" s="2">
        <v>1.10406804199863E-2</v>
      </c>
      <c r="AL20" s="2">
        <v>1.1768878794463601E-2</v>
      </c>
      <c r="AM20" s="2">
        <v>1.2952212669177699E-2</v>
      </c>
      <c r="AN20" s="2">
        <v>1.35877768214965E-2</v>
      </c>
      <c r="AO20" s="2">
        <v>1.51946987546096E-2</v>
      </c>
      <c r="AP20" s="2">
        <v>1.61968792827E-2</v>
      </c>
      <c r="AQ20" s="2">
        <v>1.7265159562230299E-2</v>
      </c>
      <c r="AR20" s="2">
        <v>1.7543062440632102E-2</v>
      </c>
      <c r="AS20" s="2">
        <v>1.69916589944334E-2</v>
      </c>
      <c r="AT20" s="236">
        <v>1.27470342862918E-2</v>
      </c>
      <c r="AU20" s="2"/>
    </row>
    <row r="21" spans="1:47" ht="15.75" customHeight="1">
      <c r="A21" s="196">
        <v>5</v>
      </c>
      <c r="B21" s="201">
        <v>4</v>
      </c>
      <c r="C21" s="468" t="s">
        <v>572</v>
      </c>
      <c r="D21" s="504">
        <v>3.8986037025490701E-5</v>
      </c>
      <c r="E21" s="2">
        <v>4.4435213657817998E-5</v>
      </c>
      <c r="F21" s="2">
        <v>4.9824526692653401E-5</v>
      </c>
      <c r="G21" s="2">
        <v>5.4961277427812098E-5</v>
      </c>
      <c r="H21" s="2">
        <v>6.1627241299031196E-5</v>
      </c>
      <c r="I21" s="2">
        <v>7.0241036104127806E-5</v>
      </c>
      <c r="J21" s="2">
        <v>7.6225849440713701E-5</v>
      </c>
      <c r="K21" s="2">
        <v>8.4084492846761506E-5</v>
      </c>
      <c r="L21" s="2">
        <v>9.4282658131083393E-5</v>
      </c>
      <c r="M21" s="2">
        <v>1.02315912494746E-4</v>
      </c>
      <c r="N21" s="2">
        <v>1.1472527064761201E-4</v>
      </c>
      <c r="O21" s="2">
        <v>1.2450031623204E-4</v>
      </c>
      <c r="P21" s="2">
        <v>1.3960030387421499E-4</v>
      </c>
      <c r="Q21" s="2">
        <v>1.51494800407257E-4</v>
      </c>
      <c r="R21" s="2">
        <v>1.6711343402047799E-4</v>
      </c>
      <c r="S21" s="2">
        <v>1.93611798033083E-4</v>
      </c>
      <c r="T21" s="2">
        <v>2.1010828691276002E-4</v>
      </c>
      <c r="U21" s="2">
        <v>2.3559121444194199E-4</v>
      </c>
      <c r="V21" s="2">
        <v>2.6852039212879499E-4</v>
      </c>
      <c r="W21" s="2">
        <v>3.0108781625693901E-4</v>
      </c>
      <c r="X21" s="2">
        <v>3.3212901552503397E-4</v>
      </c>
      <c r="Y21" s="2">
        <v>3.8479309728552201E-4</v>
      </c>
      <c r="Z21" s="2">
        <v>4.3857659809731699E-4</v>
      </c>
      <c r="AA21" s="2">
        <v>4.7594505418780103E-4</v>
      </c>
      <c r="AB21" s="2">
        <v>5.3366992312062992E-4</v>
      </c>
      <c r="AC21" s="2">
        <v>5.8868960021324194E-4</v>
      </c>
      <c r="AD21" s="2">
        <v>6.2848577808521998E-4</v>
      </c>
      <c r="AE21" s="2">
        <v>7.4014733853775602E-4</v>
      </c>
      <c r="AF21" s="2">
        <v>8.4359959707334801E-4</v>
      </c>
      <c r="AG21" s="2">
        <v>9.1547761025952005E-4</v>
      </c>
      <c r="AH21" s="2">
        <v>1.0606404399520299E-3</v>
      </c>
      <c r="AI21" s="2">
        <v>1.16998910658906E-3</v>
      </c>
      <c r="AJ21" s="2">
        <v>1.2696767934049899E-3</v>
      </c>
      <c r="AK21" s="2">
        <v>1.51991108295293E-3</v>
      </c>
      <c r="AL21" s="2">
        <v>1.6226590366875901E-3</v>
      </c>
      <c r="AM21" s="2">
        <v>1.7323528848992801E-3</v>
      </c>
      <c r="AN21" s="2">
        <v>1.9744882128159297E-3</v>
      </c>
      <c r="AO21" s="2">
        <v>2.0070436517512303E-3</v>
      </c>
      <c r="AP21" s="2">
        <v>2.10796616808282E-3</v>
      </c>
      <c r="AQ21" s="2">
        <v>1.78995003878849E-3</v>
      </c>
      <c r="AR21" s="2">
        <v>1.2490818824377099E-3</v>
      </c>
      <c r="AS21" s="2">
        <v>6.6008866133473803E-4</v>
      </c>
      <c r="AT21" s="236">
        <v>6.6225115937785708E-3</v>
      </c>
      <c r="AU21" s="2"/>
    </row>
    <row r="22" spans="1:47" ht="15.75" customHeight="1">
      <c r="A22" s="196">
        <v>5</v>
      </c>
      <c r="B22" s="201">
        <v>5</v>
      </c>
      <c r="C22" s="468" t="s">
        <v>572</v>
      </c>
      <c r="D22" s="504">
        <v>6.04296390238132E-6</v>
      </c>
      <c r="E22" s="2">
        <v>6.8876041941176492E-6</v>
      </c>
      <c r="F22" s="2">
        <v>7.8503019877601694E-6</v>
      </c>
      <c r="G22" s="2">
        <v>8.245047876757839E-6</v>
      </c>
      <c r="H22" s="2">
        <v>9.7099257531189892E-6</v>
      </c>
      <c r="I22" s="2">
        <v>1.1249581428616499E-5</v>
      </c>
      <c r="J22" s="2">
        <v>1.28219637716641E-5</v>
      </c>
      <c r="K22" s="2">
        <v>1.34667055275396E-5</v>
      </c>
      <c r="L22" s="2">
        <v>1.5348980892617601E-5</v>
      </c>
      <c r="M22" s="2">
        <v>1.8075997505543198E-5</v>
      </c>
      <c r="N22" s="2">
        <v>1.9939575539070598E-5</v>
      </c>
      <c r="O22" s="2">
        <v>2.23579416391938E-5</v>
      </c>
      <c r="P22" s="2">
        <v>2.59031316450154E-5</v>
      </c>
      <c r="Q22" s="2">
        <v>2.8110180634136399E-5</v>
      </c>
      <c r="R22" s="2">
        <v>3.3104448990969099E-5</v>
      </c>
      <c r="S22" s="2">
        <v>3.5925078623023096E-5</v>
      </c>
      <c r="T22" s="2">
        <v>4.0946417386414199E-5</v>
      </c>
      <c r="U22" s="2">
        <v>4.5912592696152801E-5</v>
      </c>
      <c r="V22" s="2">
        <v>5.3192729096653299E-5</v>
      </c>
      <c r="W22" s="2">
        <v>6.3676219732818304E-5</v>
      </c>
      <c r="X22" s="2">
        <v>7.13991730566795E-5</v>
      </c>
      <c r="Y22" s="2">
        <v>8.1378815386921007E-5</v>
      </c>
      <c r="Z22" s="2">
        <v>8.9768713244731395E-5</v>
      </c>
      <c r="AA22" s="2">
        <v>1.0065628768368301E-4</v>
      </c>
      <c r="AB22" s="2">
        <v>1.16616865400451E-4</v>
      </c>
      <c r="AC22" s="2">
        <v>1.2863969449369698E-4</v>
      </c>
      <c r="AD22" s="2">
        <v>1.51494800407257E-4</v>
      </c>
      <c r="AE22" s="2">
        <v>1.6711343402047799E-4</v>
      </c>
      <c r="AF22" s="2">
        <v>1.87381742286038E-4</v>
      </c>
      <c r="AG22" s="2">
        <v>2.24311878678825E-4</v>
      </c>
      <c r="AH22" s="2">
        <v>2.55664515184323E-4</v>
      </c>
      <c r="AI22" s="2">
        <v>2.9139938869677504E-4</v>
      </c>
      <c r="AJ22" s="2">
        <v>3.2674168582040602E-4</v>
      </c>
      <c r="AK22" s="2">
        <v>3.6637046402267296E-4</v>
      </c>
      <c r="AL22" s="2">
        <v>4.0414209729914901E-4</v>
      </c>
      <c r="AM22" s="2">
        <v>4.0414209729914901E-4</v>
      </c>
      <c r="AN22" s="2">
        <v>4.1757898696184601E-4</v>
      </c>
      <c r="AO22" s="2">
        <v>3.7855152492586301E-4</v>
      </c>
      <c r="AP22" s="2">
        <v>2.24311878678825E-4</v>
      </c>
      <c r="AQ22" s="2">
        <v>2.55664515184323E-4</v>
      </c>
      <c r="AR22" s="2">
        <v>1.02651106800466E-3</v>
      </c>
      <c r="AS22" s="2">
        <v>3.1211754468334304E-3</v>
      </c>
      <c r="AT22" s="236">
        <v>9.6466161991119893E-3</v>
      </c>
      <c r="AU22" s="2"/>
    </row>
    <row r="23" spans="1:47" ht="15.75" customHeight="1">
      <c r="A23" s="197">
        <v>5</v>
      </c>
      <c r="B23" s="202">
        <v>6</v>
      </c>
      <c r="C23" s="468" t="s">
        <v>572</v>
      </c>
      <c r="D23" s="504">
        <v>7.9797380741988205E-6</v>
      </c>
      <c r="E23" s="34">
        <v>6.5578482628834199E-6</v>
      </c>
      <c r="F23" s="34">
        <v>6.1426005277281995E-6</v>
      </c>
      <c r="G23" s="34">
        <v>5.8485129320805299E-6</v>
      </c>
      <c r="H23" s="34">
        <v>6.2438799656536203E-6</v>
      </c>
      <c r="I23" s="34">
        <v>6.6659743217190705E-6</v>
      </c>
      <c r="J23" s="34">
        <v>7.4744552390961401E-6</v>
      </c>
      <c r="K23" s="34">
        <v>8.245047876757839E-6</v>
      </c>
      <c r="L23" s="34">
        <v>8.9475584778323807E-6</v>
      </c>
      <c r="M23" s="34">
        <v>1.10671065427676E-5</v>
      </c>
      <c r="N23" s="34">
        <v>1.34667055275396E-5</v>
      </c>
      <c r="O23" s="34">
        <v>1.48550801717277E-5</v>
      </c>
      <c r="P23" s="34">
        <v>1.7494346628442599E-5</v>
      </c>
      <c r="Q23" s="34">
        <v>2.09422204672121E-5</v>
      </c>
      <c r="R23" s="34">
        <v>2.3869367392260201E-5</v>
      </c>
      <c r="S23" s="34">
        <v>2.85736623926776E-5</v>
      </c>
      <c r="T23" s="34">
        <v>3.2039211413589098E-5</v>
      </c>
      <c r="U23" s="34">
        <v>3.7119513255809999E-5</v>
      </c>
      <c r="V23" s="34">
        <v>4.5167863199823004E-5</v>
      </c>
      <c r="W23" s="34">
        <v>5.3192729096653299E-5</v>
      </c>
      <c r="X23" s="34">
        <v>6.3676219732818304E-5</v>
      </c>
      <c r="Y23" s="34">
        <v>7.2576405416634797E-5</v>
      </c>
      <c r="Z23" s="34">
        <v>8.4084492846761506E-5</v>
      </c>
      <c r="AA23" s="34">
        <v>1.0065628768368301E-4</v>
      </c>
      <c r="AB23" s="34">
        <v>1.2248084722897101E-4</v>
      </c>
      <c r="AC23" s="34">
        <v>1.3733590411182801E-4</v>
      </c>
      <c r="AD23" s="34">
        <v>1.5911259011248502E-4</v>
      </c>
      <c r="AE23" s="34">
        <v>1.9680407693710799E-4</v>
      </c>
      <c r="AF23" s="34">
        <v>2.2801034171415199E-4</v>
      </c>
      <c r="AG23" s="34">
        <v>2.55664515184323E-4</v>
      </c>
      <c r="AH23" s="34">
        <v>2.9620399322311501E-4</v>
      </c>
      <c r="AI23" s="34">
        <v>3.4317161901824701E-4</v>
      </c>
      <c r="AJ23" s="34">
        <v>4.1080560801772702E-4</v>
      </c>
      <c r="AK23" s="34">
        <v>4.6063005659858602E-4</v>
      </c>
      <c r="AL23" s="34">
        <v>5.1649745013427608E-4</v>
      </c>
      <c r="AM23" s="34">
        <v>5.5141334535056797E-4</v>
      </c>
      <c r="AN23" s="34">
        <v>5.8868960021324194E-4</v>
      </c>
      <c r="AO23" s="34">
        <v>5.8868960021324194E-4</v>
      </c>
      <c r="AP23" s="34">
        <v>4.7594505418780103E-4</v>
      </c>
      <c r="AQ23" s="34">
        <v>5.0811955502302105E-4</v>
      </c>
      <c r="AR23" s="34">
        <v>7.1633081895081899E-4</v>
      </c>
      <c r="AS23" s="34">
        <v>2.92354034102362E-3</v>
      </c>
      <c r="AT23" s="237">
        <v>9.3362066202466402E-3</v>
      </c>
      <c r="AU23" s="2"/>
    </row>
    <row r="24" spans="1:47" ht="15.75" customHeight="1">
      <c r="A24" s="204">
        <v>6</v>
      </c>
      <c r="B24" s="201">
        <v>1</v>
      </c>
      <c r="C24" s="468" t="s">
        <v>574</v>
      </c>
      <c r="D24" s="510">
        <v>7.7097756251931328E-5</v>
      </c>
      <c r="E24" s="510">
        <v>7.4301277949819484E-5</v>
      </c>
      <c r="F24" s="510">
        <v>8.9829508502218004E-5</v>
      </c>
      <c r="G24" s="510">
        <v>1.0538435405332749E-4</v>
      </c>
      <c r="H24" s="510">
        <v>1.1590325518432298E-4</v>
      </c>
      <c r="I24" s="510">
        <v>1.4525885937070136E-4</v>
      </c>
      <c r="J24" s="510">
        <v>1.6699309939469204E-4</v>
      </c>
      <c r="K24" s="510">
        <v>2.0701514762173982E-4</v>
      </c>
      <c r="L24" s="510">
        <v>2.3428977303633025E-4</v>
      </c>
      <c r="M24" s="510">
        <v>3.0231780063666333E-4</v>
      </c>
      <c r="N24" s="510">
        <v>3.6733501816273422E-4</v>
      </c>
      <c r="O24" s="510">
        <v>4.7027304811497121E-4</v>
      </c>
      <c r="P24" s="510">
        <v>6.3649837392632685E-4</v>
      </c>
      <c r="Q24" s="510">
        <v>7.546347555730758E-4</v>
      </c>
      <c r="R24" s="510">
        <v>9.6409654469174592E-4</v>
      </c>
      <c r="S24" s="510">
        <v>1.2042518671190668E-3</v>
      </c>
      <c r="T24" s="510">
        <v>1.540785124243376E-3</v>
      </c>
      <c r="U24" s="510">
        <v>1.9487468102587651E-3</v>
      </c>
      <c r="V24" s="510">
        <v>2.4928801503782926E-3</v>
      </c>
      <c r="W24" s="510">
        <v>3.032336470176083E-3</v>
      </c>
      <c r="X24" s="510">
        <v>3.658859913128375E-3</v>
      </c>
      <c r="Y24" s="510">
        <v>4.7241517293333778E-3</v>
      </c>
      <c r="Z24" s="510">
        <v>5.8405069742716318E-3</v>
      </c>
      <c r="AA24" s="510">
        <v>6.9601765354635973E-3</v>
      </c>
      <c r="AB24" s="510">
        <v>8.3297526348450959E-3</v>
      </c>
      <c r="AC24" s="510">
        <v>1.0235973993405596E-2</v>
      </c>
      <c r="AD24" s="510">
        <v>1.2399998021731843E-2</v>
      </c>
      <c r="AE24" s="510">
        <v>1.421605842134905E-2</v>
      </c>
      <c r="AF24" s="510">
        <v>1.8216286453464025E-2</v>
      </c>
      <c r="AG24" s="510">
        <v>2.0690852147001372E-2</v>
      </c>
      <c r="AH24" s="510">
        <v>2.2839782636875857E-2</v>
      </c>
      <c r="AI24" s="510">
        <v>2.6024117145889224E-2</v>
      </c>
      <c r="AJ24" s="510">
        <v>3.0159919420582465E-2</v>
      </c>
      <c r="AK24" s="510">
        <v>3.233575576081648E-2</v>
      </c>
      <c r="AL24" s="510">
        <v>3.3043843104940136E-2</v>
      </c>
      <c r="AM24" s="504"/>
      <c r="AN24" s="504"/>
      <c r="AO24" s="504"/>
      <c r="AP24" s="504"/>
      <c r="AQ24" s="504"/>
      <c r="AR24" s="504"/>
      <c r="AS24" s="504"/>
      <c r="AT24" s="504"/>
    </row>
    <row r="25" spans="1:47" ht="15.75" customHeight="1">
      <c r="A25" s="204">
        <v>6</v>
      </c>
      <c r="B25" s="201">
        <v>2</v>
      </c>
      <c r="C25" s="468" t="s">
        <v>574</v>
      </c>
      <c r="D25" s="510">
        <v>7.6298619908954075E-4</v>
      </c>
      <c r="E25" s="510">
        <v>8.6227928459018928E-4</v>
      </c>
      <c r="F25" s="510">
        <v>8.9658189546068241E-4</v>
      </c>
      <c r="G25" s="510">
        <v>9.1698795501858534E-4</v>
      </c>
      <c r="H25" s="510">
        <v>1.2851753957311826E-3</v>
      </c>
      <c r="I25" s="510">
        <v>1.2351647845503899E-3</v>
      </c>
      <c r="J25" s="510">
        <v>1.0529805390372259E-3</v>
      </c>
      <c r="K25" s="510">
        <v>1.5391109538527769E-3</v>
      </c>
      <c r="L25" s="510">
        <v>1.7036965481562738E-3</v>
      </c>
      <c r="M25" s="510">
        <v>2.0051723571249181E-3</v>
      </c>
      <c r="N25" s="510">
        <v>2.5075190495628978E-3</v>
      </c>
      <c r="O25" s="510">
        <v>2.4961807372433694E-3</v>
      </c>
      <c r="P25" s="510">
        <v>3.5933229954509009E-3</v>
      </c>
      <c r="Q25" s="510">
        <v>3.7385061975720797E-3</v>
      </c>
      <c r="R25" s="510">
        <v>4.3510515734735385E-3</v>
      </c>
      <c r="S25" s="510">
        <v>5.0714209927531315E-3</v>
      </c>
      <c r="T25" s="510">
        <v>5.6669143818179604E-3</v>
      </c>
      <c r="U25" s="510">
        <v>6.9027518851761307E-3</v>
      </c>
      <c r="V25" s="510">
        <v>8.4336757215223001E-3</v>
      </c>
      <c r="W25" s="510">
        <v>9.8296168106420442E-3</v>
      </c>
      <c r="X25" s="510">
        <v>1.1300705682693547E-2</v>
      </c>
      <c r="Y25" s="510">
        <v>1.3116520438857136E-2</v>
      </c>
      <c r="Z25" s="510">
        <v>1.5717025171918333E-2</v>
      </c>
      <c r="AA25" s="510">
        <v>1.7085824460399697E-2</v>
      </c>
      <c r="AB25" s="510">
        <v>2.1429430708017741E-2</v>
      </c>
      <c r="AC25" s="510">
        <v>2.3862782039612715E-2</v>
      </c>
      <c r="AD25" s="510">
        <v>2.8027712325952581E-2</v>
      </c>
      <c r="AE25" s="510">
        <v>3.3552013307132034E-2</v>
      </c>
      <c r="AF25" s="510">
        <v>4.0022823350406134E-2</v>
      </c>
      <c r="AG25" s="510">
        <v>4.0021809100714963E-2</v>
      </c>
      <c r="AH25" s="510">
        <v>4.5536681038610444E-2</v>
      </c>
      <c r="AI25" s="510">
        <v>5.1210938983228926E-2</v>
      </c>
      <c r="AJ25" s="510">
        <v>5.9315334677557112E-2</v>
      </c>
      <c r="AK25" s="510">
        <v>6.9588296992176404E-2</v>
      </c>
      <c r="AL25" s="510">
        <v>6.1150008905014173E-2</v>
      </c>
      <c r="AM25" s="504"/>
      <c r="AN25" s="504"/>
      <c r="AO25" s="504"/>
      <c r="AP25" s="504"/>
      <c r="AQ25" s="504"/>
      <c r="AR25" s="504"/>
      <c r="AS25" s="504"/>
      <c r="AT25" s="504"/>
    </row>
    <row r="26" spans="1:47" ht="15.75" customHeight="1">
      <c r="A26" s="204">
        <v>6</v>
      </c>
      <c r="B26" s="201">
        <v>3</v>
      </c>
      <c r="C26" s="468" t="s">
        <v>574</v>
      </c>
      <c r="D26" s="510">
        <v>4.6500130751126077E-3</v>
      </c>
      <c r="E26" s="510">
        <v>4.9586773171626883E-3</v>
      </c>
      <c r="F26" s="510">
        <v>5.4968114936209513E-3</v>
      </c>
      <c r="G26" s="510">
        <v>5.732512352587444E-3</v>
      </c>
      <c r="H26" s="510">
        <v>6.2653075756948298E-3</v>
      </c>
      <c r="I26" s="510">
        <v>6.4211417651510068E-3</v>
      </c>
      <c r="J26" s="510">
        <v>6.4738833071626102E-3</v>
      </c>
      <c r="K26" s="510">
        <v>9.0725801650982547E-3</v>
      </c>
      <c r="L26" s="510">
        <v>9.5405461869338473E-3</v>
      </c>
      <c r="M26" s="510">
        <v>1.0416979954268026E-2</v>
      </c>
      <c r="N26" s="510">
        <v>9.1971469952164282E-3</v>
      </c>
      <c r="O26" s="510">
        <v>1.0781971736025507E-2</v>
      </c>
      <c r="P26" s="510">
        <v>1.1363086508159382E-2</v>
      </c>
      <c r="Q26" s="510">
        <v>1.3700242872478655E-2</v>
      </c>
      <c r="R26" s="510">
        <v>1.4666420138620757E-2</v>
      </c>
      <c r="S26" s="510">
        <v>1.6291478191647561E-2</v>
      </c>
      <c r="T26" s="510">
        <v>1.9431610392136842E-2</v>
      </c>
      <c r="U26" s="510">
        <v>2.1521291727125202E-2</v>
      </c>
      <c r="V26" s="510">
        <v>2.5711561391270132E-2</v>
      </c>
      <c r="W26" s="510">
        <v>3.0307663456037189E-2</v>
      </c>
      <c r="X26" s="510">
        <v>3.1311147887313186E-2</v>
      </c>
      <c r="Y26" s="510">
        <v>3.6724490508040594E-2</v>
      </c>
      <c r="Z26" s="510">
        <v>4.0776741879088196E-2</v>
      </c>
      <c r="AA26" s="510">
        <v>4.4171991082745533E-2</v>
      </c>
      <c r="AB26" s="510">
        <v>5.0554367156078812E-2</v>
      </c>
      <c r="AC26" s="510">
        <v>6.1803600908388573E-2</v>
      </c>
      <c r="AD26" s="510">
        <v>6.3463676951026254E-2</v>
      </c>
      <c r="AE26" s="510">
        <v>7.7303857080810168E-2</v>
      </c>
      <c r="AF26" s="510">
        <v>8.3650546375070911E-2</v>
      </c>
      <c r="AG26" s="510">
        <v>8.7771916391485377E-2</v>
      </c>
      <c r="AH26" s="510">
        <v>0.10052897718988323</v>
      </c>
      <c r="AI26" s="510">
        <v>9.5245920321615787E-2</v>
      </c>
      <c r="AJ26" s="510">
        <v>0.13007388703942413</v>
      </c>
      <c r="AK26" s="510">
        <v>0.15482401362280018</v>
      </c>
      <c r="AL26" s="510">
        <v>0.13841202007711093</v>
      </c>
      <c r="AM26" s="504"/>
      <c r="AN26" s="504"/>
      <c r="AO26" s="504"/>
      <c r="AP26" s="504"/>
      <c r="AQ26" s="504"/>
      <c r="AR26" s="504"/>
      <c r="AS26" s="504"/>
      <c r="AT26" s="504"/>
    </row>
    <row r="27" spans="1:47" ht="15.75" customHeight="1">
      <c r="A27" s="204">
        <v>6</v>
      </c>
      <c r="B27" s="201">
        <v>4</v>
      </c>
      <c r="C27" s="468" t="s">
        <v>574</v>
      </c>
      <c r="D27" s="510">
        <v>1.3990956112877029E-2</v>
      </c>
      <c r="E27" s="510">
        <v>1.4669240617049769E-2</v>
      </c>
      <c r="F27" s="510">
        <v>1.2072506258791407E-2</v>
      </c>
      <c r="G27" s="518">
        <v>1.5266342415643203E-2</v>
      </c>
      <c r="H27" s="510">
        <v>1.601215961164577E-2</v>
      </c>
      <c r="I27" s="510">
        <v>1.708036567006288E-2</v>
      </c>
      <c r="J27" s="510">
        <v>1.6159117589499287E-2</v>
      </c>
      <c r="K27" s="510">
        <v>1.8724734051528063E-2</v>
      </c>
      <c r="L27" s="510">
        <v>2.1395050017843857E-2</v>
      </c>
      <c r="M27" s="510">
        <v>2.3493449079138272E-2</v>
      </c>
      <c r="N27" s="510">
        <v>2.420477104509948E-2</v>
      </c>
      <c r="O27" s="510">
        <v>2.2233202918375099E-2</v>
      </c>
      <c r="P27" s="510">
        <v>2.7971877261254739E-2</v>
      </c>
      <c r="Q27" s="510">
        <v>3.1190030743540091E-2</v>
      </c>
      <c r="R27" s="510">
        <v>3.6601522809982585E-2</v>
      </c>
      <c r="S27" s="510">
        <v>3.4349702728568986E-2</v>
      </c>
      <c r="T27" s="510">
        <v>4.2411199998898724E-2</v>
      </c>
      <c r="U27" s="510">
        <v>4.9082994594519661E-2</v>
      </c>
      <c r="V27" s="510">
        <v>4.8222833037843575E-2</v>
      </c>
      <c r="W27" s="510">
        <v>5.7367491837493394E-2</v>
      </c>
      <c r="X27" s="510">
        <v>5.5704659238318015E-2</v>
      </c>
      <c r="Y27" s="510">
        <v>6.7046771108005263E-2</v>
      </c>
      <c r="Z27" s="510">
        <v>6.4396749317459381E-2</v>
      </c>
      <c r="AA27" s="510">
        <v>6.6938633149328797E-2</v>
      </c>
      <c r="AB27" s="510">
        <v>7.8683958785781286E-2</v>
      </c>
      <c r="AC27" s="510">
        <v>9.5588751577683387E-2</v>
      </c>
      <c r="AD27" s="510">
        <v>0.10495803712275786</v>
      </c>
      <c r="AE27" s="510">
        <v>0.10408099067587727</v>
      </c>
      <c r="AF27" s="510">
        <v>0.10681457575238751</v>
      </c>
      <c r="AG27" s="510">
        <v>0.12411321882036785</v>
      </c>
      <c r="AH27" s="510">
        <v>0.12095653198139049</v>
      </c>
      <c r="AI27" s="510">
        <v>0.1306255715498959</v>
      </c>
      <c r="AJ27" s="510">
        <v>0.15545063902520909</v>
      </c>
      <c r="AK27" s="510">
        <v>0.1816744426589442</v>
      </c>
      <c r="AL27" s="510">
        <v>0.21589408713299024</v>
      </c>
      <c r="AM27" s="504"/>
      <c r="AN27" s="504"/>
      <c r="AO27" s="504"/>
      <c r="AP27" s="504"/>
      <c r="AQ27" s="504"/>
      <c r="AR27" s="504"/>
      <c r="AS27" s="504"/>
      <c r="AT27" s="504"/>
    </row>
    <row r="28" spans="1:47" ht="15.75" customHeight="1">
      <c r="A28" s="199">
        <v>7</v>
      </c>
      <c r="B28" s="200">
        <v>1</v>
      </c>
      <c r="C28" s="468" t="s">
        <v>572</v>
      </c>
      <c r="D28" s="504">
        <v>3.9483219301735999E-5</v>
      </c>
      <c r="E28" s="234">
        <v>1.1319093808077599E-4</v>
      </c>
      <c r="F28" s="234">
        <v>3.1786459154047996E-4</v>
      </c>
      <c r="G28" s="234">
        <v>7.5670005723424904E-4</v>
      </c>
      <c r="H28" s="234">
        <v>1.4652754811771999E-3</v>
      </c>
      <c r="I28" s="234">
        <v>2.5067044904611398E-3</v>
      </c>
      <c r="J28" s="234">
        <v>4.0307064091391603E-3</v>
      </c>
      <c r="K28" s="234">
        <v>6.0919083819704302E-3</v>
      </c>
      <c r="L28" s="234">
        <v>8.4771744611583395E-3</v>
      </c>
      <c r="M28" s="234">
        <v>1.1796383389086899E-2</v>
      </c>
      <c r="N28" s="234">
        <v>1.60797031500018E-2</v>
      </c>
      <c r="O28" s="234">
        <v>2.1031485800943703E-2</v>
      </c>
      <c r="P28" s="234">
        <v>2.6395182169172301E-2</v>
      </c>
      <c r="Q28" s="234">
        <v>3.3126791342175693E-2</v>
      </c>
      <c r="R28" s="234">
        <v>4.0725410527238305E-2</v>
      </c>
      <c r="S28" s="234">
        <v>4.0725410527238305E-2</v>
      </c>
      <c r="T28" s="234">
        <v>4.6097474213028296E-2</v>
      </c>
      <c r="U28" s="234">
        <v>5.00670000145918E-2</v>
      </c>
      <c r="V28" s="234">
        <v>5.9060952731354401E-2</v>
      </c>
      <c r="W28" s="234">
        <v>6.41467839994323E-2</v>
      </c>
      <c r="X28" s="234">
        <v>6.6851646436063991E-2</v>
      </c>
      <c r="Y28" s="235">
        <v>7.1124288878254199E-2</v>
      </c>
      <c r="Z28" s="2"/>
    </row>
    <row r="29" spans="1:47" ht="15.75" customHeight="1">
      <c r="A29" s="197">
        <v>7</v>
      </c>
      <c r="B29" s="202">
        <v>2</v>
      </c>
      <c r="C29" s="468" t="s">
        <v>572</v>
      </c>
      <c r="D29" s="504">
        <v>7.1862486844915304E-3</v>
      </c>
      <c r="E29" s="34">
        <v>1.1087740404707299E-2</v>
      </c>
      <c r="F29" s="34">
        <v>1.9364019695370601E-2</v>
      </c>
      <c r="G29" s="34">
        <v>3.3818004848265401E-2</v>
      </c>
      <c r="H29" s="34">
        <v>5.6671306985418904E-2</v>
      </c>
      <c r="I29" s="34">
        <v>9.1125779344815999E-2</v>
      </c>
      <c r="J29" s="34">
        <v>0.12945165982558901</v>
      </c>
      <c r="K29" s="34">
        <v>0.15270614096563101</v>
      </c>
      <c r="L29" s="34">
        <v>0.180138018469853</v>
      </c>
      <c r="M29" s="34">
        <v>0.22145805423683998</v>
      </c>
      <c r="N29" s="34">
        <v>0.277936886615473</v>
      </c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237"/>
      <c r="Z29" s="2"/>
    </row>
    <row r="30" spans="1:47" ht="15.75" customHeight="1">
      <c r="A30" s="204">
        <v>8</v>
      </c>
      <c r="B30" s="201">
        <v>1</v>
      </c>
      <c r="C30" s="468" t="s">
        <v>575</v>
      </c>
      <c r="D30" s="504">
        <v>436.89377981666581</v>
      </c>
      <c r="E30" s="506">
        <v>406.85419077671042</v>
      </c>
      <c r="F30" s="506">
        <v>365.762765488014</v>
      </c>
      <c r="G30" s="506">
        <v>306.683928764705</v>
      </c>
      <c r="H30" s="506">
        <v>217.67894162802085</v>
      </c>
      <c r="I30" s="506">
        <v>146.84973648935491</v>
      </c>
      <c r="J30" s="506">
        <v>120.04096279213033</v>
      </c>
      <c r="K30" s="506">
        <v>108.16966255651099</v>
      </c>
      <c r="L30" s="506">
        <v>91.410302308735638</v>
      </c>
      <c r="M30" s="506">
        <v>74.13557685102667</v>
      </c>
      <c r="N30" s="506">
        <v>60.215928864614611</v>
      </c>
      <c r="O30" s="506">
        <v>45.874996877835862</v>
      </c>
      <c r="P30" s="506">
        <v>35.090626014703261</v>
      </c>
      <c r="Q30" s="506">
        <v>19.390720095912855</v>
      </c>
      <c r="R30" s="504"/>
      <c r="S30" s="504"/>
      <c r="T30" s="504"/>
      <c r="U30" s="504"/>
      <c r="V30" s="504"/>
      <c r="W30" s="504"/>
      <c r="X30" s="504"/>
      <c r="Y30" s="504"/>
      <c r="Z30" s="504"/>
      <c r="AA30" s="504"/>
    </row>
    <row r="31" spans="1:47" ht="15.75" customHeight="1">
      <c r="A31" s="204">
        <v>8</v>
      </c>
      <c r="B31" s="201">
        <v>2</v>
      </c>
      <c r="C31" s="468" t="s">
        <v>575</v>
      </c>
      <c r="D31" s="504">
        <v>459.88622834258848</v>
      </c>
      <c r="E31" s="506">
        <v>430.41945233079889</v>
      </c>
      <c r="F31" s="506">
        <v>382.55751026151188</v>
      </c>
      <c r="G31" s="506">
        <v>329.0569399462147</v>
      </c>
      <c r="H31" s="506">
        <v>245.05574103522582</v>
      </c>
      <c r="I31" s="506">
        <v>173.58357824975613</v>
      </c>
      <c r="J31" s="506">
        <v>145.67101549425908</v>
      </c>
      <c r="K31" s="506">
        <v>124.12808365734415</v>
      </c>
      <c r="L31" s="506">
        <v>99.464861084514453</v>
      </c>
      <c r="M31" s="506">
        <v>79.324197187554276</v>
      </c>
      <c r="N31" s="506">
        <v>66.106203531791863</v>
      </c>
      <c r="O31" s="506">
        <v>57.082316895486528</v>
      </c>
      <c r="P31" s="506">
        <v>48.03470181252019</v>
      </c>
      <c r="Q31" s="506">
        <v>37.198294882148645</v>
      </c>
    </row>
    <row r="32" spans="1:47" ht="15.75" customHeight="1">
      <c r="A32" s="204">
        <v>8</v>
      </c>
      <c r="B32" s="201">
        <v>3</v>
      </c>
      <c r="C32" s="468" t="s">
        <v>575</v>
      </c>
      <c r="D32" s="504">
        <v>404.28610678633532</v>
      </c>
      <c r="E32" s="506">
        <v>386.28412525289502</v>
      </c>
      <c r="F32" s="506">
        <v>383.73373352538033</v>
      </c>
      <c r="G32" s="506">
        <v>343.16912138141151</v>
      </c>
      <c r="H32" s="506">
        <v>281.01765895977792</v>
      </c>
      <c r="I32" s="506">
        <v>204.15518404116185</v>
      </c>
      <c r="J32" s="506">
        <v>169.90941561414999</v>
      </c>
      <c r="K32" s="506">
        <v>172.13260455086603</v>
      </c>
      <c r="L32" s="506">
        <v>157.7042519711255</v>
      </c>
      <c r="M32" s="506">
        <v>124.77541233379604</v>
      </c>
      <c r="N32" s="506">
        <v>108.03561764730313</v>
      </c>
      <c r="O32" s="506">
        <v>92.494525805726411</v>
      </c>
      <c r="P32" s="506">
        <v>79.994629877860802</v>
      </c>
      <c r="Q32" s="506">
        <v>58.363653015177654</v>
      </c>
    </row>
    <row r="33" spans="1:31" ht="15.75" customHeight="1">
      <c r="A33" s="204">
        <v>8</v>
      </c>
      <c r="B33" s="201">
        <v>4</v>
      </c>
      <c r="C33" s="468" t="s">
        <v>575</v>
      </c>
      <c r="D33" s="504">
        <v>232.29857879093106</v>
      </c>
      <c r="E33" s="506">
        <v>217.00039131122551</v>
      </c>
      <c r="F33" s="506">
        <v>200.09075090126461</v>
      </c>
      <c r="G33" s="506">
        <v>172.3120249107055</v>
      </c>
      <c r="H33" s="506">
        <v>137.40352513133857</v>
      </c>
      <c r="I33" s="506">
        <v>103.23289678541936</v>
      </c>
      <c r="J33" s="506">
        <v>79.925942269105391</v>
      </c>
      <c r="K33" s="506">
        <v>64.687908483127359</v>
      </c>
      <c r="L33" s="506">
        <v>51.474077712744126</v>
      </c>
      <c r="M33" s="506">
        <v>46.257982332714448</v>
      </c>
      <c r="N33" s="506">
        <v>41.999350589880777</v>
      </c>
      <c r="O33" s="506">
        <v>40.792946407013559</v>
      </c>
      <c r="P33" s="506">
        <v>31.957638478382091</v>
      </c>
      <c r="Q33" s="506">
        <v>20.279912412891587</v>
      </c>
    </row>
    <row r="34" spans="1:31" ht="15.75" customHeight="1">
      <c r="A34" s="203">
        <v>9</v>
      </c>
      <c r="B34" s="200">
        <v>1</v>
      </c>
      <c r="C34" s="468" t="s">
        <v>575</v>
      </c>
      <c r="D34" s="504">
        <v>283.09237553029448</v>
      </c>
      <c r="E34" s="506">
        <v>294.90260951850019</v>
      </c>
      <c r="F34" s="506">
        <v>292.99551875106505</v>
      </c>
      <c r="G34" s="506">
        <v>295.83917485705405</v>
      </c>
      <c r="H34" s="506">
        <v>301.9300065817859</v>
      </c>
      <c r="I34" s="506">
        <v>357.7130635039245</v>
      </c>
      <c r="J34" s="506">
        <v>296.11061785752116</v>
      </c>
      <c r="K34" s="506">
        <v>152.38977550468726</v>
      </c>
      <c r="L34" s="506">
        <v>83.102066501383163</v>
      </c>
      <c r="M34" s="506">
        <v>48.48973753759379</v>
      </c>
      <c r="N34" s="506">
        <v>36.043600838765421</v>
      </c>
      <c r="O34" s="506">
        <v>27.553080271498846</v>
      </c>
      <c r="P34" s="506">
        <v>22.302895399055995</v>
      </c>
      <c r="Q34" s="506">
        <v>18.822434807324218</v>
      </c>
      <c r="R34" s="504"/>
      <c r="S34" s="504"/>
      <c r="T34" s="504"/>
      <c r="U34" s="504"/>
      <c r="V34" s="504"/>
      <c r="W34" s="504"/>
      <c r="X34" s="504"/>
      <c r="Y34" s="504"/>
      <c r="Z34" s="504"/>
      <c r="AA34" s="504"/>
    </row>
    <row r="35" spans="1:31" ht="15.75" customHeight="1">
      <c r="A35" s="204">
        <v>9</v>
      </c>
      <c r="B35" s="201">
        <v>2</v>
      </c>
      <c r="C35" s="468" t="s">
        <v>575</v>
      </c>
      <c r="D35" s="504">
        <v>69.919072104369818</v>
      </c>
      <c r="E35" s="506">
        <v>67.324820321106188</v>
      </c>
      <c r="F35" s="506">
        <v>76.942651795549779</v>
      </c>
      <c r="G35" s="506">
        <v>78.418249974426374</v>
      </c>
      <c r="H35" s="506">
        <v>108.72240577144653</v>
      </c>
      <c r="I35" s="506">
        <v>199.01624052457814</v>
      </c>
      <c r="J35" s="506">
        <v>240.43269320009279</v>
      </c>
      <c r="K35" s="506">
        <v>128.19886462910756</v>
      </c>
      <c r="L35" s="506">
        <v>66.331965374698839</v>
      </c>
      <c r="M35" s="506">
        <v>32.854227853260205</v>
      </c>
      <c r="N35" s="506">
        <v>25.296133633266635</v>
      </c>
      <c r="O35" s="506">
        <v>22.42674203428264</v>
      </c>
      <c r="P35" s="506">
        <v>20.014431401296633</v>
      </c>
      <c r="Q35" s="506">
        <v>17.673496816074184</v>
      </c>
    </row>
    <row r="36" spans="1:31" ht="15.75" customHeight="1">
      <c r="A36" s="204">
        <v>9</v>
      </c>
      <c r="B36" s="201">
        <v>3</v>
      </c>
      <c r="C36" s="468" t="s">
        <v>575</v>
      </c>
      <c r="D36" s="504">
        <v>207.87029491809548</v>
      </c>
      <c r="E36" s="506">
        <v>198.26532172752141</v>
      </c>
      <c r="F36" s="506">
        <v>195.23844770090386</v>
      </c>
      <c r="G36" s="506">
        <v>200.12212085949332</v>
      </c>
      <c r="H36" s="506">
        <v>212.00584898440383</v>
      </c>
      <c r="I36" s="506">
        <v>288.37340392811615</v>
      </c>
      <c r="J36" s="506">
        <v>305.12381286253782</v>
      </c>
      <c r="K36" s="506">
        <v>177.64324379695677</v>
      </c>
      <c r="L36" s="506">
        <v>97.288200956031091</v>
      </c>
      <c r="M36" s="506">
        <v>60.300663742177846</v>
      </c>
      <c r="N36" s="506">
        <v>45.903155632977125</v>
      </c>
      <c r="O36" s="506">
        <v>33.703875682929947</v>
      </c>
      <c r="P36" s="506">
        <v>28.102759519777521</v>
      </c>
      <c r="Q36" s="506">
        <v>22.246355067499639</v>
      </c>
    </row>
    <row r="37" spans="1:31" ht="14.4">
      <c r="A37" s="205">
        <v>9</v>
      </c>
      <c r="B37" s="202">
        <v>4</v>
      </c>
      <c r="C37" s="468" t="s">
        <v>575</v>
      </c>
      <c r="D37" s="504">
        <v>187.59881136441211</v>
      </c>
      <c r="E37" s="506">
        <v>189.95217162026404</v>
      </c>
      <c r="F37" s="506">
        <v>182.58577605985872</v>
      </c>
      <c r="G37" s="506">
        <v>192.8574402851217</v>
      </c>
      <c r="H37" s="506">
        <v>220.00184315655997</v>
      </c>
      <c r="I37" s="506">
        <v>299.39389808383726</v>
      </c>
      <c r="J37" s="506">
        <v>327.84949673246672</v>
      </c>
      <c r="K37" s="506">
        <v>186.17748184361892</v>
      </c>
      <c r="L37" s="506">
        <v>99.155228002247355</v>
      </c>
      <c r="M37" s="506">
        <v>61.295702105468287</v>
      </c>
      <c r="N37" s="506">
        <v>44.948003072950307</v>
      </c>
      <c r="O37" s="506">
        <v>39.458195921478826</v>
      </c>
      <c r="P37" s="506">
        <v>19.143782114671577</v>
      </c>
      <c r="Q37" s="506"/>
    </row>
    <row r="38" spans="1:31" ht="15.75" customHeight="1">
      <c r="A38" s="203">
        <v>11</v>
      </c>
      <c r="B38" s="200" t="s">
        <v>221</v>
      </c>
      <c r="C38" s="201"/>
    </row>
    <row r="39" spans="1:31" ht="15.75" customHeight="1">
      <c r="A39" s="204">
        <v>11</v>
      </c>
      <c r="B39" s="201" t="s">
        <v>222</v>
      </c>
      <c r="C39" s="201"/>
    </row>
    <row r="40" spans="1:31" ht="15.75" customHeight="1">
      <c r="A40" s="204">
        <v>11</v>
      </c>
      <c r="B40" s="201" t="s">
        <v>223</v>
      </c>
      <c r="C40" s="201"/>
    </row>
    <row r="41" spans="1:31" ht="15.75" customHeight="1">
      <c r="A41" s="204">
        <v>11</v>
      </c>
      <c r="B41" s="201" t="s">
        <v>224</v>
      </c>
      <c r="C41" s="201"/>
    </row>
    <row r="42" spans="1:31" ht="15.75" customHeight="1">
      <c r="A42" s="204">
        <v>11</v>
      </c>
      <c r="B42" s="201" t="s">
        <v>225</v>
      </c>
      <c r="C42" s="468" t="s">
        <v>575</v>
      </c>
      <c r="D42" s="504">
        <v>55.42960734906562</v>
      </c>
      <c r="E42" s="506">
        <v>61.250932983919846</v>
      </c>
      <c r="F42" s="506">
        <v>75.832896792330473</v>
      </c>
      <c r="G42" s="506">
        <v>89.910856651109754</v>
      </c>
      <c r="H42" s="506">
        <v>82.183209612638251</v>
      </c>
      <c r="I42" s="506">
        <v>66.227111187130788</v>
      </c>
      <c r="J42" s="506">
        <v>63.504842127676739</v>
      </c>
      <c r="K42" s="506">
        <v>68.991076752342039</v>
      </c>
      <c r="L42" s="506">
        <v>79.464772340004771</v>
      </c>
      <c r="M42" s="506">
        <v>90.229077912266746</v>
      </c>
      <c r="N42" s="506">
        <v>91.237135288109926</v>
      </c>
      <c r="O42" s="506">
        <v>81.509794405121326</v>
      </c>
      <c r="P42" s="506">
        <v>74.219059700022711</v>
      </c>
      <c r="Q42" s="504"/>
      <c r="R42" s="504"/>
      <c r="S42" s="504"/>
      <c r="T42" s="504"/>
      <c r="U42" s="504"/>
      <c r="V42" s="504"/>
    </row>
    <row r="43" spans="1:31" ht="15.75" customHeight="1">
      <c r="A43" s="204">
        <v>11</v>
      </c>
      <c r="B43" s="201" t="s">
        <v>226</v>
      </c>
      <c r="C43" s="468" t="s">
        <v>575</v>
      </c>
      <c r="D43" s="504">
        <v>41.866770811095158</v>
      </c>
      <c r="E43" s="506">
        <v>53.416224827949151</v>
      </c>
      <c r="F43" s="506">
        <v>62.839108548321356</v>
      </c>
      <c r="G43" s="506">
        <v>80.643802368328849</v>
      </c>
      <c r="H43" s="506">
        <v>74.787556920928964</v>
      </c>
      <c r="I43" s="506">
        <v>66.319708688811673</v>
      </c>
      <c r="J43" s="506">
        <v>62.426820082013428</v>
      </c>
      <c r="K43" s="506">
        <v>64.920138028418606</v>
      </c>
      <c r="L43" s="506">
        <v>69.873232126133757</v>
      </c>
      <c r="M43" s="506">
        <v>69.022044652377716</v>
      </c>
      <c r="N43" s="506">
        <v>62.707121824249803</v>
      </c>
      <c r="O43" s="506">
        <v>57.134769774441132</v>
      </c>
      <c r="P43" s="506">
        <v>52.099700391069682</v>
      </c>
      <c r="Q43" s="504"/>
      <c r="R43" s="504"/>
      <c r="S43" s="504"/>
      <c r="T43" s="504"/>
      <c r="U43" s="504"/>
      <c r="V43" s="504"/>
    </row>
    <row r="44" spans="1:31" ht="15.75" customHeight="1">
      <c r="A44" s="204">
        <v>11</v>
      </c>
      <c r="B44" s="201" t="s">
        <v>227</v>
      </c>
      <c r="C44" s="468" t="s">
        <v>575</v>
      </c>
      <c r="D44" s="504">
        <v>39.545737965918526</v>
      </c>
      <c r="E44" s="506">
        <v>47.973943085277405</v>
      </c>
      <c r="F44" s="506">
        <v>58.448441248872058</v>
      </c>
      <c r="G44" s="506">
        <v>72.468258544444083</v>
      </c>
      <c r="H44" s="506">
        <v>62.762359757014984</v>
      </c>
      <c r="I44" s="506">
        <v>52.998935036578757</v>
      </c>
      <c r="J44" s="506">
        <v>49.581641416622901</v>
      </c>
      <c r="K44" s="506">
        <v>53.728713142328921</v>
      </c>
      <c r="L44" s="506">
        <v>60.088082222353265</v>
      </c>
      <c r="M44" s="506">
        <v>59.54983390780064</v>
      </c>
      <c r="N44" s="506">
        <v>54.76295169725492</v>
      </c>
      <c r="O44" s="506">
        <v>49.385881833629028</v>
      </c>
      <c r="P44" s="506">
        <v>44.649194965615962</v>
      </c>
      <c r="Q44" s="504"/>
      <c r="R44" s="504"/>
      <c r="S44" s="504"/>
      <c r="T44" s="504"/>
      <c r="U44" s="504"/>
      <c r="V44" s="504"/>
    </row>
    <row r="45" spans="1:31" ht="15.75" customHeight="1">
      <c r="A45" s="205">
        <v>11</v>
      </c>
      <c r="B45" s="202" t="s">
        <v>228</v>
      </c>
      <c r="C45" s="468" t="s">
        <v>575</v>
      </c>
      <c r="D45" s="504">
        <v>32.230482091965889</v>
      </c>
      <c r="E45" s="506">
        <v>34.755547459991092</v>
      </c>
      <c r="F45" s="506">
        <v>41.648292805849302</v>
      </c>
      <c r="G45" s="506">
        <v>49.32709774230355</v>
      </c>
      <c r="H45" s="506">
        <v>46.986565646126877</v>
      </c>
      <c r="I45" s="506">
        <v>47.383439548272115</v>
      </c>
      <c r="J45" s="506">
        <v>49.212263804906385</v>
      </c>
      <c r="K45" s="506">
        <v>46.518648326734478</v>
      </c>
      <c r="L45" s="506">
        <v>49.283790782171742</v>
      </c>
      <c r="M45" s="506">
        <v>47.811206161856042</v>
      </c>
      <c r="N45" s="506">
        <v>42.740345872854839</v>
      </c>
      <c r="O45" s="506">
        <v>38.275280623120601</v>
      </c>
      <c r="P45" s="506">
        <v>35.943067895966884</v>
      </c>
      <c r="Q45" s="504"/>
      <c r="R45" s="504"/>
      <c r="S45" s="504"/>
      <c r="T45" s="504"/>
      <c r="U45" s="504"/>
      <c r="V45" s="504"/>
    </row>
    <row r="46" spans="1:31" ht="15.75" customHeight="1">
      <c r="A46" s="203">
        <v>12</v>
      </c>
      <c r="B46" s="200" t="s">
        <v>221</v>
      </c>
      <c r="C46" s="468" t="s">
        <v>574</v>
      </c>
      <c r="D46" s="510">
        <v>2.7684108459327682E-2</v>
      </c>
      <c r="E46" s="510">
        <v>2.9826824754397428E-2</v>
      </c>
      <c r="F46" s="510">
        <v>2.4147129559361536E-2</v>
      </c>
      <c r="G46" s="510">
        <v>2.5749039385919797E-2</v>
      </c>
      <c r="H46" s="510">
        <v>2.5943023276894222E-2</v>
      </c>
      <c r="I46" s="510">
        <v>2.7435086247965649E-2</v>
      </c>
      <c r="J46" s="510">
        <v>2.8538647721394608E-2</v>
      </c>
      <c r="K46" s="510">
        <v>3.088327418103947E-2</v>
      </c>
      <c r="L46" s="510">
        <v>3.3859824680082466E-2</v>
      </c>
      <c r="M46" s="510">
        <v>4.1576035954390855E-2</v>
      </c>
      <c r="N46" s="510">
        <v>4.8732942790458145E-2</v>
      </c>
      <c r="O46" s="510">
        <v>5.3027155187314864E-2</v>
      </c>
      <c r="P46" s="510">
        <v>6.4054329437303464E-2</v>
      </c>
      <c r="Q46" s="510">
        <v>7.3666220169586488E-2</v>
      </c>
      <c r="R46" s="510">
        <v>9.2206768807311684E-2</v>
      </c>
      <c r="S46" s="510">
        <v>0.10489132103206754</v>
      </c>
      <c r="T46" s="510">
        <v>0.14480911335641741</v>
      </c>
      <c r="U46" s="510">
        <v>0.13757016098362773</v>
      </c>
      <c r="V46" s="510">
        <v>0.17609396328486829</v>
      </c>
      <c r="W46" s="510">
        <v>0.21619224052973288</v>
      </c>
      <c r="X46" s="510">
        <v>0.22857081264058624</v>
      </c>
      <c r="Y46" s="510">
        <v>0.23752780260457368</v>
      </c>
      <c r="Z46" s="510">
        <v>0.28357411778533859</v>
      </c>
      <c r="AA46" s="510">
        <v>0.28422767037143959</v>
      </c>
      <c r="AB46" s="510">
        <v>0.34441677449738672</v>
      </c>
      <c r="AC46" s="504"/>
      <c r="AD46" s="504"/>
      <c r="AE46" s="504"/>
    </row>
    <row r="47" spans="1:31" ht="15.75" customHeight="1">
      <c r="A47" s="204">
        <v>12</v>
      </c>
      <c r="B47" s="201" t="s">
        <v>222</v>
      </c>
      <c r="C47" s="468" t="s">
        <v>574</v>
      </c>
      <c r="D47" s="510">
        <v>2.738054439749729E-4</v>
      </c>
      <c r="E47" s="510">
        <v>3.4612762401768919E-4</v>
      </c>
      <c r="F47" s="510">
        <v>4.1772344950381264E-4</v>
      </c>
      <c r="G47" s="510">
        <v>5.3943561579302324E-4</v>
      </c>
      <c r="H47" s="510">
        <v>7.0691897836490467E-4</v>
      </c>
      <c r="I47" s="510">
        <v>1.0045104376513237E-3</v>
      </c>
      <c r="J47" s="510">
        <v>1.4549167534787916E-3</v>
      </c>
      <c r="K47" s="510">
        <v>2.176933728825469E-3</v>
      </c>
      <c r="L47" s="510">
        <v>3.0703322918603964E-3</v>
      </c>
      <c r="M47" s="510">
        <v>4.6972746386320131E-3</v>
      </c>
      <c r="N47" s="510">
        <v>6.8737881287195381E-3</v>
      </c>
      <c r="O47" s="510">
        <v>9.6526801463456269E-3</v>
      </c>
      <c r="P47" s="510">
        <v>1.230492218534323E-2</v>
      </c>
      <c r="Q47" s="510">
        <v>1.5937274772799825E-2</v>
      </c>
      <c r="R47" s="510">
        <v>2.0934221192095516E-2</v>
      </c>
      <c r="S47" s="510">
        <v>2.7870796068676561E-2</v>
      </c>
      <c r="T47" s="510">
        <v>3.6171636793868076E-2</v>
      </c>
      <c r="U47" s="510">
        <v>4.0427324644614057E-2</v>
      </c>
      <c r="V47" s="510">
        <v>5.2232014867744335E-2</v>
      </c>
      <c r="W47" s="510">
        <v>5.3992965165796825E-2</v>
      </c>
      <c r="X47" s="510">
        <v>6.2581150726578924E-2</v>
      </c>
      <c r="Y47" s="510">
        <v>7.9663054830720101E-2</v>
      </c>
      <c r="Z47" s="510">
        <v>9.8770423741687277E-2</v>
      </c>
      <c r="AA47" s="510">
        <v>8.5837822881038583E-2</v>
      </c>
      <c r="AB47" s="510">
        <v>7.9077663755636823E-2</v>
      </c>
      <c r="AC47" s="504"/>
      <c r="AD47" s="504"/>
      <c r="AE47" s="504"/>
    </row>
    <row r="48" spans="1:31" ht="15.75" customHeight="1">
      <c r="A48" s="204">
        <v>12</v>
      </c>
      <c r="B48" s="201" t="s">
        <v>223</v>
      </c>
      <c r="C48" s="468" t="s">
        <v>574</v>
      </c>
      <c r="D48" s="510">
        <v>2.5414887670902757E-5</v>
      </c>
      <c r="E48" s="510">
        <v>4.7921516885621148E-5</v>
      </c>
      <c r="F48" s="510">
        <v>4.0863783436914638E-5</v>
      </c>
      <c r="G48" s="510">
        <v>4.6690700520303686E-5</v>
      </c>
      <c r="H48" s="510">
        <v>4.020242922984203E-5</v>
      </c>
      <c r="I48" s="510">
        <v>7.8037510850176612E-5</v>
      </c>
      <c r="J48" s="510">
        <v>9.3618612247114657E-5</v>
      </c>
      <c r="K48" s="510">
        <v>1.2631648920873663E-4</v>
      </c>
      <c r="L48" s="510">
        <v>1.5948943496573524E-4</v>
      </c>
      <c r="M48" s="510">
        <v>2.0579045376924629E-4</v>
      </c>
      <c r="N48" s="510">
        <v>2.8736291662277301E-4</v>
      </c>
      <c r="O48" s="510">
        <v>3.9117279026507773E-4</v>
      </c>
      <c r="P48" s="510">
        <v>5.2613090587223419E-4</v>
      </c>
      <c r="Q48" s="510">
        <v>6.8021166662060595E-4</v>
      </c>
      <c r="R48" s="510">
        <v>9.1140410867895439E-4</v>
      </c>
      <c r="S48" s="510">
        <v>1.2722089242870364E-3</v>
      </c>
      <c r="T48" s="510">
        <v>1.8066858980789018E-3</v>
      </c>
      <c r="U48" s="510">
        <v>2.3887956833405217E-3</v>
      </c>
      <c r="V48" s="510">
        <v>3.382949363309701E-3</v>
      </c>
      <c r="W48" s="510">
        <v>4.5699859162240553E-3</v>
      </c>
      <c r="X48" s="510">
        <v>6.3109678201666696E-3</v>
      </c>
      <c r="Y48" s="510">
        <v>8.5528321734984133E-3</v>
      </c>
      <c r="Z48" s="510">
        <v>1.1718118271071673E-2</v>
      </c>
      <c r="AA48" s="510">
        <v>8.699636071250327E-3</v>
      </c>
      <c r="AB48" s="510">
        <v>4.7019484955639207E-2</v>
      </c>
      <c r="AC48" s="504"/>
      <c r="AD48" s="504"/>
      <c r="AE48" s="504"/>
    </row>
    <row r="49" spans="1:31" ht="15.75" customHeight="1">
      <c r="A49" s="204">
        <v>12</v>
      </c>
      <c r="B49" s="201" t="s">
        <v>224</v>
      </c>
      <c r="C49" s="468" t="s">
        <v>574</v>
      </c>
      <c r="D49" s="510">
        <v>4.451756962164651E-5</v>
      </c>
      <c r="E49" s="510">
        <v>8.3134458230744508E-5</v>
      </c>
      <c r="F49" s="510">
        <v>1.2852684417408755E-4</v>
      </c>
      <c r="G49" s="510">
        <v>2.0273673055437464E-4</v>
      </c>
      <c r="H49" s="510">
        <v>2.9840394633586924E-4</v>
      </c>
      <c r="I49" s="510">
        <v>4.5840184917097772E-4</v>
      </c>
      <c r="J49" s="510">
        <v>6.574196723936062E-4</v>
      </c>
      <c r="K49" s="510">
        <v>9.1765947595793174E-4</v>
      </c>
      <c r="L49" s="510">
        <v>1.2642651599700701E-3</v>
      </c>
      <c r="M49" s="510">
        <v>1.8543997407213949E-3</v>
      </c>
      <c r="N49" s="510">
        <v>2.6056412685400211E-3</v>
      </c>
      <c r="O49" s="510">
        <v>3.7471716494631492E-3</v>
      </c>
      <c r="P49" s="510">
        <v>4.9070610345263921E-3</v>
      </c>
      <c r="Q49" s="510">
        <v>6.4567245200456503E-3</v>
      </c>
      <c r="R49" s="510">
        <v>9.2126041994884025E-3</v>
      </c>
      <c r="S49" s="510">
        <v>1.1793811993162111E-2</v>
      </c>
      <c r="T49" s="510">
        <v>1.6321900234434212E-2</v>
      </c>
      <c r="U49" s="510">
        <v>1.9667418442577706E-2</v>
      </c>
      <c r="V49" s="510">
        <v>2.5541035508804804E-2</v>
      </c>
      <c r="W49" s="510">
        <v>3.0029222497189079E-2</v>
      </c>
      <c r="X49" s="510">
        <v>3.5704541433969145E-2</v>
      </c>
      <c r="Y49" s="510">
        <v>4.1644756356531754E-2</v>
      </c>
      <c r="Z49" s="510">
        <v>4.4016339882947113E-2</v>
      </c>
      <c r="AA49" s="510">
        <v>4.8031463239778444E-2</v>
      </c>
      <c r="AB49" s="510"/>
      <c r="AC49" s="504"/>
      <c r="AD49" s="504"/>
      <c r="AE49" s="504"/>
    </row>
    <row r="50" spans="1:31" ht="15.75" customHeight="1">
      <c r="A50" s="205">
        <v>12</v>
      </c>
      <c r="B50" s="202" t="s">
        <v>229</v>
      </c>
      <c r="C50" s="468" t="s">
        <v>574</v>
      </c>
      <c r="D50" s="510">
        <v>3.9680560771921784E-5</v>
      </c>
      <c r="E50" s="510">
        <v>9.1799043788599733E-5</v>
      </c>
      <c r="F50" s="510">
        <v>1.3742963025707472E-4</v>
      </c>
      <c r="G50" s="510">
        <v>1.7651751683984688E-4</v>
      </c>
      <c r="H50" s="510">
        <v>1.6757495409780955E-4</v>
      </c>
      <c r="I50" s="510">
        <v>2.1410227845131485E-4</v>
      </c>
      <c r="J50" s="510">
        <v>2.5622398670293006E-4</v>
      </c>
      <c r="K50" s="510">
        <v>3.6683106138026624E-4</v>
      </c>
      <c r="L50" s="510">
        <v>5.9116677033839871E-4</v>
      </c>
      <c r="M50" s="510">
        <v>8.4426139825511228E-4</v>
      </c>
      <c r="N50" s="510">
        <v>1.1883702496281678E-3</v>
      </c>
      <c r="O50" s="510">
        <v>1.8006802331147439E-3</v>
      </c>
      <c r="P50" s="510">
        <v>2.6497411280636263E-3</v>
      </c>
      <c r="Q50" s="510">
        <v>3.4714031399018901E-3</v>
      </c>
      <c r="R50" s="510">
        <v>4.7920567527511152E-3</v>
      </c>
      <c r="S50" s="510">
        <v>6.6407600210671306E-3</v>
      </c>
      <c r="T50" s="510">
        <v>8.6219471610422156E-3</v>
      </c>
      <c r="U50" s="510">
        <v>1.1238996273486956E-2</v>
      </c>
      <c r="V50" s="510">
        <v>1.5403940998377575E-2</v>
      </c>
      <c r="W50" s="510">
        <v>1.9599583250410099E-2</v>
      </c>
      <c r="X50" s="510">
        <v>2.4447036724854466E-2</v>
      </c>
      <c r="Y50" s="510">
        <v>3.0111707392737674E-2</v>
      </c>
      <c r="Z50" s="510">
        <v>3.4525147641695023E-2</v>
      </c>
      <c r="AA50" s="510">
        <v>4.3116971852388088E-2</v>
      </c>
      <c r="AB50" s="510">
        <v>2.8398817876005265E-2</v>
      </c>
      <c r="AC50" s="504"/>
      <c r="AD50" s="504"/>
      <c r="AE50" s="504"/>
    </row>
    <row r="51" spans="1:31" ht="15.75" customHeight="1">
      <c r="A51" s="204">
        <v>12</v>
      </c>
      <c r="B51" s="201" t="s">
        <v>225</v>
      </c>
      <c r="C51" s="468" t="s">
        <v>575</v>
      </c>
      <c r="D51" s="504">
        <v>183.02564680068784</v>
      </c>
      <c r="E51" s="506">
        <v>184.96506015626994</v>
      </c>
      <c r="F51" s="506">
        <v>228.27857572116616</v>
      </c>
      <c r="G51" s="506">
        <v>523.65405024377412</v>
      </c>
      <c r="H51" s="506">
        <v>317.04298557541682</v>
      </c>
      <c r="I51" s="506">
        <v>171.25361711493977</v>
      </c>
      <c r="J51" s="506">
        <v>239.73645485213493</v>
      </c>
      <c r="K51" s="506">
        <v>209.45199671270328</v>
      </c>
      <c r="L51" s="504"/>
      <c r="M51" s="504"/>
      <c r="N51" s="504"/>
      <c r="O51" s="504"/>
      <c r="P51" s="504"/>
      <c r="Q51" s="504"/>
      <c r="R51" s="504"/>
      <c r="S51" s="504"/>
      <c r="T51" s="504"/>
      <c r="U51" s="504"/>
      <c r="V51" s="504"/>
    </row>
    <row r="52" spans="1:31" ht="15.75" customHeight="1">
      <c r="A52" s="204">
        <v>12</v>
      </c>
      <c r="B52" s="201" t="s">
        <v>226</v>
      </c>
      <c r="C52" s="468" t="s">
        <v>575</v>
      </c>
      <c r="D52" s="504">
        <v>188.97135653972396</v>
      </c>
      <c r="E52" s="506">
        <v>166.51878835881092</v>
      </c>
      <c r="F52" s="506">
        <v>231.82029352740156</v>
      </c>
      <c r="G52" s="506">
        <v>602.21315611235786</v>
      </c>
      <c r="H52" s="506">
        <v>195.83297200943636</v>
      </c>
      <c r="I52" s="506">
        <v>123.75192210165761</v>
      </c>
      <c r="J52" s="506">
        <v>150.75796711326637</v>
      </c>
      <c r="K52" s="506">
        <v>137.36836398118584</v>
      </c>
      <c r="L52" s="504"/>
      <c r="M52" s="504"/>
      <c r="N52" s="504"/>
      <c r="O52" s="504"/>
      <c r="P52" s="504"/>
      <c r="Q52" s="504"/>
      <c r="R52" s="504"/>
      <c r="S52" s="504"/>
      <c r="T52" s="504"/>
      <c r="U52" s="504"/>
      <c r="V52" s="504"/>
    </row>
    <row r="53" spans="1:31" ht="15.75" customHeight="1">
      <c r="A53" s="204">
        <v>12</v>
      </c>
      <c r="B53" s="201" t="s">
        <v>227</v>
      </c>
      <c r="C53" s="468" t="s">
        <v>575</v>
      </c>
      <c r="D53" s="504">
        <v>175.01351666531659</v>
      </c>
      <c r="E53" s="506">
        <v>142.81484256908044</v>
      </c>
      <c r="F53" s="506">
        <v>267.95324841484512</v>
      </c>
      <c r="G53" s="506">
        <v>643.01538334115889</v>
      </c>
      <c r="H53" s="506">
        <v>183.56604067293776</v>
      </c>
      <c r="I53" s="506">
        <v>134.42115767194514</v>
      </c>
      <c r="J53" s="506">
        <v>163.54831642442656</v>
      </c>
      <c r="K53" s="506">
        <v>136.34372644172069</v>
      </c>
      <c r="L53" s="504"/>
      <c r="M53" s="504"/>
      <c r="N53" s="504"/>
      <c r="O53" s="504"/>
      <c r="P53" s="504"/>
      <c r="Q53" s="504"/>
      <c r="R53" s="504"/>
      <c r="S53" s="504"/>
      <c r="T53" s="504"/>
      <c r="U53" s="504"/>
      <c r="V53" s="504"/>
    </row>
    <row r="54" spans="1:31" ht="15.75" customHeight="1">
      <c r="A54" s="204">
        <v>12</v>
      </c>
      <c r="B54" s="201" t="s">
        <v>228</v>
      </c>
      <c r="C54" s="468" t="s">
        <v>575</v>
      </c>
      <c r="D54" s="504">
        <v>221.09583379548189</v>
      </c>
      <c r="E54" s="506">
        <v>192.01793290011233</v>
      </c>
      <c r="F54" s="506">
        <v>269.41441758761442</v>
      </c>
      <c r="G54" s="506">
        <v>560.26605200144172</v>
      </c>
      <c r="H54" s="506">
        <v>343.99901744776309</v>
      </c>
      <c r="I54" s="506">
        <v>211.29417082526427</v>
      </c>
      <c r="J54" s="506">
        <v>311.66514408202062</v>
      </c>
      <c r="K54" s="506">
        <v>287.77203095005933</v>
      </c>
      <c r="L54" s="504"/>
      <c r="M54" s="504"/>
      <c r="N54" s="504"/>
      <c r="O54" s="504"/>
      <c r="P54" s="504"/>
      <c r="Q54" s="504"/>
      <c r="R54" s="504"/>
      <c r="S54" s="504"/>
      <c r="T54" s="504"/>
      <c r="U54" s="504"/>
      <c r="V54" s="504"/>
    </row>
    <row r="55" spans="1:31" ht="15.75" customHeight="1">
      <c r="A55" s="204">
        <v>12</v>
      </c>
      <c r="B55" s="201" t="s">
        <v>230</v>
      </c>
      <c r="C55" s="468" t="s">
        <v>575</v>
      </c>
      <c r="D55" s="504">
        <v>128.16711626263572</v>
      </c>
      <c r="E55" s="506">
        <v>176.55348625441255</v>
      </c>
      <c r="F55" s="506">
        <v>271.4331090118539</v>
      </c>
      <c r="G55" s="506">
        <v>570.8169755133847</v>
      </c>
      <c r="H55" s="506">
        <v>217.4177908357066</v>
      </c>
      <c r="I55" s="506">
        <v>150.79766775813391</v>
      </c>
      <c r="J55" s="506">
        <v>198.35443765537647</v>
      </c>
      <c r="K55" s="506">
        <v>190.12359444251049</v>
      </c>
      <c r="L55" s="504"/>
      <c r="M55" s="504"/>
      <c r="N55" s="504"/>
      <c r="O55" s="504"/>
      <c r="P55" s="504"/>
      <c r="Q55" s="504"/>
      <c r="R55" s="504"/>
      <c r="S55" s="504"/>
      <c r="T55" s="504"/>
      <c r="U55" s="504"/>
      <c r="V55" s="504"/>
    </row>
    <row r="56" spans="1:31" ht="15.75" customHeight="1">
      <c r="A56" s="203">
        <v>13</v>
      </c>
      <c r="B56" s="200">
        <v>1</v>
      </c>
      <c r="C56" s="201"/>
    </row>
    <row r="57" spans="1:31" ht="15.75" customHeight="1">
      <c r="A57" s="204">
        <v>13</v>
      </c>
      <c r="B57" s="201">
        <v>2</v>
      </c>
      <c r="C57" s="201"/>
    </row>
    <row r="58" spans="1:31" ht="15.75" customHeight="1">
      <c r="A58" s="204">
        <v>13</v>
      </c>
      <c r="B58" s="201">
        <v>3</v>
      </c>
      <c r="C58" s="201"/>
    </row>
    <row r="59" spans="1:31" ht="15.75" customHeight="1">
      <c r="A59" s="204">
        <v>13</v>
      </c>
      <c r="B59" s="201">
        <v>4</v>
      </c>
      <c r="C59" s="201"/>
    </row>
    <row r="60" spans="1:31" ht="15.75" customHeight="1">
      <c r="A60" s="204">
        <v>13</v>
      </c>
      <c r="B60" s="201">
        <v>5</v>
      </c>
      <c r="C60" s="201"/>
    </row>
    <row r="61" spans="1:31" ht="15.75" customHeight="1">
      <c r="A61" s="204">
        <v>13</v>
      </c>
      <c r="B61" s="201">
        <v>6</v>
      </c>
      <c r="C61" s="201"/>
    </row>
    <row r="62" spans="1:31" ht="15.75" customHeight="1">
      <c r="A62" s="204">
        <v>13</v>
      </c>
      <c r="B62" s="201">
        <v>7</v>
      </c>
      <c r="C62" s="201"/>
    </row>
    <row r="63" spans="1:31" ht="15.75" customHeight="1">
      <c r="A63" s="204">
        <v>13</v>
      </c>
      <c r="B63" s="201">
        <v>8</v>
      </c>
      <c r="C63" s="201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31" ht="15.75" customHeight="1">
      <c r="A64" s="199">
        <v>14</v>
      </c>
      <c r="B64" s="200">
        <v>1</v>
      </c>
      <c r="C64" s="468" t="s">
        <v>572</v>
      </c>
      <c r="D64" s="504">
        <v>1.2941039544084299E-3</v>
      </c>
      <c r="E64" s="234">
        <v>1.8632462436183701E-3</v>
      </c>
      <c r="F64" s="234">
        <v>2.7552085224235999E-3</v>
      </c>
      <c r="G64" s="234">
        <v>3.8625376794457502E-3</v>
      </c>
      <c r="H64" s="234">
        <v>5.4149031132843901E-3</v>
      </c>
      <c r="I64" s="234">
        <v>7.7273571086088396E-3</v>
      </c>
      <c r="J64" s="234">
        <v>1.02702964936111E-2</v>
      </c>
      <c r="K64" s="234">
        <v>1.40190346323277E-2</v>
      </c>
      <c r="L64" s="234">
        <v>1.7822360997015001E-2</v>
      </c>
      <c r="M64" s="234">
        <v>2.2258214688228001E-2</v>
      </c>
      <c r="N64" s="234">
        <v>2.7308219256962099E-2</v>
      </c>
      <c r="O64" s="234">
        <v>3.1763655150792401E-2</v>
      </c>
      <c r="P64" s="235">
        <v>3.6946011713350199E-2</v>
      </c>
      <c r="Q64" s="2"/>
    </row>
    <row r="65" spans="1:17" ht="15.75" customHeight="1">
      <c r="A65" s="196">
        <v>14</v>
      </c>
      <c r="B65" s="201">
        <v>2</v>
      </c>
      <c r="C65" s="468" t="s">
        <v>572</v>
      </c>
      <c r="D65" s="504">
        <v>1.10273454821906E-3</v>
      </c>
      <c r="E65" s="2">
        <v>1.4919187205819202E-3</v>
      </c>
      <c r="F65" s="2">
        <v>2.1480592362295302E-3</v>
      </c>
      <c r="G65" s="2">
        <v>2.9847197872225001E-3</v>
      </c>
      <c r="H65" s="2">
        <v>4.1472534907492304E-3</v>
      </c>
      <c r="I65" s="2">
        <v>5.9183511143303504E-3</v>
      </c>
      <c r="J65" s="2">
        <v>8.1507327085643903E-3</v>
      </c>
      <c r="K65" s="2">
        <v>1.1125813572304499E-2</v>
      </c>
      <c r="L65" s="2">
        <v>1.47871411621528E-2</v>
      </c>
      <c r="M65" s="2">
        <v>1.87988527610869E-2</v>
      </c>
      <c r="N65" s="2">
        <v>2.3063987843131902E-2</v>
      </c>
      <c r="O65" s="2">
        <v>2.9061661236835599E-2</v>
      </c>
      <c r="P65" s="236">
        <v>3.5339674528287304E-2</v>
      </c>
      <c r="Q65" s="2"/>
    </row>
    <row r="66" spans="1:17" ht="15.75" customHeight="1">
      <c r="A66" s="196">
        <v>14</v>
      </c>
      <c r="B66" s="201">
        <v>3</v>
      </c>
      <c r="C66" s="468" t="s">
        <v>572</v>
      </c>
      <c r="D66" s="504">
        <v>1.84675511099487E-3</v>
      </c>
      <c r="E66" s="2">
        <v>2.3269944377424701E-3</v>
      </c>
      <c r="F66" s="2">
        <v>3.0113727037689602E-3</v>
      </c>
      <c r="G66" s="2">
        <v>3.8625376794457502E-3</v>
      </c>
      <c r="H66" s="2">
        <v>5.2723939888692905E-3</v>
      </c>
      <c r="I66" s="2">
        <v>6.7027780146759492E-3</v>
      </c>
      <c r="J66" s="2">
        <v>8.9085431445664002E-3</v>
      </c>
      <c r="K66" s="2">
        <v>1.14265481623633E-2</v>
      </c>
      <c r="L66" s="2">
        <v>1.4526530072221299E-2</v>
      </c>
      <c r="M66" s="2">
        <v>1.7664619678672198E-2</v>
      </c>
      <c r="N66" s="2">
        <v>2.1672416859702302E-2</v>
      </c>
      <c r="O66" s="2">
        <v>2.6120913617840601E-2</v>
      </c>
      <c r="P66" s="236">
        <v>3.0927690520474799E-2</v>
      </c>
      <c r="Q66" s="2"/>
    </row>
    <row r="67" spans="1:17" ht="15.75" customHeight="1">
      <c r="A67" s="196">
        <v>14</v>
      </c>
      <c r="B67" s="201">
        <v>4</v>
      </c>
      <c r="C67" s="468" t="s">
        <v>572</v>
      </c>
      <c r="D67" s="504">
        <v>2.1672424209635602E-3</v>
      </c>
      <c r="E67" s="2">
        <v>2.4327661446037802E-3</v>
      </c>
      <c r="F67" s="2">
        <v>2.6354176790570798E-3</v>
      </c>
      <c r="G67" s="2">
        <v>3.3503982661319399E-3</v>
      </c>
      <c r="H67" s="2">
        <v>4.0381062998707598E-3</v>
      </c>
      <c r="I67" s="2">
        <v>4.6969365254071003E-3</v>
      </c>
      <c r="J67" s="2">
        <v>5.7115851169816899E-3</v>
      </c>
      <c r="K67" s="2">
        <v>7.0074475316398805E-3</v>
      </c>
      <c r="L67" s="2">
        <v>8.5973163753734205E-3</v>
      </c>
      <c r="M67" s="2">
        <v>1.04545421559491E-2</v>
      </c>
      <c r="N67" s="2">
        <v>1.26004536988144E-2</v>
      </c>
      <c r="O67" s="2">
        <v>1.5322447604745401E-2</v>
      </c>
      <c r="P67" s="236">
        <v>1.87988527610869E-2</v>
      </c>
      <c r="Q67" s="2"/>
    </row>
    <row r="68" spans="1:17" ht="15.75" customHeight="1">
      <c r="A68" s="196">
        <v>14</v>
      </c>
      <c r="B68" s="201">
        <v>5</v>
      </c>
      <c r="C68" s="468" t="s">
        <v>572</v>
      </c>
      <c r="D68" s="504">
        <v>3.3803189069540099E-3</v>
      </c>
      <c r="E68" s="2">
        <v>3.5339686513302698E-3</v>
      </c>
      <c r="F68" s="2">
        <v>4.8238947087242108E-3</v>
      </c>
      <c r="G68" s="2">
        <v>5.4149031132843901E-3</v>
      </c>
      <c r="H68" s="2">
        <v>6.7027780146759492E-3</v>
      </c>
      <c r="I68" s="2">
        <v>8.1507327085643903E-3</v>
      </c>
      <c r="J68" s="2">
        <v>1.0362011583673801E-2</v>
      </c>
      <c r="K68" s="2">
        <v>1.27129644629413E-2</v>
      </c>
      <c r="L68" s="2">
        <v>1.54592790645697E-2</v>
      </c>
      <c r="M68" s="2">
        <v>1.93069791596104E-2</v>
      </c>
      <c r="N68" s="2">
        <v>2.38989228145991E-2</v>
      </c>
      <c r="O68" s="2">
        <v>2.9321185670172598E-2</v>
      </c>
      <c r="P68" s="236">
        <v>3.4716865643580001E-2</v>
      </c>
      <c r="Q68" s="2"/>
    </row>
    <row r="69" spans="1:17" ht="15.75" customHeight="1">
      <c r="A69" s="196">
        <v>14</v>
      </c>
      <c r="B69" s="201">
        <v>6</v>
      </c>
      <c r="C69" s="468" t="s">
        <v>572</v>
      </c>
      <c r="D69" s="504">
        <v>3.1763655150792301E-3</v>
      </c>
      <c r="E69" s="2">
        <v>3.9318289719378402E-3</v>
      </c>
      <c r="F69" s="2">
        <v>4.3357636450445198E-3</v>
      </c>
      <c r="G69" s="2">
        <v>5.0431610588217296E-3</v>
      </c>
      <c r="H69" s="2">
        <v>6.1326022802940198E-3</v>
      </c>
      <c r="I69" s="2">
        <v>7.07002255629179E-3</v>
      </c>
      <c r="J69" s="2">
        <v>8.5212178703560001E-3</v>
      </c>
      <c r="K69" s="2">
        <v>9.8237649630279304E-3</v>
      </c>
      <c r="L69" s="2">
        <v>1.14265481623633E-2</v>
      </c>
      <c r="M69" s="2">
        <v>1.3173197437833999E-2</v>
      </c>
      <c r="N69" s="2">
        <v>1.4919187205819201E-2</v>
      </c>
      <c r="O69" s="2">
        <v>1.89667225410091E-2</v>
      </c>
      <c r="P69" s="236">
        <v>2.1672416859702302E-2</v>
      </c>
      <c r="Q69" s="2"/>
    </row>
    <row r="70" spans="1:17" ht="15.75" customHeight="1">
      <c r="A70" s="196">
        <v>14</v>
      </c>
      <c r="B70" s="201">
        <v>7</v>
      </c>
      <c r="C70" s="468" t="s">
        <v>572</v>
      </c>
      <c r="D70" s="504">
        <v>2.4112343319032002E-3</v>
      </c>
      <c r="E70" s="2">
        <v>2.7066530127698202E-3</v>
      </c>
      <c r="F70" s="2">
        <v>2.5889732638646403E-3</v>
      </c>
      <c r="G70" s="2">
        <v>2.8046350848154301E-3</v>
      </c>
      <c r="H70" s="2">
        <v>3.1203878839213199E-3</v>
      </c>
      <c r="I70" s="2">
        <v>3.5973656394762401E-3</v>
      </c>
      <c r="J70" s="2">
        <v>4.0381062998707598E-3</v>
      </c>
      <c r="K70" s="2">
        <v>4.7811963643028203E-3</v>
      </c>
      <c r="L70" s="2">
        <v>5.8659692493604398E-3</v>
      </c>
      <c r="M70" s="2">
        <v>7.1968563813365402E-3</v>
      </c>
      <c r="N70" s="2">
        <v>8.9881006474373214E-3</v>
      </c>
      <c r="O70" s="2">
        <v>1.1225172348577599E-2</v>
      </c>
      <c r="P70" s="236">
        <v>1.40190346323277E-2</v>
      </c>
      <c r="Q70" s="2"/>
    </row>
    <row r="71" spans="1:17" ht="15.75" customHeight="1">
      <c r="A71" s="196">
        <v>14</v>
      </c>
      <c r="B71" s="201">
        <v>8</v>
      </c>
      <c r="C71" s="468" t="s">
        <v>572</v>
      </c>
      <c r="D71" s="504">
        <v>4.4135472823130005E-3</v>
      </c>
      <c r="E71" s="2">
        <v>4.3357636450445198E-3</v>
      </c>
      <c r="F71" s="2">
        <v>4.3357636450445198E-3</v>
      </c>
      <c r="G71" s="2">
        <v>4.4135472823130005E-3</v>
      </c>
      <c r="H71" s="2">
        <v>4.3744810975475104E-3</v>
      </c>
      <c r="I71" s="2">
        <v>4.4135472823130005E-3</v>
      </c>
      <c r="J71" s="2">
        <v>4.9104320908685802E-3</v>
      </c>
      <c r="K71" s="2">
        <v>5.6610332868211998E-3</v>
      </c>
      <c r="L71" s="2">
        <v>6.1326022802940198E-3</v>
      </c>
      <c r="M71" s="2">
        <v>6.76263240496725E-3</v>
      </c>
      <c r="N71" s="2">
        <v>7.3913873925235398E-3</v>
      </c>
      <c r="O71" s="2">
        <v>8.9881006474373214E-3</v>
      </c>
      <c r="P71" s="236">
        <v>1.0929745169051699E-2</v>
      </c>
      <c r="Q71" s="2"/>
    </row>
    <row r="72" spans="1:17" ht="15.75" customHeight="1">
      <c r="A72" s="196">
        <v>14</v>
      </c>
      <c r="B72" s="201">
        <v>9</v>
      </c>
      <c r="C72" s="468" t="s">
        <v>572</v>
      </c>
      <c r="D72" s="504">
        <v>5.4632570530422702E-3</v>
      </c>
      <c r="E72" s="2">
        <v>5.6610332868211998E-3</v>
      </c>
      <c r="F72" s="2">
        <v>5.4149031132843901E-3</v>
      </c>
      <c r="G72" s="2">
        <v>5.4632570530422702E-3</v>
      </c>
      <c r="H72" s="2">
        <v>5.7625922729181807E-3</v>
      </c>
      <c r="I72" s="2">
        <v>6.4686069500604401E-3</v>
      </c>
      <c r="J72" s="2">
        <v>7.1331539435603199E-3</v>
      </c>
      <c r="K72" s="2">
        <v>7.9362248617426811E-3</v>
      </c>
      <c r="L72" s="2">
        <v>9.231048986955509E-3</v>
      </c>
      <c r="M72" s="2">
        <v>1.02702964936111E-2</v>
      </c>
      <c r="N72" s="2">
        <v>1.14265481623633E-2</v>
      </c>
      <c r="O72" s="2">
        <v>1.37719747942477E-2</v>
      </c>
      <c r="P72" s="236">
        <v>1.7047481115060801E-2</v>
      </c>
      <c r="Q72" s="2"/>
    </row>
    <row r="73" spans="1:17" ht="15.75" customHeight="1">
      <c r="A73" s="197">
        <v>14</v>
      </c>
      <c r="B73" s="202">
        <v>10</v>
      </c>
      <c r="C73" s="468" t="s">
        <v>572</v>
      </c>
      <c r="D73" s="504">
        <v>1.00893013070457E-2</v>
      </c>
      <c r="E73" s="34">
        <v>1.02702964936111E-2</v>
      </c>
      <c r="F73" s="34">
        <v>1.0642085905190401E-2</v>
      </c>
      <c r="G73" s="34">
        <v>9.8237649630279304E-3</v>
      </c>
      <c r="H73" s="34">
        <v>1.0547902583858201E-2</v>
      </c>
      <c r="I73" s="34">
        <v>1.0642085905190401E-2</v>
      </c>
      <c r="J73" s="34">
        <v>1.1631528701088901E-2</v>
      </c>
      <c r="K73" s="34">
        <v>1.1945932946041E-2</v>
      </c>
      <c r="L73" s="34">
        <v>1.42705313951309E-2</v>
      </c>
      <c r="M73" s="34">
        <v>1.46562588549381E-2</v>
      </c>
      <c r="N73" s="34">
        <v>1.55973271575734E-2</v>
      </c>
      <c r="O73" s="34">
        <v>1.9136091362568001E-2</v>
      </c>
      <c r="P73" s="237">
        <v>2.2258214688228001E-2</v>
      </c>
      <c r="Q73" s="2"/>
    </row>
    <row r="74" spans="1:17" ht="15.75" customHeight="1">
      <c r="A74" s="204">
        <v>15</v>
      </c>
      <c r="B74" s="201">
        <v>1</v>
      </c>
      <c r="C74" s="201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7" ht="15.75" customHeight="1">
      <c r="A75" s="204">
        <v>15</v>
      </c>
      <c r="B75" s="201">
        <v>2</v>
      </c>
      <c r="C75" s="201"/>
    </row>
    <row r="76" spans="1:17" ht="15.75" customHeight="1">
      <c r="A76" s="204">
        <v>15</v>
      </c>
      <c r="B76" s="201">
        <v>3</v>
      </c>
      <c r="C76" s="201"/>
    </row>
    <row r="77" spans="1:17" ht="15.75" customHeight="1">
      <c r="A77" s="204">
        <v>15</v>
      </c>
      <c r="B77" s="201">
        <v>4</v>
      </c>
      <c r="C77" s="201"/>
    </row>
    <row r="78" spans="1:17" ht="15.75" customHeight="1">
      <c r="A78" s="204">
        <v>15</v>
      </c>
      <c r="B78" s="201">
        <v>5</v>
      </c>
      <c r="C78" s="201"/>
    </row>
    <row r="79" spans="1:17" ht="15.75" customHeight="1">
      <c r="A79" s="205">
        <v>15</v>
      </c>
      <c r="B79" s="202">
        <v>6</v>
      </c>
      <c r="C79" s="201"/>
    </row>
    <row r="80" spans="1:17" ht="15.75" customHeight="1">
      <c r="A80" s="204">
        <v>16</v>
      </c>
      <c r="B80" s="201">
        <v>1</v>
      </c>
      <c r="C80" s="201"/>
    </row>
    <row r="81" spans="1:24" ht="15.75" customHeight="1">
      <c r="A81" s="204">
        <v>16</v>
      </c>
      <c r="B81" s="201">
        <v>2</v>
      </c>
      <c r="C81" s="201"/>
    </row>
    <row r="82" spans="1:24" ht="15.75" customHeight="1">
      <c r="A82" s="204">
        <v>16</v>
      </c>
      <c r="B82" s="201">
        <v>3</v>
      </c>
      <c r="C82" s="201"/>
    </row>
    <row r="83" spans="1:24" ht="15.75" customHeight="1">
      <c r="A83" s="229">
        <v>17</v>
      </c>
      <c r="B83" s="74">
        <v>1</v>
      </c>
      <c r="C83" s="75"/>
    </row>
    <row r="84" spans="1:24" ht="15.75" customHeight="1">
      <c r="A84" s="228">
        <v>17</v>
      </c>
      <c r="B84" s="75">
        <v>2</v>
      </c>
      <c r="C84" s="75"/>
    </row>
    <row r="85" spans="1:24" ht="15.75" customHeight="1">
      <c r="A85" s="228">
        <v>17</v>
      </c>
      <c r="B85" s="75">
        <v>3</v>
      </c>
      <c r="C85" s="75"/>
    </row>
    <row r="86" spans="1:24" ht="15.75" customHeight="1">
      <c r="A86" s="228">
        <v>17</v>
      </c>
      <c r="B86" s="75">
        <v>4</v>
      </c>
      <c r="C86" s="75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4" ht="15.75" customHeight="1">
      <c r="A87" s="229">
        <v>18</v>
      </c>
      <c r="B87" s="74">
        <v>1</v>
      </c>
      <c r="C87" s="512" t="s">
        <v>572</v>
      </c>
      <c r="D87" s="504">
        <v>8.0566999999999998E-4</v>
      </c>
      <c r="E87" s="234">
        <v>8.0566999999999998E-4</v>
      </c>
      <c r="F87" s="234">
        <v>8.7367E-4</v>
      </c>
      <c r="G87" s="234">
        <v>9.2840999999999996E-4</v>
      </c>
      <c r="H87" s="234">
        <v>9.2840999999999996E-4</v>
      </c>
      <c r="I87" s="234">
        <v>1.0067799999999999E-3</v>
      </c>
      <c r="J87" s="234">
        <v>1.0484000000000001E-3</v>
      </c>
      <c r="K87" s="234">
        <v>1.0917500000000001E-3</v>
      </c>
      <c r="L87" s="234">
        <v>1.1140899999999999E-3</v>
      </c>
      <c r="M87" s="234">
        <v>1.1839000000000001E-3</v>
      </c>
      <c r="N87" s="234">
        <v>1.28382E-3</v>
      </c>
      <c r="O87" s="234">
        <v>1.50968E-3</v>
      </c>
      <c r="P87" s="234">
        <v>1.47941E-3</v>
      </c>
      <c r="Q87" s="234">
        <v>1.6370999999999998E-3</v>
      </c>
      <c r="R87" s="234">
        <v>1.73968E-3</v>
      </c>
      <c r="S87" s="234">
        <v>2.0875999999999998E-3</v>
      </c>
      <c r="T87" s="234">
        <v>2.3101300000000001E-3</v>
      </c>
      <c r="U87" s="234">
        <v>2.7165500000000003E-3</v>
      </c>
      <c r="V87" s="234">
        <v>2.8867600000000004E-3</v>
      </c>
      <c r="W87" s="235">
        <v>2.8867600000000004E-3</v>
      </c>
      <c r="X87" s="2"/>
    </row>
    <row r="88" spans="1:24" ht="15.75" customHeight="1">
      <c r="A88" s="228">
        <v>18</v>
      </c>
      <c r="B88" s="75">
        <v>2</v>
      </c>
      <c r="C88" s="512" t="s">
        <v>572</v>
      </c>
      <c r="D88" s="504">
        <v>1.11516E-3</v>
      </c>
      <c r="E88" s="2">
        <v>1.48456E-3</v>
      </c>
      <c r="F88" s="2">
        <v>2.0171300000000002E-3</v>
      </c>
      <c r="G88" s="2">
        <v>2.5777600000000001E-3</v>
      </c>
      <c r="H88" s="2">
        <v>3.4316500000000001E-3</v>
      </c>
      <c r="I88" s="2">
        <v>4.7589899999999994E-3</v>
      </c>
      <c r="J88" s="2">
        <v>6.2072500000000001E-3</v>
      </c>
      <c r="K88" s="2">
        <v>7.9324700000000005E-3</v>
      </c>
      <c r="L88" s="2">
        <v>1.034649E-2</v>
      </c>
      <c r="M88" s="2">
        <v>1.3495139999999999E-2</v>
      </c>
      <c r="N88" s="2">
        <v>1.6897040000000002E-2</v>
      </c>
      <c r="O88" s="2">
        <v>2.1156500000000002E-2</v>
      </c>
      <c r="P88" s="34">
        <v>2.5953810000000001E-2</v>
      </c>
      <c r="Q88" s="34">
        <v>3.0563779999999999E-2</v>
      </c>
      <c r="R88" s="34">
        <v>3.5264459999999997E-2</v>
      </c>
      <c r="S88" s="34">
        <v>4.1528209999999996E-2</v>
      </c>
      <c r="T88" s="34">
        <v>4.4154039999999999E-2</v>
      </c>
      <c r="U88" s="34"/>
      <c r="V88" s="34"/>
      <c r="W88" s="237"/>
      <c r="X88" s="2"/>
    </row>
    <row r="89" spans="1:24" ht="15.75" customHeight="1">
      <c r="A89" s="229">
        <v>19</v>
      </c>
      <c r="B89" s="74">
        <v>1</v>
      </c>
      <c r="C89" s="512" t="s">
        <v>572</v>
      </c>
      <c r="D89" s="504">
        <v>234.94</v>
      </c>
      <c r="E89" s="250">
        <v>234.1</v>
      </c>
      <c r="F89" s="250">
        <v>243.31</v>
      </c>
      <c r="G89" s="250">
        <v>243.72</v>
      </c>
      <c r="H89" s="250">
        <v>215.69</v>
      </c>
      <c r="I89" s="250">
        <v>165.48</v>
      </c>
      <c r="J89" s="250">
        <v>147.49</v>
      </c>
      <c r="K89" s="250">
        <v>148.33000000000001</v>
      </c>
      <c r="L89" s="250">
        <v>146.22999999999999</v>
      </c>
      <c r="M89" s="250">
        <v>141.63</v>
      </c>
      <c r="N89" s="250">
        <v>132.85</v>
      </c>
      <c r="O89" s="137">
        <v>117.78</v>
      </c>
      <c r="P89" s="2"/>
      <c r="Q89" s="2"/>
      <c r="R89" s="2"/>
      <c r="S89" s="2"/>
      <c r="T89" s="2"/>
      <c r="U89" s="2"/>
      <c r="V89" s="2"/>
      <c r="W89" s="2"/>
    </row>
    <row r="90" spans="1:24" ht="15.75" customHeight="1">
      <c r="A90" s="228">
        <v>19</v>
      </c>
      <c r="B90" s="75">
        <v>2</v>
      </c>
      <c r="C90" s="512" t="s">
        <v>572</v>
      </c>
      <c r="D90" s="504">
        <v>208.16</v>
      </c>
      <c r="E90" s="274">
        <v>209</v>
      </c>
      <c r="F90" s="274">
        <v>219.87</v>
      </c>
      <c r="G90" s="274">
        <v>211.09</v>
      </c>
      <c r="H90" s="274">
        <v>176.78</v>
      </c>
      <c r="I90" s="274">
        <v>126.15</v>
      </c>
      <c r="J90" s="274">
        <v>106.49</v>
      </c>
      <c r="K90" s="274">
        <v>102.72</v>
      </c>
      <c r="L90" s="274">
        <v>98.95</v>
      </c>
      <c r="M90" s="274">
        <v>93.1</v>
      </c>
      <c r="N90" s="274">
        <v>81.38</v>
      </c>
      <c r="O90" s="138">
        <v>66.319999999999993</v>
      </c>
      <c r="P90" s="2"/>
    </row>
    <row r="91" spans="1:24" ht="15.75" customHeight="1">
      <c r="A91" s="228">
        <v>19</v>
      </c>
      <c r="B91" s="75">
        <v>3</v>
      </c>
      <c r="C91" s="512" t="s">
        <v>572</v>
      </c>
      <c r="D91" s="504">
        <v>200.21</v>
      </c>
      <c r="E91" s="326">
        <v>203.97</v>
      </c>
      <c r="F91" s="326">
        <v>211.51</v>
      </c>
      <c r="G91" s="326">
        <v>201.46</v>
      </c>
      <c r="H91" s="326">
        <v>164.64</v>
      </c>
      <c r="I91" s="326">
        <v>114.02</v>
      </c>
      <c r="J91" s="326">
        <v>93.1</v>
      </c>
      <c r="K91" s="326">
        <v>85.15</v>
      </c>
      <c r="L91" s="326">
        <v>80.540000000000006</v>
      </c>
      <c r="M91" s="326">
        <v>74.69</v>
      </c>
      <c r="N91" s="326">
        <v>63.39</v>
      </c>
      <c r="O91" s="139">
        <v>50.84</v>
      </c>
      <c r="P91" s="2"/>
    </row>
    <row r="92" spans="1:24" ht="15.75" customHeight="1">
      <c r="A92" s="228">
        <v>19</v>
      </c>
      <c r="B92" s="75">
        <v>4</v>
      </c>
      <c r="C92" s="512" t="s">
        <v>572</v>
      </c>
      <c r="D92" s="504">
        <v>197.7</v>
      </c>
      <c r="E92" s="274">
        <v>206.07</v>
      </c>
      <c r="F92" s="274">
        <v>215.69</v>
      </c>
      <c r="G92" s="274">
        <v>187.24</v>
      </c>
      <c r="H92" s="274">
        <v>140.38</v>
      </c>
      <c r="I92" s="274">
        <v>79.709999999999994</v>
      </c>
      <c r="J92" s="274">
        <v>66.319999999999993</v>
      </c>
      <c r="K92" s="274">
        <v>58.37</v>
      </c>
      <c r="L92" s="274">
        <v>55.02</v>
      </c>
      <c r="M92" s="274">
        <v>51.67</v>
      </c>
      <c r="N92" s="274"/>
      <c r="O92" s="138"/>
      <c r="P92" s="2"/>
    </row>
    <row r="93" spans="1:24" ht="15.75" customHeight="1">
      <c r="A93" s="230">
        <v>19</v>
      </c>
      <c r="B93" s="231">
        <v>5</v>
      </c>
      <c r="C93" s="512" t="s">
        <v>572</v>
      </c>
      <c r="D93" s="504">
        <v>170.5</v>
      </c>
      <c r="E93" s="327">
        <v>162.97</v>
      </c>
      <c r="F93" s="327">
        <v>166.74</v>
      </c>
      <c r="G93" s="327">
        <v>149.58000000000001</v>
      </c>
      <c r="H93" s="327">
        <v>110.67</v>
      </c>
      <c r="I93" s="327">
        <v>73.010000000000005</v>
      </c>
      <c r="J93" s="327">
        <v>54.18</v>
      </c>
      <c r="K93" s="327"/>
      <c r="L93" s="327"/>
      <c r="M93" s="327"/>
      <c r="N93" s="327"/>
      <c r="O93" s="155"/>
      <c r="P93" s="2"/>
    </row>
    <row r="94" spans="1:24" ht="15.75" customHeight="1">
      <c r="A94" s="228">
        <v>20</v>
      </c>
      <c r="B94" s="75" t="s">
        <v>221</v>
      </c>
      <c r="C94" s="75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24" ht="15.75" customHeight="1">
      <c r="A95" s="228">
        <v>20</v>
      </c>
      <c r="B95" s="75" t="s">
        <v>222</v>
      </c>
      <c r="C95" s="75"/>
    </row>
    <row r="96" spans="1:24" ht="15.75" customHeight="1">
      <c r="A96" s="228">
        <v>20</v>
      </c>
      <c r="B96" s="75" t="s">
        <v>223</v>
      </c>
      <c r="C96" s="75"/>
    </row>
    <row r="97" spans="1:3" ht="15.75" customHeight="1">
      <c r="A97" s="228">
        <v>20</v>
      </c>
      <c r="B97" s="75" t="s">
        <v>224</v>
      </c>
      <c r="C97" s="75"/>
    </row>
    <row r="98" spans="1:3" ht="15.75" customHeight="1">
      <c r="A98" s="228">
        <v>20</v>
      </c>
      <c r="B98" s="75" t="s">
        <v>225</v>
      </c>
      <c r="C98" s="75"/>
    </row>
    <row r="99" spans="1:3" ht="15.75" customHeight="1">
      <c r="A99" s="228">
        <v>20</v>
      </c>
      <c r="B99" s="75" t="s">
        <v>226</v>
      </c>
      <c r="C99" s="75"/>
    </row>
    <row r="100" spans="1:3" ht="15.75" customHeight="1">
      <c r="A100" s="228">
        <v>20</v>
      </c>
      <c r="B100" s="75" t="s">
        <v>227</v>
      </c>
      <c r="C100" s="75"/>
    </row>
    <row r="101" spans="1:3" ht="15.75" customHeight="1">
      <c r="A101" s="228">
        <v>20</v>
      </c>
      <c r="B101" s="75" t="s">
        <v>228</v>
      </c>
      <c r="C101" s="75"/>
    </row>
    <row r="102" spans="1:3" ht="15.75" customHeight="1">
      <c r="A102" s="228">
        <v>20</v>
      </c>
      <c r="B102" s="75" t="s">
        <v>231</v>
      </c>
      <c r="C102" s="75"/>
    </row>
    <row r="103" spans="1:3" ht="15.75" customHeight="1">
      <c r="A103" s="228">
        <v>20</v>
      </c>
      <c r="B103" s="75" t="s">
        <v>232</v>
      </c>
      <c r="C103" s="75"/>
    </row>
    <row r="104" spans="1:3" ht="15.75" customHeight="1">
      <c r="A104" s="228">
        <v>20</v>
      </c>
      <c r="B104" s="75" t="s">
        <v>233</v>
      </c>
      <c r="C104" s="75"/>
    </row>
    <row r="105" spans="1:3" ht="15.75" customHeight="1">
      <c r="A105" s="228">
        <v>20</v>
      </c>
      <c r="B105" s="75" t="s">
        <v>234</v>
      </c>
      <c r="C105" s="75"/>
    </row>
    <row r="106" spans="1:3" ht="15.75" customHeight="1">
      <c r="A106" s="228">
        <v>20</v>
      </c>
      <c r="B106" s="75" t="s">
        <v>235</v>
      </c>
      <c r="C106" s="75"/>
    </row>
    <row r="107" spans="1:3" ht="15.75" customHeight="1">
      <c r="A107" s="228">
        <v>20</v>
      </c>
      <c r="B107" s="75" t="s">
        <v>236</v>
      </c>
      <c r="C107" s="75"/>
    </row>
    <row r="108" spans="1:3" ht="15.75" customHeight="1">
      <c r="A108" s="228">
        <v>20</v>
      </c>
      <c r="B108" s="75" t="s">
        <v>237</v>
      </c>
      <c r="C108" s="75"/>
    </row>
    <row r="109" spans="1:3" ht="15.75" customHeight="1">
      <c r="A109" s="228">
        <v>20</v>
      </c>
      <c r="B109" s="75" t="s">
        <v>238</v>
      </c>
      <c r="C109" s="75"/>
    </row>
    <row r="110" spans="1:3" ht="15.75" customHeight="1">
      <c r="A110" s="228">
        <v>20</v>
      </c>
      <c r="B110" s="75" t="s">
        <v>239</v>
      </c>
      <c r="C110" s="75"/>
    </row>
    <row r="111" spans="1:3" ht="15.75" customHeight="1">
      <c r="A111" s="228">
        <v>20</v>
      </c>
      <c r="B111" s="75" t="s">
        <v>240</v>
      </c>
      <c r="C111" s="75"/>
    </row>
    <row r="112" spans="1:3" ht="15.75" customHeight="1">
      <c r="A112" s="228">
        <v>20</v>
      </c>
      <c r="B112" s="75" t="s">
        <v>241</v>
      </c>
      <c r="C112" s="75"/>
    </row>
    <row r="113" spans="1:12" ht="15.75" customHeight="1">
      <c r="A113" s="228">
        <v>20</v>
      </c>
      <c r="B113" s="75" t="s">
        <v>242</v>
      </c>
      <c r="C113" s="75"/>
      <c r="E113" s="2"/>
      <c r="F113" s="2"/>
      <c r="G113" s="2"/>
      <c r="H113" s="2"/>
      <c r="I113" s="2"/>
      <c r="J113" s="2"/>
      <c r="K113" s="2"/>
    </row>
    <row r="114" spans="1:12" ht="15.75" customHeight="1">
      <c r="A114" s="229">
        <v>21</v>
      </c>
      <c r="B114" s="74" t="s">
        <v>221</v>
      </c>
      <c r="C114" s="512" t="s">
        <v>572</v>
      </c>
      <c r="D114" s="504">
        <v>57.31</v>
      </c>
      <c r="E114" s="2">
        <v>53.72</v>
      </c>
      <c r="F114" s="2">
        <v>68.77</v>
      </c>
      <c r="G114" s="2">
        <v>113.9</v>
      </c>
      <c r="H114" s="2">
        <v>108.88</v>
      </c>
      <c r="I114" s="2">
        <v>59.46</v>
      </c>
      <c r="J114" s="2">
        <v>57.31</v>
      </c>
      <c r="K114" s="2">
        <v>80.95</v>
      </c>
      <c r="L114" s="2"/>
    </row>
    <row r="115" spans="1:12" ht="15.75" customHeight="1">
      <c r="A115" s="228">
        <v>21</v>
      </c>
      <c r="B115" s="75" t="s">
        <v>222</v>
      </c>
      <c r="C115" s="512" t="s">
        <v>572</v>
      </c>
      <c r="D115" s="504">
        <v>76.650000000000006</v>
      </c>
      <c r="E115" s="8">
        <v>74.5</v>
      </c>
      <c r="F115" s="8">
        <v>89.54</v>
      </c>
      <c r="G115" s="8">
        <v>105.3</v>
      </c>
      <c r="H115" s="8">
        <v>95.99</v>
      </c>
      <c r="I115" s="8">
        <v>52.29</v>
      </c>
      <c r="J115" s="8">
        <v>51.58</v>
      </c>
      <c r="K115" s="8">
        <v>66.62</v>
      </c>
      <c r="L115" s="2"/>
    </row>
    <row r="116" spans="1:12" ht="15.75" customHeight="1">
      <c r="A116" s="228">
        <v>21</v>
      </c>
      <c r="B116" s="75" t="s">
        <v>223</v>
      </c>
      <c r="C116" s="512" t="s">
        <v>572</v>
      </c>
      <c r="D116" s="504">
        <v>83.09</v>
      </c>
      <c r="E116" s="8">
        <v>88.83</v>
      </c>
      <c r="F116" s="8">
        <v>84.53</v>
      </c>
      <c r="G116" s="8">
        <v>85.96</v>
      </c>
      <c r="H116" s="8">
        <v>68.77</v>
      </c>
      <c r="I116" s="8">
        <v>43.7</v>
      </c>
      <c r="J116" s="8">
        <v>44.41</v>
      </c>
      <c r="K116" s="8">
        <v>53.72</v>
      </c>
      <c r="L116" s="2"/>
    </row>
    <row r="117" spans="1:12" ht="15.75" customHeight="1">
      <c r="A117" s="228">
        <v>21</v>
      </c>
      <c r="B117" s="75" t="s">
        <v>224</v>
      </c>
      <c r="C117" s="512" t="s">
        <v>572</v>
      </c>
      <c r="D117" s="504">
        <v>121.06</v>
      </c>
      <c r="E117" s="8">
        <v>135.38999999999999</v>
      </c>
      <c r="F117" s="8">
        <v>115.33</v>
      </c>
      <c r="G117" s="8">
        <v>81.66</v>
      </c>
      <c r="H117" s="8">
        <v>53.01</v>
      </c>
      <c r="I117" s="8">
        <v>34.380000000000003</v>
      </c>
      <c r="J117" s="8">
        <v>37.25</v>
      </c>
      <c r="K117" s="8">
        <v>45.85</v>
      </c>
      <c r="L117" s="2"/>
    </row>
    <row r="118" spans="1:12" ht="15.75" customHeight="1">
      <c r="A118" s="228">
        <v>21</v>
      </c>
      <c r="B118" s="75" t="s">
        <v>229</v>
      </c>
      <c r="C118" s="512" t="s">
        <v>572</v>
      </c>
      <c r="D118" s="504">
        <v>51.49</v>
      </c>
      <c r="E118" s="8">
        <v>52.24</v>
      </c>
      <c r="F118" s="8">
        <v>64.180000000000007</v>
      </c>
      <c r="G118" s="8">
        <v>84.33</v>
      </c>
      <c r="H118" s="8">
        <v>97.01</v>
      </c>
      <c r="I118" s="8">
        <v>49.25</v>
      </c>
      <c r="J118" s="8">
        <v>47.01</v>
      </c>
      <c r="K118" s="8">
        <v>63.43</v>
      </c>
      <c r="L118" s="2"/>
    </row>
    <row r="119" spans="1:12" ht="15.75" customHeight="1">
      <c r="A119" s="228">
        <v>21</v>
      </c>
      <c r="B119" s="75" t="s">
        <v>243</v>
      </c>
      <c r="C119" s="512" t="s">
        <v>572</v>
      </c>
      <c r="D119" s="504">
        <v>75.37</v>
      </c>
      <c r="E119" s="8">
        <v>85.07</v>
      </c>
      <c r="F119" s="8">
        <v>102.99</v>
      </c>
      <c r="G119" s="8">
        <v>118.66</v>
      </c>
      <c r="H119" s="8">
        <v>108.21</v>
      </c>
      <c r="I119" s="8">
        <v>61.19</v>
      </c>
      <c r="J119" s="8">
        <v>62.69</v>
      </c>
      <c r="K119" s="8">
        <v>77.61</v>
      </c>
      <c r="L119" s="2"/>
    </row>
    <row r="120" spans="1:12" ht="15.75" customHeight="1">
      <c r="A120" s="228">
        <v>21</v>
      </c>
      <c r="B120" s="75" t="s">
        <v>244</v>
      </c>
      <c r="C120" s="512" t="s">
        <v>572</v>
      </c>
      <c r="D120" s="504">
        <v>81.34</v>
      </c>
      <c r="E120" s="8">
        <v>98.51</v>
      </c>
      <c r="F120" s="8">
        <v>93.28</v>
      </c>
      <c r="G120" s="8">
        <v>89.55</v>
      </c>
      <c r="H120" s="8">
        <v>64.930000000000007</v>
      </c>
      <c r="I120" s="8">
        <v>42.54</v>
      </c>
      <c r="J120" s="8">
        <v>42.54</v>
      </c>
      <c r="K120" s="8">
        <v>57.46</v>
      </c>
      <c r="L120" s="2"/>
    </row>
    <row r="121" spans="1:12" ht="15.75" customHeight="1">
      <c r="A121" s="230">
        <v>21</v>
      </c>
      <c r="B121" s="231" t="s">
        <v>245</v>
      </c>
      <c r="C121" s="512" t="s">
        <v>572</v>
      </c>
      <c r="D121" s="504">
        <v>115.67</v>
      </c>
      <c r="E121" s="8">
        <v>125.37</v>
      </c>
      <c r="F121" s="8">
        <v>97.76</v>
      </c>
      <c r="G121" s="8">
        <v>72.39</v>
      </c>
      <c r="H121" s="8">
        <v>40.299999999999997</v>
      </c>
      <c r="I121" s="8">
        <v>28.36</v>
      </c>
      <c r="J121" s="8">
        <v>35.82</v>
      </c>
      <c r="K121" s="8">
        <v>43.28</v>
      </c>
      <c r="L121" s="2"/>
    </row>
    <row r="122" spans="1:12" ht="15.75" customHeight="1">
      <c r="A122" s="228">
        <v>21</v>
      </c>
      <c r="B122" s="75" t="s">
        <v>225</v>
      </c>
      <c r="C122" s="75"/>
      <c r="E122" s="2"/>
      <c r="F122" s="2"/>
      <c r="G122" s="2"/>
      <c r="H122" s="2"/>
      <c r="I122" s="2"/>
      <c r="J122" s="2"/>
      <c r="K122" s="2"/>
    </row>
    <row r="123" spans="1:12" ht="15.75" customHeight="1">
      <c r="A123" s="228">
        <v>21</v>
      </c>
      <c r="B123" s="75" t="s">
        <v>226</v>
      </c>
      <c r="C123" s="75"/>
    </row>
    <row r="124" spans="1:12" ht="15.75" customHeight="1">
      <c r="A124" s="228">
        <v>21</v>
      </c>
      <c r="B124" s="75" t="s">
        <v>227</v>
      </c>
      <c r="C124" s="75"/>
    </row>
    <row r="125" spans="1:12" ht="15.75" customHeight="1">
      <c r="A125" s="228">
        <v>21</v>
      </c>
      <c r="B125" s="75" t="s">
        <v>228</v>
      </c>
      <c r="C125" s="75"/>
    </row>
    <row r="126" spans="1:12" ht="15.75" customHeight="1">
      <c r="A126" s="228">
        <v>21</v>
      </c>
      <c r="B126" s="75" t="s">
        <v>230</v>
      </c>
      <c r="C126" s="75"/>
    </row>
    <row r="127" spans="1:12" ht="15.75" customHeight="1">
      <c r="A127" s="228">
        <v>21</v>
      </c>
      <c r="B127" s="75" t="s">
        <v>246</v>
      </c>
      <c r="C127" s="75"/>
    </row>
    <row r="128" spans="1:12" ht="15.75" customHeight="1">
      <c r="A128" s="228">
        <v>21</v>
      </c>
      <c r="B128" s="75" t="s">
        <v>247</v>
      </c>
      <c r="C128" s="75"/>
    </row>
    <row r="129" spans="1:38" ht="15.75" customHeight="1">
      <c r="A129" s="228">
        <v>21</v>
      </c>
      <c r="B129" s="75" t="s">
        <v>248</v>
      </c>
      <c r="C129" s="75"/>
    </row>
    <row r="130" spans="1:38" ht="15.75" customHeight="1">
      <c r="A130" s="229">
        <v>22</v>
      </c>
      <c r="B130" s="74">
        <v>1</v>
      </c>
      <c r="C130" s="75"/>
    </row>
    <row r="131" spans="1:38" ht="15.75" customHeight="1">
      <c r="A131" s="228">
        <v>22</v>
      </c>
      <c r="B131" s="75">
        <v>2</v>
      </c>
      <c r="C131" s="75"/>
    </row>
    <row r="132" spans="1:38" ht="15.75" customHeight="1">
      <c r="A132" s="228">
        <v>22</v>
      </c>
      <c r="B132" s="75">
        <v>3</v>
      </c>
      <c r="C132" s="75"/>
    </row>
    <row r="133" spans="1:38" ht="15.75" customHeight="1">
      <c r="A133" s="228">
        <v>22</v>
      </c>
      <c r="B133" s="75">
        <v>4</v>
      </c>
      <c r="C133" s="75"/>
    </row>
    <row r="134" spans="1:38" ht="15.75" customHeight="1">
      <c r="A134" s="228">
        <v>22</v>
      </c>
      <c r="B134" s="75">
        <v>5</v>
      </c>
      <c r="C134" s="75"/>
    </row>
    <row r="135" spans="1:38" ht="15.75" customHeight="1">
      <c r="A135" s="228">
        <v>22</v>
      </c>
      <c r="B135" s="75">
        <v>6</v>
      </c>
      <c r="C135" s="75"/>
    </row>
    <row r="136" spans="1:38" ht="15.75" customHeight="1">
      <c r="A136" s="228">
        <v>22</v>
      </c>
      <c r="B136" s="75">
        <v>7</v>
      </c>
      <c r="C136" s="75"/>
    </row>
    <row r="137" spans="1:38" ht="15.75" customHeight="1">
      <c r="A137" s="228">
        <v>22</v>
      </c>
      <c r="B137" s="75">
        <v>8</v>
      </c>
      <c r="C137" s="75"/>
      <c r="E137" s="2"/>
      <c r="F137" s="2"/>
      <c r="G137" s="2"/>
      <c r="H137" s="2"/>
      <c r="I137" s="2"/>
      <c r="J137" s="2"/>
    </row>
    <row r="138" spans="1:38" ht="15.75" customHeight="1">
      <c r="A138" s="229">
        <v>23</v>
      </c>
      <c r="B138" s="74">
        <v>1</v>
      </c>
      <c r="C138" s="512" t="s">
        <v>572</v>
      </c>
      <c r="D138" s="504">
        <v>90</v>
      </c>
      <c r="E138" s="234">
        <v>110</v>
      </c>
      <c r="F138" s="234">
        <v>140</v>
      </c>
      <c r="G138" s="234">
        <v>120</v>
      </c>
      <c r="H138" s="234">
        <v>100</v>
      </c>
      <c r="I138" s="234">
        <v>100</v>
      </c>
      <c r="J138" s="235">
        <v>110</v>
      </c>
      <c r="K138" s="2"/>
    </row>
    <row r="139" spans="1:38" ht="15.75" customHeight="1">
      <c r="A139" s="228">
        <v>23</v>
      </c>
      <c r="B139" s="75">
        <v>2</v>
      </c>
      <c r="C139" s="512" t="s">
        <v>572</v>
      </c>
      <c r="D139" s="504">
        <v>100</v>
      </c>
      <c r="E139" s="2">
        <v>140</v>
      </c>
      <c r="F139" s="2">
        <v>190</v>
      </c>
      <c r="G139" s="2">
        <v>110</v>
      </c>
      <c r="H139" s="2">
        <v>100</v>
      </c>
      <c r="I139" s="2">
        <v>110</v>
      </c>
      <c r="J139" s="236">
        <v>130</v>
      </c>
      <c r="K139" s="2"/>
    </row>
    <row r="140" spans="1:38" ht="15.75" customHeight="1">
      <c r="A140" s="228">
        <v>23</v>
      </c>
      <c r="B140" s="75">
        <v>3</v>
      </c>
      <c r="C140" s="512" t="s">
        <v>572</v>
      </c>
      <c r="D140" s="504">
        <v>140</v>
      </c>
      <c r="E140" s="2">
        <v>190</v>
      </c>
      <c r="F140" s="2">
        <v>300</v>
      </c>
      <c r="G140" s="2">
        <v>150</v>
      </c>
      <c r="H140" s="2">
        <v>120</v>
      </c>
      <c r="I140" s="2">
        <v>130</v>
      </c>
      <c r="J140" s="236">
        <v>150</v>
      </c>
      <c r="K140" s="2"/>
    </row>
    <row r="141" spans="1:38" ht="15.75" customHeight="1">
      <c r="A141" s="228">
        <v>23</v>
      </c>
      <c r="B141" s="75">
        <v>4</v>
      </c>
      <c r="C141" s="512" t="s">
        <v>572</v>
      </c>
      <c r="D141" s="504">
        <v>160</v>
      </c>
      <c r="E141" s="2">
        <v>200</v>
      </c>
      <c r="F141" s="2">
        <v>320</v>
      </c>
      <c r="G141" s="2">
        <v>180</v>
      </c>
      <c r="H141" s="2">
        <v>150</v>
      </c>
      <c r="I141" s="2">
        <v>150</v>
      </c>
      <c r="J141" s="236">
        <v>180</v>
      </c>
      <c r="K141" s="2"/>
    </row>
    <row r="142" spans="1:38" ht="15.75" customHeight="1">
      <c r="A142" s="230">
        <v>23</v>
      </c>
      <c r="B142" s="231">
        <v>5</v>
      </c>
      <c r="C142" s="512" t="s">
        <v>572</v>
      </c>
      <c r="D142" s="504">
        <v>120</v>
      </c>
      <c r="E142" s="34">
        <v>150</v>
      </c>
      <c r="F142" s="34">
        <v>220</v>
      </c>
      <c r="G142" s="34">
        <v>140</v>
      </c>
      <c r="H142" s="34">
        <v>110</v>
      </c>
      <c r="I142" s="34">
        <v>120</v>
      </c>
      <c r="J142" s="237">
        <v>130</v>
      </c>
      <c r="K142" s="2"/>
    </row>
    <row r="143" spans="1:38" ht="15.75" customHeight="1">
      <c r="A143" s="238">
        <v>24</v>
      </c>
      <c r="B143" s="239">
        <v>1</v>
      </c>
      <c r="C143" s="513" t="s">
        <v>574</v>
      </c>
      <c r="D143" s="510">
        <v>1.8282778481401564E-5</v>
      </c>
      <c r="E143" s="510">
        <v>2.0374503062406211E-5</v>
      </c>
      <c r="F143" s="510">
        <v>2.3650195564730536E-5</v>
      </c>
      <c r="G143" s="510">
        <v>2.8338154178598157E-5</v>
      </c>
      <c r="H143" s="510">
        <v>3.2452653342985683E-5</v>
      </c>
      <c r="I143" s="510">
        <v>3.737405751801643E-5</v>
      </c>
      <c r="J143" s="510">
        <v>4.5860106413417755E-5</v>
      </c>
      <c r="K143" s="510">
        <v>5.2321849563638327E-5</v>
      </c>
      <c r="L143" s="510">
        <v>6.0974557112290703E-5</v>
      </c>
      <c r="M143" s="510">
        <v>8.0030777781113702E-5</v>
      </c>
      <c r="N143" s="510">
        <v>9.4381109465824768E-5</v>
      </c>
      <c r="O143" s="510">
        <v>1.1509877975026494E-4</v>
      </c>
      <c r="P143" s="510">
        <v>1.4042092288544465E-4</v>
      </c>
      <c r="Q143" s="510">
        <v>1.7610172545719135E-4</v>
      </c>
      <c r="R143" s="510">
        <v>2.1128942556524215E-4</v>
      </c>
      <c r="S143" s="510">
        <v>2.528946572898684E-4</v>
      </c>
      <c r="T143" s="510">
        <v>3.0142581480032527E-4</v>
      </c>
      <c r="U143" s="510">
        <v>3.7249304342799482E-4</v>
      </c>
      <c r="V143" s="510">
        <v>4.2092409601333111E-4</v>
      </c>
      <c r="W143" s="510">
        <v>4.948237536830664E-4</v>
      </c>
      <c r="X143" s="510">
        <v>6.0984986766150892E-4</v>
      </c>
      <c r="Y143" s="510">
        <v>7.1580356253933249E-4</v>
      </c>
      <c r="Z143" s="510">
        <v>8.3874757488942397E-4</v>
      </c>
      <c r="AA143" s="510">
        <v>9.500597494100883E-4</v>
      </c>
      <c r="AB143" s="510">
        <v>1.1133374273141273E-3</v>
      </c>
      <c r="AC143" s="510">
        <v>1.3526283595312349E-3</v>
      </c>
      <c r="AD143" s="510">
        <v>1.4469305594887959E-3</v>
      </c>
      <c r="AE143" s="510">
        <v>1.6599954219937625E-3</v>
      </c>
      <c r="AF143" s="510">
        <v>1.8718295227033895E-3</v>
      </c>
      <c r="AG143" s="510">
        <v>1.9667693686701957E-3</v>
      </c>
      <c r="AH143" s="510">
        <v>2.2165931568693996E-3</v>
      </c>
      <c r="AI143" s="510">
        <v>2.1545261164599605E-3</v>
      </c>
      <c r="AJ143" s="510">
        <v>2.1899545712082912E-3</v>
      </c>
      <c r="AK143" s="510">
        <v>1.9565509489844215E-3</v>
      </c>
      <c r="AL143" s="504"/>
    </row>
    <row r="144" spans="1:38" ht="15.75" customHeight="1">
      <c r="A144" s="238">
        <v>24</v>
      </c>
      <c r="B144" s="239">
        <v>2</v>
      </c>
      <c r="C144" s="513" t="s">
        <v>574</v>
      </c>
      <c r="D144" s="510">
        <v>1.6517460412847975E-4</v>
      </c>
      <c r="E144" s="510">
        <v>1.7090348825509675E-4</v>
      </c>
      <c r="F144" s="510">
        <v>1.7102740410823055E-4</v>
      </c>
      <c r="G144" s="510">
        <v>1.8341352952192487E-4</v>
      </c>
      <c r="H144" s="510">
        <v>1.6500770541308062E-4</v>
      </c>
      <c r="I144" s="510">
        <v>1.8658134552671659E-4</v>
      </c>
      <c r="J144" s="510">
        <v>1.902037822547175E-4</v>
      </c>
      <c r="K144" s="510">
        <v>2.0917420060571521E-4</v>
      </c>
      <c r="L144" s="510">
        <v>2.1397863068297265E-4</v>
      </c>
      <c r="M144" s="510">
        <v>2.4213853699948303E-4</v>
      </c>
      <c r="N144" s="510">
        <v>2.3283047301940523E-4</v>
      </c>
      <c r="O144" s="510">
        <v>2.2708177734023484E-4</v>
      </c>
      <c r="P144" s="510">
        <v>2.4322536763717717E-4</v>
      </c>
      <c r="Q144" s="510">
        <v>2.7834906027146924E-4</v>
      </c>
      <c r="R144" s="510">
        <v>3.1595975923096601E-4</v>
      </c>
      <c r="S144" s="510">
        <v>3.6463932100770478E-4</v>
      </c>
      <c r="T144" s="510">
        <v>4.1886014504724609E-4</v>
      </c>
      <c r="U144" s="510">
        <v>4.8091136537022078E-4</v>
      </c>
      <c r="V144" s="510">
        <v>5.3325026553767418E-4</v>
      </c>
      <c r="W144" s="510">
        <v>6.0428422189314184E-4</v>
      </c>
      <c r="X144" s="510">
        <v>7.7330531711349308E-4</v>
      </c>
      <c r="Y144" s="510">
        <v>8.7520292908308418E-4</v>
      </c>
      <c r="Z144" s="510">
        <v>1.0448839512007494E-3</v>
      </c>
      <c r="AA144" s="510">
        <v>1.1393218442582412E-3</v>
      </c>
      <c r="AB144" s="510">
        <v>1.412803093428451E-3</v>
      </c>
      <c r="AC144" s="510">
        <v>1.7179176449183355E-3</v>
      </c>
      <c r="AD144" s="510">
        <v>2.0549399676744232E-3</v>
      </c>
      <c r="AE144" s="510">
        <v>2.4466583463164607E-3</v>
      </c>
      <c r="AF144" s="510">
        <v>2.8668958298194509E-3</v>
      </c>
      <c r="AG144" s="510">
        <v>3.3075182487973306E-3</v>
      </c>
      <c r="AH144" s="510">
        <v>3.8734759062151137E-3</v>
      </c>
      <c r="AI144" s="510">
        <v>4.7199492773015083E-3</v>
      </c>
      <c r="AJ144" s="510">
        <v>5.9247245289870886E-3</v>
      </c>
      <c r="AK144" s="510">
        <v>6.8494811784500119E-3</v>
      </c>
      <c r="AL144" s="504"/>
    </row>
    <row r="145" spans="1:38" ht="15.75" customHeight="1">
      <c r="A145" s="238">
        <v>24</v>
      </c>
      <c r="B145" s="239">
        <v>3</v>
      </c>
      <c r="C145" s="513" t="s">
        <v>574</v>
      </c>
      <c r="D145" s="510">
        <v>2.4072342521865212E-4</v>
      </c>
      <c r="E145" s="510">
        <v>2.409756319577563E-4</v>
      </c>
      <c r="F145" s="510">
        <v>2.316025364331099E-4</v>
      </c>
      <c r="G145" s="510">
        <v>2.4594675495553914E-4</v>
      </c>
      <c r="H145" s="510">
        <v>2.4170462350068937E-4</v>
      </c>
      <c r="I145" s="510">
        <v>2.329216272984542E-4</v>
      </c>
      <c r="J145" s="510">
        <v>2.5944669396429009E-4</v>
      </c>
      <c r="K145" s="510">
        <v>2.5580570154122838E-4</v>
      </c>
      <c r="L145" s="510">
        <v>2.7579147395088202E-4</v>
      </c>
      <c r="M145" s="510">
        <v>2.9607556576151302E-4</v>
      </c>
      <c r="N145" s="510">
        <v>3.256859759857031E-4</v>
      </c>
      <c r="O145" s="510">
        <v>3.4382656965394629E-4</v>
      </c>
      <c r="P145" s="510">
        <v>3.7109401212070237E-4</v>
      </c>
      <c r="Q145" s="510">
        <v>4.1811934817900977E-4</v>
      </c>
      <c r="R145" s="510">
        <v>4.4780093765003443E-4</v>
      </c>
      <c r="S145" s="510">
        <v>5.0914773434656473E-4</v>
      </c>
      <c r="T145" s="510">
        <v>5.7599306956556339E-4</v>
      </c>
      <c r="U145" s="510">
        <v>6.4980258637239194E-4</v>
      </c>
      <c r="V145" s="510">
        <v>7.5044363667409436E-4</v>
      </c>
      <c r="W145" s="510">
        <v>8.5120179566937012E-4</v>
      </c>
      <c r="X145" s="510">
        <v>9.9499200566687982E-4</v>
      </c>
      <c r="Y145" s="510">
        <v>1.1705466355694206E-3</v>
      </c>
      <c r="Z145" s="510">
        <v>1.3725349385942823E-3</v>
      </c>
      <c r="AA145" s="510">
        <v>1.5550539517298297E-3</v>
      </c>
      <c r="AB145" s="510">
        <v>1.8590699993088614E-3</v>
      </c>
      <c r="AC145" s="510">
        <v>2.2628850414039507E-3</v>
      </c>
      <c r="AD145" s="510">
        <v>2.6076054012975202E-3</v>
      </c>
      <c r="AE145" s="510">
        <v>3.1057356619651729E-3</v>
      </c>
      <c r="AF145" s="510">
        <v>3.7778567948284964E-3</v>
      </c>
      <c r="AG145" s="510">
        <v>4.3625679024880569E-3</v>
      </c>
      <c r="AH145" s="510">
        <v>5.4055962617598667E-3</v>
      </c>
      <c r="AI145" s="510">
        <v>6.2315935426632699E-3</v>
      </c>
      <c r="AJ145" s="510">
        <v>7.9695876291386719E-3</v>
      </c>
      <c r="AK145" s="510">
        <v>9.2070606633624392E-3</v>
      </c>
      <c r="AL145" s="504"/>
    </row>
    <row r="146" spans="1:38" ht="15.75" customHeight="1">
      <c r="A146" s="238">
        <v>24</v>
      </c>
      <c r="B146" s="239">
        <v>4</v>
      </c>
      <c r="C146" s="513" t="s">
        <v>574</v>
      </c>
      <c r="D146" s="510">
        <v>7.8633300884548918E-4</v>
      </c>
      <c r="E146" s="510">
        <v>7.2404937352354634E-4</v>
      </c>
      <c r="F146" s="510">
        <v>8.1844992317932927E-4</v>
      </c>
      <c r="G146" s="510">
        <v>8.6397111072590864E-4</v>
      </c>
      <c r="H146" s="510">
        <v>8.8264500136598528E-4</v>
      </c>
      <c r="I146" s="510">
        <v>8.9356057097067585E-4</v>
      </c>
      <c r="J146" s="510">
        <v>9.1219224862977761E-4</v>
      </c>
      <c r="K146" s="510">
        <v>9.1628270079629896E-4</v>
      </c>
      <c r="L146" s="510">
        <v>9.3519316617853888E-4</v>
      </c>
      <c r="M146" s="510">
        <v>1.0447044557822514E-3</v>
      </c>
      <c r="N146" s="510">
        <v>1.1228171557135381E-3</v>
      </c>
      <c r="O146" s="510">
        <v>1.2780243359185302E-3</v>
      </c>
      <c r="P146" s="510">
        <v>1.3956807010430429E-3</v>
      </c>
      <c r="Q146" s="510">
        <v>1.5719932527317793E-3</v>
      </c>
      <c r="R146" s="510">
        <v>1.7864036043526142E-3</v>
      </c>
      <c r="S146" s="510">
        <v>2.0265849803285923E-3</v>
      </c>
      <c r="T146" s="510">
        <v>2.328576622182753E-3</v>
      </c>
      <c r="U146" s="510">
        <v>2.77787430220596E-3</v>
      </c>
      <c r="V146" s="510">
        <v>3.2043987058451013E-3</v>
      </c>
      <c r="W146" s="510">
        <v>3.7689419581147291E-3</v>
      </c>
      <c r="X146" s="510">
        <v>4.5613891712820353E-3</v>
      </c>
      <c r="Y146" s="510">
        <v>5.2594796965887234E-3</v>
      </c>
      <c r="Z146" s="510">
        <v>6.2855049530249349E-3</v>
      </c>
      <c r="AA146" s="510">
        <v>7.1234565201225156E-3</v>
      </c>
      <c r="AB146" s="510">
        <v>8.505517994233467E-3</v>
      </c>
      <c r="AC146" s="510">
        <v>1.0152130165194461E-2</v>
      </c>
      <c r="AD146" s="510">
        <v>1.1702794273537657E-2</v>
      </c>
      <c r="AE146" s="510">
        <v>1.4200697973080626E-2</v>
      </c>
      <c r="AF146" s="510">
        <v>1.6638910016053769E-2</v>
      </c>
      <c r="AG146" s="510">
        <v>1.9942087001023803E-2</v>
      </c>
      <c r="AH146" s="510">
        <v>2.3800563643625667E-2</v>
      </c>
      <c r="AI146" s="510">
        <v>2.6908571283276141E-2</v>
      </c>
      <c r="AJ146" s="510">
        <v>3.140542492215162E-2</v>
      </c>
      <c r="AK146" s="510">
        <v>3.5672763023154974E-2</v>
      </c>
      <c r="AL146" s="504"/>
    </row>
    <row r="147" spans="1:38" ht="15.75" customHeight="1">
      <c r="A147" s="238">
        <v>24</v>
      </c>
      <c r="B147" s="239">
        <v>5</v>
      </c>
      <c r="C147" s="513" t="s">
        <v>574</v>
      </c>
      <c r="D147" s="510">
        <v>4.8283193123773421E-3</v>
      </c>
      <c r="E147" s="510">
        <v>4.8029483672191852E-3</v>
      </c>
      <c r="F147" s="510">
        <v>4.9951964915246581E-3</v>
      </c>
      <c r="G147" s="510">
        <v>4.973445601976963E-3</v>
      </c>
      <c r="H147" s="510">
        <v>5.0152411190429553E-3</v>
      </c>
      <c r="I147" s="510">
        <v>4.7885263526475453E-3</v>
      </c>
      <c r="J147" s="510">
        <v>5.0696656315544122E-3</v>
      </c>
      <c r="K147" s="510">
        <v>4.9854626104805953E-3</v>
      </c>
      <c r="L147" s="510">
        <v>4.8232507596333825E-3</v>
      </c>
      <c r="M147" s="510">
        <v>5.3861299130341265E-3</v>
      </c>
      <c r="N147" s="510">
        <v>5.1667763874364862E-3</v>
      </c>
      <c r="O147" s="510">
        <v>5.3328175379249582E-3</v>
      </c>
      <c r="P147" s="510">
        <v>5.5064488485975097E-3</v>
      </c>
      <c r="Q147" s="510">
        <v>5.8555917795068881E-3</v>
      </c>
      <c r="R147" s="510">
        <v>5.9498628128470538E-3</v>
      </c>
      <c r="S147" s="510">
        <v>6.1514739678601776E-3</v>
      </c>
      <c r="T147" s="510">
        <v>6.6948482340634897E-3</v>
      </c>
      <c r="U147" s="510">
        <v>7.1324708910126119E-3</v>
      </c>
      <c r="V147" s="510">
        <v>7.6337113656877124E-3</v>
      </c>
      <c r="W147" s="510">
        <v>8.4928231973465957E-3</v>
      </c>
      <c r="X147" s="510">
        <v>9.5524263358616919E-3</v>
      </c>
      <c r="Y147" s="510">
        <v>1.0620648233213716E-2</v>
      </c>
      <c r="Z147" s="510">
        <v>1.177613753440274E-2</v>
      </c>
      <c r="AA147" s="510">
        <v>1.2862979635807441E-2</v>
      </c>
      <c r="AB147" s="510">
        <v>1.5080631759600099E-2</v>
      </c>
      <c r="AC147" s="510">
        <v>1.671466613383121E-2</v>
      </c>
      <c r="AD147" s="510">
        <v>1.8568600602750424E-2</v>
      </c>
      <c r="AE147" s="510">
        <v>2.1711453607779672E-2</v>
      </c>
      <c r="AF147" s="510">
        <v>2.5919382723584891E-2</v>
      </c>
      <c r="AG147" s="510">
        <v>2.8303410475810573E-2</v>
      </c>
      <c r="AH147" s="510">
        <v>3.2573018545254982E-2</v>
      </c>
      <c r="AI147" s="510">
        <v>3.483149722090615E-2</v>
      </c>
      <c r="AJ147" s="510">
        <v>4.1439363200704557E-2</v>
      </c>
      <c r="AK147" s="510">
        <v>4.4506328576113134E-2</v>
      </c>
      <c r="AL147" s="504"/>
    </row>
    <row r="148" spans="1:38" ht="15.75" customHeight="1">
      <c r="A148" s="238">
        <v>24</v>
      </c>
      <c r="B148" s="239">
        <v>6</v>
      </c>
      <c r="C148" s="513" t="s">
        <v>574</v>
      </c>
      <c r="D148" s="510">
        <v>1.5277317558084732E-2</v>
      </c>
      <c r="E148" s="510">
        <v>1.465734701784999E-2</v>
      </c>
      <c r="F148" s="510">
        <v>1.5238151816946174E-2</v>
      </c>
      <c r="G148" s="510">
        <v>1.5743635033020707E-2</v>
      </c>
      <c r="H148" s="510">
        <v>1.5852243516910156E-2</v>
      </c>
      <c r="I148" s="510">
        <v>1.5157963707034868E-2</v>
      </c>
      <c r="J148" s="510">
        <v>1.5769411911144973E-2</v>
      </c>
      <c r="K148" s="510">
        <v>1.5498669584961083E-2</v>
      </c>
      <c r="L148" s="510">
        <v>1.6175855152477814E-2</v>
      </c>
      <c r="M148" s="510">
        <v>1.6409943965260153E-2</v>
      </c>
      <c r="N148" s="510">
        <v>1.5484926364348709E-2</v>
      </c>
      <c r="O148" s="510">
        <v>1.5403973423987073E-2</v>
      </c>
      <c r="P148" s="510">
        <v>1.6219687035720947E-2</v>
      </c>
      <c r="Q148" s="510">
        <v>1.5666923107663981E-2</v>
      </c>
      <c r="R148" s="510">
        <v>1.6528981268777155E-2</v>
      </c>
      <c r="S148" s="510">
        <v>1.6726682467573292E-2</v>
      </c>
      <c r="T148" s="510">
        <v>1.6577449463198592E-2</v>
      </c>
      <c r="U148" s="510">
        <v>1.7356545789267083E-2</v>
      </c>
      <c r="V148" s="510">
        <v>1.7919789002719875E-2</v>
      </c>
      <c r="W148" s="510">
        <v>1.8822524852010272E-2</v>
      </c>
      <c r="X148" s="510">
        <v>2.1182099011979334E-2</v>
      </c>
      <c r="Y148" s="510">
        <v>2.1036072335107073E-2</v>
      </c>
      <c r="Z148" s="510">
        <v>2.2490632243934789E-2</v>
      </c>
      <c r="AA148" s="510">
        <v>2.2806078302258281E-2</v>
      </c>
      <c r="AB148" s="510">
        <v>2.529151033596919E-2</v>
      </c>
      <c r="AC148" s="510">
        <v>2.6002372070167687E-2</v>
      </c>
      <c r="AD148" s="510">
        <v>2.8353922611238744E-2</v>
      </c>
      <c r="AE148" s="510">
        <v>3.2584282924470437E-2</v>
      </c>
      <c r="AF148" s="510">
        <v>3.6141531472379647E-2</v>
      </c>
      <c r="AG148" s="510">
        <v>3.8028364877926019E-2</v>
      </c>
      <c r="AH148" s="510">
        <v>4.2940340943104567E-2</v>
      </c>
      <c r="AI148" s="510">
        <v>4.6799620456237472E-2</v>
      </c>
      <c r="AJ148" s="510">
        <v>5.362486026669816E-2</v>
      </c>
      <c r="AK148" s="510">
        <v>5.7634409965150665E-2</v>
      </c>
      <c r="AL148" s="504"/>
    </row>
    <row r="149" spans="1:38" ht="15.75" customHeight="1">
      <c r="A149" s="238">
        <v>24</v>
      </c>
      <c r="B149" s="239">
        <v>7</v>
      </c>
      <c r="C149" s="513" t="s">
        <v>574</v>
      </c>
      <c r="D149" s="510">
        <v>0.10527243007081355</v>
      </c>
      <c r="E149" s="510">
        <v>0.10303690242274499</v>
      </c>
      <c r="F149" s="510">
        <v>0.10127085790866427</v>
      </c>
      <c r="G149" s="510">
        <v>0.1086511909368596</v>
      </c>
      <c r="H149" s="510">
        <v>0.10341889709035361</v>
      </c>
      <c r="I149" s="510">
        <v>0.10260746678807765</v>
      </c>
      <c r="J149" s="510">
        <v>0.10274862894572913</v>
      </c>
      <c r="K149" s="510">
        <v>0.1029816554715558</v>
      </c>
      <c r="L149" s="510">
        <v>0.10547643820528535</v>
      </c>
      <c r="M149" s="510">
        <v>0.10681676645008839</v>
      </c>
      <c r="N149" s="510">
        <v>0.1046764473156124</v>
      </c>
      <c r="O149" s="510">
        <v>0.10028397157345387</v>
      </c>
      <c r="P149" s="510">
        <v>0.10168562785445354</v>
      </c>
      <c r="Q149" s="510">
        <v>0.10405265156831255</v>
      </c>
      <c r="R149" s="510">
        <v>0.10374520099650804</v>
      </c>
      <c r="S149" s="510">
        <v>0.10314772724270156</v>
      </c>
      <c r="T149" s="510">
        <v>0.10408443483269028</v>
      </c>
      <c r="U149" s="510">
        <v>0.10896644749046128</v>
      </c>
      <c r="V149" s="510">
        <v>0.10227792786278579</v>
      </c>
      <c r="W149" s="510">
        <v>0.10966959478897831</v>
      </c>
      <c r="X149" s="510">
        <v>0.11023364935642475</v>
      </c>
      <c r="Y149" s="510">
        <v>0.11583943553675027</v>
      </c>
      <c r="Z149" s="510">
        <v>0.11927225514734305</v>
      </c>
      <c r="AA149" s="510">
        <v>0.11647566999620981</v>
      </c>
      <c r="AB149" s="510">
        <v>0.11773049192376797</v>
      </c>
      <c r="AC149" s="510">
        <v>0.12341886455417928</v>
      </c>
      <c r="AD149" s="510">
        <v>0.1226316699531371</v>
      </c>
      <c r="AE149" s="510">
        <v>0.13319978363083454</v>
      </c>
      <c r="AF149" s="510">
        <v>0.13968320762748246</v>
      </c>
      <c r="AG149" s="510">
        <v>0.13398646024152255</v>
      </c>
      <c r="AH149" s="510">
        <v>0.14045607192935047</v>
      </c>
      <c r="AI149" s="510">
        <v>0.15600925118944239</v>
      </c>
      <c r="AJ149" s="510">
        <v>0.16293260795724807</v>
      </c>
      <c r="AK149" s="510">
        <v>0.16874513323771947</v>
      </c>
      <c r="AL149" s="504"/>
    </row>
    <row r="150" spans="1:38" ht="15.75" customHeight="1">
      <c r="A150" s="229">
        <v>25</v>
      </c>
      <c r="B150" s="74">
        <v>1</v>
      </c>
      <c r="C150" s="513"/>
      <c r="E150" s="504"/>
      <c r="F150" s="504"/>
      <c r="G150" s="504"/>
      <c r="H150" s="504"/>
      <c r="I150" s="504"/>
      <c r="J150" s="504"/>
      <c r="K150" s="504"/>
      <c r="L150" s="504"/>
      <c r="M150" s="504"/>
      <c r="N150" s="504"/>
      <c r="O150" s="504"/>
      <c r="P150" s="504"/>
      <c r="Q150" s="504"/>
      <c r="R150" s="504"/>
      <c r="S150" s="504"/>
      <c r="T150" s="504"/>
      <c r="U150" s="504"/>
      <c r="V150" s="504"/>
      <c r="W150" s="504"/>
      <c r="X150" s="504"/>
      <c r="Y150" s="504"/>
      <c r="Z150" s="504"/>
      <c r="AA150" s="504"/>
      <c r="AB150" s="504"/>
      <c r="AC150" s="504"/>
      <c r="AD150" s="504"/>
      <c r="AE150" s="504"/>
      <c r="AF150" s="504"/>
      <c r="AG150" s="504"/>
      <c r="AH150" s="504"/>
      <c r="AI150" s="504"/>
      <c r="AJ150" s="504"/>
      <c r="AK150" s="504"/>
      <c r="AL150" s="504"/>
    </row>
    <row r="151" spans="1:38" ht="15.75" customHeight="1">
      <c r="A151" s="228">
        <v>25</v>
      </c>
      <c r="B151" s="75">
        <v>2</v>
      </c>
      <c r="C151" s="75"/>
      <c r="E151" s="504"/>
      <c r="F151" s="504"/>
      <c r="G151" s="504"/>
      <c r="H151" s="504"/>
      <c r="I151" s="504"/>
      <c r="J151" s="504"/>
      <c r="K151" s="504"/>
      <c r="L151" s="504"/>
      <c r="M151" s="504"/>
      <c r="N151" s="504"/>
      <c r="O151" s="504"/>
      <c r="P151" s="504"/>
      <c r="Q151" s="504"/>
      <c r="R151" s="504"/>
      <c r="S151" s="504"/>
      <c r="T151" s="504"/>
      <c r="U151" s="504"/>
      <c r="V151" s="504"/>
      <c r="W151" s="504"/>
      <c r="X151" s="504"/>
      <c r="Y151" s="504"/>
      <c r="Z151" s="504"/>
      <c r="AA151" s="504"/>
      <c r="AB151" s="504"/>
      <c r="AC151" s="504"/>
      <c r="AD151" s="504"/>
      <c r="AE151" s="504"/>
      <c r="AF151" s="504"/>
      <c r="AG151" s="504"/>
      <c r="AH151" s="504"/>
      <c r="AI151" s="504"/>
      <c r="AJ151" s="504"/>
      <c r="AK151" s="504"/>
      <c r="AL151" s="504"/>
    </row>
    <row r="152" spans="1:38" ht="15.75" customHeight="1">
      <c r="A152" s="228">
        <v>25</v>
      </c>
      <c r="B152" s="75">
        <v>3</v>
      </c>
      <c r="C152" s="75"/>
      <c r="E152" s="504"/>
      <c r="F152" s="504"/>
      <c r="G152" s="504"/>
      <c r="H152" s="504"/>
      <c r="I152" s="504"/>
      <c r="J152" s="504"/>
      <c r="K152" s="504"/>
      <c r="L152" s="504"/>
      <c r="M152" s="504"/>
      <c r="N152" s="504"/>
      <c r="O152" s="504"/>
      <c r="P152" s="504"/>
      <c r="Q152" s="504"/>
      <c r="R152" s="504"/>
      <c r="S152" s="504"/>
      <c r="T152" s="504"/>
      <c r="U152" s="504"/>
      <c r="V152" s="504"/>
      <c r="W152" s="504"/>
      <c r="X152" s="504"/>
      <c r="Y152" s="504"/>
      <c r="Z152" s="504"/>
      <c r="AA152" s="504"/>
      <c r="AB152" s="504"/>
      <c r="AC152" s="504"/>
      <c r="AD152" s="504"/>
      <c r="AE152" s="504"/>
      <c r="AF152" s="504"/>
      <c r="AG152" s="504"/>
      <c r="AH152" s="504"/>
      <c r="AI152" s="504"/>
      <c r="AJ152" s="504"/>
      <c r="AK152" s="504"/>
      <c r="AL152" s="504"/>
    </row>
    <row r="153" spans="1:38" ht="15.75" customHeight="1">
      <c r="A153" s="228">
        <v>25</v>
      </c>
      <c r="B153" s="75">
        <v>4</v>
      </c>
      <c r="C153" s="75"/>
      <c r="E153" s="504"/>
      <c r="F153" s="504"/>
      <c r="G153" s="504"/>
      <c r="H153" s="504"/>
      <c r="I153" s="504"/>
      <c r="J153" s="504"/>
      <c r="K153" s="504"/>
      <c r="L153" s="504"/>
      <c r="M153" s="504"/>
      <c r="N153" s="504"/>
      <c r="O153" s="504"/>
      <c r="P153" s="504"/>
      <c r="Q153" s="504"/>
      <c r="R153" s="504"/>
      <c r="S153" s="504"/>
      <c r="T153" s="504"/>
      <c r="U153" s="504"/>
      <c r="V153" s="504"/>
      <c r="W153" s="504"/>
      <c r="X153" s="504"/>
      <c r="Y153" s="504"/>
      <c r="Z153" s="504"/>
      <c r="AA153" s="504"/>
      <c r="AB153" s="504"/>
      <c r="AC153" s="504"/>
      <c r="AD153" s="504"/>
      <c r="AE153" s="504"/>
      <c r="AF153" s="504"/>
      <c r="AG153" s="504"/>
      <c r="AH153" s="504"/>
      <c r="AI153" s="504"/>
      <c r="AJ153" s="504"/>
      <c r="AK153" s="504"/>
      <c r="AL153" s="504"/>
    </row>
    <row r="154" spans="1:38" ht="15.75" customHeight="1">
      <c r="A154" s="229">
        <v>26</v>
      </c>
      <c r="B154" s="200" t="s">
        <v>221</v>
      </c>
      <c r="C154" s="468" t="s">
        <v>574</v>
      </c>
      <c r="D154" s="510">
        <v>4.4780321825400402E-3</v>
      </c>
      <c r="E154" s="510">
        <v>1.0796671642009792E-2</v>
      </c>
      <c r="F154" s="510">
        <v>2.3525138812532757E-2</v>
      </c>
      <c r="G154" s="510">
        <v>4.3885746676723722E-2</v>
      </c>
      <c r="H154" s="510">
        <v>8.0058320182925427E-2</v>
      </c>
      <c r="I154" s="510">
        <v>0.14588589616970735</v>
      </c>
      <c r="J154" s="510">
        <v>0.23607880267261042</v>
      </c>
      <c r="K154" s="510">
        <v>0.38663555652566045</v>
      </c>
      <c r="L154" s="510">
        <v>0.55511508781277852</v>
      </c>
      <c r="M154" s="510">
        <v>0.80669384834459434</v>
      </c>
      <c r="N154" s="510">
        <v>1.1865829961146592</v>
      </c>
      <c r="O154" s="510">
        <v>1.7242098229510556</v>
      </c>
      <c r="P154" s="510">
        <v>2.4468144121986026</v>
      </c>
      <c r="Q154" s="510">
        <v>3.6863705774464095</v>
      </c>
      <c r="R154" s="510">
        <v>5.2947752344365098</v>
      </c>
      <c r="S154" s="510">
        <v>6.2047258428772238</v>
      </c>
      <c r="T154" s="510">
        <v>9.2361250523347476</v>
      </c>
      <c r="U154" s="510">
        <v>11.631035685548865</v>
      </c>
      <c r="V154" s="510">
        <v>8.0674397721776376</v>
      </c>
      <c r="W154" s="510"/>
      <c r="X154" s="510"/>
      <c r="Y154" s="510"/>
      <c r="Z154" s="510"/>
      <c r="AA154" s="510"/>
      <c r="AB154" s="510"/>
      <c r="AC154" s="510"/>
      <c r="AD154" s="510"/>
      <c r="AE154" s="510"/>
      <c r="AF154" s="510"/>
      <c r="AG154" s="510"/>
      <c r="AH154" s="510"/>
      <c r="AI154" s="510"/>
      <c r="AJ154" s="510"/>
      <c r="AK154" s="510"/>
      <c r="AL154" s="504"/>
    </row>
    <row r="155" spans="1:38" ht="15.75" customHeight="1">
      <c r="A155" s="228">
        <v>26</v>
      </c>
      <c r="B155" s="201" t="s">
        <v>222</v>
      </c>
      <c r="C155" s="468" t="s">
        <v>574</v>
      </c>
      <c r="D155" s="510">
        <v>2.8798994834113915E-2</v>
      </c>
      <c r="E155" s="510">
        <v>4.6837700209348306E-2</v>
      </c>
      <c r="F155" s="510">
        <v>8.2332940351123665E-2</v>
      </c>
      <c r="G155" s="510">
        <v>0.13795352510040473</v>
      </c>
      <c r="H155" s="510">
        <v>0.24281289743724027</v>
      </c>
      <c r="I155" s="510">
        <v>0.36996307363381897</v>
      </c>
      <c r="J155" s="510">
        <v>0.5573320057051111</v>
      </c>
      <c r="K155" s="510">
        <v>0.84970994121669585</v>
      </c>
      <c r="L155" s="510">
        <v>1.3105090483776238</v>
      </c>
      <c r="M155" s="510">
        <v>1.9044331663479501</v>
      </c>
      <c r="N155" s="510">
        <v>2.7027823284016677</v>
      </c>
      <c r="O155" s="510">
        <v>3.7893002906499862</v>
      </c>
      <c r="P155" s="510">
        <v>5.3773702153654392</v>
      </c>
      <c r="Q155" s="510">
        <v>7.8167074340730638</v>
      </c>
      <c r="R155" s="510">
        <v>11.22722418006466</v>
      </c>
      <c r="S155" s="510">
        <v>14.133038725621899</v>
      </c>
      <c r="T155" s="510">
        <v>19.584598440750256</v>
      </c>
      <c r="U155" s="510">
        <v>26.493012707027123</v>
      </c>
      <c r="V155" s="510">
        <v>32.580167329673415</v>
      </c>
      <c r="W155" s="510"/>
      <c r="X155" s="510"/>
      <c r="Y155" s="510"/>
      <c r="Z155" s="510"/>
      <c r="AA155" s="510"/>
      <c r="AB155" s="510"/>
      <c r="AC155" s="510"/>
      <c r="AD155" s="510"/>
      <c r="AE155" s="510"/>
      <c r="AF155" s="510"/>
      <c r="AG155" s="510"/>
      <c r="AH155" s="510"/>
      <c r="AI155" s="510"/>
      <c r="AJ155" s="510"/>
      <c r="AK155" s="510"/>
      <c r="AL155" s="504"/>
    </row>
    <row r="156" spans="1:38" ht="15.75" customHeight="1">
      <c r="A156" s="228">
        <v>26</v>
      </c>
      <c r="B156" s="201" t="s">
        <v>223</v>
      </c>
      <c r="C156" s="468" t="s">
        <v>574</v>
      </c>
      <c r="D156" s="510">
        <v>0.39272839533623033</v>
      </c>
      <c r="E156" s="510">
        <v>0.47968726283551677</v>
      </c>
      <c r="F156" s="510">
        <v>0.63326275039261926</v>
      </c>
      <c r="G156" s="510">
        <v>0.82591400997134556</v>
      </c>
      <c r="H156" s="510">
        <v>1.0533614057959697</v>
      </c>
      <c r="I156" s="510">
        <v>1.4415573234547066</v>
      </c>
      <c r="J156" s="510">
        <v>1.8157971169529696</v>
      </c>
      <c r="K156" s="510">
        <v>2.3990973911120421</v>
      </c>
      <c r="L156" s="510">
        <v>3.0938338721686534</v>
      </c>
      <c r="M156" s="510">
        <v>4.1853773801291645</v>
      </c>
      <c r="N156" s="510">
        <v>5.9399113046273069</v>
      </c>
      <c r="O156" s="510">
        <v>7.4798999416893066</v>
      </c>
      <c r="P156" s="510">
        <v>10.241478550036261</v>
      </c>
      <c r="Q156" s="510">
        <v>13.858891699771865</v>
      </c>
      <c r="R156" s="510">
        <v>19.205826401164693</v>
      </c>
      <c r="S156" s="510">
        <v>21.715209077562722</v>
      </c>
      <c r="T156" s="510">
        <v>28.012704896092153</v>
      </c>
      <c r="U156" s="510">
        <v>37.894112427946446</v>
      </c>
      <c r="V156" s="510">
        <v>48.298955864949974</v>
      </c>
      <c r="W156" s="510"/>
      <c r="X156" s="510"/>
      <c r="Y156" s="510"/>
      <c r="Z156" s="510"/>
      <c r="AA156" s="510"/>
      <c r="AB156" s="510"/>
      <c r="AC156" s="510"/>
      <c r="AD156" s="510"/>
      <c r="AE156" s="510"/>
      <c r="AF156" s="510"/>
      <c r="AG156" s="510"/>
      <c r="AH156" s="510"/>
      <c r="AI156" s="510"/>
      <c r="AJ156" s="510"/>
      <c r="AK156" s="510"/>
      <c r="AL156" s="504"/>
    </row>
    <row r="157" spans="1:38" ht="15.75" customHeight="1">
      <c r="A157" s="228">
        <v>26</v>
      </c>
      <c r="B157" s="201" t="s">
        <v>224</v>
      </c>
      <c r="C157" s="468" t="s">
        <v>574</v>
      </c>
      <c r="D157" s="510">
        <v>2.5257039369613925</v>
      </c>
      <c r="E157" s="510">
        <v>2.7708703785116167</v>
      </c>
      <c r="F157" s="510">
        <v>2.7471956467447489</v>
      </c>
      <c r="G157" s="510">
        <v>3.2181654232836654</v>
      </c>
      <c r="H157" s="510">
        <v>4.408989088257905</v>
      </c>
      <c r="I157" s="510">
        <v>5.4195272559905012</v>
      </c>
      <c r="J157" s="510">
        <v>6.8264797736211325</v>
      </c>
      <c r="K157" s="510">
        <v>9.0193943290569649</v>
      </c>
      <c r="L157" s="510">
        <v>10.827754681375835</v>
      </c>
      <c r="M157" s="510">
        <v>14.132923294975079</v>
      </c>
      <c r="N157" s="510">
        <v>17.38205711775629</v>
      </c>
      <c r="O157" s="510">
        <v>21.888550516848831</v>
      </c>
      <c r="P157" s="510">
        <v>26.918555247822056</v>
      </c>
      <c r="Q157" s="510">
        <v>37.75388309639569</v>
      </c>
      <c r="R157" s="510">
        <v>46.993090505690716</v>
      </c>
      <c r="S157" s="510">
        <v>57.0759450601686</v>
      </c>
      <c r="T157" s="510">
        <v>68.541889739578181</v>
      </c>
      <c r="U157" s="510">
        <v>86.314675530237736</v>
      </c>
      <c r="V157" s="510">
        <v>181.57968300050027</v>
      </c>
      <c r="W157" s="510"/>
      <c r="X157" s="510"/>
      <c r="Y157" s="510"/>
      <c r="Z157" s="510"/>
      <c r="AA157" s="510"/>
      <c r="AB157" s="510"/>
      <c r="AC157" s="510"/>
      <c r="AD157" s="510"/>
      <c r="AE157" s="510"/>
      <c r="AF157" s="510"/>
      <c r="AG157" s="510"/>
      <c r="AH157" s="510"/>
      <c r="AI157" s="510"/>
      <c r="AJ157" s="510"/>
      <c r="AK157" s="510"/>
      <c r="AL157" s="504"/>
    </row>
    <row r="158" spans="1:38" ht="15.75" customHeight="1">
      <c r="A158" s="228">
        <v>26</v>
      </c>
      <c r="B158" s="201" t="s">
        <v>229</v>
      </c>
      <c r="C158" s="468" t="s">
        <v>574</v>
      </c>
      <c r="D158" s="510">
        <v>8.5286405153992035</v>
      </c>
      <c r="E158" s="510">
        <v>8.7101472629747061</v>
      </c>
      <c r="F158" s="510">
        <v>8.9504101566759946</v>
      </c>
      <c r="G158" s="510">
        <v>9.7605352334258022</v>
      </c>
      <c r="H158" s="510">
        <v>10.787977711874627</v>
      </c>
      <c r="I158" s="510">
        <v>12.344523990115361</v>
      </c>
      <c r="J158" s="510">
        <v>13.475148895249706</v>
      </c>
      <c r="K158" s="510">
        <v>16.573950658303239</v>
      </c>
      <c r="L158" s="510">
        <v>18.522473918492995</v>
      </c>
      <c r="M158" s="510">
        <v>23.326445585451133</v>
      </c>
      <c r="N158" s="510">
        <v>28.689152995767248</v>
      </c>
      <c r="O158" s="510">
        <v>34.856961137728234</v>
      </c>
      <c r="P158" s="510">
        <v>39.905814707969583</v>
      </c>
      <c r="Q158" s="510">
        <v>52.102430789514649</v>
      </c>
      <c r="R158" s="510">
        <v>67.216269894239147</v>
      </c>
      <c r="S158" s="510">
        <v>75.998573342369824</v>
      </c>
      <c r="T158" s="510">
        <v>94.591570674469125</v>
      </c>
      <c r="U158" s="510">
        <v>123.45966388625911</v>
      </c>
      <c r="V158" s="510">
        <v>126.9482865627556</v>
      </c>
      <c r="W158" s="510"/>
      <c r="X158" s="510"/>
      <c r="Y158" s="510"/>
      <c r="Z158" s="510"/>
      <c r="AA158" s="510"/>
      <c r="AB158" s="510"/>
      <c r="AC158" s="510"/>
      <c r="AD158" s="510"/>
      <c r="AE158" s="510"/>
      <c r="AF158" s="510"/>
      <c r="AG158" s="510"/>
      <c r="AH158" s="510"/>
      <c r="AI158" s="510"/>
      <c r="AJ158" s="510"/>
      <c r="AK158" s="510"/>
      <c r="AL158" s="504"/>
    </row>
    <row r="159" spans="1:38" ht="15.75" customHeight="1">
      <c r="A159" s="228">
        <v>26</v>
      </c>
      <c r="B159" s="201" t="s">
        <v>225</v>
      </c>
      <c r="C159" s="468" t="s">
        <v>575</v>
      </c>
      <c r="D159" s="504">
        <v>83.767264712642785</v>
      </c>
      <c r="E159" s="506">
        <v>138.78039636947346</v>
      </c>
      <c r="F159" s="506">
        <v>215.80127547509389</v>
      </c>
      <c r="G159" s="506">
        <v>348.65527695174853</v>
      </c>
      <c r="H159" s="506">
        <v>370.62770084073634</v>
      </c>
      <c r="I159" s="506">
        <v>250.77456332788643</v>
      </c>
      <c r="J159" s="506">
        <v>151.51181289197274</v>
      </c>
      <c r="K159" s="506">
        <v>89.389104941624566</v>
      </c>
      <c r="L159" s="506">
        <v>80.839113166348739</v>
      </c>
      <c r="M159" s="506">
        <v>108.49804358542106</v>
      </c>
      <c r="N159" s="506">
        <v>122.87501099222622</v>
      </c>
      <c r="O159" s="506">
        <v>130.60515560797359</v>
      </c>
      <c r="P159" s="504"/>
      <c r="Q159" s="504"/>
      <c r="R159" s="504"/>
      <c r="S159" s="504"/>
      <c r="T159" s="504"/>
      <c r="U159" s="504"/>
    </row>
    <row r="160" spans="1:38" ht="15.75" customHeight="1">
      <c r="A160" s="228">
        <v>26</v>
      </c>
      <c r="B160" s="201" t="s">
        <v>226</v>
      </c>
      <c r="C160" s="468" t="s">
        <v>575</v>
      </c>
      <c r="D160" s="504">
        <v>54.158587417021934</v>
      </c>
      <c r="E160" s="506">
        <v>110.90964184982252</v>
      </c>
      <c r="F160" s="506">
        <v>255.58730527807927</v>
      </c>
      <c r="G160" s="506">
        <v>538.5059258544145</v>
      </c>
      <c r="H160" s="506">
        <v>585.3120352854927</v>
      </c>
      <c r="I160" s="506">
        <v>429.60065438109973</v>
      </c>
      <c r="J160" s="506">
        <v>265.05526451396588</v>
      </c>
      <c r="K160" s="506">
        <v>166.96238122146127</v>
      </c>
      <c r="L160" s="506">
        <v>134.14511211989625</v>
      </c>
      <c r="M160" s="506">
        <v>144.25212161765535</v>
      </c>
      <c r="N160" s="506">
        <v>166.19685492322662</v>
      </c>
      <c r="O160" s="506">
        <v>190.54560000000001</v>
      </c>
      <c r="P160" s="504"/>
      <c r="Q160" s="504"/>
      <c r="R160" s="504"/>
      <c r="S160" s="504"/>
      <c r="T160" s="504"/>
      <c r="U160" s="504"/>
    </row>
    <row r="161" spans="1:24" ht="15.75" customHeight="1">
      <c r="A161" s="228">
        <v>26</v>
      </c>
      <c r="B161" s="201" t="s">
        <v>227</v>
      </c>
      <c r="C161" s="468" t="s">
        <v>575</v>
      </c>
      <c r="D161" s="504">
        <v>47.018872000000002</v>
      </c>
      <c r="E161" s="506">
        <v>68.349066000000008</v>
      </c>
      <c r="F161" s="506">
        <v>154.85849400000001</v>
      </c>
      <c r="G161" s="506">
        <v>278.15094900000003</v>
      </c>
      <c r="H161" s="506">
        <v>431.42460899999998</v>
      </c>
      <c r="I161" s="506">
        <v>399.09902099999994</v>
      </c>
      <c r="J161" s="506">
        <v>260.12266799999998</v>
      </c>
      <c r="K161" s="506">
        <v>159.58026000000001</v>
      </c>
      <c r="L161" s="506">
        <v>123.82077500000001</v>
      </c>
      <c r="M161" s="506">
        <v>130.75471200000001</v>
      </c>
      <c r="N161" s="506">
        <v>150.466995</v>
      </c>
      <c r="O161" s="506">
        <v>171.69834499999999</v>
      </c>
      <c r="P161" s="504"/>
      <c r="Q161" s="504"/>
      <c r="R161" s="504"/>
      <c r="S161" s="504"/>
      <c r="T161" s="504"/>
      <c r="U161" s="504"/>
    </row>
    <row r="162" spans="1:24" ht="15.75" customHeight="1">
      <c r="A162" s="228">
        <v>26</v>
      </c>
      <c r="B162" s="201" t="s">
        <v>228</v>
      </c>
      <c r="C162" s="468" t="s">
        <v>575</v>
      </c>
      <c r="D162" s="504">
        <v>50.849060000000001</v>
      </c>
      <c r="E162" s="506">
        <v>87.136804999999995</v>
      </c>
      <c r="F162" s="506">
        <v>191.77360000000002</v>
      </c>
      <c r="G162" s="506">
        <v>370.47168400000004</v>
      </c>
      <c r="H162" s="506">
        <v>427.132068</v>
      </c>
      <c r="I162" s="506">
        <v>319.95281799999998</v>
      </c>
      <c r="J162" s="506">
        <v>182.264184</v>
      </c>
      <c r="K162" s="506">
        <v>120.650976</v>
      </c>
      <c r="L162" s="506">
        <v>126.396226</v>
      </c>
      <c r="M162" s="506">
        <v>153.63681300000002</v>
      </c>
      <c r="N162" s="506">
        <v>172.88686799999999</v>
      </c>
      <c r="O162" s="506">
        <v>192.30204000000001</v>
      </c>
      <c r="P162" s="504"/>
      <c r="Q162" s="504"/>
      <c r="R162" s="504"/>
      <c r="S162" s="504"/>
      <c r="T162" s="504"/>
      <c r="U162" s="504"/>
    </row>
    <row r="163" spans="1:24" ht="15.75" customHeight="1">
      <c r="A163" s="228">
        <v>26</v>
      </c>
      <c r="B163" s="75" t="s">
        <v>230</v>
      </c>
      <c r="C163" s="468" t="s">
        <v>575</v>
      </c>
      <c r="D163" s="504">
        <v>60.259440000000005</v>
      </c>
      <c r="E163" s="506">
        <v>118.20755</v>
      </c>
      <c r="F163" s="506">
        <v>193.09434700000003</v>
      </c>
      <c r="G163" s="506">
        <v>367.50003500000003</v>
      </c>
      <c r="H163" s="506">
        <v>490.33011500000003</v>
      </c>
      <c r="I163" s="506">
        <v>377.20767899999998</v>
      </c>
      <c r="J163" s="506">
        <v>210.29718600000001</v>
      </c>
      <c r="K163" s="506">
        <v>119.95756500000002</v>
      </c>
      <c r="L163" s="506">
        <v>103.316073</v>
      </c>
      <c r="M163" s="506">
        <v>130.75471200000001</v>
      </c>
      <c r="N163" s="506">
        <v>158.292475</v>
      </c>
      <c r="O163" s="506">
        <v>170.443556</v>
      </c>
      <c r="P163" s="504"/>
      <c r="Q163" s="504"/>
      <c r="R163" s="504"/>
      <c r="S163" s="504"/>
      <c r="T163" s="504"/>
      <c r="U163" s="504"/>
    </row>
    <row r="164" spans="1:24" ht="15.75" customHeight="1">
      <c r="A164" s="199">
        <v>27</v>
      </c>
      <c r="B164" s="200">
        <v>1</v>
      </c>
      <c r="C164" s="468" t="s">
        <v>575</v>
      </c>
      <c r="D164" s="504">
        <v>36.050409999999999</v>
      </c>
      <c r="E164" s="506">
        <v>35.659660000000002</v>
      </c>
      <c r="F164" s="506">
        <v>34.18488</v>
      </c>
      <c r="G164" s="506">
        <v>31.764696000000001</v>
      </c>
      <c r="H164" s="506">
        <v>24.453780000000002</v>
      </c>
      <c r="I164" s="506">
        <v>18.756304</v>
      </c>
      <c r="J164" s="506">
        <v>17.142864000000003</v>
      </c>
      <c r="K164" s="506">
        <v>17.243693999999998</v>
      </c>
      <c r="L164" s="506">
        <v>18.857146</v>
      </c>
      <c r="M164" s="506">
        <v>20.760515999999999</v>
      </c>
      <c r="N164" s="506">
        <v>23.999987999999998</v>
      </c>
      <c r="O164" s="506">
        <v>27.390747000000001</v>
      </c>
      <c r="P164" s="504"/>
      <c r="Q164" s="504"/>
      <c r="R164" s="504"/>
      <c r="S164" s="504"/>
      <c r="T164" s="504"/>
      <c r="U164" s="504"/>
    </row>
    <row r="165" spans="1:24" ht="15.75" customHeight="1">
      <c r="A165" s="196">
        <v>27</v>
      </c>
      <c r="B165" s="201">
        <v>2</v>
      </c>
      <c r="C165" s="468" t="s">
        <v>575</v>
      </c>
      <c r="D165" s="504">
        <v>133.512608</v>
      </c>
      <c r="E165" s="506">
        <v>138.403368</v>
      </c>
      <c r="F165" s="506">
        <v>128.72270399999999</v>
      </c>
      <c r="G165" s="506">
        <v>117.529427</v>
      </c>
      <c r="H165" s="506">
        <v>91.563040000000001</v>
      </c>
      <c r="I165" s="506">
        <v>68.168074000000004</v>
      </c>
      <c r="J165" s="506">
        <v>58.386552000000002</v>
      </c>
      <c r="K165" s="506">
        <v>65.420159999999996</v>
      </c>
      <c r="L165" s="506">
        <v>70.789913999999996</v>
      </c>
      <c r="M165" s="506">
        <v>74.735290000000006</v>
      </c>
      <c r="N165" s="506">
        <v>76.878123000000002</v>
      </c>
      <c r="O165" s="506">
        <v>81.756306000000009</v>
      </c>
      <c r="P165" s="504"/>
      <c r="Q165" s="504"/>
      <c r="R165" s="504"/>
      <c r="S165" s="504"/>
      <c r="T165" s="504"/>
      <c r="U165" s="504"/>
    </row>
    <row r="166" spans="1:24" ht="15.75" customHeight="1">
      <c r="A166" s="196">
        <v>27</v>
      </c>
      <c r="B166" s="201">
        <v>3</v>
      </c>
      <c r="C166" s="468" t="s">
        <v>575</v>
      </c>
      <c r="D166" s="504">
        <v>179.55882000000003</v>
      </c>
      <c r="E166" s="506">
        <v>179.62185799999997</v>
      </c>
      <c r="F166" s="506">
        <v>174.70588799999999</v>
      </c>
      <c r="G166" s="506">
        <v>151.94117400000002</v>
      </c>
      <c r="H166" s="506">
        <v>124.05882800000001</v>
      </c>
      <c r="I166" s="506">
        <v>89.24369999999999</v>
      </c>
      <c r="J166" s="506">
        <v>76.941171999999995</v>
      </c>
      <c r="K166" s="506">
        <v>82.941180000000003</v>
      </c>
      <c r="L166" s="506">
        <v>89.054639999999992</v>
      </c>
      <c r="M166" s="506">
        <v>99.075659999999999</v>
      </c>
      <c r="N166" s="506">
        <v>99.806685999999999</v>
      </c>
      <c r="O166" s="506">
        <v>104.268912</v>
      </c>
      <c r="P166" s="504"/>
      <c r="Q166" s="504"/>
      <c r="R166" s="504"/>
      <c r="S166" s="504"/>
      <c r="T166" s="504"/>
      <c r="U166" s="504"/>
    </row>
    <row r="167" spans="1:24" ht="15.75" customHeight="1">
      <c r="A167" s="197">
        <v>27</v>
      </c>
      <c r="B167" s="202">
        <v>4</v>
      </c>
      <c r="C167" s="468" t="s">
        <v>575</v>
      </c>
      <c r="D167" s="504">
        <v>214.78992</v>
      </c>
      <c r="E167" s="506">
        <v>202.68907999999999</v>
      </c>
      <c r="F167" s="506">
        <v>190.58822999999998</v>
      </c>
      <c r="G167" s="506">
        <v>180.90755799999999</v>
      </c>
      <c r="H167" s="506">
        <v>160.613462</v>
      </c>
      <c r="I167" s="506">
        <v>136.58825299999998</v>
      </c>
      <c r="J167" s="506">
        <v>113.06724</v>
      </c>
      <c r="K167" s="506">
        <v>102.844523</v>
      </c>
      <c r="L167" s="506">
        <v>93.176467999999986</v>
      </c>
      <c r="M167" s="506">
        <v>93.529417999999993</v>
      </c>
      <c r="N167" s="506">
        <v>98.319325000000006</v>
      </c>
      <c r="O167" s="506">
        <v>106.462158</v>
      </c>
      <c r="P167" s="504"/>
      <c r="Q167" s="504"/>
      <c r="R167" s="504"/>
      <c r="S167" s="504"/>
      <c r="T167" s="504"/>
      <c r="U167" s="504"/>
    </row>
    <row r="168" spans="1:24" ht="15.75" customHeight="1">
      <c r="A168" s="228">
        <v>28</v>
      </c>
      <c r="B168" s="75">
        <v>1</v>
      </c>
      <c r="C168" s="75"/>
      <c r="E168" s="504"/>
      <c r="F168" s="504"/>
      <c r="G168" s="504"/>
      <c r="H168" s="504"/>
      <c r="I168" s="504"/>
      <c r="J168" s="504"/>
      <c r="K168" s="504"/>
      <c r="L168" s="504"/>
      <c r="M168" s="504"/>
      <c r="N168" s="504"/>
      <c r="O168" s="504"/>
      <c r="P168" s="504"/>
      <c r="Q168" s="504"/>
      <c r="R168" s="504"/>
      <c r="S168" s="504"/>
      <c r="T168" s="504"/>
      <c r="U168" s="504"/>
      <c r="V168" s="504"/>
      <c r="W168" s="504"/>
      <c r="X168" s="504"/>
    </row>
    <row r="169" spans="1:24" ht="15.75" customHeight="1">
      <c r="A169" s="228">
        <v>28</v>
      </c>
      <c r="B169" s="75">
        <v>2</v>
      </c>
      <c r="C169" s="75"/>
      <c r="E169" s="504"/>
      <c r="F169" s="504"/>
      <c r="G169" s="504"/>
      <c r="H169" s="504"/>
      <c r="I169" s="504"/>
      <c r="J169" s="504"/>
      <c r="K169" s="504"/>
      <c r="L169" s="504"/>
      <c r="M169" s="504"/>
      <c r="N169" s="504"/>
      <c r="O169" s="504"/>
      <c r="P169" s="504"/>
      <c r="Q169" s="504"/>
      <c r="R169" s="504"/>
      <c r="S169" s="504"/>
      <c r="T169" s="504"/>
      <c r="U169" s="504"/>
      <c r="V169" s="504"/>
      <c r="W169" s="504"/>
      <c r="X169" s="504"/>
    </row>
    <row r="170" spans="1:24" ht="15.75" customHeight="1">
      <c r="A170" s="228">
        <v>28</v>
      </c>
      <c r="B170" s="75">
        <v>3</v>
      </c>
      <c r="C170" s="75"/>
      <c r="E170" s="504"/>
      <c r="F170" s="504"/>
      <c r="G170" s="504"/>
      <c r="H170" s="504"/>
      <c r="I170" s="504"/>
      <c r="J170" s="504"/>
      <c r="K170" s="504"/>
      <c r="L170" s="504"/>
      <c r="M170" s="504"/>
      <c r="N170" s="504"/>
      <c r="O170" s="504"/>
      <c r="P170" s="504"/>
      <c r="Q170" s="504"/>
      <c r="R170" s="504"/>
      <c r="S170" s="504"/>
      <c r="T170" s="504"/>
      <c r="U170" s="504"/>
      <c r="V170" s="504"/>
      <c r="W170" s="504"/>
      <c r="X170" s="504"/>
    </row>
    <row r="171" spans="1:24" ht="15.75" customHeight="1">
      <c r="A171" s="228">
        <v>28</v>
      </c>
      <c r="B171" s="75">
        <v>4</v>
      </c>
      <c r="C171" s="75"/>
      <c r="E171" s="504"/>
      <c r="F171" s="504"/>
      <c r="G171" s="504"/>
      <c r="H171" s="504"/>
      <c r="I171" s="504"/>
      <c r="J171" s="504"/>
      <c r="K171" s="504"/>
      <c r="L171" s="504"/>
      <c r="M171" s="504"/>
      <c r="N171" s="504"/>
      <c r="O171" s="504"/>
      <c r="P171" s="504"/>
      <c r="Q171" s="504"/>
      <c r="R171" s="504"/>
      <c r="S171" s="504"/>
      <c r="T171" s="504"/>
      <c r="U171" s="504"/>
      <c r="V171" s="504"/>
      <c r="W171" s="504"/>
      <c r="X171" s="504"/>
    </row>
    <row r="172" spans="1:24" ht="15.75" customHeight="1">
      <c r="A172" s="228">
        <v>28</v>
      </c>
      <c r="B172" s="75">
        <v>5</v>
      </c>
      <c r="C172" s="75"/>
      <c r="E172" s="504"/>
      <c r="F172" s="504"/>
      <c r="G172" s="504"/>
      <c r="H172" s="504"/>
      <c r="I172" s="504"/>
      <c r="J172" s="504"/>
      <c r="K172" s="504"/>
      <c r="L172" s="504"/>
      <c r="M172" s="504"/>
      <c r="N172" s="504"/>
      <c r="O172" s="504"/>
      <c r="P172" s="504"/>
      <c r="Q172" s="504"/>
      <c r="R172" s="504"/>
      <c r="S172" s="504"/>
      <c r="T172" s="504"/>
      <c r="U172" s="504"/>
      <c r="V172" s="504"/>
      <c r="W172" s="504"/>
      <c r="X172" s="504"/>
    </row>
    <row r="173" spans="1:24" ht="15.75" customHeight="1">
      <c r="A173" s="228">
        <v>28</v>
      </c>
      <c r="B173" s="75">
        <v>6</v>
      </c>
      <c r="C173" s="75"/>
      <c r="E173" s="504"/>
      <c r="F173" s="504"/>
      <c r="G173" s="504"/>
      <c r="H173" s="504"/>
      <c r="I173" s="504"/>
      <c r="J173" s="504"/>
      <c r="K173" s="504"/>
      <c r="L173" s="504"/>
      <c r="M173" s="504"/>
      <c r="N173" s="504"/>
      <c r="O173" s="504"/>
      <c r="P173" s="504"/>
      <c r="Q173" s="504"/>
      <c r="R173" s="504"/>
      <c r="S173" s="504"/>
      <c r="T173" s="504"/>
      <c r="U173" s="504"/>
      <c r="V173" s="504"/>
      <c r="W173" s="504"/>
      <c r="X173" s="504"/>
    </row>
    <row r="174" spans="1:24" ht="15.75" customHeight="1">
      <c r="A174" s="229">
        <v>29</v>
      </c>
      <c r="B174" s="74">
        <v>1</v>
      </c>
      <c r="C174" s="512" t="s">
        <v>574</v>
      </c>
      <c r="D174" s="510">
        <v>5.7530334863535437E-3</v>
      </c>
      <c r="E174" s="510">
        <v>1.0689674010558554E-2</v>
      </c>
      <c r="F174" s="510">
        <v>1.5158349492916078E-2</v>
      </c>
      <c r="G174" s="510">
        <v>2.1563788335744245E-2</v>
      </c>
      <c r="H174" s="510">
        <v>2.8662984436204911E-2</v>
      </c>
      <c r="I174" s="510">
        <v>4.3713274304167195E-2</v>
      </c>
      <c r="J174" s="510">
        <v>6.2600831586995448E-2</v>
      </c>
      <c r="K174" s="510">
        <v>7.6415433438582661E-2</v>
      </c>
      <c r="L174" s="510">
        <v>0.10201556049722266</v>
      </c>
      <c r="M174" s="510">
        <v>0.12451196774278686</v>
      </c>
      <c r="N174" s="510">
        <v>0.16997964582291789</v>
      </c>
      <c r="O174" s="510">
        <v>0.17843241061077075</v>
      </c>
      <c r="P174" s="510">
        <v>0.2266538855779423</v>
      </c>
      <c r="Q174" s="510">
        <v>0.29021631629385453</v>
      </c>
      <c r="R174" s="510">
        <v>0.37009003077356784</v>
      </c>
      <c r="S174" s="510">
        <v>0.31786351978187205</v>
      </c>
      <c r="T174" s="510">
        <v>0.24582794498317539</v>
      </c>
      <c r="U174" s="510">
        <v>0.33385936379883169</v>
      </c>
      <c r="V174" s="504"/>
      <c r="W174" s="504"/>
      <c r="X174" s="504"/>
    </row>
    <row r="175" spans="1:24" ht="15.75" customHeight="1">
      <c r="A175" s="228">
        <v>29</v>
      </c>
      <c r="B175" s="75">
        <v>2</v>
      </c>
      <c r="C175" s="512" t="s">
        <v>574</v>
      </c>
      <c r="D175" s="510">
        <v>2.9521963713789467E-2</v>
      </c>
      <c r="E175" s="510">
        <v>4.0640126707235255E-2</v>
      </c>
      <c r="F175" s="510">
        <v>4.4453534806093313E-2</v>
      </c>
      <c r="G175" s="510">
        <v>5.4297431289946269E-2</v>
      </c>
      <c r="H175" s="510">
        <v>6.598574224594328E-2</v>
      </c>
      <c r="I175" s="510">
        <v>8.2418448626109059E-2</v>
      </c>
      <c r="J175" s="510">
        <v>0.1061929944227699</v>
      </c>
      <c r="K175" s="510">
        <v>0.11353869553249064</v>
      </c>
      <c r="L175" s="510">
        <v>0.14099294732947981</v>
      </c>
      <c r="M175" s="510">
        <v>0.16559735395812727</v>
      </c>
      <c r="N175" s="510">
        <v>0.21172712104335556</v>
      </c>
      <c r="O175" s="510">
        <v>0.23055665197322189</v>
      </c>
      <c r="P175" s="510">
        <v>0.26563319047909728</v>
      </c>
      <c r="Q175" s="510">
        <v>0.22224641841111881</v>
      </c>
      <c r="R175" s="510">
        <v>0.28905529810315439</v>
      </c>
      <c r="S175" s="510">
        <v>0.29530942850350961</v>
      </c>
      <c r="T175" s="510">
        <v>9.4421136017140597E-2</v>
      </c>
      <c r="U175" s="510">
        <v>9.8278805094346208E-2</v>
      </c>
      <c r="V175" s="504"/>
      <c r="W175" s="504"/>
      <c r="X175" s="504"/>
    </row>
    <row r="176" spans="1:24" ht="15.75" customHeight="1">
      <c r="A176" s="228">
        <v>29</v>
      </c>
      <c r="B176" s="75">
        <v>3</v>
      </c>
      <c r="C176" s="512" t="s">
        <v>574</v>
      </c>
      <c r="D176" s="510">
        <v>6.8491806784856266E-2</v>
      </c>
      <c r="E176" s="510">
        <v>8.9428504428175584E-2</v>
      </c>
      <c r="F176" s="510">
        <v>8.1365025601226396E-2</v>
      </c>
      <c r="G176" s="510">
        <v>9.8954270064984973E-2</v>
      </c>
      <c r="H176" s="510">
        <v>0.10068404433198959</v>
      </c>
      <c r="I176" s="510">
        <v>0.13497828438369244</v>
      </c>
      <c r="J176" s="510">
        <v>0.15600463815978874</v>
      </c>
      <c r="K176" s="510">
        <v>0.16080420007462157</v>
      </c>
      <c r="L176" s="510">
        <v>0.17936711760167426</v>
      </c>
      <c r="M176" s="510">
        <v>0.21834709917158296</v>
      </c>
      <c r="N176" s="510">
        <v>0.27092117850047759</v>
      </c>
      <c r="O176" s="510">
        <v>0.33592792189081894</v>
      </c>
      <c r="P176" s="510">
        <v>0.36623432861143201</v>
      </c>
      <c r="Q176" s="510">
        <v>0.3467359194974059</v>
      </c>
      <c r="R176" s="510">
        <v>0.39846981540752574</v>
      </c>
      <c r="S176" s="510">
        <v>0.50126548057385367</v>
      </c>
      <c r="T176" s="510">
        <v>0.38378063158642667</v>
      </c>
      <c r="U176" s="510">
        <v>0.1488007726551927</v>
      </c>
      <c r="V176" s="504"/>
      <c r="W176" s="504"/>
      <c r="X176" s="504"/>
    </row>
    <row r="177" spans="1:29" ht="15.75" customHeight="1">
      <c r="A177" s="228">
        <v>29</v>
      </c>
      <c r="B177" s="75">
        <v>4</v>
      </c>
      <c r="C177" s="512" t="s">
        <v>574</v>
      </c>
      <c r="D177" s="510">
        <v>0.37446219691122845</v>
      </c>
      <c r="E177" s="510">
        <v>0.44976824614460587</v>
      </c>
      <c r="F177" s="510">
        <v>0.39956384618950852</v>
      </c>
      <c r="G177" s="510">
        <v>0.44111298895332646</v>
      </c>
      <c r="H177" s="510">
        <v>0.39719531167214189</v>
      </c>
      <c r="I177" s="510">
        <v>0.47790410728953092</v>
      </c>
      <c r="J177" s="510">
        <v>0.41949418455143717</v>
      </c>
      <c r="K177" s="510">
        <v>0.39976381975437358</v>
      </c>
      <c r="L177" s="510">
        <v>0.39772433303429733</v>
      </c>
      <c r="M177" s="510">
        <v>0.34926127489983716</v>
      </c>
      <c r="N177" s="510">
        <v>0.37416871360016324</v>
      </c>
      <c r="O177" s="510">
        <v>0.34893624401832074</v>
      </c>
      <c r="P177" s="510">
        <v>0.39446855978106177</v>
      </c>
      <c r="Q177" s="510">
        <v>0.34936184358745587</v>
      </c>
      <c r="R177" s="510">
        <v>0.38370715013338391</v>
      </c>
      <c r="S177" s="510">
        <v>0.26217797956327143</v>
      </c>
      <c r="T177" s="510">
        <v>0.14534302728432474</v>
      </c>
      <c r="U177" s="510">
        <v>0.24440197031392938</v>
      </c>
      <c r="V177" s="504"/>
      <c r="W177" s="504"/>
      <c r="X177" s="504"/>
    </row>
    <row r="178" spans="1:29" ht="15.75" customHeight="1">
      <c r="A178" s="228">
        <v>29</v>
      </c>
      <c r="B178" s="75">
        <v>5</v>
      </c>
      <c r="C178" s="512" t="s">
        <v>574</v>
      </c>
      <c r="D178" s="510">
        <v>0.14703195364785604</v>
      </c>
      <c r="E178" s="510">
        <v>0.16466178765568118</v>
      </c>
      <c r="F178" s="510">
        <v>0.16156915726756116</v>
      </c>
      <c r="G178" s="510">
        <v>0.16346259309400094</v>
      </c>
      <c r="H178" s="510">
        <v>0.16815141200573133</v>
      </c>
      <c r="I178" s="510">
        <v>0.20741797629673364</v>
      </c>
      <c r="J178" s="510">
        <v>0.22454428627050746</v>
      </c>
      <c r="K178" s="510">
        <v>0.21217463932953731</v>
      </c>
      <c r="L178" s="510">
        <v>0.23307605900666239</v>
      </c>
      <c r="M178" s="510">
        <v>0.274221302346977</v>
      </c>
      <c r="N178" s="510">
        <v>0.30711110514833928</v>
      </c>
      <c r="O178" s="510">
        <v>0.23699930364031593</v>
      </c>
      <c r="P178" s="510">
        <v>0.36103788232111506</v>
      </c>
      <c r="Q178" s="510">
        <v>0.35389659799969031</v>
      </c>
      <c r="R178" s="510">
        <v>0.38413603255963441</v>
      </c>
      <c r="S178" s="510">
        <v>0.29058729504874636</v>
      </c>
      <c r="T178" s="510">
        <v>0.17452340658134455</v>
      </c>
      <c r="U178" s="510">
        <v>0.15351971430952674</v>
      </c>
      <c r="V178" s="504"/>
      <c r="W178" s="504"/>
      <c r="X178" s="504"/>
    </row>
    <row r="179" spans="1:29" ht="15.75" customHeight="1">
      <c r="A179" s="229">
        <v>30</v>
      </c>
      <c r="B179" s="74">
        <v>1</v>
      </c>
      <c r="C179" s="512" t="s">
        <v>572</v>
      </c>
      <c r="D179" s="504">
        <v>172.2</v>
      </c>
      <c r="E179" s="234">
        <v>164.08</v>
      </c>
      <c r="F179" s="234">
        <v>166.79</v>
      </c>
      <c r="G179" s="234">
        <v>149.46</v>
      </c>
      <c r="H179" s="234">
        <v>114.8</v>
      </c>
      <c r="I179" s="234">
        <v>72.02</v>
      </c>
      <c r="J179" s="234">
        <v>53.07</v>
      </c>
      <c r="K179" s="234">
        <v>46.03</v>
      </c>
      <c r="L179" s="234">
        <v>40.07</v>
      </c>
      <c r="M179" s="234">
        <v>36.28</v>
      </c>
      <c r="N179" s="234">
        <v>30.32</v>
      </c>
      <c r="O179" s="234">
        <v>24.91</v>
      </c>
      <c r="P179" s="235">
        <v>17.329999999999998</v>
      </c>
      <c r="Q179" s="2"/>
    </row>
    <row r="180" spans="1:29" ht="15.75" customHeight="1">
      <c r="A180" s="228">
        <v>30</v>
      </c>
      <c r="B180" s="75">
        <v>2</v>
      </c>
      <c r="C180" s="512" t="s">
        <v>572</v>
      </c>
      <c r="D180" s="504">
        <v>237.18</v>
      </c>
      <c r="E180" s="2">
        <v>237.18</v>
      </c>
      <c r="F180" s="2">
        <v>252.35</v>
      </c>
      <c r="G180" s="2">
        <v>235.56</v>
      </c>
      <c r="H180" s="2">
        <v>187.36</v>
      </c>
      <c r="I180" s="2">
        <v>150</v>
      </c>
      <c r="J180" s="2">
        <v>148.38</v>
      </c>
      <c r="K180" s="2">
        <v>145.13</v>
      </c>
      <c r="L180" s="2">
        <v>136.46</v>
      </c>
      <c r="M180" s="2">
        <v>131.05000000000001</v>
      </c>
      <c r="N180" s="2">
        <v>119.68</v>
      </c>
      <c r="O180" s="2">
        <v>104.51</v>
      </c>
      <c r="P180" s="236">
        <v>87.18</v>
      </c>
      <c r="Q180" s="2"/>
    </row>
    <row r="181" spans="1:29" ht="15.75" customHeight="1">
      <c r="A181" s="230">
        <v>30</v>
      </c>
      <c r="B181" s="231">
        <v>3</v>
      </c>
      <c r="C181" s="512" t="s">
        <v>572</v>
      </c>
      <c r="D181" s="504">
        <v>224.19</v>
      </c>
      <c r="E181" s="34">
        <v>227.44</v>
      </c>
      <c r="F181" s="34">
        <v>244.77</v>
      </c>
      <c r="G181" s="34">
        <v>232.85</v>
      </c>
      <c r="H181" s="34">
        <v>194.95</v>
      </c>
      <c r="I181" s="34">
        <v>165.7</v>
      </c>
      <c r="J181" s="34">
        <v>168.95</v>
      </c>
      <c r="K181" s="34">
        <v>164.08</v>
      </c>
      <c r="L181" s="34">
        <v>160.83000000000001</v>
      </c>
      <c r="M181" s="34">
        <v>153.79</v>
      </c>
      <c r="N181" s="34">
        <v>141.88</v>
      </c>
      <c r="O181" s="34">
        <v>124.55</v>
      </c>
      <c r="P181" s="237">
        <v>103.43</v>
      </c>
      <c r="Q181" s="2"/>
    </row>
    <row r="182" spans="1:29" ht="15.75" customHeight="1">
      <c r="A182" s="228">
        <v>31</v>
      </c>
      <c r="B182" s="75">
        <v>1</v>
      </c>
      <c r="C182" s="75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spans="1:29" ht="15.75" customHeight="1">
      <c r="A183" s="228">
        <v>31</v>
      </c>
      <c r="B183" s="75">
        <v>2</v>
      </c>
      <c r="C183" s="75"/>
    </row>
    <row r="184" spans="1:29" ht="15.75" customHeight="1">
      <c r="A184" s="228">
        <v>31</v>
      </c>
      <c r="B184" s="75">
        <v>3</v>
      </c>
      <c r="C184" s="75"/>
    </row>
    <row r="185" spans="1:29" ht="15.75" customHeight="1">
      <c r="A185" s="228">
        <v>31</v>
      </c>
      <c r="B185" s="75">
        <v>4</v>
      </c>
      <c r="C185" s="75"/>
    </row>
    <row r="186" spans="1:29" ht="15.75" customHeight="1">
      <c r="A186" s="228">
        <v>31</v>
      </c>
      <c r="B186" s="75">
        <v>5</v>
      </c>
      <c r="C186" s="75"/>
      <c r="E186" s="2"/>
      <c r="F186" s="2"/>
      <c r="G186" s="2"/>
      <c r="H186" s="2"/>
      <c r="I186" s="2"/>
      <c r="J186" s="2"/>
      <c r="K186" s="2"/>
    </row>
    <row r="187" spans="1:29" ht="15.75" customHeight="1">
      <c r="A187" s="199">
        <v>32</v>
      </c>
      <c r="B187" s="200">
        <v>1</v>
      </c>
      <c r="C187" s="201"/>
      <c r="E187" s="234"/>
      <c r="F187" s="234"/>
      <c r="G187" s="234"/>
      <c r="H187" s="392"/>
      <c r="I187" s="234"/>
      <c r="J187" s="234"/>
      <c r="K187" s="235"/>
      <c r="L187" s="2"/>
    </row>
    <row r="188" spans="1:29" ht="15.75" customHeight="1">
      <c r="A188" s="196">
        <v>32</v>
      </c>
      <c r="B188" s="201">
        <v>2</v>
      </c>
      <c r="C188" s="468" t="s">
        <v>572</v>
      </c>
      <c r="D188" s="504">
        <v>130.548</v>
      </c>
      <c r="E188" s="2">
        <v>130.548</v>
      </c>
      <c r="F188" s="2">
        <v>156.28299999999999</v>
      </c>
      <c r="G188" s="2">
        <v>196.72499999999999</v>
      </c>
      <c r="H188" s="2">
        <v>233.155</v>
      </c>
      <c r="I188" s="2">
        <v>70.721999999999994</v>
      </c>
      <c r="J188" s="2">
        <v>52.673999999999999</v>
      </c>
      <c r="K188" s="236">
        <v>62.366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9" ht="15.75" customHeight="1">
      <c r="A189" s="229">
        <v>33</v>
      </c>
      <c r="B189" s="200">
        <v>1</v>
      </c>
      <c r="C189" s="468" t="s">
        <v>572</v>
      </c>
      <c r="D189" s="504">
        <v>2.791E-6</v>
      </c>
      <c r="E189" s="234">
        <v>6.4150000000000004E-6</v>
      </c>
      <c r="F189" s="234">
        <v>1.3796E-5</v>
      </c>
      <c r="G189" s="234">
        <v>2.7757000000000002E-5</v>
      </c>
      <c r="H189" s="234">
        <v>4.5734E-5</v>
      </c>
      <c r="I189" s="234">
        <v>8.0542000000000002E-5</v>
      </c>
      <c r="J189" s="234">
        <v>1.20093E-4</v>
      </c>
      <c r="K189" s="234">
        <v>1.8512700000000002E-4</v>
      </c>
      <c r="L189" s="234">
        <v>2.9503899999999998E-4</v>
      </c>
      <c r="M189" s="234">
        <v>4.3992E-4</v>
      </c>
      <c r="N189" s="234">
        <v>6.7814899999999996E-4</v>
      </c>
      <c r="O189" s="234">
        <v>1.011159E-3</v>
      </c>
      <c r="P189" s="234">
        <v>1.507694E-3</v>
      </c>
      <c r="Q189" s="234">
        <v>2.1744499999999996E-3</v>
      </c>
      <c r="R189" s="234">
        <v>3.2422269999999999E-3</v>
      </c>
      <c r="S189" s="234">
        <v>4.8343419999999993E-3</v>
      </c>
      <c r="T189" s="234">
        <v>6.5231569999999999E-3</v>
      </c>
      <c r="U189" s="234">
        <v>9.4079279999999994E-3</v>
      </c>
      <c r="V189" s="234">
        <v>1.3124183000000001E-2</v>
      </c>
      <c r="W189" s="234">
        <v>1.7129116000000003E-2</v>
      </c>
      <c r="X189" s="234">
        <v>2.3112952000000003E-2</v>
      </c>
      <c r="Y189" s="234">
        <v>3.0166024E-2</v>
      </c>
      <c r="Z189" s="234">
        <v>4.4979233E-2</v>
      </c>
      <c r="AA189" s="234">
        <v>5.6782807999999997E-2</v>
      </c>
      <c r="AB189" s="235">
        <v>8.1894175E-2</v>
      </c>
      <c r="AC189" s="2"/>
    </row>
    <row r="190" spans="1:29" ht="15.75" customHeight="1">
      <c r="A190" s="228">
        <v>33</v>
      </c>
      <c r="B190" s="201">
        <v>2</v>
      </c>
      <c r="C190" s="468" t="s">
        <v>572</v>
      </c>
      <c r="D190" s="504">
        <v>1.2076000000000001E-5</v>
      </c>
      <c r="E190" s="2">
        <v>2.8697E-5</v>
      </c>
      <c r="F190" s="2">
        <v>6.5958999999999996E-5</v>
      </c>
      <c r="G190" s="2">
        <v>1.3270599999999999E-4</v>
      </c>
      <c r="H190" s="2">
        <v>2.5825499999999999E-4</v>
      </c>
      <c r="I190" s="2">
        <v>3.9810700000000003E-4</v>
      </c>
      <c r="J190" s="2">
        <v>6.7814899999999996E-4</v>
      </c>
      <c r="K190" s="2">
        <v>1.0453869999999998E-3</v>
      </c>
      <c r="L190" s="2">
        <v>1.6660450000000001E-3</v>
      </c>
      <c r="M190" s="2">
        <v>2.4841669999999998E-3</v>
      </c>
      <c r="N190" s="2">
        <v>3.5827530000000002E-3</v>
      </c>
      <c r="O190" s="2">
        <v>4.9979880000000001E-3</v>
      </c>
      <c r="P190" s="2">
        <v>7.2082749999999992E-3</v>
      </c>
      <c r="Q190" s="2">
        <v>1.0396029000000001E-2</v>
      </c>
      <c r="R190" s="2">
        <v>1.3124183000000001E-2</v>
      </c>
      <c r="S190" s="2">
        <v>1.7129116000000003E-2</v>
      </c>
      <c r="T190" s="2">
        <v>2.1624186E-2</v>
      </c>
      <c r="U190" s="2">
        <v>2.9178316999999999E-2</v>
      </c>
      <c r="V190" s="2">
        <v>3.6835372000000005E-2</v>
      </c>
      <c r="W190" s="2">
        <v>4.3506507E-2</v>
      </c>
      <c r="X190" s="2">
        <v>4.3506507E-2</v>
      </c>
      <c r="Y190" s="2">
        <v>7.1683910000000003E-2</v>
      </c>
      <c r="Z190" s="2">
        <v>7.1683910000000003E-2</v>
      </c>
      <c r="AA190" s="2">
        <v>9.049539999999999E-2</v>
      </c>
      <c r="AB190" s="236">
        <v>0.10688473</v>
      </c>
      <c r="AC190" s="2"/>
    </row>
    <row r="191" spans="1:29" ht="15.75" customHeight="1">
      <c r="A191" s="228">
        <v>33</v>
      </c>
      <c r="B191" s="201">
        <v>3</v>
      </c>
      <c r="C191" s="468" t="s">
        <v>572</v>
      </c>
      <c r="D191" s="504">
        <v>1.6295000000000002E-5</v>
      </c>
      <c r="E191" s="2">
        <v>4.0031999999999999E-5</v>
      </c>
      <c r="F191" s="2">
        <v>9.5129000000000003E-5</v>
      </c>
      <c r="G191" s="2">
        <v>1.79066E-4</v>
      </c>
      <c r="H191" s="2">
        <v>3.26027E-4</v>
      </c>
      <c r="I191" s="2">
        <v>5.9360000000000001E-4</v>
      </c>
      <c r="J191" s="2">
        <v>1.011159E-3</v>
      </c>
      <c r="K191" s="2">
        <v>1.507694E-3</v>
      </c>
      <c r="L191" s="2">
        <v>2.402829E-3</v>
      </c>
      <c r="M191" s="2">
        <v>3.5827530000000002E-3</v>
      </c>
      <c r="N191" s="2">
        <v>5.1671729999999997E-3</v>
      </c>
      <c r="O191" s="2">
        <v>7.4522799999999995E-3</v>
      </c>
      <c r="P191" s="2">
        <v>1.0747942E-2</v>
      </c>
      <c r="Q191" s="2">
        <v>1.4502596999999999E-2</v>
      </c>
      <c r="R191" s="2">
        <v>1.8308409000000001E-2</v>
      </c>
      <c r="S191" s="2">
        <v>2.822295E-2</v>
      </c>
      <c r="T191" s="2">
        <v>3.5629294999999998E-2</v>
      </c>
      <c r="U191" s="2">
        <v>3.6835372000000005E-2</v>
      </c>
      <c r="V191" s="2">
        <v>4.2082000999999994E-2</v>
      </c>
      <c r="W191" s="2">
        <v>6.4870642000000006E-2</v>
      </c>
      <c r="X191" s="2">
        <v>7.4110462000000002E-2</v>
      </c>
      <c r="Y191" s="2">
        <v>7.4110462000000002E-2</v>
      </c>
      <c r="Z191" s="2">
        <v>8.4666351000000001E-2</v>
      </c>
      <c r="AA191" s="2">
        <v>9.049539999999999E-2</v>
      </c>
      <c r="AB191" s="236">
        <v>9.049539999999999E-2</v>
      </c>
      <c r="AC191" s="2"/>
    </row>
    <row r="192" spans="1:29" ht="15.75" customHeight="1">
      <c r="A192" s="228">
        <v>33</v>
      </c>
      <c r="B192" s="201">
        <v>4</v>
      </c>
      <c r="C192" s="468" t="s">
        <v>572</v>
      </c>
      <c r="D192" s="504">
        <v>5.3718100000000007E-4</v>
      </c>
      <c r="E192" s="2">
        <v>7.4937400000000003E-4</v>
      </c>
      <c r="F192" s="2">
        <v>1.011159E-3</v>
      </c>
      <c r="G192" s="2">
        <v>1.1942860000000001E-3</v>
      </c>
      <c r="H192" s="2">
        <v>1.558731E-3</v>
      </c>
      <c r="I192" s="2">
        <v>2.0343879999999998E-3</v>
      </c>
      <c r="J192" s="2">
        <v>2.568257E-3</v>
      </c>
      <c r="K192" s="2">
        <v>3.5827530000000002E-3</v>
      </c>
      <c r="L192" s="2">
        <v>4.6760539999999998E-3</v>
      </c>
      <c r="M192" s="2">
        <v>6.3095730000000006E-3</v>
      </c>
      <c r="N192" s="2">
        <v>8.8019380000000005E-3</v>
      </c>
      <c r="O192" s="2">
        <v>1.1111767E-2</v>
      </c>
      <c r="P192" s="2">
        <v>1.6025784000000001E-2</v>
      </c>
      <c r="Q192" s="2">
        <v>2.1624186E-2</v>
      </c>
      <c r="R192" s="2">
        <v>2.6405035E-2</v>
      </c>
      <c r="S192" s="2">
        <v>3.6835372000000005E-2</v>
      </c>
      <c r="T192" s="2">
        <v>4.6501811999999997E-2</v>
      </c>
      <c r="U192" s="2">
        <v>5.3125276999999999E-2</v>
      </c>
      <c r="V192" s="2">
        <v>5.8704947E-2</v>
      </c>
      <c r="W192" s="2">
        <v>8.7532367E-2</v>
      </c>
      <c r="X192" s="34">
        <v>9.6725763999999992E-2</v>
      </c>
      <c r="Y192" s="34">
        <v>0.11050285400000001</v>
      </c>
      <c r="Z192" s="34">
        <v>0.13950131899999998</v>
      </c>
      <c r="AA192" s="34">
        <v>0.159371125</v>
      </c>
      <c r="AB192" s="237">
        <v>0.22985067499999998</v>
      </c>
      <c r="AC192" s="2"/>
    </row>
    <row r="193" spans="1:36" ht="15.75" customHeight="1">
      <c r="A193" s="199">
        <v>34</v>
      </c>
      <c r="B193" s="200">
        <v>1</v>
      </c>
      <c r="C193" s="468" t="s">
        <v>572</v>
      </c>
      <c r="D193" s="504">
        <v>8.3941000000000002E-5</v>
      </c>
      <c r="E193" s="234">
        <v>1.20746E-4</v>
      </c>
      <c r="F193" s="234">
        <v>1.8578299999999999E-4</v>
      </c>
      <c r="G193" s="234">
        <v>2.6723899999999995E-4</v>
      </c>
      <c r="H193" s="234">
        <v>4.1118299999999997E-4</v>
      </c>
      <c r="I193" s="234">
        <v>6.3265900000000004E-4</v>
      </c>
      <c r="J193" s="234">
        <v>9.6040899999999996E-4</v>
      </c>
      <c r="K193" s="234">
        <v>1.41921E-3</v>
      </c>
      <c r="L193" s="234">
        <v>2.1544350000000001E-3</v>
      </c>
      <c r="M193" s="234">
        <v>3.2705430000000003E-3</v>
      </c>
      <c r="N193" s="234">
        <v>4.7682889999999993E-3</v>
      </c>
      <c r="O193" s="234">
        <v>7.0461719999999999E-3</v>
      </c>
      <c r="P193" s="234">
        <v>9.734286E-3</v>
      </c>
      <c r="Q193" s="234">
        <v>1.4002282E-2</v>
      </c>
      <c r="R193" s="234">
        <v>1.8329807E-2</v>
      </c>
      <c r="S193" s="234">
        <v>2.4320075E-2</v>
      </c>
      <c r="T193" s="234">
        <v>3.0575960999999999E-2</v>
      </c>
      <c r="U193" s="234">
        <v>3.8441057000000001E-2</v>
      </c>
      <c r="V193" s="234">
        <v>4.5182552000000001E-2</v>
      </c>
      <c r="W193" s="235">
        <v>5.1003777E-2</v>
      </c>
      <c r="X193" s="2"/>
      <c r="Y193" s="2"/>
      <c r="Z193" s="2"/>
      <c r="AA193" s="2"/>
      <c r="AB193" s="2"/>
    </row>
    <row r="194" spans="1:36" ht="15.75" customHeight="1">
      <c r="A194" s="196">
        <v>34</v>
      </c>
      <c r="B194" s="201">
        <v>2</v>
      </c>
      <c r="C194" s="468" t="s">
        <v>572</v>
      </c>
      <c r="D194" s="504">
        <v>1.2951799999999999E-4</v>
      </c>
      <c r="E194" s="2">
        <v>1.7980199999999998E-4</v>
      </c>
      <c r="F194" s="2">
        <v>2.5598800000000002E-4</v>
      </c>
      <c r="G194" s="2">
        <v>3.6908200000000001E-4</v>
      </c>
      <c r="H194" s="2">
        <v>5.4574099999999998E-4</v>
      </c>
      <c r="I194" s="2">
        <v>7.9683800000000002E-4</v>
      </c>
      <c r="J194" s="2">
        <v>1.2392260000000002E-3</v>
      </c>
      <c r="K194" s="2">
        <v>1.8556379999999999E-3</v>
      </c>
      <c r="L194" s="2">
        <v>2.709422E-3</v>
      </c>
      <c r="M194" s="2">
        <v>3.7613389999999998E-3</v>
      </c>
      <c r="N194" s="2">
        <v>5.1561879999999999E-3</v>
      </c>
      <c r="O194" s="2">
        <v>7.0683019999999994E-3</v>
      </c>
      <c r="P194" s="2">
        <v>8.6494060000000001E-3</v>
      </c>
      <c r="Q194" s="2">
        <v>9.9371140000000004E-3</v>
      </c>
      <c r="R194" s="2">
        <v>1.0992485E-2</v>
      </c>
      <c r="S194" s="2">
        <v>1.1856939E-2</v>
      </c>
      <c r="T194" s="2">
        <v>1.2789375E-2</v>
      </c>
      <c r="U194" s="2">
        <v>1.4327300999999999E-2</v>
      </c>
      <c r="V194" s="2">
        <v>1.4509211999999999E-2</v>
      </c>
      <c r="W194" s="236">
        <v>1.4693433000000001E-2</v>
      </c>
      <c r="X194" s="2"/>
    </row>
    <row r="195" spans="1:36" ht="15.75" customHeight="1">
      <c r="A195" s="196">
        <v>34</v>
      </c>
      <c r="B195" s="201">
        <v>3</v>
      </c>
      <c r="C195" s="468" t="s">
        <v>572</v>
      </c>
      <c r="D195" s="504">
        <v>2.12671E-4</v>
      </c>
      <c r="E195" s="2">
        <v>2.8648599999999997E-4</v>
      </c>
      <c r="F195" s="2">
        <v>4.0121300000000004E-4</v>
      </c>
      <c r="G195" s="2">
        <v>5.7663400000000002E-4</v>
      </c>
      <c r="H195" s="2">
        <v>7.8690300000000004E-4</v>
      </c>
      <c r="I195" s="2">
        <v>1.1606400000000001E-3</v>
      </c>
      <c r="J195" s="2">
        <v>1.6898499999999999E-3</v>
      </c>
      <c r="K195" s="2">
        <v>2.3665790000000002E-3</v>
      </c>
      <c r="L195" s="2">
        <v>3.445652E-3</v>
      </c>
      <c r="M195" s="2">
        <v>4.952176E-3</v>
      </c>
      <c r="N195" s="2">
        <v>6.9353590000000003E-3</v>
      </c>
      <c r="O195" s="2">
        <v>9.4643330000000001E-3</v>
      </c>
      <c r="P195" s="2">
        <v>1.2423200000000001E-2</v>
      </c>
      <c r="Q195" s="2">
        <v>1.6097225999999999E-2</v>
      </c>
      <c r="R195" s="2">
        <v>1.9804556000000001E-2</v>
      </c>
      <c r="S195" s="2">
        <v>2.5005235000000001E-2</v>
      </c>
      <c r="T195" s="2">
        <v>3.0764155999999997E-2</v>
      </c>
      <c r="U195" s="2">
        <v>3.2822707E-2</v>
      </c>
      <c r="V195" s="2">
        <v>3.7362264999999999E-2</v>
      </c>
      <c r="W195" s="236"/>
      <c r="X195" s="2"/>
    </row>
    <row r="196" spans="1:36" ht="15.75" customHeight="1">
      <c r="A196" s="197">
        <v>34</v>
      </c>
      <c r="B196" s="202">
        <v>4</v>
      </c>
      <c r="C196" s="468" t="s">
        <v>572</v>
      </c>
      <c r="D196" s="504">
        <v>1.9486449999999999E-3</v>
      </c>
      <c r="E196" s="34">
        <v>2.1336050000000002E-3</v>
      </c>
      <c r="F196" s="34">
        <v>2.4286939999999999E-3</v>
      </c>
      <c r="G196" s="34">
        <v>2.6938890000000001E-3</v>
      </c>
      <c r="H196" s="34">
        <v>3.027002E-3</v>
      </c>
      <c r="I196" s="34">
        <v>3.4905779999999998E-3</v>
      </c>
      <c r="J196" s="34">
        <v>3.9222049999999998E-3</v>
      </c>
      <c r="K196" s="34">
        <v>4.4646670000000003E-3</v>
      </c>
      <c r="L196" s="34">
        <v>5.1484170000000006E-3</v>
      </c>
      <c r="M196" s="34">
        <v>5.7850429999999993E-3</v>
      </c>
      <c r="N196" s="34">
        <v>6.5003919999999998E-3</v>
      </c>
      <c r="O196" s="34">
        <v>7.3041959999999998E-3</v>
      </c>
      <c r="P196" s="34">
        <v>8.1017620000000002E-3</v>
      </c>
      <c r="Q196" s="34">
        <v>9.3425220000000007E-3</v>
      </c>
      <c r="R196" s="34">
        <v>1.0634642999999999E-2</v>
      </c>
      <c r="S196" s="34">
        <v>1.1494184999999999E-2</v>
      </c>
      <c r="T196" s="34">
        <v>1.2585178000000001E-2</v>
      </c>
      <c r="U196" s="34">
        <v>1.4141395000000001E-2</v>
      </c>
      <c r="V196" s="34">
        <v>1.5685534000000001E-2</v>
      </c>
      <c r="W196" s="237">
        <v>3.0368205000000002E-2</v>
      </c>
      <c r="X196" s="2"/>
    </row>
    <row r="197" spans="1:36" ht="15.75" customHeight="1">
      <c r="A197" s="228">
        <v>35</v>
      </c>
      <c r="B197" s="75">
        <v>1</v>
      </c>
      <c r="C197" s="514"/>
      <c r="E197" s="504"/>
      <c r="F197" s="504"/>
      <c r="G197" s="504"/>
      <c r="H197" s="504"/>
      <c r="I197" s="504"/>
      <c r="J197" s="504"/>
      <c r="K197" s="504"/>
      <c r="L197" s="504"/>
      <c r="M197" s="504"/>
      <c r="N197" s="504"/>
      <c r="O197" s="504"/>
      <c r="P197" s="504"/>
      <c r="Q197" s="504"/>
      <c r="R197" s="504"/>
      <c r="S197" s="504"/>
      <c r="T197" s="504"/>
      <c r="U197" s="504"/>
      <c r="V197" s="504"/>
      <c r="W197" s="504"/>
      <c r="X197" s="504"/>
      <c r="Y197" s="504"/>
      <c r="Z197" s="504"/>
      <c r="AA197" s="504"/>
      <c r="AB197" s="504"/>
      <c r="AC197" s="504"/>
      <c r="AD197" s="504"/>
      <c r="AE197" s="504"/>
      <c r="AF197" s="504"/>
      <c r="AG197" s="504"/>
      <c r="AH197" s="504"/>
      <c r="AI197" s="504"/>
      <c r="AJ197" s="504"/>
    </row>
    <row r="198" spans="1:36" ht="15.75" customHeight="1">
      <c r="A198" s="228">
        <v>35</v>
      </c>
      <c r="B198" s="75">
        <v>2</v>
      </c>
      <c r="C198" s="514"/>
      <c r="E198" s="504"/>
      <c r="F198" s="504"/>
      <c r="G198" s="504"/>
      <c r="H198" s="504"/>
      <c r="I198" s="504"/>
      <c r="J198" s="504"/>
      <c r="K198" s="504"/>
      <c r="L198" s="504"/>
      <c r="M198" s="504"/>
      <c r="N198" s="504"/>
      <c r="O198" s="504"/>
      <c r="P198" s="504"/>
      <c r="Q198" s="504"/>
      <c r="R198" s="504"/>
      <c r="S198" s="504"/>
      <c r="T198" s="504"/>
      <c r="U198" s="504"/>
      <c r="V198" s="504"/>
      <c r="W198" s="504"/>
      <c r="X198" s="504"/>
      <c r="Y198" s="504"/>
      <c r="Z198" s="504"/>
      <c r="AA198" s="504"/>
      <c r="AB198" s="504"/>
      <c r="AC198" s="504"/>
      <c r="AD198" s="504"/>
      <c r="AE198" s="504"/>
      <c r="AF198" s="504"/>
      <c r="AG198" s="504"/>
      <c r="AH198" s="504"/>
      <c r="AI198" s="504"/>
      <c r="AJ198" s="504"/>
    </row>
    <row r="199" spans="1:36" ht="15.75" customHeight="1">
      <c r="A199" s="228">
        <v>35</v>
      </c>
      <c r="B199" s="75">
        <v>3</v>
      </c>
      <c r="C199" s="514"/>
      <c r="E199" s="504"/>
      <c r="F199" s="504"/>
      <c r="G199" s="504"/>
      <c r="H199" s="504"/>
      <c r="I199" s="504"/>
      <c r="J199" s="504"/>
      <c r="K199" s="504"/>
      <c r="L199" s="504"/>
      <c r="M199" s="504"/>
      <c r="N199" s="504"/>
      <c r="O199" s="504"/>
      <c r="P199" s="504"/>
      <c r="Q199" s="504"/>
      <c r="R199" s="504"/>
      <c r="S199" s="504"/>
      <c r="T199" s="504"/>
      <c r="U199" s="504"/>
      <c r="V199" s="504"/>
      <c r="W199" s="504"/>
      <c r="X199" s="504"/>
      <c r="Y199" s="504"/>
      <c r="Z199" s="504"/>
      <c r="AA199" s="504"/>
      <c r="AB199" s="504"/>
      <c r="AC199" s="504"/>
      <c r="AD199" s="504"/>
      <c r="AE199" s="504"/>
      <c r="AF199" s="504"/>
      <c r="AG199" s="504"/>
      <c r="AH199" s="504"/>
      <c r="AI199" s="504"/>
      <c r="AJ199" s="504"/>
    </row>
    <row r="200" spans="1:36" ht="15.75" customHeight="1">
      <c r="A200" s="230">
        <v>35</v>
      </c>
      <c r="B200" s="231">
        <v>4</v>
      </c>
      <c r="C200" s="514"/>
      <c r="E200" s="504"/>
      <c r="F200" s="504"/>
      <c r="G200" s="504"/>
      <c r="H200" s="504"/>
      <c r="I200" s="504"/>
      <c r="J200" s="504"/>
      <c r="K200" s="504"/>
      <c r="L200" s="504"/>
      <c r="M200" s="504"/>
      <c r="N200" s="504"/>
      <c r="O200" s="504"/>
      <c r="P200" s="504"/>
      <c r="Q200" s="504"/>
      <c r="R200" s="504"/>
      <c r="S200" s="504"/>
      <c r="T200" s="504"/>
      <c r="U200" s="504"/>
      <c r="V200" s="504"/>
      <c r="W200" s="504"/>
      <c r="X200" s="504"/>
      <c r="Y200" s="504"/>
      <c r="Z200" s="504"/>
      <c r="AA200" s="504"/>
      <c r="AB200" s="504"/>
      <c r="AC200" s="504"/>
      <c r="AD200" s="504"/>
      <c r="AE200" s="504"/>
      <c r="AF200" s="504"/>
      <c r="AG200" s="504"/>
      <c r="AH200" s="504"/>
      <c r="AI200" s="504"/>
      <c r="AJ200" s="504"/>
    </row>
    <row r="201" spans="1:36" ht="15.75" customHeight="1">
      <c r="A201" s="233">
        <v>36</v>
      </c>
      <c r="B201" s="75">
        <v>1</v>
      </c>
      <c r="C201" s="75"/>
    </row>
    <row r="202" spans="1:36" ht="15.75" customHeight="1">
      <c r="A202" s="233">
        <v>36</v>
      </c>
      <c r="B202" s="75">
        <v>2</v>
      </c>
      <c r="C202" s="75"/>
    </row>
    <row r="203" spans="1:36" ht="15.75" customHeight="1">
      <c r="A203" s="233">
        <v>36</v>
      </c>
      <c r="B203" s="75">
        <v>3</v>
      </c>
      <c r="C203" s="75"/>
    </row>
    <row r="204" spans="1:36" ht="15.75" customHeight="1">
      <c r="A204" s="233">
        <v>36</v>
      </c>
      <c r="B204" s="75">
        <v>4</v>
      </c>
      <c r="C204" s="75"/>
    </row>
    <row r="205" spans="1:36" ht="15.75" customHeight="1">
      <c r="A205" s="229">
        <v>37</v>
      </c>
      <c r="B205" s="200">
        <v>1</v>
      </c>
      <c r="C205" s="468" t="s">
        <v>575</v>
      </c>
      <c r="D205" s="504">
        <v>139.66834</v>
      </c>
      <c r="E205" s="506">
        <v>136.44387900000001</v>
      </c>
      <c r="F205" s="506">
        <v>131.71078199999999</v>
      </c>
      <c r="G205" s="506">
        <v>106.26331399999999</v>
      </c>
      <c r="H205" s="506">
        <v>78.65970999999999</v>
      </c>
      <c r="I205" s="506">
        <v>65.573379000000003</v>
      </c>
      <c r="J205" s="506">
        <v>71.098570999999993</v>
      </c>
      <c r="K205" s="506">
        <v>84.807215999999997</v>
      </c>
      <c r="L205" s="506">
        <v>92.771208000000001</v>
      </c>
      <c r="M205" s="506">
        <v>91.112949</v>
      </c>
      <c r="N205" s="506">
        <v>79.928100000000001</v>
      </c>
      <c r="O205" s="506">
        <v>56.835296999999997</v>
      </c>
      <c r="P205" s="506">
        <v>40.215800000000002</v>
      </c>
      <c r="Q205" s="504"/>
      <c r="R205" s="504"/>
      <c r="S205" s="504"/>
      <c r="T205" s="504"/>
      <c r="U205" s="504"/>
      <c r="V205" s="504"/>
    </row>
    <row r="206" spans="1:36" ht="15.75" customHeight="1">
      <c r="A206" s="228">
        <v>37</v>
      </c>
      <c r="B206" s="201">
        <v>2</v>
      </c>
      <c r="C206" s="468" t="s">
        <v>575</v>
      </c>
      <c r="D206" s="504">
        <v>129.90934200000001</v>
      </c>
      <c r="E206" s="506">
        <v>125.26979500000002</v>
      </c>
      <c r="F206" s="506">
        <v>123.322312</v>
      </c>
      <c r="G206" s="506">
        <v>105.643152</v>
      </c>
      <c r="H206" s="506">
        <v>79.920869999999994</v>
      </c>
      <c r="I206" s="506">
        <v>65.246769</v>
      </c>
      <c r="J206" s="506">
        <v>73.298575</v>
      </c>
      <c r="K206" s="506">
        <v>85.719400000000007</v>
      </c>
      <c r="L206" s="506">
        <v>92.637402000000009</v>
      </c>
      <c r="M206" s="506">
        <v>92.246769</v>
      </c>
      <c r="N206" s="506">
        <v>80.59069199999999</v>
      </c>
      <c r="O206" s="506">
        <v>55.656084</v>
      </c>
      <c r="P206" s="506"/>
      <c r="Q206" s="504"/>
      <c r="R206" s="504"/>
      <c r="S206" s="504"/>
      <c r="T206" s="504"/>
      <c r="U206" s="504"/>
      <c r="V206" s="504"/>
    </row>
    <row r="207" spans="1:36" ht="15.75" customHeight="1">
      <c r="A207" s="228">
        <v>37</v>
      </c>
      <c r="B207" s="201">
        <v>3</v>
      </c>
      <c r="C207" s="468" t="s">
        <v>575</v>
      </c>
      <c r="D207" s="504">
        <v>149.44821999999999</v>
      </c>
      <c r="E207" s="506">
        <v>142.023754</v>
      </c>
      <c r="F207" s="506">
        <v>130.89207999999999</v>
      </c>
      <c r="G207" s="506">
        <v>111.40575600000001</v>
      </c>
      <c r="H207" s="506">
        <v>83.169065000000003</v>
      </c>
      <c r="I207" s="506">
        <v>66.348928000000001</v>
      </c>
      <c r="J207" s="506">
        <v>71.350344000000007</v>
      </c>
      <c r="K207" s="506">
        <v>84.269768999999997</v>
      </c>
      <c r="L207" s="506">
        <v>89.176956000000004</v>
      </c>
      <c r="M207" s="506">
        <v>81.826607999999993</v>
      </c>
      <c r="N207" s="506">
        <v>59.710753999999994</v>
      </c>
      <c r="O207" s="506">
        <v>38.460419999999999</v>
      </c>
      <c r="P207" s="506"/>
      <c r="Q207" s="504"/>
      <c r="R207" s="504"/>
      <c r="S207" s="504"/>
      <c r="T207" s="504"/>
      <c r="U207" s="504"/>
      <c r="V207" s="504"/>
    </row>
    <row r="208" spans="1:36" ht="15.75" customHeight="1">
      <c r="A208" s="228">
        <v>37</v>
      </c>
      <c r="B208" s="201">
        <v>4</v>
      </c>
      <c r="C208" s="468" t="s">
        <v>575</v>
      </c>
      <c r="D208" s="504">
        <v>155.971959</v>
      </c>
      <c r="E208" s="506">
        <v>145.19279399999999</v>
      </c>
      <c r="F208" s="506">
        <v>146.21439000000001</v>
      </c>
      <c r="G208" s="506">
        <v>124.97840000000001</v>
      </c>
      <c r="H208" s="506">
        <v>93.610803000000004</v>
      </c>
      <c r="I208" s="506">
        <v>80.265478999999999</v>
      </c>
      <c r="J208" s="506">
        <v>80.365463999999989</v>
      </c>
      <c r="K208" s="506">
        <v>94.184912999999995</v>
      </c>
      <c r="L208" s="506">
        <v>104.83811600000001</v>
      </c>
      <c r="M208" s="506">
        <v>105.03384400000002</v>
      </c>
      <c r="N208" s="506">
        <v>98.936692000000008</v>
      </c>
      <c r="O208" s="506">
        <v>79.763294000000002</v>
      </c>
      <c r="P208" s="506">
        <v>50.210112000000002</v>
      </c>
      <c r="Q208" s="504"/>
      <c r="R208" s="504"/>
      <c r="S208" s="504"/>
      <c r="T208" s="504"/>
      <c r="U208" s="504"/>
      <c r="V208" s="504"/>
    </row>
    <row r="209" spans="1:22" ht="15.75" customHeight="1">
      <c r="A209" s="228">
        <v>37</v>
      </c>
      <c r="B209" s="201">
        <v>5</v>
      </c>
      <c r="C209" s="468" t="s">
        <v>575</v>
      </c>
      <c r="D209" s="504">
        <v>146.15827999999999</v>
      </c>
      <c r="E209" s="506">
        <v>140.40288000000001</v>
      </c>
      <c r="F209" s="506">
        <v>137.81654799999998</v>
      </c>
      <c r="G209" s="506">
        <v>115.7698</v>
      </c>
      <c r="H209" s="506">
        <v>78.366900000000001</v>
      </c>
      <c r="I209" s="506">
        <v>67.01870000000001</v>
      </c>
      <c r="J209" s="506">
        <v>74.97842399999999</v>
      </c>
      <c r="K209" s="506">
        <v>90.557548999999995</v>
      </c>
      <c r="L209" s="506">
        <v>101.28994899999998</v>
      </c>
      <c r="M209" s="506">
        <v>95.21077600000001</v>
      </c>
      <c r="N209" s="506">
        <v>72.248216999999997</v>
      </c>
      <c r="O209" s="506">
        <v>48.405708000000004</v>
      </c>
      <c r="P209" s="506">
        <v>29.853200000000001</v>
      </c>
      <c r="Q209" s="504"/>
      <c r="R209" s="504"/>
      <c r="S209" s="504"/>
      <c r="T209" s="504"/>
      <c r="U209" s="504"/>
      <c r="V209" s="504"/>
    </row>
    <row r="210" spans="1:22" ht="15.75" customHeight="1">
      <c r="A210" s="228">
        <v>37</v>
      </c>
      <c r="B210" s="201">
        <v>6</v>
      </c>
      <c r="C210" s="468" t="s">
        <v>575</v>
      </c>
      <c r="D210" s="504">
        <v>168.31725300000002</v>
      </c>
      <c r="E210" s="506">
        <v>162.705738</v>
      </c>
      <c r="F210" s="506">
        <v>157.36328900000001</v>
      </c>
      <c r="G210" s="506">
        <v>135.54606000000001</v>
      </c>
      <c r="H210" s="506">
        <v>100.166912</v>
      </c>
      <c r="I210" s="506">
        <v>85.446029999999993</v>
      </c>
      <c r="J210" s="506">
        <v>91.754671999999999</v>
      </c>
      <c r="K210" s="506">
        <v>105.907932</v>
      </c>
      <c r="L210" s="506">
        <v>108.35970000000002</v>
      </c>
      <c r="M210" s="506">
        <v>89.582767999999987</v>
      </c>
      <c r="N210" s="506">
        <v>63.288519000000008</v>
      </c>
      <c r="O210" s="506">
        <v>40.798552000000001</v>
      </c>
      <c r="P210" s="506"/>
      <c r="Q210" s="504"/>
      <c r="R210" s="504"/>
      <c r="S210" s="504"/>
      <c r="T210" s="504"/>
      <c r="U210" s="504"/>
      <c r="V210" s="504"/>
    </row>
    <row r="211" spans="1:22" ht="15.75" customHeight="1">
      <c r="A211" s="228">
        <v>37</v>
      </c>
      <c r="B211" s="201">
        <v>7</v>
      </c>
      <c r="C211" s="468" t="s">
        <v>575</v>
      </c>
      <c r="D211" s="504">
        <v>137.154675</v>
      </c>
      <c r="E211" s="506">
        <v>134.85754799999998</v>
      </c>
      <c r="F211" s="506">
        <v>131.41437400000001</v>
      </c>
      <c r="G211" s="506">
        <v>110.56475500000001</v>
      </c>
      <c r="H211" s="506">
        <v>84.767638000000005</v>
      </c>
      <c r="I211" s="506">
        <v>70.012956000000003</v>
      </c>
      <c r="J211" s="506">
        <v>70.413682000000009</v>
      </c>
      <c r="K211" s="506">
        <v>83.268335000000008</v>
      </c>
      <c r="L211" s="506">
        <v>98.432355000000001</v>
      </c>
      <c r="M211" s="506">
        <v>103.15464500000002</v>
      </c>
      <c r="N211" s="506">
        <v>95.743128000000013</v>
      </c>
      <c r="O211" s="506">
        <v>81.079100000000011</v>
      </c>
      <c r="P211" s="506">
        <v>66.320155</v>
      </c>
      <c r="Q211" s="504"/>
      <c r="R211" s="504"/>
      <c r="S211" s="504"/>
      <c r="T211" s="504"/>
      <c r="U211" s="504"/>
      <c r="V211" s="504"/>
    </row>
    <row r="212" spans="1:22" ht="15.75" customHeight="1">
      <c r="A212" s="229">
        <v>38</v>
      </c>
      <c r="B212" s="74">
        <v>1</v>
      </c>
      <c r="C212" s="75"/>
    </row>
    <row r="213" spans="1:22" ht="15.75" customHeight="1">
      <c r="A213" s="228">
        <v>38</v>
      </c>
      <c r="B213" s="75">
        <v>2</v>
      </c>
      <c r="C213" s="75"/>
    </row>
    <row r="214" spans="1:22" ht="15.75" customHeight="1">
      <c r="A214" s="228">
        <v>38</v>
      </c>
      <c r="B214" s="75">
        <v>3</v>
      </c>
      <c r="C214" s="75"/>
    </row>
    <row r="215" spans="1:22" ht="15.75" customHeight="1">
      <c r="A215" s="228">
        <v>38</v>
      </c>
      <c r="B215" s="75">
        <v>4</v>
      </c>
      <c r="C215" s="75"/>
    </row>
    <row r="216" spans="1:22" ht="15.75" customHeight="1">
      <c r="A216" s="228">
        <v>38</v>
      </c>
      <c r="B216" s="75">
        <v>5</v>
      </c>
      <c r="C216" s="75"/>
    </row>
    <row r="217" spans="1:22" ht="15.75" customHeight="1">
      <c r="A217" s="230">
        <v>38</v>
      </c>
      <c r="B217" s="231">
        <v>6</v>
      </c>
      <c r="C217" s="75"/>
    </row>
    <row r="218" spans="1:22" ht="15.75" customHeight="1">
      <c r="A218" s="233">
        <v>39</v>
      </c>
      <c r="B218" s="75">
        <v>1</v>
      </c>
      <c r="C218" s="75"/>
    </row>
    <row r="219" spans="1:22" ht="15.75" customHeight="1">
      <c r="A219" s="233">
        <v>39</v>
      </c>
      <c r="B219" s="75">
        <v>2</v>
      </c>
      <c r="C219" s="75"/>
    </row>
    <row r="220" spans="1:22" ht="15.75" customHeight="1">
      <c r="A220" s="233">
        <v>39</v>
      </c>
      <c r="B220" s="75">
        <v>3</v>
      </c>
      <c r="C220" s="75"/>
    </row>
    <row r="221" spans="1:22" ht="15.75" customHeight="1">
      <c r="A221" s="233">
        <v>39</v>
      </c>
      <c r="B221" s="75">
        <v>4</v>
      </c>
      <c r="C221" s="75"/>
    </row>
    <row r="222" spans="1:22" ht="15.75" customHeight="1">
      <c r="A222" s="233">
        <v>39</v>
      </c>
      <c r="B222" s="75">
        <v>5</v>
      </c>
      <c r="C222" s="75"/>
    </row>
    <row r="223" spans="1:22" ht="15.75" customHeight="1">
      <c r="A223" s="233">
        <v>39</v>
      </c>
      <c r="B223" s="75">
        <v>6</v>
      </c>
      <c r="C223" s="75"/>
    </row>
    <row r="224" spans="1:22" ht="15.75" customHeight="1">
      <c r="A224" s="233">
        <v>39</v>
      </c>
      <c r="B224" s="75">
        <v>7</v>
      </c>
      <c r="C224" s="75"/>
    </row>
    <row r="225" spans="1:28" ht="15.75" customHeight="1">
      <c r="A225" s="233">
        <v>39</v>
      </c>
      <c r="B225" s="75">
        <v>8</v>
      </c>
      <c r="C225" s="75"/>
    </row>
    <row r="226" spans="1:28" ht="15.75" customHeight="1">
      <c r="A226" s="229">
        <v>40</v>
      </c>
      <c r="B226" s="74">
        <v>1</v>
      </c>
      <c r="C226" s="512" t="s">
        <v>575</v>
      </c>
      <c r="D226" s="504">
        <v>144.52843799999999</v>
      </c>
      <c r="E226" s="506">
        <v>188.26393999999999</v>
      </c>
      <c r="F226" s="506">
        <v>13.43235</v>
      </c>
      <c r="G226" s="506">
        <v>0.65533199999999991</v>
      </c>
      <c r="H226" s="506">
        <v>0.34422399999999997</v>
      </c>
      <c r="I226" s="506">
        <v>0.34487999999999996</v>
      </c>
      <c r="J226" s="504"/>
      <c r="K226" s="504"/>
      <c r="L226" s="504"/>
      <c r="M226" s="504"/>
      <c r="N226" s="504"/>
      <c r="O226" s="504"/>
      <c r="P226" s="504"/>
      <c r="Q226" s="504"/>
      <c r="R226" s="504"/>
      <c r="S226" s="504"/>
      <c r="T226" s="504"/>
    </row>
    <row r="227" spans="1:28" ht="15.75" customHeight="1">
      <c r="A227" s="228">
        <v>40</v>
      </c>
      <c r="B227" s="75">
        <v>2</v>
      </c>
      <c r="C227" s="512" t="s">
        <v>575</v>
      </c>
      <c r="D227" s="504">
        <v>270.17103700000001</v>
      </c>
      <c r="E227" s="506">
        <v>316.47763799999996</v>
      </c>
      <c r="F227" s="506">
        <v>26.684988000000001</v>
      </c>
      <c r="G227" s="506">
        <v>1.1973609999999999</v>
      </c>
      <c r="H227" s="506">
        <v>0.62040000000000006</v>
      </c>
      <c r="I227" s="506">
        <v>0.40975</v>
      </c>
      <c r="J227" s="504"/>
      <c r="K227" s="504"/>
      <c r="L227" s="504"/>
      <c r="M227" s="504"/>
      <c r="N227" s="504"/>
      <c r="O227" s="504"/>
      <c r="P227" s="504"/>
      <c r="Q227" s="504"/>
      <c r="R227" s="504"/>
      <c r="S227" s="504"/>
      <c r="T227" s="504"/>
    </row>
    <row r="228" spans="1:28" ht="15.75" customHeight="1">
      <c r="A228" s="228">
        <v>40</v>
      </c>
      <c r="B228" s="75">
        <v>3</v>
      </c>
      <c r="C228" s="512" t="s">
        <v>575</v>
      </c>
      <c r="D228" s="504">
        <v>202.64620500000001</v>
      </c>
      <c r="E228" s="506">
        <v>261.50572800000003</v>
      </c>
      <c r="F228" s="506">
        <v>40.158041999999995</v>
      </c>
      <c r="G228" s="506">
        <v>2.9972700000000003</v>
      </c>
      <c r="H228" s="506">
        <v>1.5526800000000001</v>
      </c>
      <c r="I228" s="506">
        <v>1.45503</v>
      </c>
      <c r="J228" s="504"/>
      <c r="K228" s="504"/>
      <c r="L228" s="504"/>
      <c r="M228" s="504"/>
      <c r="N228" s="504"/>
      <c r="O228" s="504"/>
      <c r="P228" s="504"/>
      <c r="Q228" s="504"/>
      <c r="R228" s="504"/>
      <c r="S228" s="504"/>
      <c r="T228" s="504"/>
    </row>
    <row r="229" spans="1:28" ht="15.75" customHeight="1">
      <c r="A229" s="228">
        <v>40</v>
      </c>
      <c r="B229" s="75">
        <v>4</v>
      </c>
      <c r="C229" s="512" t="s">
        <v>575</v>
      </c>
      <c r="D229" s="504">
        <v>239.76480000000001</v>
      </c>
      <c r="E229" s="506">
        <v>225.2046</v>
      </c>
      <c r="F229" s="506">
        <v>66.921263999999994</v>
      </c>
      <c r="G229" s="506">
        <v>5.4625760000000003</v>
      </c>
      <c r="H229" s="506">
        <v>3.1283159999999999</v>
      </c>
      <c r="I229" s="506">
        <v>2.6024320000000003</v>
      </c>
      <c r="J229" s="504"/>
      <c r="K229" s="504"/>
      <c r="L229" s="504"/>
      <c r="M229" s="504"/>
      <c r="N229" s="504"/>
      <c r="O229" s="504"/>
      <c r="P229" s="504"/>
      <c r="Q229" s="504"/>
      <c r="R229" s="504"/>
      <c r="S229" s="504"/>
      <c r="T229" s="504"/>
    </row>
    <row r="230" spans="1:28" ht="15.75" customHeight="1">
      <c r="A230" s="228">
        <v>40</v>
      </c>
      <c r="B230" s="75">
        <v>5</v>
      </c>
      <c r="C230" s="512" t="s">
        <v>575</v>
      </c>
      <c r="D230" s="504">
        <v>161.28277199999999</v>
      </c>
      <c r="E230" s="506">
        <v>139.87247399999998</v>
      </c>
      <c r="F230" s="506">
        <v>103.87773</v>
      </c>
      <c r="G230" s="506">
        <v>11.789021999999999</v>
      </c>
      <c r="H230" s="506">
        <v>6.634544</v>
      </c>
      <c r="I230" s="506">
        <v>6.3109980000000006</v>
      </c>
      <c r="J230" s="504"/>
      <c r="K230" s="504"/>
      <c r="L230" s="504"/>
      <c r="M230" s="504"/>
      <c r="N230" s="504"/>
      <c r="O230" s="504"/>
      <c r="P230" s="504"/>
      <c r="Q230" s="504"/>
      <c r="R230" s="504"/>
      <c r="S230" s="504"/>
      <c r="T230" s="504"/>
    </row>
    <row r="231" spans="1:28" ht="15.75" customHeight="1">
      <c r="A231" s="199">
        <v>41</v>
      </c>
      <c r="B231" s="200">
        <v>1</v>
      </c>
      <c r="C231" s="468" t="s">
        <v>572</v>
      </c>
      <c r="D231" s="504">
        <v>16.030999999999999</v>
      </c>
      <c r="E231" s="234">
        <v>18.495999999999999</v>
      </c>
      <c r="F231" s="234">
        <v>23.587</v>
      </c>
      <c r="G231" s="234">
        <v>33.725000000000001</v>
      </c>
      <c r="H231" s="234">
        <v>49.619</v>
      </c>
      <c r="I231" s="234">
        <v>69.938999999999993</v>
      </c>
      <c r="J231" s="234">
        <v>100</v>
      </c>
      <c r="K231" s="234">
        <v>145.041</v>
      </c>
      <c r="L231" s="234">
        <v>201.53399999999999</v>
      </c>
      <c r="M231" s="234">
        <v>284.06400000000002</v>
      </c>
      <c r="N231" s="234">
        <v>394.70600000000002</v>
      </c>
      <c r="O231" s="234">
        <v>548.44200000000001</v>
      </c>
      <c r="P231" s="234">
        <v>762.05700000000002</v>
      </c>
      <c r="Q231" s="234">
        <v>1074.1279999999999</v>
      </c>
      <c r="R231" s="234">
        <v>1471.3019999999999</v>
      </c>
      <c r="S231" s="234">
        <v>1958.509</v>
      </c>
      <c r="T231" s="234">
        <v>2760.538</v>
      </c>
      <c r="U231" s="234">
        <v>3727.5940000000001</v>
      </c>
      <c r="V231" s="234">
        <v>5105.9260000000004</v>
      </c>
      <c r="W231" s="234">
        <v>6700.1880000000001</v>
      </c>
      <c r="X231" s="234">
        <v>9047.357</v>
      </c>
      <c r="Y231" s="234">
        <v>11703.695</v>
      </c>
      <c r="Z231" s="234">
        <v>15358.026</v>
      </c>
      <c r="AA231" s="235">
        <v>17719.326000000001</v>
      </c>
      <c r="AB231" s="2"/>
    </row>
    <row r="232" spans="1:28" ht="15.75" customHeight="1">
      <c r="A232" s="196">
        <v>41</v>
      </c>
      <c r="B232" s="201">
        <v>2</v>
      </c>
      <c r="C232" s="468" t="s">
        <v>572</v>
      </c>
      <c r="D232" s="504">
        <v>102.902</v>
      </c>
      <c r="E232" s="2">
        <v>151.399</v>
      </c>
      <c r="F232" s="2">
        <v>213.399</v>
      </c>
      <c r="G232" s="2">
        <v>305.12099999999998</v>
      </c>
      <c r="H232" s="2">
        <v>436.26600000000002</v>
      </c>
      <c r="I232" s="2">
        <v>597.58199999999999</v>
      </c>
      <c r="J232" s="2">
        <v>806.923</v>
      </c>
      <c r="K232" s="2">
        <v>1153.75</v>
      </c>
      <c r="L232" s="2">
        <v>1513.9939999999999</v>
      </c>
      <c r="M232" s="2">
        <v>2015.338</v>
      </c>
      <c r="N232" s="2">
        <v>2682.6959999999999</v>
      </c>
      <c r="O232" s="2">
        <v>3520.3339999999998</v>
      </c>
      <c r="P232" s="2">
        <v>4553.9170000000004</v>
      </c>
      <c r="Q232" s="2">
        <v>6061.8990000000003</v>
      </c>
      <c r="R232" s="2">
        <v>8069.2340000000004</v>
      </c>
      <c r="S232" s="2">
        <v>10588.751</v>
      </c>
      <c r="T232" s="2">
        <v>13503.14</v>
      </c>
      <c r="U232" s="2">
        <v>17719.326000000001</v>
      </c>
      <c r="V232" s="2">
        <v>22596.296999999999</v>
      </c>
      <c r="W232" s="2">
        <v>28406.397000000001</v>
      </c>
      <c r="X232" s="2">
        <v>35710.425999999999</v>
      </c>
      <c r="Y232" s="2">
        <v>45539.167999999998</v>
      </c>
      <c r="Z232" s="2">
        <v>55634.17</v>
      </c>
      <c r="AA232" s="236">
        <v>61492.178</v>
      </c>
      <c r="AB232" s="2"/>
    </row>
    <row r="233" spans="1:28" ht="15.75" customHeight="1">
      <c r="A233" s="196">
        <v>41</v>
      </c>
      <c r="B233" s="201">
        <v>3</v>
      </c>
      <c r="C233" s="468" t="s">
        <v>572</v>
      </c>
      <c r="D233" s="504">
        <v>1014.405</v>
      </c>
      <c r="E233" s="2">
        <v>1239.2750000000001</v>
      </c>
      <c r="F233" s="2">
        <v>1513.9939999999999</v>
      </c>
      <c r="G233" s="2">
        <v>1797.4559999999999</v>
      </c>
      <c r="H233" s="2">
        <v>2259.63</v>
      </c>
      <c r="I233" s="2">
        <v>3051.21</v>
      </c>
      <c r="J233" s="2">
        <v>3891.0079999999998</v>
      </c>
      <c r="K233" s="2">
        <v>5033.4219999999996</v>
      </c>
      <c r="L233" s="2">
        <v>6418.7939999999999</v>
      </c>
      <c r="M233" s="2">
        <v>8069.2340000000004</v>
      </c>
      <c r="N233" s="2">
        <v>10438.391</v>
      </c>
      <c r="O233" s="2">
        <v>13122.374</v>
      </c>
      <c r="P233" s="2">
        <v>16734.105</v>
      </c>
      <c r="Q233" s="2">
        <v>20738.157999999999</v>
      </c>
      <c r="R233" s="2">
        <v>26826.957999999999</v>
      </c>
      <c r="S233" s="2">
        <v>34210.663</v>
      </c>
      <c r="T233" s="2">
        <v>43007.120999999999</v>
      </c>
      <c r="U233" s="2">
        <v>54065.379000000001</v>
      </c>
      <c r="V233" s="2">
        <v>67001.875</v>
      </c>
      <c r="W233" s="2">
        <v>77303.429000000004</v>
      </c>
      <c r="X233" s="2">
        <v>87922.369000000006</v>
      </c>
      <c r="Y233" s="2">
        <v>105887.50599999999</v>
      </c>
      <c r="Z233" s="2">
        <v>133113.96</v>
      </c>
      <c r="AA233" s="236">
        <v>210368.818</v>
      </c>
      <c r="AB233" s="2"/>
    </row>
    <row r="234" spans="1:28" ht="15.75" customHeight="1">
      <c r="A234" s="196">
        <v>41</v>
      </c>
      <c r="B234" s="201">
        <v>4</v>
      </c>
      <c r="C234" s="468" t="s">
        <v>572</v>
      </c>
      <c r="D234" s="504">
        <v>10144.045</v>
      </c>
      <c r="E234" s="2">
        <v>10290.165999999999</v>
      </c>
      <c r="F234" s="2">
        <v>10588.751</v>
      </c>
      <c r="G234" s="2">
        <v>10896</v>
      </c>
      <c r="H234" s="2">
        <v>11052.950999999999</v>
      </c>
      <c r="I234" s="2">
        <v>11703.695</v>
      </c>
      <c r="J234" s="2">
        <v>12216.772999999999</v>
      </c>
      <c r="K234" s="2">
        <v>12936.037</v>
      </c>
      <c r="L234" s="2">
        <v>14095.105</v>
      </c>
      <c r="M234" s="2">
        <v>15358.026</v>
      </c>
      <c r="N234" s="2">
        <v>17467.712</v>
      </c>
      <c r="O234" s="2">
        <v>19585.084999999999</v>
      </c>
      <c r="P234" s="2">
        <v>22596.296999999999</v>
      </c>
      <c r="Q234" s="2">
        <v>27213.387999999999</v>
      </c>
      <c r="R234" s="2">
        <v>30951.609</v>
      </c>
      <c r="S234" s="2">
        <v>35203.338000000003</v>
      </c>
      <c r="T234" s="2">
        <v>42396.421000000002</v>
      </c>
      <c r="U234" s="2">
        <v>51794.747000000003</v>
      </c>
      <c r="V234" s="2">
        <v>62377.944000000003</v>
      </c>
      <c r="W234" s="2">
        <v>71968.566999999995</v>
      </c>
      <c r="X234" s="2">
        <v>85443.104000000007</v>
      </c>
      <c r="Y234" s="2">
        <v>105887.50599999999</v>
      </c>
      <c r="Z234" s="2">
        <v>133113.96</v>
      </c>
      <c r="AA234" s="236">
        <v>195850.85200000001</v>
      </c>
      <c r="AB234" s="2"/>
    </row>
    <row r="235" spans="1:28" ht="15.75" customHeight="1">
      <c r="A235" s="196">
        <v>41</v>
      </c>
      <c r="B235" s="201">
        <v>5</v>
      </c>
      <c r="C235" s="468" t="s">
        <v>572</v>
      </c>
      <c r="D235" s="504">
        <v>23926.654999999999</v>
      </c>
      <c r="E235" s="2">
        <v>22596.296999999999</v>
      </c>
      <c r="F235" s="2">
        <v>21339.907999999999</v>
      </c>
      <c r="G235" s="2">
        <v>21339.907999999999</v>
      </c>
      <c r="H235" s="2">
        <v>21339.907999999999</v>
      </c>
      <c r="I235" s="2">
        <v>20443.677</v>
      </c>
      <c r="J235" s="2">
        <v>22596.296999999999</v>
      </c>
      <c r="K235" s="2">
        <v>22596.296999999999</v>
      </c>
      <c r="L235" s="2">
        <v>22921.786</v>
      </c>
      <c r="M235" s="2">
        <v>24620.923999999999</v>
      </c>
      <c r="N235" s="2">
        <v>27213.387999999999</v>
      </c>
      <c r="O235" s="2">
        <v>29230.651999999998</v>
      </c>
      <c r="P235" s="2">
        <v>33245.978999999999</v>
      </c>
      <c r="Q235" s="2">
        <v>36746.618999999999</v>
      </c>
      <c r="R235" s="2">
        <v>41794.392</v>
      </c>
      <c r="S235" s="2">
        <v>48220.29</v>
      </c>
      <c r="T235" s="2">
        <v>54844.165999999997</v>
      </c>
      <c r="U235" s="2">
        <v>64187.936999999998</v>
      </c>
      <c r="V235" s="2">
        <v>71968.566999999995</v>
      </c>
      <c r="W235" s="2">
        <v>85443.104000000007</v>
      </c>
      <c r="X235" s="2">
        <v>102901.655</v>
      </c>
      <c r="Y235" s="2">
        <v>122167.735</v>
      </c>
      <c r="Z235" s="2">
        <v>222754.29500000001</v>
      </c>
      <c r="AA235" s="236">
        <v>347034.51500000001</v>
      </c>
      <c r="AB235" s="2"/>
    </row>
    <row r="236" spans="1:28" ht="15.75" customHeight="1">
      <c r="A236" s="196">
        <v>41</v>
      </c>
      <c r="B236" s="201">
        <v>6</v>
      </c>
      <c r="C236" s="468" t="s">
        <v>572</v>
      </c>
      <c r="D236" s="504">
        <v>147130.21299999999</v>
      </c>
      <c r="E236" s="2">
        <v>125712.621</v>
      </c>
      <c r="F236" s="2">
        <v>110529.514</v>
      </c>
      <c r="G236" s="2">
        <v>97180.167000000001</v>
      </c>
      <c r="H236" s="2">
        <v>94439.847999999998</v>
      </c>
      <c r="I236" s="2">
        <v>86673.872000000003</v>
      </c>
      <c r="J236" s="2">
        <v>84229.812999999995</v>
      </c>
      <c r="K236" s="2">
        <v>77303.429000000004</v>
      </c>
      <c r="L236" s="2">
        <v>74056.846999999994</v>
      </c>
      <c r="M236" s="2">
        <v>70946.615000000005</v>
      </c>
      <c r="N236" s="2">
        <v>68946.038</v>
      </c>
      <c r="O236" s="2">
        <v>66050.448999999993</v>
      </c>
      <c r="P236" s="2">
        <v>67967.005999999994</v>
      </c>
      <c r="Q236" s="2">
        <v>67967.005999999994</v>
      </c>
      <c r="R236" s="2">
        <v>69939.173999999999</v>
      </c>
      <c r="S236" s="2">
        <v>67967.005999999994</v>
      </c>
      <c r="T236" s="2">
        <v>76205.721000000005</v>
      </c>
      <c r="U236" s="2">
        <v>78416.948000000004</v>
      </c>
      <c r="V236" s="2">
        <v>83033.751000000004</v>
      </c>
      <c r="W236" s="2">
        <v>85443.104000000007</v>
      </c>
      <c r="X236" s="2">
        <v>102901.655</v>
      </c>
      <c r="Y236" s="34">
        <v>85443.104000000007</v>
      </c>
      <c r="Z236" s="34">
        <v>158036.63099999999</v>
      </c>
      <c r="AA236" s="237">
        <v>296517.06300000002</v>
      </c>
      <c r="AB236" s="2"/>
    </row>
    <row r="237" spans="1:28" ht="15.75" customHeight="1">
      <c r="A237" s="199">
        <v>42</v>
      </c>
      <c r="B237" s="200" t="s">
        <v>221</v>
      </c>
      <c r="C237" s="468" t="s">
        <v>572</v>
      </c>
      <c r="D237" s="504">
        <v>6.0701E-5</v>
      </c>
      <c r="E237" s="234">
        <v>1.0846599999999999E-4</v>
      </c>
      <c r="F237" s="234">
        <v>1.7662799999999999E-4</v>
      </c>
      <c r="G237" s="234">
        <v>2.9437899999999999E-4</v>
      </c>
      <c r="H237" s="234">
        <v>4.4711600000000001E-4</v>
      </c>
      <c r="I237" s="234">
        <v>7.1137900000000005E-4</v>
      </c>
      <c r="J237" s="234">
        <v>1.105853E-3</v>
      </c>
      <c r="K237" s="234">
        <v>1.6410660000000001E-3</v>
      </c>
      <c r="L237" s="234">
        <v>2.4925199999999998E-3</v>
      </c>
      <c r="M237" s="234">
        <v>3.4499679999999999E-3</v>
      </c>
      <c r="N237" s="234">
        <v>5.3630489999999999E-3</v>
      </c>
      <c r="O237" s="234">
        <v>7.9586670000000009E-3</v>
      </c>
      <c r="P237" s="234">
        <v>1.1274592E-2</v>
      </c>
      <c r="Q237" s="234">
        <v>1.5972075000000002E-2</v>
      </c>
      <c r="R237" s="234">
        <v>2.3702269000000002E-2</v>
      </c>
      <c r="S237" s="234">
        <v>3.1318310000000002E-2</v>
      </c>
      <c r="T237" s="234">
        <v>4.3348571000000002E-2</v>
      </c>
      <c r="U237" s="234">
        <v>4.8684976000000005E-2</v>
      </c>
      <c r="V237" s="234">
        <v>6.4328491000000002E-2</v>
      </c>
      <c r="W237" s="234">
        <v>6.2852033000000002E-2</v>
      </c>
      <c r="X237" s="235">
        <v>5.7277386E-2</v>
      </c>
      <c r="Y237" s="2"/>
      <c r="Z237" s="2"/>
      <c r="AA237" s="2"/>
    </row>
    <row r="238" spans="1:28" ht="15.75" customHeight="1">
      <c r="A238" s="196">
        <v>42</v>
      </c>
      <c r="B238" s="201" t="s">
        <v>222</v>
      </c>
      <c r="C238" s="468" t="s">
        <v>572</v>
      </c>
      <c r="D238" s="504">
        <v>1.01168E-4</v>
      </c>
      <c r="E238" s="2">
        <v>1.7662799999999999E-4</v>
      </c>
      <c r="F238" s="2">
        <v>2.8762299999999998E-4</v>
      </c>
      <c r="G238" s="2">
        <v>4.6836900000000006E-4</v>
      </c>
      <c r="H238" s="2">
        <v>6.6351199999999989E-4</v>
      </c>
      <c r="I238" s="2">
        <v>9.6203999999999994E-4</v>
      </c>
      <c r="J238" s="2">
        <v>1.6034010000000002E-3</v>
      </c>
      <c r="K238" s="2">
        <v>2.1683750000000002E-3</v>
      </c>
      <c r="L238" s="2">
        <v>3.2178290000000002E-3</v>
      </c>
      <c r="M238" s="2">
        <v>4.5585159999999994E-3</v>
      </c>
      <c r="N238" s="2">
        <v>6.6094919999999998E-3</v>
      </c>
      <c r="O238" s="2">
        <v>9.3632919999999988E-3</v>
      </c>
      <c r="P238" s="2">
        <v>1.4221362E-2</v>
      </c>
      <c r="Q238" s="2">
        <v>1.9684193999999999E-2</v>
      </c>
      <c r="R238" s="2">
        <v>2.7885482E-2</v>
      </c>
      <c r="S238" s="2">
        <v>4.0431764000000002E-2</v>
      </c>
      <c r="T238" s="2">
        <v>5.2197182000000002E-2</v>
      </c>
      <c r="U238" s="2">
        <v>7.0589400999999996E-2</v>
      </c>
      <c r="V238" s="2">
        <v>6.4328491000000002E-2</v>
      </c>
      <c r="W238" s="2">
        <v>7.5681824999999994E-2</v>
      </c>
      <c r="X238" s="236">
        <v>7.9279274000000011E-2</v>
      </c>
      <c r="Y238" s="2"/>
    </row>
    <row r="239" spans="1:28" ht="15.75" customHeight="1">
      <c r="A239" s="196">
        <v>42</v>
      </c>
      <c r="B239" s="201" t="s">
        <v>223</v>
      </c>
      <c r="C239" s="468" t="s">
        <v>572</v>
      </c>
      <c r="D239" s="504">
        <v>4.6836900000000006E-4</v>
      </c>
      <c r="E239" s="2">
        <v>6.3340399999999995E-4</v>
      </c>
      <c r="F239" s="2">
        <v>8.7671199999999998E-4</v>
      </c>
      <c r="G239" s="2">
        <v>1.1584190000000002E-3</v>
      </c>
      <c r="H239" s="2">
        <v>1.7190719999999999E-3</v>
      </c>
      <c r="I239" s="2">
        <v>2.3248049999999997E-3</v>
      </c>
      <c r="J239" s="2">
        <v>3.2178290000000002E-3</v>
      </c>
      <c r="K239" s="2">
        <v>4.8873750000000002E-3</v>
      </c>
      <c r="L239" s="2">
        <v>6.7647549999999999E-3</v>
      </c>
      <c r="M239" s="2">
        <v>9.1483870000000009E-3</v>
      </c>
      <c r="N239" s="2">
        <v>1.3264445E-2</v>
      </c>
      <c r="O239" s="2">
        <v>1.8359699E-2</v>
      </c>
      <c r="P239" s="2">
        <v>2.4259058999999999E-2</v>
      </c>
      <c r="Q239" s="2">
        <v>3.5173734999999998E-2</v>
      </c>
      <c r="R239" s="2">
        <v>4.8684976000000005E-2</v>
      </c>
      <c r="S239" s="2">
        <v>5.5962764000000005E-2</v>
      </c>
      <c r="T239" s="2">
        <v>6.4328491000000002E-2</v>
      </c>
      <c r="U239" s="2">
        <v>6.4328491000000002E-2</v>
      </c>
      <c r="V239" s="2">
        <v>6.2852033000000002E-2</v>
      </c>
      <c r="W239" s="2">
        <v>6.7386271999999997E-2</v>
      </c>
      <c r="X239" s="236">
        <v>6.8969243E-2</v>
      </c>
      <c r="Y239" s="2"/>
    </row>
    <row r="240" spans="1:28" ht="15.75" customHeight="1">
      <c r="A240" s="196">
        <v>42</v>
      </c>
      <c r="B240" s="201" t="s">
        <v>225</v>
      </c>
      <c r="C240" s="468" t="s">
        <v>575</v>
      </c>
      <c r="D240" s="504">
        <v>1.7083964106000001E-2</v>
      </c>
      <c r="E240" s="506">
        <v>1.7533642500000002E-2</v>
      </c>
      <c r="F240" s="506">
        <v>1.8885756988000001E-2</v>
      </c>
      <c r="G240" s="506">
        <v>2.3464465287999999E-2</v>
      </c>
      <c r="H240" s="506">
        <v>3.1260047329999999E-2</v>
      </c>
      <c r="I240" s="506">
        <v>2.8485246723999998E-2</v>
      </c>
      <c r="J240" s="506">
        <v>2.2239924398999997E-2</v>
      </c>
      <c r="K240" s="506">
        <v>2.016486093E-2</v>
      </c>
      <c r="L240" s="506">
        <v>2.0517138240000003E-2</v>
      </c>
      <c r="M240" s="506">
        <v>2.2897958691E-2</v>
      </c>
      <c r="N240" s="506">
        <v>2.9269365467000003E-2</v>
      </c>
      <c r="O240" s="506">
        <v>4.2676756731999999E-2</v>
      </c>
      <c r="P240" s="506">
        <v>6.0627989009999994E-2</v>
      </c>
      <c r="Q240" s="506">
        <v>9.2401748693999988E-2</v>
      </c>
      <c r="R240" s="506">
        <v>0.14533839364499998</v>
      </c>
      <c r="S240" s="504"/>
      <c r="T240" s="504"/>
      <c r="U240" s="504"/>
      <c r="V240" s="504"/>
      <c r="W240" s="504"/>
      <c r="X240" s="504"/>
      <c r="Y240" s="2"/>
    </row>
    <row r="241" spans="1:25" ht="15.75" customHeight="1">
      <c r="A241" s="196">
        <v>42</v>
      </c>
      <c r="B241" s="201" t="s">
        <v>226</v>
      </c>
      <c r="C241" s="468" t="s">
        <v>575</v>
      </c>
      <c r="D241" s="504">
        <v>3.0134308353000003E-2</v>
      </c>
      <c r="E241" s="506">
        <v>3.2436760528E-2</v>
      </c>
      <c r="F241" s="506">
        <v>3.0658077540999997E-2</v>
      </c>
      <c r="G241" s="506">
        <v>3.5731985041999995E-2</v>
      </c>
      <c r="H241" s="506">
        <v>3.9831331720000002E-2</v>
      </c>
      <c r="I241" s="506">
        <v>3.3978785597000002E-2</v>
      </c>
      <c r="J241" s="506">
        <v>2.5093653360000003E-2</v>
      </c>
      <c r="K241" s="506">
        <v>2.1203188725000002E-2</v>
      </c>
      <c r="L241" s="506">
        <v>2.0816022603000004E-2</v>
      </c>
      <c r="M241" s="506">
        <v>2.4570674400000003E-2</v>
      </c>
      <c r="N241" s="506">
        <v>3.2136846616000005E-2</v>
      </c>
      <c r="O241" s="506">
        <v>4.7948151482999996E-2</v>
      </c>
      <c r="P241" s="506">
        <v>7.6403593124999988E-2</v>
      </c>
      <c r="Q241" s="506">
        <v>0.106314824273</v>
      </c>
      <c r="R241" s="506">
        <v>0.16086196601800001</v>
      </c>
      <c r="S241" s="504"/>
      <c r="T241" s="504"/>
      <c r="U241" s="504"/>
      <c r="V241" s="504"/>
      <c r="W241" s="504"/>
      <c r="X241" s="504"/>
      <c r="Y241" s="2"/>
    </row>
    <row r="242" spans="1:25" ht="15.75" customHeight="1">
      <c r="A242" s="197">
        <v>42</v>
      </c>
      <c r="B242" s="202" t="s">
        <v>227</v>
      </c>
      <c r="C242" s="468" t="s">
        <v>575</v>
      </c>
      <c r="D242" s="504">
        <v>3.0134308353000003E-2</v>
      </c>
      <c r="E242" s="506">
        <v>3.2436760528E-2</v>
      </c>
      <c r="F242" s="506">
        <v>3.0658077540999997E-2</v>
      </c>
      <c r="G242" s="506">
        <v>3.5731985041999995E-2</v>
      </c>
      <c r="H242" s="506">
        <v>4.7159323091999987E-2</v>
      </c>
      <c r="I242" s="506">
        <v>3.9198287243E-2</v>
      </c>
      <c r="J242" s="506">
        <v>2.5093653360000003E-2</v>
      </c>
      <c r="K242" s="506">
        <v>2.1203188725000002E-2</v>
      </c>
      <c r="L242" s="506">
        <v>2.0816022603000004E-2</v>
      </c>
      <c r="M242" s="506">
        <v>2.4570674400000003E-2</v>
      </c>
      <c r="N242" s="506">
        <v>3.2136846616000005E-2</v>
      </c>
      <c r="O242" s="506">
        <v>4.7948151482999996E-2</v>
      </c>
      <c r="P242" s="506">
        <v>7.6403593124999988E-2</v>
      </c>
      <c r="Q242" s="506">
        <v>0.106314824273</v>
      </c>
      <c r="R242" s="506">
        <v>0.312020097547</v>
      </c>
      <c r="S242" s="504"/>
      <c r="T242" s="504"/>
      <c r="U242" s="504"/>
      <c r="V242" s="504"/>
      <c r="W242" s="504"/>
      <c r="X242" s="504"/>
      <c r="Y242" s="2"/>
    </row>
    <row r="243" spans="1:25" ht="15.75" customHeight="1">
      <c r="A243" s="229">
        <v>43</v>
      </c>
      <c r="B243" s="74">
        <v>1</v>
      </c>
      <c r="C243" s="512" t="s">
        <v>574</v>
      </c>
      <c r="D243" s="510">
        <v>3.8927371397119746E-5</v>
      </c>
      <c r="E243" s="510">
        <v>6.3273449404919788E-5</v>
      </c>
      <c r="F243" s="510">
        <v>9.2201106214080209E-5</v>
      </c>
      <c r="G243" s="510">
        <v>1.2860143575065737E-4</v>
      </c>
      <c r="H243" s="510">
        <v>1.8358698012264408E-4</v>
      </c>
      <c r="I243" s="510">
        <v>2.666173051262625E-4</v>
      </c>
      <c r="J243" s="510">
        <v>4.1053611426227681E-4</v>
      </c>
      <c r="K243" s="510">
        <v>6.3154955155717116E-4</v>
      </c>
      <c r="L243" s="510">
        <v>9.6634702096505141E-4</v>
      </c>
      <c r="M243" s="510">
        <v>1.4960170983638918E-3</v>
      </c>
      <c r="N243" s="510">
        <v>2.2399672016964085E-3</v>
      </c>
      <c r="O243" s="510">
        <v>3.3755276622511356E-3</v>
      </c>
      <c r="P243" s="510">
        <v>5.1528442226627469E-3</v>
      </c>
      <c r="Q243" s="510">
        <v>7.5488641802339794E-3</v>
      </c>
      <c r="R243" s="510">
        <v>1.0986996859950559E-2</v>
      </c>
      <c r="S243" s="510">
        <v>1.5467458357060445E-2</v>
      </c>
      <c r="T243" s="510"/>
      <c r="U243" s="510"/>
    </row>
    <row r="244" spans="1:25" ht="15.75" customHeight="1">
      <c r="A244" s="228">
        <v>43</v>
      </c>
      <c r="B244" s="75">
        <v>2</v>
      </c>
      <c r="C244" s="512" t="s">
        <v>574</v>
      </c>
      <c r="D244" s="510">
        <v>1.4378490901235083E-5</v>
      </c>
      <c r="E244" s="510">
        <v>2.1925106477515774E-5</v>
      </c>
      <c r="F244" s="510">
        <v>3.4054288259419328E-5</v>
      </c>
      <c r="G244" s="510">
        <v>4.8108416768108517E-5</v>
      </c>
      <c r="H244" s="510">
        <v>6.5255047814028315E-5</v>
      </c>
      <c r="I244" s="510">
        <v>9.9738685615073652E-5</v>
      </c>
      <c r="J244" s="510">
        <v>1.5556451887363909E-4</v>
      </c>
      <c r="K244" s="510">
        <v>2.4555114284916153E-4</v>
      </c>
      <c r="L244" s="510">
        <v>3.7103264448232713E-4</v>
      </c>
      <c r="M244" s="510">
        <v>6.0506331356677083E-4</v>
      </c>
      <c r="N244" s="510">
        <v>8.8450526380385653E-4</v>
      </c>
      <c r="O244" s="510">
        <v>1.3352433104721862E-3</v>
      </c>
      <c r="P244" s="510">
        <v>2.0502787654550743E-3</v>
      </c>
      <c r="Q244" s="510">
        <v>3.1513928137396974E-3</v>
      </c>
      <c r="R244" s="510">
        <v>4.8334141868804532E-3</v>
      </c>
      <c r="S244" s="510">
        <v>7.216456327110975E-3</v>
      </c>
      <c r="T244" s="510"/>
      <c r="U244" s="510"/>
    </row>
    <row r="245" spans="1:25" ht="15.75" customHeight="1">
      <c r="A245" s="230">
        <v>43</v>
      </c>
      <c r="B245" s="231">
        <v>3</v>
      </c>
      <c r="C245" s="512" t="s">
        <v>574</v>
      </c>
      <c r="D245" s="510">
        <v>2.5672987884129946E-4</v>
      </c>
      <c r="E245" s="510">
        <v>4.8893874021160497E-4</v>
      </c>
      <c r="F245" s="510">
        <v>5.6404910254256565E-4</v>
      </c>
      <c r="G245" s="510">
        <v>4.4112056777185468E-4</v>
      </c>
      <c r="H245" s="510">
        <v>4.24304209284129E-4</v>
      </c>
      <c r="I245" s="510">
        <v>4.9900008651522845E-4</v>
      </c>
      <c r="J245" s="510">
        <v>7.1931254845168397E-4</v>
      </c>
      <c r="K245" s="510">
        <v>9.2167308062799096E-4</v>
      </c>
      <c r="L245" s="510">
        <v>1.2101194225990933E-3</v>
      </c>
      <c r="M245" s="510">
        <v>1.5265281289210705E-3</v>
      </c>
      <c r="N245" s="510">
        <v>2.1265781013190188E-3</v>
      </c>
      <c r="O245" s="510">
        <v>2.6698679926756386E-3</v>
      </c>
      <c r="P245" s="510">
        <v>3.8024277649978447E-3</v>
      </c>
      <c r="Q245" s="510">
        <v>5.2950012467840157E-3</v>
      </c>
      <c r="R245" s="510">
        <v>7.5289291236520922E-3</v>
      </c>
      <c r="S245" s="510">
        <v>9.8378958247454518E-3</v>
      </c>
      <c r="T245" s="510"/>
      <c r="U245" s="510"/>
    </row>
    <row r="246" spans="1:25" ht="15.75" customHeight="1">
      <c r="A246" s="229">
        <v>44</v>
      </c>
      <c r="B246" s="74" t="s">
        <v>221</v>
      </c>
      <c r="C246" s="75"/>
    </row>
    <row r="247" spans="1:25" ht="15.75" customHeight="1">
      <c r="A247" s="228">
        <v>44</v>
      </c>
      <c r="B247" s="75" t="s">
        <v>222</v>
      </c>
      <c r="C247" s="75"/>
    </row>
    <row r="248" spans="1:25" ht="15.75" customHeight="1">
      <c r="A248" s="228">
        <v>44</v>
      </c>
      <c r="B248" s="75" t="s">
        <v>223</v>
      </c>
      <c r="C248" s="75"/>
    </row>
    <row r="249" spans="1:25" ht="15.75" customHeight="1">
      <c r="A249" s="228">
        <v>44</v>
      </c>
      <c r="B249" s="75" t="s">
        <v>224</v>
      </c>
      <c r="C249" s="75"/>
    </row>
    <row r="250" spans="1:25" ht="15.75" customHeight="1">
      <c r="A250" s="228">
        <v>44</v>
      </c>
      <c r="B250" s="75" t="s">
        <v>229</v>
      </c>
      <c r="C250" s="75"/>
    </row>
    <row r="251" spans="1:25" ht="15.75" customHeight="1">
      <c r="A251" s="228">
        <v>44</v>
      </c>
      <c r="B251" s="75" t="s">
        <v>225</v>
      </c>
      <c r="C251" s="75"/>
    </row>
    <row r="252" spans="1:25" ht="15.75" customHeight="1">
      <c r="A252" s="228">
        <v>44</v>
      </c>
      <c r="B252" s="75" t="s">
        <v>226</v>
      </c>
      <c r="C252" s="75"/>
    </row>
    <row r="253" spans="1:25" ht="15.75" customHeight="1">
      <c r="A253" s="228">
        <v>44</v>
      </c>
      <c r="B253" s="75" t="s">
        <v>227</v>
      </c>
      <c r="C253" s="75"/>
    </row>
    <row r="254" spans="1:25" ht="15.75" customHeight="1">
      <c r="A254" s="228">
        <v>44</v>
      </c>
      <c r="B254" s="75" t="s">
        <v>228</v>
      </c>
      <c r="C254" s="75"/>
    </row>
    <row r="255" spans="1:25" ht="15.75" customHeight="1">
      <c r="A255" s="228">
        <v>44</v>
      </c>
      <c r="B255" s="75" t="s">
        <v>230</v>
      </c>
      <c r="C255" s="75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25" ht="15.75" customHeight="1">
      <c r="A256" s="199">
        <v>45</v>
      </c>
      <c r="B256" s="200" t="s">
        <v>221</v>
      </c>
      <c r="C256" s="468" t="s">
        <v>572</v>
      </c>
      <c r="D256" s="504">
        <v>1.9570000000000001E-6</v>
      </c>
      <c r="E256" s="234">
        <v>4.3540000000000002E-6</v>
      </c>
      <c r="F256" s="234">
        <v>8.799E-6</v>
      </c>
      <c r="G256" s="234">
        <v>1.6681000000000002E-5</v>
      </c>
      <c r="H256" s="234">
        <v>3.3176999999999998E-5</v>
      </c>
      <c r="I256" s="234">
        <v>7.0343000000000001E-5</v>
      </c>
      <c r="J256" s="234">
        <v>1.5155000000000002E-4</v>
      </c>
      <c r="K256" s="234">
        <v>3.5938099999999998E-4</v>
      </c>
      <c r="L256" s="234">
        <v>8.1231100000000002E-4</v>
      </c>
      <c r="M256" s="234">
        <v>1E-3</v>
      </c>
      <c r="N256" s="234"/>
      <c r="O256" s="234"/>
      <c r="P256" s="234"/>
      <c r="Q256" s="234"/>
      <c r="R256" s="234"/>
      <c r="S256" s="235"/>
      <c r="T256" s="2"/>
    </row>
    <row r="257" spans="1:25" ht="15.75" customHeight="1">
      <c r="A257" s="196">
        <v>45</v>
      </c>
      <c r="B257" s="201" t="s">
        <v>222</v>
      </c>
      <c r="C257" s="468" t="s">
        <v>572</v>
      </c>
      <c r="D257" s="504">
        <v>7.3799999999999996E-6</v>
      </c>
      <c r="E257" s="2">
        <v>1.3769E-5</v>
      </c>
      <c r="F257" s="2">
        <v>2.8274000000000001E-5</v>
      </c>
      <c r="G257" s="2">
        <v>5.6234000000000004E-5</v>
      </c>
      <c r="H257" s="2">
        <v>1.19231E-4</v>
      </c>
      <c r="I257" s="2">
        <v>2.6101600000000004E-4</v>
      </c>
      <c r="J257" s="2">
        <v>5.71406E-4</v>
      </c>
      <c r="K257" s="2">
        <v>1.0491400000000001E-3</v>
      </c>
      <c r="L257" s="2">
        <v>1.9888919999999999E-3</v>
      </c>
      <c r="M257" s="2">
        <v>3.2132489999999996E-3</v>
      </c>
      <c r="N257" s="2"/>
      <c r="O257" s="2"/>
      <c r="P257" s="2"/>
      <c r="Q257" s="2"/>
      <c r="R257" s="2"/>
      <c r="S257" s="236"/>
      <c r="T257" s="2"/>
    </row>
    <row r="258" spans="1:25" ht="15.75" customHeight="1">
      <c r="A258" s="196">
        <v>45</v>
      </c>
      <c r="B258" s="201" t="s">
        <v>223</v>
      </c>
      <c r="C258" s="468" t="s">
        <v>572</v>
      </c>
      <c r="D258" s="504">
        <v>2.1203E-5</v>
      </c>
      <c r="E258" s="2">
        <v>4.2170000000000005E-5</v>
      </c>
      <c r="F258" s="2">
        <v>7.9943000000000004E-5</v>
      </c>
      <c r="G258" s="2">
        <v>1.6681000000000001E-4</v>
      </c>
      <c r="H258" s="2">
        <v>3.3711500000000003E-4</v>
      </c>
      <c r="I258" s="2">
        <v>7.14771E-4</v>
      </c>
      <c r="J258" s="2">
        <v>1.58997E-3</v>
      </c>
      <c r="K258" s="2">
        <v>2.3337570000000001E-3</v>
      </c>
      <c r="L258" s="2">
        <v>4.0842389999999999E-3</v>
      </c>
      <c r="M258" s="2">
        <v>6.2894269999999993E-3</v>
      </c>
      <c r="N258" s="2"/>
      <c r="O258" s="2"/>
      <c r="P258" s="2"/>
      <c r="Q258" s="2"/>
      <c r="R258" s="2"/>
      <c r="S258" s="236"/>
      <c r="T258" s="2"/>
    </row>
    <row r="259" spans="1:25" ht="15.75" customHeight="1">
      <c r="A259" s="196">
        <v>45</v>
      </c>
      <c r="B259" s="201" t="s">
        <v>224</v>
      </c>
      <c r="C259" s="468" t="s">
        <v>572</v>
      </c>
      <c r="D259" s="504">
        <v>7.7426E-5</v>
      </c>
      <c r="E259" s="2">
        <v>1.3990500000000001E-4</v>
      </c>
      <c r="F259" s="2">
        <v>2.56875E-4</v>
      </c>
      <c r="G259" s="2">
        <v>4.7164100000000002E-4</v>
      </c>
      <c r="H259" s="2">
        <v>8.659640000000001E-4</v>
      </c>
      <c r="I259" s="2">
        <v>1.6949880000000001E-3</v>
      </c>
      <c r="J259" s="2">
        <v>3.1622779999999997E-3</v>
      </c>
      <c r="K259" s="2">
        <v>5.274997E-3</v>
      </c>
      <c r="L259" s="2">
        <v>8.9410580000000017E-3</v>
      </c>
      <c r="M259" s="2">
        <v>1.5647481000000001E-2</v>
      </c>
      <c r="N259" s="2"/>
      <c r="O259" s="2"/>
      <c r="P259" s="2"/>
      <c r="Q259" s="2"/>
      <c r="R259" s="2"/>
      <c r="S259" s="236"/>
      <c r="T259" s="2"/>
    </row>
    <row r="260" spans="1:25" ht="15.75" customHeight="1">
      <c r="A260" s="196">
        <v>45</v>
      </c>
      <c r="B260" s="201" t="s">
        <v>225</v>
      </c>
      <c r="C260" s="468" t="s">
        <v>572</v>
      </c>
      <c r="D260" s="504">
        <v>273.56299999999999</v>
      </c>
      <c r="E260" s="2">
        <v>187.06899999999999</v>
      </c>
      <c r="F260" s="2">
        <v>179.023</v>
      </c>
      <c r="G260" s="2">
        <v>197.126</v>
      </c>
      <c r="H260" s="2">
        <v>227.29900000000001</v>
      </c>
      <c r="I260" s="2">
        <v>287.64400000000001</v>
      </c>
      <c r="J260" s="2">
        <v>329.88499999999999</v>
      </c>
      <c r="K260" s="2">
        <v>237.35599999999999</v>
      </c>
      <c r="L260" s="2">
        <v>128.73599999999999</v>
      </c>
      <c r="M260" s="2">
        <v>82.471000000000004</v>
      </c>
      <c r="N260" s="2">
        <v>76.436999999999998</v>
      </c>
      <c r="O260" s="2">
        <v>82.471000000000004</v>
      </c>
      <c r="P260" s="2">
        <v>94.54</v>
      </c>
      <c r="Q260" s="2">
        <v>90.516999999999996</v>
      </c>
      <c r="R260" s="2">
        <v>88.506</v>
      </c>
      <c r="S260" s="236">
        <v>72.414000000000001</v>
      </c>
      <c r="T260" s="2"/>
    </row>
    <row r="261" spans="1:25" ht="15.75" customHeight="1">
      <c r="A261" s="196">
        <v>45</v>
      </c>
      <c r="B261" s="201" t="s">
        <v>226</v>
      </c>
      <c r="C261" s="468" t="s">
        <v>572</v>
      </c>
      <c r="D261" s="504">
        <v>323.851</v>
      </c>
      <c r="E261" s="2">
        <v>247.41399999999999</v>
      </c>
      <c r="F261" s="2">
        <v>239.36799999999999</v>
      </c>
      <c r="G261" s="2">
        <v>259.483</v>
      </c>
      <c r="H261" s="2">
        <v>378.161</v>
      </c>
      <c r="I261" s="2">
        <v>579.30999999999995</v>
      </c>
      <c r="J261" s="2">
        <v>607.471</v>
      </c>
      <c r="K261" s="2">
        <v>283.62099999999998</v>
      </c>
      <c r="L261" s="2">
        <v>106.60899999999999</v>
      </c>
      <c r="M261" s="2">
        <v>60.344999999999999</v>
      </c>
      <c r="N261" s="2">
        <v>56.322000000000003</v>
      </c>
      <c r="O261" s="2">
        <v>62.356000000000002</v>
      </c>
      <c r="P261" s="2">
        <v>74.424999999999997</v>
      </c>
      <c r="Q261" s="2">
        <v>74.424999999999997</v>
      </c>
      <c r="R261" s="2">
        <v>66.379000000000005</v>
      </c>
      <c r="S261" s="236">
        <v>48.276000000000003</v>
      </c>
      <c r="T261" s="2"/>
    </row>
    <row r="262" spans="1:25" ht="15.75" customHeight="1">
      <c r="A262" s="196">
        <v>45</v>
      </c>
      <c r="B262" s="201" t="s">
        <v>227</v>
      </c>
      <c r="C262" s="468" t="s">
        <v>572</v>
      </c>
      <c r="D262" s="504">
        <v>1013.793</v>
      </c>
      <c r="E262" s="2">
        <v>716.09199999999998</v>
      </c>
      <c r="F262" s="2">
        <v>603.44799999999998</v>
      </c>
      <c r="G262" s="2">
        <v>726.149</v>
      </c>
      <c r="H262" s="2">
        <v>812.64400000000001</v>
      </c>
      <c r="I262" s="2">
        <v>885.05700000000002</v>
      </c>
      <c r="J262" s="2">
        <v>804.59799999999996</v>
      </c>
      <c r="K262" s="2">
        <v>448.56299999999999</v>
      </c>
      <c r="L262" s="2">
        <v>191.09200000000001</v>
      </c>
      <c r="M262" s="2">
        <v>120.69</v>
      </c>
      <c r="N262" s="2">
        <v>92.528999999999996</v>
      </c>
      <c r="O262" s="2">
        <v>76.436999999999998</v>
      </c>
      <c r="P262" s="2">
        <v>70.402000000000001</v>
      </c>
      <c r="Q262" s="2">
        <v>64.367999999999995</v>
      </c>
      <c r="R262" s="2">
        <v>60.344999999999999</v>
      </c>
      <c r="S262" s="236">
        <v>50.286999999999999</v>
      </c>
      <c r="T262" s="2"/>
    </row>
    <row r="263" spans="1:25" ht="15.75" customHeight="1">
      <c r="A263" s="197">
        <v>45</v>
      </c>
      <c r="B263" s="202" t="s">
        <v>228</v>
      </c>
      <c r="C263" s="468" t="s">
        <v>572</v>
      </c>
      <c r="D263" s="504">
        <v>1287.356</v>
      </c>
      <c r="E263" s="34">
        <v>820.69</v>
      </c>
      <c r="F263" s="34">
        <v>683.90800000000002</v>
      </c>
      <c r="G263" s="34">
        <v>627.58600000000001</v>
      </c>
      <c r="H263" s="34">
        <v>887.06899999999996</v>
      </c>
      <c r="I263" s="34">
        <v>1315.5170000000001</v>
      </c>
      <c r="J263" s="34">
        <v>975.57500000000005</v>
      </c>
      <c r="K263" s="34">
        <v>364.08</v>
      </c>
      <c r="L263" s="34">
        <v>150.86199999999999</v>
      </c>
      <c r="M263" s="34">
        <v>80.459999999999994</v>
      </c>
      <c r="N263" s="34">
        <v>66.379000000000005</v>
      </c>
      <c r="O263" s="34">
        <v>66.379000000000005</v>
      </c>
      <c r="P263" s="34">
        <v>80.459999999999994</v>
      </c>
      <c r="Q263" s="34">
        <v>72.414000000000001</v>
      </c>
      <c r="R263" s="34">
        <v>60.344999999999999</v>
      </c>
      <c r="S263" s="237">
        <v>50.286999999999999</v>
      </c>
      <c r="T263" s="2"/>
    </row>
    <row r="264" spans="1:25" ht="15.75" customHeight="1">
      <c r="A264" s="199">
        <v>46</v>
      </c>
      <c r="B264" s="200">
        <v>1</v>
      </c>
      <c r="C264" s="468" t="s">
        <v>575</v>
      </c>
      <c r="D264" s="504">
        <v>1.6497153E-5</v>
      </c>
      <c r="E264" s="506">
        <v>1.352754E-5</v>
      </c>
      <c r="F264" s="506">
        <v>1.5441010000000001E-5</v>
      </c>
      <c r="G264" s="506">
        <v>1.5646236000000001E-5</v>
      </c>
      <c r="H264" s="506">
        <v>1.8246194999999998E-5</v>
      </c>
      <c r="I264" s="506">
        <v>2.0221081999999999E-5</v>
      </c>
      <c r="J264" s="506">
        <v>2.4998921999999999E-5</v>
      </c>
      <c r="K264" s="506">
        <v>2.9949894E-5</v>
      </c>
      <c r="L264" s="506">
        <v>3.8332308000000001E-5</v>
      </c>
      <c r="M264" s="506">
        <v>5.1844214999999995E-5</v>
      </c>
      <c r="N264" s="506">
        <v>6.9966016000000004E-5</v>
      </c>
      <c r="O264" s="506">
        <v>9.3909836999999988E-5</v>
      </c>
      <c r="P264" s="506">
        <v>1.3682862199999998E-4</v>
      </c>
      <c r="Q264" s="506">
        <v>1.9568991199999999E-4</v>
      </c>
      <c r="R264" s="506">
        <v>2.63251866E-4</v>
      </c>
      <c r="S264" s="506">
        <v>3.8731391999999998E-4</v>
      </c>
      <c r="T264" s="506">
        <v>5.3371918999999999E-4</v>
      </c>
      <c r="U264" s="506">
        <v>7.8918789599999989E-4</v>
      </c>
      <c r="V264" s="506">
        <v>1.0952011980000001E-3</v>
      </c>
      <c r="W264" s="504"/>
      <c r="X264" s="504"/>
      <c r="Y264" s="504"/>
    </row>
    <row r="265" spans="1:25" ht="15.75" customHeight="1">
      <c r="A265" s="196">
        <v>46</v>
      </c>
      <c r="B265" s="201">
        <v>2</v>
      </c>
      <c r="C265" s="468" t="s">
        <v>575</v>
      </c>
      <c r="D265" s="504">
        <v>1.2976074299999999E-3</v>
      </c>
      <c r="E265" s="506">
        <v>9.5154017400000002E-4</v>
      </c>
      <c r="F265" s="506">
        <v>8.9783922400000007E-4</v>
      </c>
      <c r="G265" s="506">
        <v>8.3182163400000002E-4</v>
      </c>
      <c r="H265" s="506">
        <v>8.2088640899999994E-4</v>
      </c>
      <c r="I265" s="506">
        <v>8.4057330800000002E-4</v>
      </c>
      <c r="J265" s="506">
        <v>8.8124621000000005E-4</v>
      </c>
      <c r="K265" s="506">
        <v>1.0113994280000001E-3</v>
      </c>
      <c r="L265" s="506">
        <v>1.0435067489999999E-3</v>
      </c>
      <c r="M265" s="506">
        <v>1.1435690399999999E-3</v>
      </c>
      <c r="N265" s="506">
        <v>1.3356973629999999E-3</v>
      </c>
      <c r="O265" s="506">
        <v>1.497155286E-3</v>
      </c>
      <c r="P265" s="506">
        <v>1.769948999E-3</v>
      </c>
      <c r="Q265" s="506">
        <v>2.0770500720000001E-3</v>
      </c>
      <c r="R265" s="506">
        <v>2.5535192100000002E-3</v>
      </c>
      <c r="S265" s="506">
        <v>3.066950262E-3</v>
      </c>
      <c r="T265" s="506">
        <v>3.8879487180000002E-3</v>
      </c>
      <c r="U265" s="506">
        <v>4.8511292660000007E-3</v>
      </c>
      <c r="V265" s="506">
        <v>6.1392344610000007E-3</v>
      </c>
      <c r="W265" s="504"/>
      <c r="X265" s="504"/>
      <c r="Y265" s="504"/>
    </row>
    <row r="266" spans="1:25" ht="15.75" customHeight="1">
      <c r="A266" s="196">
        <v>46</v>
      </c>
      <c r="B266" s="201">
        <v>3</v>
      </c>
      <c r="C266" s="468" t="s">
        <v>575</v>
      </c>
      <c r="D266" s="504">
        <v>1.6983922559999998E-3</v>
      </c>
      <c r="E266" s="506">
        <v>1.376078325E-3</v>
      </c>
      <c r="F266" s="506">
        <v>1.202257905E-3</v>
      </c>
      <c r="G266" s="506">
        <v>1.1448834540000001E-3</v>
      </c>
      <c r="H266" s="506">
        <v>1.1755890120000001E-3</v>
      </c>
      <c r="I266" s="506">
        <v>1.13037405E-3</v>
      </c>
      <c r="J266" s="506">
        <v>1.237066587E-3</v>
      </c>
      <c r="K266" s="506">
        <v>1.2250698239999998E-3</v>
      </c>
      <c r="L266" s="506">
        <v>1.4270648210000002E-3</v>
      </c>
      <c r="M266" s="506">
        <v>1.6526571359999998E-3</v>
      </c>
      <c r="N266" s="506">
        <v>1.96760431E-3</v>
      </c>
      <c r="O266" s="506">
        <v>2.2354462620000001E-3</v>
      </c>
      <c r="P266" s="506">
        <v>2.7164707200000001E-3</v>
      </c>
      <c r="Q266" s="506">
        <v>3.2427869219999999E-3</v>
      </c>
      <c r="R266" s="506">
        <v>3.9050565120000006E-3</v>
      </c>
      <c r="S266" s="506">
        <v>4.77904544E-3</v>
      </c>
      <c r="T266" s="506">
        <v>6.0272154539999998E-3</v>
      </c>
      <c r="U266" s="506">
        <v>7.2947941290000002E-3</v>
      </c>
      <c r="V266" s="506">
        <v>9.2346580889999998E-3</v>
      </c>
      <c r="W266" s="504"/>
      <c r="X266" s="504"/>
      <c r="Y266" s="504"/>
    </row>
    <row r="267" spans="1:25" ht="15.75" customHeight="1">
      <c r="A267" s="196">
        <v>46</v>
      </c>
      <c r="B267" s="201">
        <v>4</v>
      </c>
      <c r="C267" s="468" t="s">
        <v>575</v>
      </c>
      <c r="D267" s="504">
        <v>2.1268611360000002E-3</v>
      </c>
      <c r="E267" s="506">
        <v>1.6542849599999999E-3</v>
      </c>
      <c r="F267" s="506">
        <v>1.4714381999999999E-3</v>
      </c>
      <c r="G267" s="506">
        <v>1.3770245519999999E-3</v>
      </c>
      <c r="H267" s="506">
        <v>1.3746795999999999E-3</v>
      </c>
      <c r="I267" s="506">
        <v>1.3372278660000001E-3</v>
      </c>
      <c r="J267" s="506">
        <v>1.5123731999999999E-3</v>
      </c>
      <c r="K267" s="506">
        <v>1.55219103E-3</v>
      </c>
      <c r="L267" s="506">
        <v>1.6959885510000002E-3</v>
      </c>
      <c r="M267" s="506">
        <v>1.8798909240000002E-3</v>
      </c>
      <c r="N267" s="506">
        <v>2.1741086849999995E-3</v>
      </c>
      <c r="O267" s="506">
        <v>2.5387763829999997E-3</v>
      </c>
      <c r="P267" s="506">
        <v>3.0808416210000001E-3</v>
      </c>
      <c r="Q267" s="506">
        <v>3.4040068260000004E-3</v>
      </c>
      <c r="R267" s="506">
        <v>4.2367859729999999E-3</v>
      </c>
      <c r="S267" s="506">
        <v>5.1336975759999999E-3</v>
      </c>
      <c r="T267" s="506">
        <v>6.4313676800000002E-3</v>
      </c>
      <c r="U267" s="506">
        <v>8.0640552180000005E-3</v>
      </c>
      <c r="V267" s="506">
        <v>9.8693558959999997E-3</v>
      </c>
      <c r="W267" s="504"/>
      <c r="X267" s="504"/>
      <c r="Y267" s="504"/>
    </row>
    <row r="268" spans="1:25" ht="15.75" customHeight="1">
      <c r="A268" s="196">
        <v>46</v>
      </c>
      <c r="B268" s="201">
        <v>5</v>
      </c>
      <c r="C268" s="468" t="s">
        <v>575</v>
      </c>
      <c r="D268" s="504">
        <v>1.2161759890000001E-3</v>
      </c>
      <c r="E268" s="506">
        <v>8.1908873700000013E-4</v>
      </c>
      <c r="F268" s="506">
        <v>7.7999999999999999E-4</v>
      </c>
      <c r="G268" s="506">
        <v>7.8884336700000006E-4</v>
      </c>
      <c r="H268" s="506">
        <v>7.7012411199999995E-4</v>
      </c>
      <c r="I268" s="506">
        <v>8.2000000000000009E-4</v>
      </c>
      <c r="J268" s="506">
        <v>8.6843143200000003E-4</v>
      </c>
      <c r="K268" s="506">
        <v>9.9305477599999988E-4</v>
      </c>
      <c r="L268" s="506">
        <v>1.0965333599999999E-3</v>
      </c>
      <c r="M268" s="506">
        <v>1.2230564400000001E-3</v>
      </c>
      <c r="N268" s="506">
        <v>1.4723859120000001E-3</v>
      </c>
      <c r="O268" s="506">
        <v>1.7333527460000001E-3</v>
      </c>
      <c r="P268" s="506">
        <v>2.1232952389999998E-3</v>
      </c>
      <c r="Q268" s="506">
        <v>2.5669040369999999E-3</v>
      </c>
      <c r="R268" s="506">
        <v>3.1893754350000004E-3</v>
      </c>
      <c r="S268" s="506">
        <v>3.8433896259999997E-3</v>
      </c>
      <c r="T268" s="506">
        <v>4.7448422190000004E-3</v>
      </c>
      <c r="U268" s="506">
        <v>6.1272541479999998E-3</v>
      </c>
      <c r="V268" s="506">
        <v>7.5408751470000005E-3</v>
      </c>
      <c r="W268" s="504"/>
      <c r="X268" s="504"/>
      <c r="Y268" s="504"/>
    </row>
    <row r="269" spans="1:25" ht="15.75" customHeight="1">
      <c r="A269" s="196">
        <v>46</v>
      </c>
      <c r="B269" s="201">
        <v>6</v>
      </c>
      <c r="C269" s="468" t="s">
        <v>575</v>
      </c>
      <c r="D269" s="504">
        <v>1.9995269860000001E-3</v>
      </c>
      <c r="E269" s="506">
        <v>1.5893838879999999E-3</v>
      </c>
      <c r="F269" s="506">
        <v>1.4291439929999998E-3</v>
      </c>
      <c r="G269" s="506">
        <v>1.314271899E-3</v>
      </c>
      <c r="H269" s="506">
        <v>1.3317796220000001E-3</v>
      </c>
      <c r="I269" s="506">
        <v>1.385714472E-3</v>
      </c>
      <c r="J269" s="506">
        <v>1.5887406239999998E-3</v>
      </c>
      <c r="K269" s="506">
        <v>1.6939054879999999E-3</v>
      </c>
      <c r="L269" s="506">
        <v>1.8629204479999998E-3</v>
      </c>
      <c r="M269" s="506">
        <v>2.3177693399999998E-3</v>
      </c>
      <c r="N269" s="506">
        <v>2.6581259999999998E-3</v>
      </c>
      <c r="O269" s="506">
        <v>3.2723202449999995E-3</v>
      </c>
      <c r="P269" s="506">
        <v>4.0103860550000005E-3</v>
      </c>
      <c r="Q269" s="506">
        <v>4.8154147360000002E-3</v>
      </c>
      <c r="R269" s="506">
        <v>5.8872402119999993E-3</v>
      </c>
      <c r="S269" s="506">
        <v>7.9227750799999996E-3</v>
      </c>
      <c r="T269" s="506">
        <v>9.2437830989999994E-3</v>
      </c>
      <c r="U269" s="506">
        <v>1.1786040684000002E-2</v>
      </c>
      <c r="V269" s="506">
        <v>1.4039999999999999E-2</v>
      </c>
      <c r="W269" s="504"/>
      <c r="X269" s="504"/>
      <c r="Y269" s="504"/>
    </row>
    <row r="270" spans="1:25" ht="15.75" customHeight="1">
      <c r="A270" s="199">
        <v>47</v>
      </c>
      <c r="B270" s="200" t="s">
        <v>221</v>
      </c>
      <c r="C270" s="201"/>
      <c r="E270" s="504"/>
      <c r="F270" s="504"/>
      <c r="G270" s="504"/>
      <c r="H270" s="504"/>
      <c r="I270" s="504"/>
      <c r="J270" s="504"/>
      <c r="K270" s="504"/>
      <c r="L270" s="504"/>
      <c r="M270" s="504"/>
      <c r="N270" s="504"/>
      <c r="O270" s="504"/>
      <c r="P270" s="504"/>
      <c r="Q270" s="504"/>
      <c r="R270" s="504"/>
      <c r="S270" s="504"/>
      <c r="T270" s="504"/>
      <c r="U270" s="504"/>
      <c r="V270" s="504"/>
      <c r="W270" s="504"/>
      <c r="X270" s="504"/>
      <c r="Y270" s="504"/>
    </row>
    <row r="271" spans="1:25" ht="15.75" customHeight="1">
      <c r="A271" s="196">
        <v>47</v>
      </c>
      <c r="B271" s="201">
        <v>2</v>
      </c>
      <c r="C271" s="201"/>
      <c r="E271" s="504"/>
      <c r="F271" s="504"/>
      <c r="G271" s="504"/>
      <c r="H271" s="504"/>
      <c r="I271" s="504"/>
      <c r="J271" s="504"/>
      <c r="K271" s="504"/>
      <c r="L271" s="504"/>
      <c r="M271" s="504"/>
      <c r="N271" s="504"/>
      <c r="O271" s="504"/>
      <c r="P271" s="504"/>
      <c r="Q271" s="504"/>
      <c r="R271" s="504"/>
      <c r="S271" s="504"/>
      <c r="T271" s="504"/>
      <c r="U271" s="504"/>
      <c r="V271" s="504"/>
      <c r="W271" s="504"/>
      <c r="X271" s="504"/>
      <c r="Y271" s="504"/>
    </row>
    <row r="272" spans="1:25" ht="15.75" customHeight="1">
      <c r="A272" s="196">
        <v>47</v>
      </c>
      <c r="B272" s="201">
        <v>3</v>
      </c>
      <c r="C272" s="201"/>
      <c r="E272" s="504"/>
      <c r="F272" s="504"/>
      <c r="G272" s="504"/>
      <c r="H272" s="504"/>
      <c r="I272" s="504"/>
      <c r="J272" s="504"/>
      <c r="K272" s="504"/>
      <c r="L272" s="504"/>
      <c r="M272" s="504"/>
      <c r="N272" s="504"/>
      <c r="O272" s="504"/>
      <c r="P272" s="504"/>
      <c r="Q272" s="504"/>
      <c r="R272" s="504"/>
      <c r="S272" s="504"/>
      <c r="T272" s="504"/>
      <c r="U272" s="504"/>
      <c r="V272" s="504"/>
      <c r="W272" s="504"/>
      <c r="X272" s="504"/>
      <c r="Y272" s="504"/>
    </row>
    <row r="273" spans="1:25" ht="15.75" customHeight="1">
      <c r="A273" s="196">
        <v>47</v>
      </c>
      <c r="B273" s="201" t="s">
        <v>224</v>
      </c>
      <c r="C273" s="201"/>
      <c r="E273" s="504"/>
      <c r="F273" s="504"/>
      <c r="G273" s="504"/>
      <c r="H273" s="504"/>
      <c r="I273" s="504"/>
      <c r="J273" s="504"/>
      <c r="K273" s="504"/>
      <c r="L273" s="504"/>
      <c r="M273" s="504"/>
      <c r="N273" s="504"/>
      <c r="O273" s="504"/>
      <c r="P273" s="504"/>
      <c r="Q273" s="504"/>
      <c r="R273" s="504"/>
      <c r="S273" s="504"/>
      <c r="T273" s="504"/>
      <c r="U273" s="504"/>
      <c r="V273" s="504"/>
      <c r="W273" s="504"/>
      <c r="X273" s="504"/>
      <c r="Y273" s="504"/>
    </row>
    <row r="274" spans="1:25" ht="15.75" customHeight="1">
      <c r="A274" s="196">
        <v>47</v>
      </c>
      <c r="B274" s="201">
        <v>5</v>
      </c>
      <c r="C274" s="201"/>
      <c r="E274" s="504"/>
      <c r="F274" s="504"/>
      <c r="G274" s="504"/>
      <c r="H274" s="504"/>
      <c r="I274" s="504"/>
      <c r="J274" s="504"/>
      <c r="K274" s="504"/>
      <c r="L274" s="504"/>
      <c r="M274" s="504"/>
      <c r="N274" s="504"/>
      <c r="O274" s="504"/>
      <c r="P274" s="504"/>
      <c r="Q274" s="504"/>
      <c r="R274" s="504"/>
      <c r="S274" s="504"/>
      <c r="T274" s="504"/>
      <c r="U274" s="504"/>
      <c r="V274" s="504"/>
      <c r="W274" s="504"/>
      <c r="X274" s="504"/>
      <c r="Y274" s="504"/>
    </row>
    <row r="275" spans="1:25" ht="15.75" customHeight="1">
      <c r="A275" s="196">
        <v>47</v>
      </c>
      <c r="B275" s="201" t="s">
        <v>225</v>
      </c>
      <c r="C275" s="468" t="s">
        <v>575</v>
      </c>
      <c r="D275" s="504">
        <v>26.012999999999998</v>
      </c>
      <c r="E275" s="506">
        <v>28.73</v>
      </c>
      <c r="F275" s="506">
        <v>29.213999999999999</v>
      </c>
      <c r="G275" s="506">
        <v>30.711000000000002</v>
      </c>
      <c r="H275" s="506">
        <v>36.936</v>
      </c>
      <c r="I275" s="506">
        <v>47.85</v>
      </c>
      <c r="J275" s="506">
        <v>44.303999999999995</v>
      </c>
      <c r="K275" s="506">
        <v>33.54</v>
      </c>
      <c r="L275" s="506">
        <v>23.834000000000003</v>
      </c>
      <c r="M275" s="506">
        <v>23.290000000000003</v>
      </c>
      <c r="N275" s="506">
        <v>29.163999999999998</v>
      </c>
      <c r="O275" s="506">
        <v>42.042000000000002</v>
      </c>
      <c r="P275" s="506">
        <v>45.78</v>
      </c>
      <c r="Q275" s="504"/>
      <c r="R275" s="504"/>
      <c r="S275" s="504"/>
      <c r="T275" s="504"/>
      <c r="U275" s="504"/>
      <c r="V275" s="504"/>
      <c r="W275" s="504"/>
      <c r="X275" s="504"/>
      <c r="Y275" s="504"/>
    </row>
    <row r="276" spans="1:25" ht="15.75" customHeight="1">
      <c r="A276" s="196">
        <v>47</v>
      </c>
      <c r="B276" s="201" t="s">
        <v>228</v>
      </c>
      <c r="C276" s="468" t="s">
        <v>575</v>
      </c>
      <c r="D276" s="504">
        <v>18.134999999999998</v>
      </c>
      <c r="E276" s="506">
        <v>20.55</v>
      </c>
      <c r="F276" s="506">
        <v>20.234999999999999</v>
      </c>
      <c r="G276" s="506">
        <v>23.904</v>
      </c>
      <c r="H276" s="506">
        <v>30.061</v>
      </c>
      <c r="I276" s="506">
        <v>35.112000000000002</v>
      </c>
      <c r="J276" s="506">
        <v>38.544000000000004</v>
      </c>
      <c r="K276" s="506">
        <v>35.872</v>
      </c>
      <c r="L276" s="506">
        <v>31.233000000000001</v>
      </c>
      <c r="M276" s="506">
        <v>32.405999999999999</v>
      </c>
      <c r="N276" s="506">
        <v>44.496000000000002</v>
      </c>
      <c r="O276" s="506">
        <v>52.36</v>
      </c>
      <c r="P276" s="506">
        <v>60.9</v>
      </c>
      <c r="Q276" s="504"/>
      <c r="R276" s="504"/>
      <c r="S276" s="504"/>
      <c r="T276" s="504"/>
      <c r="U276" s="504"/>
      <c r="V276" s="504"/>
      <c r="W276" s="504"/>
      <c r="X276" s="504"/>
      <c r="Y276" s="504"/>
    </row>
    <row r="277" spans="1:25" ht="15.75" customHeight="1">
      <c r="A277" s="199">
        <v>48</v>
      </c>
      <c r="B277" s="200">
        <v>1</v>
      </c>
      <c r="C277" s="201"/>
    </row>
    <row r="278" spans="1:25" ht="15.75" customHeight="1">
      <c r="A278" s="196">
        <v>48</v>
      </c>
      <c r="B278" s="201">
        <v>2</v>
      </c>
      <c r="C278" s="201"/>
    </row>
    <row r="279" spans="1:25" ht="15.75" customHeight="1">
      <c r="A279" s="196">
        <v>48</v>
      </c>
      <c r="B279" s="201">
        <v>3</v>
      </c>
      <c r="C279" s="201"/>
    </row>
    <row r="280" spans="1:25" ht="15.75" customHeight="1">
      <c r="A280" s="196">
        <v>48</v>
      </c>
      <c r="B280" s="201">
        <v>4</v>
      </c>
      <c r="C280" s="201"/>
    </row>
    <row r="281" spans="1:25" ht="15.75" customHeight="1">
      <c r="A281" s="196">
        <v>48</v>
      </c>
      <c r="B281" s="201">
        <v>5</v>
      </c>
      <c r="C281" s="201"/>
    </row>
    <row r="282" spans="1:25" ht="15.75" customHeight="1">
      <c r="A282" s="196">
        <v>48</v>
      </c>
      <c r="B282" s="201">
        <v>6</v>
      </c>
      <c r="C282" s="201"/>
    </row>
    <row r="283" spans="1:25" ht="15.75" customHeight="1">
      <c r="A283" s="196">
        <v>48</v>
      </c>
      <c r="B283" s="201">
        <v>7</v>
      </c>
      <c r="C283" s="201"/>
    </row>
    <row r="284" spans="1:25" ht="15.75" customHeight="1">
      <c r="A284" s="196">
        <v>48</v>
      </c>
      <c r="B284" s="201">
        <v>8</v>
      </c>
      <c r="C284" s="201"/>
    </row>
    <row r="285" spans="1:25" ht="15.75" customHeight="1">
      <c r="A285" s="196">
        <v>48</v>
      </c>
      <c r="B285" s="201">
        <v>9</v>
      </c>
      <c r="C285" s="201"/>
    </row>
    <row r="286" spans="1:25" ht="15.75" customHeight="1">
      <c r="A286" s="196">
        <v>48</v>
      </c>
      <c r="B286" s="201">
        <v>10</v>
      </c>
      <c r="C286" s="201"/>
    </row>
    <row r="287" spans="1:25" ht="15.75" customHeight="1">
      <c r="A287" s="196">
        <v>48</v>
      </c>
      <c r="B287" s="201">
        <v>11</v>
      </c>
      <c r="C287" s="201"/>
    </row>
    <row r="288" spans="1:25" ht="15.75" customHeight="1">
      <c r="A288" s="196">
        <v>48</v>
      </c>
      <c r="B288" s="201">
        <v>12</v>
      </c>
      <c r="C288" s="201"/>
    </row>
    <row r="289" spans="1:22" ht="15.75" customHeight="1">
      <c r="A289" s="309">
        <v>49</v>
      </c>
      <c r="B289" s="74">
        <v>1</v>
      </c>
      <c r="C289" s="75"/>
    </row>
    <row r="290" spans="1:22" ht="15.75" customHeight="1">
      <c r="A290" s="238">
        <v>49</v>
      </c>
      <c r="B290" s="75">
        <v>2</v>
      </c>
      <c r="C290" s="512" t="s">
        <v>574</v>
      </c>
      <c r="D290" s="510">
        <v>9.810536599091315E-6</v>
      </c>
      <c r="E290" s="510">
        <v>1.4051354183218463E-5</v>
      </c>
      <c r="F290" s="510">
        <v>1.4792575776203644E-5</v>
      </c>
      <c r="G290" s="510">
        <v>4.5717753731194127E-5</v>
      </c>
      <c r="H290" s="510">
        <v>7.4323697066057301E-5</v>
      </c>
      <c r="I290" s="510">
        <v>1.2471164262963666E-4</v>
      </c>
      <c r="J290" s="510">
        <v>2.4721389926380576E-4</v>
      </c>
      <c r="K290" s="510">
        <v>4.515945923900406E-4</v>
      </c>
      <c r="L290" s="510">
        <v>8.1460274893948323E-4</v>
      </c>
      <c r="M290" s="510">
        <v>1.4025633331055038E-3</v>
      </c>
      <c r="N290" s="510">
        <v>2.4237876453067284E-3</v>
      </c>
      <c r="O290" s="510">
        <v>4.1890679016727923E-3</v>
      </c>
      <c r="P290" s="510">
        <v>6.9171128806344529E-3</v>
      </c>
      <c r="Q290" s="510">
        <v>1.1939456352834063E-2</v>
      </c>
      <c r="R290" s="510">
        <v>1.8849025501258023E-2</v>
      </c>
      <c r="S290" s="510">
        <v>3.1478682833527151E-2</v>
      </c>
      <c r="T290" s="510"/>
      <c r="U290" s="510"/>
    </row>
    <row r="291" spans="1:22" ht="15.75" customHeight="1">
      <c r="A291" s="238">
        <v>49</v>
      </c>
      <c r="B291" s="75">
        <v>3</v>
      </c>
      <c r="C291" s="512" t="s">
        <v>574</v>
      </c>
      <c r="D291" s="510">
        <v>6.3734719319190336E-5</v>
      </c>
      <c r="E291" s="510">
        <v>9.8643295518494506E-5</v>
      </c>
      <c r="F291" s="510">
        <v>1.6722925246451535E-4</v>
      </c>
      <c r="G291" s="510">
        <v>2.712587452356215E-4</v>
      </c>
      <c r="H291" s="510">
        <v>4.3529049713527068E-4</v>
      </c>
      <c r="I291" s="510">
        <v>8.501824378276976E-4</v>
      </c>
      <c r="J291" s="510">
        <v>1.5184500501222934E-3</v>
      </c>
      <c r="K291" s="510">
        <v>2.6398493715867164E-3</v>
      </c>
      <c r="L291" s="510">
        <v>4.4939986423458925E-3</v>
      </c>
      <c r="M291" s="510">
        <v>7.1367918505629837E-3</v>
      </c>
      <c r="N291" s="510">
        <v>1.142336371956325E-2</v>
      </c>
      <c r="O291" s="510">
        <v>1.7771033389434223E-2</v>
      </c>
      <c r="P291" s="510">
        <v>2.5378767603742965E-2</v>
      </c>
      <c r="Q291" s="510">
        <v>3.7997813143611267E-2</v>
      </c>
      <c r="R291" s="510">
        <v>5.1189902680982884E-2</v>
      </c>
      <c r="S291" s="510">
        <v>7.3331630905796169E-2</v>
      </c>
      <c r="T291" s="510"/>
      <c r="U291" s="510"/>
    </row>
    <row r="292" spans="1:22" ht="15.75" customHeight="1">
      <c r="A292" s="238">
        <v>49</v>
      </c>
      <c r="B292" s="75">
        <v>4</v>
      </c>
      <c r="C292" s="512" t="s">
        <v>574</v>
      </c>
      <c r="D292" s="510">
        <v>1.6216300711656756E-4</v>
      </c>
      <c r="E292" s="510">
        <v>2.731001833779345E-4</v>
      </c>
      <c r="F292" s="510">
        <v>4.3800571574756695E-4</v>
      </c>
      <c r="G292" s="510">
        <v>6.8968665996670055E-4</v>
      </c>
      <c r="H292" s="510">
        <v>1.1012043370204128E-3</v>
      </c>
      <c r="I292" s="510">
        <v>1.7570803668313022E-3</v>
      </c>
      <c r="J292" s="510">
        <v>2.716974334573245E-3</v>
      </c>
      <c r="K292" s="510">
        <v>4.0608388316553902E-3</v>
      </c>
      <c r="L292" s="510">
        <v>6.0460614128531581E-3</v>
      </c>
      <c r="M292" s="510">
        <v>9.2203611503415047E-3</v>
      </c>
      <c r="N292" s="510">
        <v>1.3293559091676337E-2</v>
      </c>
      <c r="O292" s="510">
        <v>1.9608189513798953E-2</v>
      </c>
      <c r="P292" s="510">
        <v>2.7017607140132217E-2</v>
      </c>
      <c r="Q292" s="510">
        <v>3.8738277589480286E-2</v>
      </c>
      <c r="R292" s="510">
        <v>5.28198059083171E-2</v>
      </c>
      <c r="S292" s="510">
        <v>7.388920384068437E-2</v>
      </c>
      <c r="T292" s="510"/>
      <c r="U292" s="510"/>
    </row>
    <row r="293" spans="1:22" ht="15.75" customHeight="1">
      <c r="A293" s="229">
        <v>50</v>
      </c>
      <c r="B293" s="74">
        <v>1</v>
      </c>
      <c r="C293" s="75"/>
    </row>
    <row r="294" spans="1:22" ht="15.75" customHeight="1">
      <c r="A294" s="228">
        <v>50</v>
      </c>
      <c r="B294" s="75">
        <v>2</v>
      </c>
      <c r="C294" s="75"/>
    </row>
    <row r="295" spans="1:22" ht="15.75" customHeight="1">
      <c r="A295" s="228">
        <v>50</v>
      </c>
      <c r="B295" s="75">
        <v>3</v>
      </c>
      <c r="C295" s="75"/>
    </row>
    <row r="296" spans="1:22" ht="15.75" customHeight="1">
      <c r="A296" s="228">
        <v>50</v>
      </c>
      <c r="B296" s="75">
        <v>4</v>
      </c>
      <c r="C296" s="75"/>
    </row>
    <row r="297" spans="1:22" ht="15.75" customHeight="1">
      <c r="A297" s="229">
        <v>51</v>
      </c>
      <c r="B297" s="74">
        <v>1</v>
      </c>
      <c r="C297" s="512" t="s">
        <v>575</v>
      </c>
      <c r="D297" s="504">
        <v>110.18892</v>
      </c>
      <c r="E297" s="506">
        <v>154.14332399999998</v>
      </c>
      <c r="F297" s="506">
        <v>272.83384000000001</v>
      </c>
      <c r="G297" s="506">
        <v>163.43159699999998</v>
      </c>
      <c r="H297" s="506">
        <v>72.214979999999997</v>
      </c>
      <c r="I297" s="506">
        <v>60.68403</v>
      </c>
      <c r="J297" s="506">
        <v>50.892463999999997</v>
      </c>
      <c r="K297" s="504"/>
      <c r="L297" s="504"/>
      <c r="M297" s="504"/>
      <c r="N297" s="504"/>
      <c r="O297" s="504"/>
      <c r="P297" s="504"/>
      <c r="Q297" s="504"/>
      <c r="R297" s="504"/>
      <c r="S297" s="504"/>
      <c r="T297" s="504"/>
      <c r="U297" s="504"/>
      <c r="V297" s="504"/>
    </row>
    <row r="298" spans="1:22" ht="15.75" customHeight="1">
      <c r="A298" s="228">
        <v>51</v>
      </c>
      <c r="B298" s="75">
        <v>2</v>
      </c>
      <c r="C298" s="512" t="s">
        <v>575</v>
      </c>
      <c r="D298" s="504">
        <v>217.98045500000001</v>
      </c>
      <c r="E298" s="506">
        <v>251.315946</v>
      </c>
      <c r="F298" s="506">
        <v>341.17914600000006</v>
      </c>
      <c r="G298" s="506">
        <v>247.61399</v>
      </c>
      <c r="H298" s="506">
        <v>157.01628799999997</v>
      </c>
      <c r="I298" s="506">
        <v>159.550524</v>
      </c>
      <c r="J298" s="506">
        <v>147.47882799999999</v>
      </c>
      <c r="K298" s="504"/>
      <c r="L298" s="504"/>
      <c r="M298" s="504"/>
      <c r="N298" s="504"/>
      <c r="O298" s="504"/>
      <c r="P298" s="504"/>
      <c r="Q298" s="504"/>
      <c r="R298" s="504"/>
      <c r="S298" s="504"/>
      <c r="T298" s="504"/>
      <c r="U298" s="504"/>
      <c r="V298" s="504"/>
    </row>
    <row r="299" spans="1:22" ht="15.75" customHeight="1">
      <c r="A299" s="228">
        <v>51</v>
      </c>
      <c r="B299" s="75">
        <v>3</v>
      </c>
      <c r="C299" s="512" t="s">
        <v>575</v>
      </c>
      <c r="D299" s="504">
        <v>200.68728900000002</v>
      </c>
      <c r="E299" s="506">
        <v>233.48536000000001</v>
      </c>
      <c r="F299" s="506">
        <v>323.30616500000002</v>
      </c>
      <c r="G299" s="506">
        <v>231.771961</v>
      </c>
      <c r="H299" s="506">
        <v>149.86317600000001</v>
      </c>
      <c r="I299" s="506">
        <v>135.908784</v>
      </c>
      <c r="J299" s="506">
        <v>126.14988</v>
      </c>
      <c r="K299" s="504"/>
      <c r="L299" s="504"/>
      <c r="M299" s="504"/>
      <c r="N299" s="504"/>
      <c r="O299" s="504"/>
      <c r="P299" s="504"/>
      <c r="Q299" s="504"/>
      <c r="R299" s="504"/>
      <c r="S299" s="504"/>
      <c r="T299" s="504"/>
      <c r="U299" s="504"/>
      <c r="V299" s="504"/>
    </row>
    <row r="300" spans="1:22" ht="15.75" customHeight="1">
      <c r="A300" s="228">
        <v>51</v>
      </c>
      <c r="B300" s="75">
        <v>4</v>
      </c>
      <c r="C300" s="512" t="s">
        <v>575</v>
      </c>
      <c r="D300" s="504">
        <v>206.57980000000001</v>
      </c>
      <c r="E300" s="506">
        <v>231.97718</v>
      </c>
      <c r="F300" s="506">
        <v>373.99346399999996</v>
      </c>
      <c r="G300" s="506">
        <v>283.49186199999997</v>
      </c>
      <c r="H300" s="506">
        <v>141.27685600000001</v>
      </c>
      <c r="I300" s="506">
        <v>127.700352</v>
      </c>
      <c r="J300" s="506">
        <v>110.74269999999999</v>
      </c>
      <c r="K300" s="504"/>
      <c r="L300" s="504"/>
      <c r="M300" s="504"/>
      <c r="N300" s="504"/>
      <c r="O300" s="504"/>
      <c r="P300" s="504"/>
      <c r="Q300" s="504"/>
      <c r="R300" s="504"/>
      <c r="S300" s="504"/>
      <c r="T300" s="504"/>
      <c r="U300" s="504"/>
      <c r="V300" s="504"/>
    </row>
    <row r="301" spans="1:22" ht="15.75" customHeight="1">
      <c r="A301" s="228">
        <v>51</v>
      </c>
      <c r="B301" s="75">
        <v>5</v>
      </c>
      <c r="C301" s="512" t="s">
        <v>575</v>
      </c>
      <c r="D301" s="504">
        <v>225.31434899999999</v>
      </c>
      <c r="E301" s="506">
        <v>265.51140199999998</v>
      </c>
      <c r="F301" s="506">
        <v>355.96413299999995</v>
      </c>
      <c r="G301" s="506">
        <v>238.86484900000002</v>
      </c>
      <c r="H301" s="506">
        <v>147.35180099999999</v>
      </c>
      <c r="I301" s="506">
        <v>132.78829200000001</v>
      </c>
      <c r="J301" s="506">
        <v>115.33877099999999</v>
      </c>
      <c r="K301" s="504"/>
      <c r="L301" s="504"/>
      <c r="M301" s="504"/>
      <c r="N301" s="504"/>
      <c r="O301" s="504"/>
      <c r="P301" s="504"/>
      <c r="Q301" s="504"/>
      <c r="R301" s="504"/>
      <c r="S301" s="504"/>
      <c r="T301" s="504"/>
      <c r="U301" s="504"/>
      <c r="V301" s="504"/>
    </row>
    <row r="302" spans="1:22" ht="15.75" customHeight="1">
      <c r="A302" s="228">
        <v>51</v>
      </c>
      <c r="B302" s="75">
        <v>6</v>
      </c>
      <c r="C302" s="512" t="s">
        <v>575</v>
      </c>
      <c r="D302" s="504">
        <v>174.47232300000002</v>
      </c>
      <c r="E302" s="506">
        <v>223.83714599999999</v>
      </c>
      <c r="F302" s="506">
        <v>332.73615000000001</v>
      </c>
      <c r="G302" s="506">
        <v>211.15800900000002</v>
      </c>
      <c r="H302" s="506">
        <v>136.23125400000001</v>
      </c>
      <c r="I302" s="506">
        <v>123.01303000000001</v>
      </c>
      <c r="J302" s="506">
        <v>102.77034699999999</v>
      </c>
      <c r="K302" s="504"/>
      <c r="L302" s="504"/>
      <c r="M302" s="504"/>
      <c r="N302" s="504"/>
      <c r="O302" s="504"/>
      <c r="P302" s="504"/>
      <c r="Q302" s="504"/>
      <c r="R302" s="504"/>
      <c r="S302" s="504"/>
      <c r="T302" s="504"/>
      <c r="U302" s="504"/>
      <c r="V302" s="504"/>
    </row>
    <row r="303" spans="1:22" ht="15.75" customHeight="1">
      <c r="A303" s="228">
        <v>51</v>
      </c>
      <c r="B303" s="75">
        <v>7</v>
      </c>
      <c r="C303" s="512" t="s">
        <v>575</v>
      </c>
      <c r="D303" s="504">
        <v>223.201953</v>
      </c>
      <c r="E303" s="506">
        <v>262.98369600000001</v>
      </c>
      <c r="F303" s="506">
        <v>380.46250800000001</v>
      </c>
      <c r="G303" s="506">
        <v>248.193826</v>
      </c>
      <c r="H303" s="506">
        <v>142.11890499999998</v>
      </c>
      <c r="I303" s="506">
        <v>112.07037599999998</v>
      </c>
      <c r="J303" s="506">
        <v>99.043931999999984</v>
      </c>
      <c r="K303" s="504"/>
      <c r="L303" s="504"/>
      <c r="M303" s="504"/>
      <c r="N303" s="504"/>
      <c r="O303" s="504"/>
      <c r="P303" s="504"/>
      <c r="Q303" s="504"/>
      <c r="R303" s="504"/>
      <c r="S303" s="504"/>
      <c r="T303" s="504"/>
      <c r="U303" s="504"/>
      <c r="V303" s="504"/>
    </row>
    <row r="304" spans="1:22" ht="15.75" customHeight="1">
      <c r="A304" s="229">
        <v>52</v>
      </c>
      <c r="B304" s="200">
        <v>1</v>
      </c>
      <c r="C304" s="468" t="s">
        <v>572</v>
      </c>
      <c r="D304" s="504">
        <v>30926.641</v>
      </c>
      <c r="E304" s="234">
        <v>32548.262999999999</v>
      </c>
      <c r="F304" s="234">
        <v>34401.544000000002</v>
      </c>
      <c r="G304" s="234">
        <v>40193.050000000003</v>
      </c>
      <c r="H304" s="234">
        <v>50849.421000000002</v>
      </c>
      <c r="I304" s="234">
        <v>66138.995999999999</v>
      </c>
      <c r="J304" s="234">
        <v>72162.161999999997</v>
      </c>
      <c r="K304" s="234">
        <v>58262.548000000003</v>
      </c>
      <c r="L304" s="234">
        <v>47606.178</v>
      </c>
      <c r="M304" s="234">
        <v>38339.767999999996</v>
      </c>
      <c r="N304" s="234">
        <v>33706.563999999998</v>
      </c>
      <c r="O304" s="234">
        <v>34169.883999999998</v>
      </c>
      <c r="P304" s="235">
        <v>42046.332000000002</v>
      </c>
      <c r="Q304" s="2"/>
    </row>
    <row r="305" spans="1:22" ht="15.75" customHeight="1">
      <c r="A305" s="228">
        <v>52</v>
      </c>
      <c r="B305" s="201">
        <v>2</v>
      </c>
      <c r="C305" s="468" t="s">
        <v>572</v>
      </c>
      <c r="D305" s="504">
        <v>95096.524999999994</v>
      </c>
      <c r="E305" s="2">
        <v>110849.421</v>
      </c>
      <c r="F305" s="2">
        <v>147683.39799999999</v>
      </c>
      <c r="G305" s="2">
        <v>108301.158</v>
      </c>
      <c r="H305" s="2">
        <v>94633.205000000002</v>
      </c>
      <c r="I305" s="2">
        <v>85830.115999999995</v>
      </c>
      <c r="J305" s="2">
        <v>79111.968999999997</v>
      </c>
      <c r="K305" s="2">
        <v>72393.822</v>
      </c>
      <c r="L305" s="2">
        <v>61042.470999999998</v>
      </c>
      <c r="M305" s="2">
        <v>52471.042000000001</v>
      </c>
      <c r="N305" s="2">
        <v>52007.722000000002</v>
      </c>
      <c r="O305" s="2">
        <v>52934.362999999998</v>
      </c>
      <c r="P305" s="236">
        <v>53861.004000000001</v>
      </c>
      <c r="Q305" s="2"/>
    </row>
    <row r="306" spans="1:22" ht="15.75" customHeight="1">
      <c r="A306" s="228">
        <v>52</v>
      </c>
      <c r="B306" s="201">
        <v>3</v>
      </c>
      <c r="C306" s="468" t="s">
        <v>575</v>
      </c>
      <c r="E306" s="503">
        <v>132625.48300000001</v>
      </c>
      <c r="F306" s="503">
        <v>133320.46299999999</v>
      </c>
      <c r="G306" s="503">
        <v>81891.892000000007</v>
      </c>
      <c r="H306" s="503">
        <v>46911.197</v>
      </c>
      <c r="I306" s="503">
        <v>34401.544000000002</v>
      </c>
      <c r="J306" s="503">
        <v>26525.097000000002</v>
      </c>
      <c r="K306" s="503">
        <v>22123.552</v>
      </c>
      <c r="L306" s="503">
        <v>19575.29</v>
      </c>
      <c r="M306" s="503">
        <v>18648.649000000001</v>
      </c>
      <c r="N306" s="503">
        <v>18416.988000000001</v>
      </c>
      <c r="O306" s="503">
        <v>17490.347000000002</v>
      </c>
      <c r="P306" s="507">
        <v>15405.405000000001</v>
      </c>
      <c r="Q306" s="2"/>
    </row>
    <row r="307" spans="1:22" ht="15.75" customHeight="1">
      <c r="A307" s="230">
        <v>52</v>
      </c>
      <c r="B307" s="202">
        <v>4</v>
      </c>
      <c r="C307" s="468" t="s">
        <v>575</v>
      </c>
      <c r="E307" s="508">
        <v>132625.48300000001</v>
      </c>
      <c r="F307" s="508">
        <v>126138.996</v>
      </c>
      <c r="G307" s="508">
        <v>60579.150999999998</v>
      </c>
      <c r="H307" s="508">
        <v>35328.184999999998</v>
      </c>
      <c r="I307" s="508">
        <v>25366.794999999998</v>
      </c>
      <c r="J307" s="508">
        <v>20501.931</v>
      </c>
      <c r="K307" s="508">
        <v>16100.386</v>
      </c>
      <c r="L307" s="508">
        <v>15405.405000000001</v>
      </c>
      <c r="M307" s="508">
        <v>14247.103999999999</v>
      </c>
      <c r="N307" s="508">
        <v>13320.463</v>
      </c>
      <c r="O307" s="508">
        <v>12625.483</v>
      </c>
      <c r="P307" s="509">
        <v>11235.521000000001</v>
      </c>
      <c r="Q307" s="2"/>
    </row>
    <row r="308" spans="1:22" ht="15.75" customHeight="1">
      <c r="A308" s="199">
        <v>53</v>
      </c>
      <c r="B308" s="201">
        <v>1</v>
      </c>
      <c r="C308" s="201"/>
    </row>
    <row r="309" spans="1:22" ht="15.75" customHeight="1">
      <c r="A309" s="196">
        <v>53</v>
      </c>
      <c r="B309" s="201">
        <v>2</v>
      </c>
      <c r="C309" s="201"/>
    </row>
    <row r="310" spans="1:22" ht="15.75" customHeight="1">
      <c r="A310" s="196">
        <v>53</v>
      </c>
      <c r="B310" s="201">
        <v>3</v>
      </c>
      <c r="C310" s="201"/>
    </row>
    <row r="311" spans="1:22" ht="15.75" customHeight="1">
      <c r="A311" s="196">
        <v>53</v>
      </c>
      <c r="B311" s="201">
        <v>4</v>
      </c>
      <c r="C311" s="201"/>
    </row>
    <row r="312" spans="1:22" ht="15.75" customHeight="1">
      <c r="A312" s="196">
        <v>53</v>
      </c>
      <c r="B312" s="201">
        <v>5</v>
      </c>
      <c r="C312" s="201"/>
    </row>
    <row r="313" spans="1:22" ht="15.75" customHeight="1">
      <c r="A313" s="229">
        <v>54</v>
      </c>
      <c r="B313" s="200">
        <v>1</v>
      </c>
      <c r="C313" s="468" t="s">
        <v>575</v>
      </c>
      <c r="D313" s="504">
        <v>35.149257000000006</v>
      </c>
      <c r="E313" s="506">
        <v>32.175263999999999</v>
      </c>
      <c r="F313" s="506">
        <v>33.277216000000003</v>
      </c>
      <c r="G313" s="506">
        <v>30.400590000000005</v>
      </c>
      <c r="H313" s="506">
        <v>20.223648000000001</v>
      </c>
      <c r="I313" s="506">
        <v>13.666848</v>
      </c>
      <c r="J313" s="506">
        <v>12.711582000000002</v>
      </c>
      <c r="K313" s="504"/>
      <c r="L313" s="504"/>
      <c r="M313" s="504"/>
      <c r="N313" s="504"/>
      <c r="O313" s="504"/>
      <c r="P313" s="504"/>
      <c r="Q313" s="504"/>
      <c r="R313" s="504"/>
      <c r="S313" s="504"/>
      <c r="T313" s="504"/>
      <c r="U313" s="504"/>
      <c r="V313" s="504"/>
    </row>
    <row r="314" spans="1:22" ht="15.75" customHeight="1">
      <c r="A314" s="228">
        <v>54</v>
      </c>
      <c r="B314" s="201">
        <v>2</v>
      </c>
      <c r="C314" s="468" t="s">
        <v>575</v>
      </c>
      <c r="D314" s="504">
        <v>24.524487999999998</v>
      </c>
      <c r="E314" s="506">
        <v>27.83286</v>
      </c>
      <c r="F314" s="506">
        <v>50.876097999999999</v>
      </c>
      <c r="G314" s="506">
        <v>32.728500000000004</v>
      </c>
      <c r="H314" s="506">
        <v>17.231385</v>
      </c>
      <c r="I314" s="506">
        <v>14.424774000000001</v>
      </c>
      <c r="J314" s="506">
        <v>14.494807</v>
      </c>
      <c r="K314" s="504"/>
      <c r="L314" s="504"/>
      <c r="M314" s="504"/>
      <c r="N314" s="504"/>
      <c r="O314" s="504"/>
      <c r="P314" s="504"/>
      <c r="Q314" s="504"/>
      <c r="R314" s="504"/>
      <c r="S314" s="504"/>
      <c r="T314" s="504"/>
      <c r="U314" s="504"/>
      <c r="V314" s="504"/>
    </row>
    <row r="315" spans="1:22" ht="15.75" customHeight="1">
      <c r="A315" s="228">
        <v>54</v>
      </c>
      <c r="B315" s="201">
        <v>3</v>
      </c>
      <c r="C315" s="468" t="s">
        <v>575</v>
      </c>
      <c r="D315" s="504">
        <v>13.614405999999999</v>
      </c>
      <c r="E315" s="506">
        <v>17.328535000000002</v>
      </c>
      <c r="F315" s="506">
        <v>31.779855999999999</v>
      </c>
      <c r="G315" s="506">
        <v>25.866295999999998</v>
      </c>
      <c r="H315" s="506">
        <v>16.225634000000003</v>
      </c>
      <c r="I315" s="506">
        <v>12.276070999999998</v>
      </c>
      <c r="J315" s="506">
        <v>11.949299999999999</v>
      </c>
      <c r="K315" s="504"/>
      <c r="L315" s="504"/>
      <c r="M315" s="504"/>
      <c r="N315" s="504"/>
      <c r="O315" s="504"/>
      <c r="P315" s="504"/>
      <c r="Q315" s="504"/>
      <c r="R315" s="504"/>
      <c r="S315" s="504"/>
      <c r="T315" s="504"/>
      <c r="U315" s="504"/>
      <c r="V315" s="504"/>
    </row>
    <row r="316" spans="1:22" ht="15.75" customHeight="1">
      <c r="A316" s="228">
        <v>54</v>
      </c>
      <c r="B316" s="201">
        <v>4</v>
      </c>
      <c r="C316" s="468" t="s">
        <v>575</v>
      </c>
      <c r="D316" s="504">
        <v>20.495650000000005</v>
      </c>
      <c r="E316" s="506">
        <v>25.289349999999995</v>
      </c>
      <c r="F316" s="506">
        <v>26.602314</v>
      </c>
      <c r="G316" s="506">
        <v>23.340043999999999</v>
      </c>
      <c r="H316" s="506">
        <v>14.83569</v>
      </c>
      <c r="I316" s="506">
        <v>10.951000000000001</v>
      </c>
      <c r="J316" s="506">
        <v>10.459624</v>
      </c>
      <c r="K316" s="504"/>
      <c r="L316" s="504"/>
      <c r="M316" s="504"/>
      <c r="N316" s="504"/>
      <c r="O316" s="504"/>
      <c r="P316" s="504"/>
      <c r="Q316" s="504"/>
      <c r="R316" s="504"/>
      <c r="S316" s="504"/>
      <c r="T316" s="504"/>
      <c r="U316" s="504"/>
      <c r="V316" s="504"/>
    </row>
    <row r="317" spans="1:22" ht="15.75" customHeight="1">
      <c r="A317" s="229">
        <v>55</v>
      </c>
      <c r="B317" s="200" t="s">
        <v>221</v>
      </c>
      <c r="C317" s="201"/>
    </row>
    <row r="318" spans="1:22" ht="15.75" customHeight="1">
      <c r="A318" s="228">
        <v>55</v>
      </c>
      <c r="B318" s="201" t="s">
        <v>222</v>
      </c>
      <c r="C318" s="201"/>
    </row>
    <row r="319" spans="1:22" ht="15.75" customHeight="1">
      <c r="A319" s="228">
        <v>55</v>
      </c>
      <c r="B319" s="201" t="s">
        <v>223</v>
      </c>
      <c r="C319" s="201"/>
    </row>
    <row r="320" spans="1:22" ht="15.75" customHeight="1">
      <c r="A320" s="228">
        <v>55</v>
      </c>
      <c r="B320" s="201" t="s">
        <v>225</v>
      </c>
      <c r="C320" s="201"/>
    </row>
    <row r="321" spans="1:25" ht="15.75" customHeight="1">
      <c r="A321" s="228">
        <v>55</v>
      </c>
      <c r="B321" s="201" t="s">
        <v>226</v>
      </c>
      <c r="C321" s="201"/>
    </row>
    <row r="322" spans="1:25" ht="15.75" customHeight="1">
      <c r="A322" s="228">
        <v>55</v>
      </c>
      <c r="B322" s="201" t="s">
        <v>227</v>
      </c>
      <c r="C322" s="201"/>
    </row>
    <row r="323" spans="1:25" ht="15.75" customHeight="1">
      <c r="A323" s="228">
        <v>55</v>
      </c>
      <c r="B323" s="201" t="s">
        <v>231</v>
      </c>
      <c r="C323" s="201"/>
    </row>
    <row r="324" spans="1:25" ht="15.75" customHeight="1">
      <c r="A324" s="228">
        <v>55</v>
      </c>
      <c r="B324" s="201" t="s">
        <v>232</v>
      </c>
      <c r="C324" s="201"/>
    </row>
    <row r="325" spans="1:25" ht="15.75" customHeight="1">
      <c r="A325" s="228">
        <v>55</v>
      </c>
      <c r="B325" s="201" t="s">
        <v>233</v>
      </c>
      <c r="C325" s="201"/>
    </row>
    <row r="326" spans="1:25" ht="15.75" customHeight="1">
      <c r="A326" s="199">
        <v>56</v>
      </c>
      <c r="B326" s="200" t="s">
        <v>221</v>
      </c>
      <c r="C326" s="468" t="s">
        <v>572</v>
      </c>
      <c r="D326" s="515">
        <v>102343860.287</v>
      </c>
      <c r="E326" s="516">
        <v>105005027.432</v>
      </c>
      <c r="F326" s="516">
        <v>101558740.066</v>
      </c>
      <c r="G326" s="516">
        <v>87960326.263999999</v>
      </c>
      <c r="H326" s="516">
        <v>70536103.107999995</v>
      </c>
      <c r="I326" s="516">
        <v>55271674.848999999</v>
      </c>
      <c r="J326" s="516">
        <v>47139304.737999998</v>
      </c>
      <c r="K326" s="516">
        <v>43870030.502999999</v>
      </c>
      <c r="L326" s="516">
        <v>40410421.511</v>
      </c>
      <c r="M326" s="516">
        <v>39285316.096000001</v>
      </c>
      <c r="N326" s="516">
        <v>38289699.075999998</v>
      </c>
      <c r="O326" s="516">
        <v>37128208.538000003</v>
      </c>
      <c r="P326" s="516">
        <v>35817591.294</v>
      </c>
      <c r="Q326" s="516">
        <v>33677547.674000002</v>
      </c>
      <c r="R326" s="517">
        <v>30080700.475000001</v>
      </c>
    </row>
    <row r="327" spans="1:25" ht="15.75" customHeight="1">
      <c r="A327" s="197">
        <v>56</v>
      </c>
      <c r="B327" s="202" t="s">
        <v>225</v>
      </c>
      <c r="C327" s="201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237"/>
    </row>
    <row r="328" spans="1:25" ht="15.75" customHeight="1">
      <c r="A328" s="199">
        <v>57</v>
      </c>
      <c r="B328" s="200">
        <v>1</v>
      </c>
      <c r="C328" s="201"/>
    </row>
    <row r="329" spans="1:25" ht="15.75" customHeight="1">
      <c r="A329" s="196">
        <v>57</v>
      </c>
      <c r="B329" s="201">
        <v>2</v>
      </c>
      <c r="C329" s="201"/>
      <c r="E329" s="2"/>
      <c r="F329" s="2"/>
      <c r="G329" s="2"/>
      <c r="H329" s="2"/>
      <c r="I329" s="2"/>
      <c r="J329" s="2"/>
      <c r="K329" s="2"/>
      <c r="L329" s="2"/>
      <c r="M329" s="2"/>
      <c r="N329" s="2"/>
    </row>
    <row r="330" spans="1:25" ht="15.75" customHeight="1">
      <c r="A330" s="199">
        <v>58</v>
      </c>
      <c r="B330" s="200">
        <v>1</v>
      </c>
      <c r="C330" s="468" t="s">
        <v>572</v>
      </c>
      <c r="D330" s="504">
        <v>5.1707150000000002E-3</v>
      </c>
      <c r="E330" s="234">
        <v>6.1764305999999995E-3</v>
      </c>
      <c r="F330" s="234">
        <v>7.6749788000000001E-3</v>
      </c>
      <c r="G330" s="234">
        <v>9.1677792999999997E-3</v>
      </c>
      <c r="H330" s="234">
        <v>1.18510391E-2</v>
      </c>
      <c r="I330" s="234">
        <v>1.47263818E-2</v>
      </c>
      <c r="J330" s="234">
        <v>1.8664312899999997E-2</v>
      </c>
      <c r="K330" s="234">
        <v>2.36552727E-2</v>
      </c>
      <c r="L330" s="234">
        <v>2.8256275900000002E-2</v>
      </c>
      <c r="M330" s="234">
        <v>3.3752184499999997E-2</v>
      </c>
      <c r="N330" s="235">
        <v>3.9528699099999995E-2</v>
      </c>
      <c r="O330" s="2"/>
    </row>
    <row r="331" spans="1:25" ht="15.75" customHeight="1">
      <c r="A331" s="196">
        <v>58</v>
      </c>
      <c r="B331" s="201">
        <v>2</v>
      </c>
      <c r="C331" s="468" t="s">
        <v>572</v>
      </c>
      <c r="D331" s="504">
        <v>2.5904729999999998E-3</v>
      </c>
      <c r="E331" s="2">
        <v>3.3486622999999997E-3</v>
      </c>
      <c r="F331" s="2">
        <v>4.1611271000000002E-3</v>
      </c>
      <c r="G331" s="2">
        <v>5.1707150000000002E-3</v>
      </c>
      <c r="H331" s="2">
        <v>6.4252529000000001E-3</v>
      </c>
      <c r="I331" s="2">
        <v>8.1434075999999994E-3</v>
      </c>
      <c r="J331" s="2">
        <v>1.0119191099999999E-2</v>
      </c>
      <c r="K331" s="2">
        <v>1.2328467399999999E-2</v>
      </c>
      <c r="L331" s="2">
        <v>1.5625180499999999E-2</v>
      </c>
      <c r="M331" s="2">
        <v>1.9416219200000001E-2</v>
      </c>
      <c r="N331" s="236">
        <v>2.2739206200000001E-2</v>
      </c>
      <c r="O331" s="2"/>
    </row>
    <row r="332" spans="1:25" ht="15.75" customHeight="1">
      <c r="A332" s="196">
        <v>58</v>
      </c>
      <c r="B332" s="201">
        <v>3</v>
      </c>
      <c r="C332" s="468" t="s">
        <v>572</v>
      </c>
      <c r="D332" s="504">
        <v>1.0361849999999999E-4</v>
      </c>
      <c r="E332" s="2">
        <v>1.4784659999999999E-4</v>
      </c>
      <c r="F332" s="2">
        <v>2.0278350000000001E-4</v>
      </c>
      <c r="G332" s="2">
        <v>2.9510929999999999E-4</v>
      </c>
      <c r="H332" s="2">
        <v>4.2947030000000004E-4</v>
      </c>
      <c r="I332" s="2">
        <v>6.2500480000000002E-4</v>
      </c>
      <c r="J332" s="2">
        <v>9.095647000000001E-4</v>
      </c>
      <c r="K332" s="2">
        <v>1.2724220999999999E-3</v>
      </c>
      <c r="L332" s="2">
        <v>1.8517462999999999E-3</v>
      </c>
      <c r="M332" s="2">
        <v>2.4414627E-3</v>
      </c>
      <c r="N332" s="236">
        <v>3.0943258E-3</v>
      </c>
      <c r="O332" s="2"/>
    </row>
    <row r="333" spans="1:25" ht="15.75" customHeight="1">
      <c r="A333" s="196">
        <v>58</v>
      </c>
      <c r="B333" s="201">
        <v>4</v>
      </c>
      <c r="C333" s="468" t="s">
        <v>572</v>
      </c>
      <c r="D333" s="504">
        <v>8.5049999999999994E-5</v>
      </c>
      <c r="E333" s="2">
        <v>1.2135229999999999E-4</v>
      </c>
      <c r="F333" s="2">
        <v>1.538027E-4</v>
      </c>
      <c r="G333" s="2">
        <v>2.1515999999999999E-4</v>
      </c>
      <c r="H333" s="2">
        <v>3.06998E-4</v>
      </c>
      <c r="I333" s="2">
        <v>4.0476610000000001E-4</v>
      </c>
      <c r="J333" s="2">
        <v>5.6624150000000005E-4</v>
      </c>
      <c r="K333" s="2">
        <v>8.2404699999999995E-4</v>
      </c>
      <c r="L333" s="2">
        <v>1.0652321E-3</v>
      </c>
      <c r="M333" s="2">
        <v>1.4901907E-3</v>
      </c>
      <c r="N333" s="236">
        <v>1.9263453000000002E-3</v>
      </c>
      <c r="O333" s="2"/>
    </row>
    <row r="334" spans="1:25" ht="15.75" customHeight="1">
      <c r="A334" s="197">
        <v>58</v>
      </c>
      <c r="B334" s="202">
        <v>5</v>
      </c>
      <c r="C334" s="468" t="s">
        <v>572</v>
      </c>
      <c r="D334" s="504">
        <v>2.052E-5</v>
      </c>
      <c r="E334" s="34">
        <v>2.54987E-5</v>
      </c>
      <c r="F334" s="34">
        <v>3.3619099999999998E-5</v>
      </c>
      <c r="G334" s="34">
        <v>4.0959099999999999E-5</v>
      </c>
      <c r="H334" s="34">
        <v>5.7299100000000002E-5</v>
      </c>
      <c r="I334" s="34">
        <v>7.7053500000000003E-5</v>
      </c>
      <c r="J334" s="34">
        <v>1.0568510000000001E-4</v>
      </c>
      <c r="K334" s="34">
        <v>1.507952E-4</v>
      </c>
      <c r="L334" s="34">
        <v>2.1095279999999998E-4</v>
      </c>
      <c r="M334" s="34">
        <v>2.781339E-4</v>
      </c>
      <c r="N334" s="237">
        <v>4.1283869999999997E-4</v>
      </c>
      <c r="O334" s="2"/>
    </row>
    <row r="335" spans="1:25" ht="15.75" customHeight="1">
      <c r="A335" s="229">
        <v>59</v>
      </c>
      <c r="B335" s="74">
        <v>1</v>
      </c>
      <c r="C335" s="468" t="s">
        <v>575</v>
      </c>
      <c r="D335" s="504">
        <v>125.12748000000001</v>
      </c>
      <c r="E335" s="506">
        <v>159.016986</v>
      </c>
      <c r="F335" s="506">
        <v>184.73655200000002</v>
      </c>
      <c r="G335" s="506">
        <v>197.16006200000001</v>
      </c>
      <c r="H335" s="506">
        <v>208.71105</v>
      </c>
      <c r="I335" s="506">
        <v>195.42491999999999</v>
      </c>
      <c r="J335" s="506">
        <v>184.85549599999999</v>
      </c>
      <c r="K335" s="506">
        <v>161.45609599999997</v>
      </c>
      <c r="L335" s="506">
        <v>134.150115</v>
      </c>
      <c r="M335" s="506">
        <v>124.89942599999999</v>
      </c>
      <c r="N335" s="506">
        <v>118.682739</v>
      </c>
      <c r="O335" s="506">
        <v>108.50990400000001</v>
      </c>
      <c r="P335" s="506">
        <v>94.648737999999994</v>
      </c>
      <c r="Q335" s="506">
        <v>86.944793000000004</v>
      </c>
      <c r="R335" s="506">
        <v>85.596283999999997</v>
      </c>
      <c r="S335" s="506">
        <v>83.286100000000005</v>
      </c>
      <c r="T335" s="506">
        <v>79.954672000000002</v>
      </c>
      <c r="U335" s="504"/>
      <c r="V335" s="504"/>
      <c r="W335" s="504"/>
      <c r="X335" s="504"/>
      <c r="Y335" s="504"/>
    </row>
    <row r="336" spans="1:25" ht="15.75" customHeight="1">
      <c r="A336" s="228">
        <v>59</v>
      </c>
      <c r="B336" s="75">
        <v>2</v>
      </c>
      <c r="C336" s="468" t="s">
        <v>575</v>
      </c>
      <c r="D336" s="504">
        <v>132.06798000000001</v>
      </c>
      <c r="E336" s="506">
        <v>169.18980299999998</v>
      </c>
      <c r="F336" s="506">
        <v>196.87251200000003</v>
      </c>
      <c r="G336" s="506">
        <v>214.64020700000003</v>
      </c>
      <c r="H336" s="506">
        <v>227.05380000000002</v>
      </c>
      <c r="I336" s="506">
        <v>213.093504</v>
      </c>
      <c r="J336" s="506">
        <v>201.82011999999997</v>
      </c>
      <c r="K336" s="506">
        <v>176.08072099999998</v>
      </c>
      <c r="L336" s="506">
        <v>157.36120099999999</v>
      </c>
      <c r="M336" s="506">
        <v>147.53538600000002</v>
      </c>
      <c r="N336" s="506">
        <v>141.58640399999999</v>
      </c>
      <c r="O336" s="506">
        <v>126.594872</v>
      </c>
      <c r="P336" s="506">
        <v>116.451837</v>
      </c>
      <c r="Q336" s="506">
        <v>104.51418100000001</v>
      </c>
      <c r="R336" s="506">
        <v>101.43063600000001</v>
      </c>
      <c r="S336" s="506">
        <v>96.929143999999994</v>
      </c>
      <c r="T336" s="506">
        <v>88.164297000000005</v>
      </c>
      <c r="U336" s="504"/>
      <c r="V336" s="504"/>
      <c r="W336" s="504"/>
      <c r="X336" s="504"/>
      <c r="Y336" s="504"/>
    </row>
    <row r="337" spans="1:25" ht="15.75" customHeight="1">
      <c r="A337" s="228">
        <v>59</v>
      </c>
      <c r="B337" s="75">
        <v>3</v>
      </c>
      <c r="C337" s="468" t="s">
        <v>575</v>
      </c>
      <c r="D337" s="504">
        <v>134.685552</v>
      </c>
      <c r="E337" s="506">
        <v>154.37675999999999</v>
      </c>
      <c r="F337" s="506">
        <v>156.75638800000002</v>
      </c>
      <c r="G337" s="506">
        <v>160.08782399999998</v>
      </c>
      <c r="H337" s="506">
        <v>180.45325000000003</v>
      </c>
      <c r="I337" s="506">
        <v>185.44048100000001</v>
      </c>
      <c r="J337" s="506">
        <v>177.33995400000001</v>
      </c>
      <c r="K337" s="506">
        <v>163.10195999999999</v>
      </c>
      <c r="L337" s="506">
        <v>138.88952399999999</v>
      </c>
      <c r="M337" s="506">
        <v>123.828642</v>
      </c>
      <c r="N337" s="506">
        <v>122.192618</v>
      </c>
      <c r="O337" s="506">
        <v>115.84704400000001</v>
      </c>
      <c r="P337" s="506">
        <v>104.19692099999999</v>
      </c>
      <c r="Q337" s="506">
        <v>102.12460299999999</v>
      </c>
      <c r="R337" s="506">
        <v>97.20677400000001</v>
      </c>
      <c r="S337" s="506">
        <v>91.198296000000013</v>
      </c>
      <c r="T337" s="506">
        <v>86.300296000000017</v>
      </c>
      <c r="U337" s="504"/>
      <c r="V337" s="504"/>
      <c r="W337" s="504"/>
      <c r="X337" s="504"/>
      <c r="Y337" s="504"/>
    </row>
    <row r="338" spans="1:25" ht="15.75" customHeight="1">
      <c r="A338" s="228">
        <v>59</v>
      </c>
      <c r="B338" s="75">
        <v>4</v>
      </c>
      <c r="C338" s="468" t="s">
        <v>575</v>
      </c>
      <c r="D338" s="504">
        <v>175.97165799999999</v>
      </c>
      <c r="E338" s="506">
        <v>211.626082</v>
      </c>
      <c r="F338" s="506">
        <v>184.538262</v>
      </c>
      <c r="G338" s="506">
        <v>167.61331999999999</v>
      </c>
      <c r="H338" s="506">
        <v>173.09630200000001</v>
      </c>
      <c r="I338" s="506">
        <v>164.98585600000001</v>
      </c>
      <c r="J338" s="506">
        <v>158.392338</v>
      </c>
      <c r="K338" s="506">
        <v>142.33996199999999</v>
      </c>
      <c r="L338" s="506">
        <v>121.796008</v>
      </c>
      <c r="M338" s="506">
        <v>111.464584</v>
      </c>
      <c r="N338" s="506">
        <v>110.373964</v>
      </c>
      <c r="O338" s="506">
        <v>100.02262399999999</v>
      </c>
      <c r="P338" s="506">
        <v>89.631713000000005</v>
      </c>
      <c r="Q338" s="506">
        <v>84.674222</v>
      </c>
      <c r="R338" s="506">
        <v>81.203980000000001</v>
      </c>
      <c r="S338" s="506">
        <v>75.800314000000014</v>
      </c>
      <c r="T338" s="506">
        <v>67.957559000000003</v>
      </c>
      <c r="U338" s="504"/>
      <c r="V338" s="504"/>
      <c r="W338" s="504"/>
      <c r="X338" s="504"/>
      <c r="Y338" s="504"/>
    </row>
    <row r="339" spans="1:25" ht="15.75" customHeight="1">
      <c r="A339" s="228">
        <v>59</v>
      </c>
      <c r="B339" s="75">
        <v>5</v>
      </c>
      <c r="C339" s="468" t="s">
        <v>575</v>
      </c>
      <c r="D339" s="504">
        <v>148.169984</v>
      </c>
      <c r="E339" s="506">
        <v>160.68271199999998</v>
      </c>
      <c r="F339" s="506">
        <v>166.264881</v>
      </c>
      <c r="G339" s="506">
        <v>168.75352999999998</v>
      </c>
      <c r="H339" s="506">
        <v>180.849885</v>
      </c>
      <c r="I339" s="506">
        <v>184.03259100000002</v>
      </c>
      <c r="J339" s="506">
        <v>167.28610799999998</v>
      </c>
      <c r="K339" s="506">
        <v>137.858318</v>
      </c>
      <c r="L339" s="506">
        <v>113.754949</v>
      </c>
      <c r="M339" s="506">
        <v>91.922111000000001</v>
      </c>
      <c r="N339" s="506">
        <v>78.824399999999997</v>
      </c>
      <c r="O339" s="506">
        <v>65.042482000000007</v>
      </c>
      <c r="P339" s="506">
        <v>58.002839999999999</v>
      </c>
      <c r="Q339" s="506">
        <v>53.303136000000002</v>
      </c>
      <c r="R339" s="506">
        <v>52.053854999999999</v>
      </c>
      <c r="S339" s="506">
        <v>51.31024</v>
      </c>
      <c r="T339" s="506">
        <v>47.096375000000002</v>
      </c>
      <c r="U339" s="504"/>
      <c r="V339" s="504"/>
      <c r="W339" s="504"/>
      <c r="X339" s="504"/>
      <c r="Y339" s="504"/>
    </row>
    <row r="340" spans="1:25" ht="15.75" customHeight="1">
      <c r="A340" s="228">
        <v>59</v>
      </c>
      <c r="B340" s="75">
        <v>6</v>
      </c>
      <c r="C340" s="468" t="s">
        <v>575</v>
      </c>
      <c r="D340" s="504">
        <v>191.776196</v>
      </c>
      <c r="E340" s="506">
        <v>188.21673200000001</v>
      </c>
      <c r="F340" s="506">
        <v>182.04957300000001</v>
      </c>
      <c r="G340" s="506">
        <v>182.75351999999998</v>
      </c>
      <c r="H340" s="506">
        <v>196.91219999999998</v>
      </c>
      <c r="I340" s="506">
        <v>186.73940199999998</v>
      </c>
      <c r="J340" s="506">
        <v>168.95184</v>
      </c>
      <c r="K340" s="506">
        <v>140.72376100000002</v>
      </c>
      <c r="L340" s="506">
        <v>111.04816000000001</v>
      </c>
      <c r="M340" s="506">
        <v>88.511362999999989</v>
      </c>
      <c r="N340" s="506">
        <v>77.535385000000005</v>
      </c>
      <c r="O340" s="506">
        <v>58.240798999999996</v>
      </c>
      <c r="P340" s="506">
        <v>44.270569999999999</v>
      </c>
      <c r="Q340" s="506">
        <v>40.651600000000002</v>
      </c>
      <c r="R340" s="506">
        <v>39.987304000000002</v>
      </c>
      <c r="S340" s="506">
        <v>38.609009999999998</v>
      </c>
      <c r="T340" s="506">
        <v>35.535360000000004</v>
      </c>
      <c r="U340" s="504"/>
      <c r="V340" s="504"/>
      <c r="W340" s="504"/>
      <c r="X340" s="504"/>
      <c r="Y340" s="504"/>
    </row>
    <row r="341" spans="1:25" ht="15.75" customHeight="1">
      <c r="A341" s="229">
        <v>60</v>
      </c>
      <c r="B341" s="74">
        <v>1</v>
      </c>
      <c r="C341" s="468" t="s">
        <v>572</v>
      </c>
      <c r="D341" s="504">
        <v>524807460.24977338</v>
      </c>
      <c r="E341" s="234">
        <v>399944749.7610991</v>
      </c>
      <c r="F341" s="234">
        <v>474241985.26024759</v>
      </c>
      <c r="G341" s="234">
        <v>601173737.4832803</v>
      </c>
      <c r="H341" s="234">
        <v>736207097.49474251</v>
      </c>
      <c r="I341" s="234">
        <v>543250331.49243391</v>
      </c>
      <c r="J341" s="234">
        <v>506990708.27470517</v>
      </c>
      <c r="K341" s="234">
        <v>443608643.93143415</v>
      </c>
      <c r="L341" s="234">
        <v>665273156.20174551</v>
      </c>
      <c r="M341" s="234">
        <v>490907876.15260607</v>
      </c>
      <c r="N341" s="235">
        <v>17100153.150902938</v>
      </c>
      <c r="O341" s="2"/>
    </row>
    <row r="342" spans="1:25" ht="15.75" customHeight="1">
      <c r="A342" s="228">
        <v>60</v>
      </c>
      <c r="B342" s="75">
        <v>2</v>
      </c>
      <c r="C342" s="468" t="s">
        <v>572</v>
      </c>
      <c r="D342" s="504">
        <v>45708818.96148771</v>
      </c>
      <c r="E342" s="2">
        <v>39902490.236214437</v>
      </c>
      <c r="F342" s="2">
        <v>44157044.735331297</v>
      </c>
      <c r="G342" s="2">
        <v>52360043.658575192</v>
      </c>
      <c r="H342" s="2">
        <v>81283051.616410092</v>
      </c>
      <c r="I342" s="2">
        <v>48865235.934283532</v>
      </c>
      <c r="J342" s="2">
        <v>45708818.96148771</v>
      </c>
      <c r="K342" s="2">
        <v>37239170.625456944</v>
      </c>
      <c r="L342" s="2">
        <v>36057864.302164361</v>
      </c>
      <c r="M342" s="2">
        <v>20230191.786782745</v>
      </c>
      <c r="N342" s="236">
        <v>2157744.4091526712</v>
      </c>
      <c r="O342" s="2"/>
    </row>
    <row r="343" spans="1:25" ht="15.75" customHeight="1">
      <c r="A343" s="228">
        <v>60</v>
      </c>
      <c r="B343" s="75">
        <v>3</v>
      </c>
      <c r="C343" s="468" t="s">
        <v>572</v>
      </c>
      <c r="D343" s="504">
        <v>2735268.7263067118</v>
      </c>
      <c r="E343" s="2">
        <v>3243396.1734934989</v>
      </c>
      <c r="F343" s="2">
        <v>4549880.6015004953</v>
      </c>
      <c r="G343" s="2">
        <v>3715352.2909717411</v>
      </c>
      <c r="H343" s="2">
        <v>5046612.9756352911</v>
      </c>
      <c r="I343" s="2">
        <v>3033891.1841942687</v>
      </c>
      <c r="J343" s="2">
        <v>2471724.1450161417</v>
      </c>
      <c r="K343" s="2">
        <v>2648500.1386067118</v>
      </c>
      <c r="L343" s="2">
        <v>3589219.346450055</v>
      </c>
      <c r="M343" s="2">
        <v>2648500.1386067118</v>
      </c>
      <c r="N343" s="236">
        <v>125025.90302177226</v>
      </c>
      <c r="O343" s="2"/>
    </row>
    <row r="344" spans="1:25" ht="15.75" customHeight="1">
      <c r="A344" s="228">
        <v>60</v>
      </c>
      <c r="B344" s="75">
        <v>4</v>
      </c>
      <c r="C344" s="468" t="s">
        <v>572</v>
      </c>
      <c r="D344" s="504">
        <v>133967.66874259422</v>
      </c>
      <c r="E344" s="2">
        <v>164058.9773199544</v>
      </c>
      <c r="F344" s="2">
        <v>312607.93671239557</v>
      </c>
      <c r="G344" s="2">
        <v>659173.89524432376</v>
      </c>
      <c r="H344" s="2">
        <v>369828.17978026683</v>
      </c>
      <c r="I344" s="2">
        <v>215278.17347243815</v>
      </c>
      <c r="J344" s="2">
        <v>143218.78992735496</v>
      </c>
      <c r="K344" s="2">
        <v>164058.9773199544</v>
      </c>
      <c r="L344" s="2">
        <v>215278.17347243815</v>
      </c>
      <c r="M344" s="2">
        <v>200909.28126087366</v>
      </c>
      <c r="N344" s="236">
        <v>18113.400926196027</v>
      </c>
      <c r="O344" s="2"/>
    </row>
    <row r="345" spans="1:25" ht="15.75" customHeight="1">
      <c r="A345" s="228">
        <v>60</v>
      </c>
      <c r="B345" s="75">
        <v>5</v>
      </c>
      <c r="C345" s="468" t="s">
        <v>572</v>
      </c>
      <c r="D345" s="504">
        <v>27164.392688390799</v>
      </c>
      <c r="E345" s="2">
        <v>31117.163371060218</v>
      </c>
      <c r="F345" s="2">
        <v>63533.093185174723</v>
      </c>
      <c r="G345" s="2">
        <v>102093.94837076843</v>
      </c>
      <c r="H345" s="2">
        <v>18113.400926196027</v>
      </c>
      <c r="I345" s="2">
        <v>16368.165214278164</v>
      </c>
      <c r="J345" s="2">
        <v>13803.842646028885</v>
      </c>
      <c r="K345" s="2">
        <v>12882.495516931333</v>
      </c>
      <c r="L345" s="2">
        <v>14757.065332758968</v>
      </c>
      <c r="M345" s="2">
        <v>12882.495516931333</v>
      </c>
      <c r="N345" s="236">
        <v>1995.2623149688866</v>
      </c>
      <c r="O345" s="2"/>
    </row>
    <row r="346" spans="1:25" ht="15.75" customHeight="1">
      <c r="A346" s="228">
        <v>60</v>
      </c>
      <c r="B346" s="75">
        <v>6</v>
      </c>
      <c r="C346" s="468" t="s">
        <v>572</v>
      </c>
      <c r="D346" s="504">
        <v>2999.1625189876609</v>
      </c>
      <c r="E346" s="2">
        <v>3104.5595881283657</v>
      </c>
      <c r="F346" s="2">
        <v>7762.4711662869558</v>
      </c>
      <c r="G346" s="2">
        <v>26302.679918953912</v>
      </c>
      <c r="H346" s="2">
        <v>419.75898399100817</v>
      </c>
      <c r="I346" s="2">
        <v>146.55478409559129</v>
      </c>
      <c r="J346" s="2">
        <v>40.457589169744402</v>
      </c>
      <c r="K346" s="2"/>
      <c r="L346" s="2"/>
      <c r="M346" s="2"/>
      <c r="N346" s="236"/>
      <c r="O346" s="2"/>
    </row>
    <row r="347" spans="1:25" ht="15.75" customHeight="1">
      <c r="A347" s="228">
        <v>60</v>
      </c>
      <c r="B347" s="75">
        <v>7</v>
      </c>
      <c r="C347" s="468" t="s">
        <v>572</v>
      </c>
      <c r="D347" s="504">
        <v>570.16427228074883</v>
      </c>
      <c r="E347" s="2">
        <v>532.10825926679559</v>
      </c>
      <c r="F347" s="2">
        <v>1472.3125024327185</v>
      </c>
      <c r="G347" s="2">
        <v>2213.0947096056448</v>
      </c>
      <c r="H347" s="2">
        <v>71.944897800370029</v>
      </c>
      <c r="I347" s="2">
        <v>25.176769277588583</v>
      </c>
      <c r="J347" s="2">
        <v>4.9431068698683598</v>
      </c>
      <c r="K347" s="2"/>
      <c r="L347" s="2"/>
      <c r="M347" s="2"/>
      <c r="N347" s="236"/>
      <c r="O347" s="2"/>
    </row>
    <row r="348" spans="1:25" ht="15.75" customHeight="1">
      <c r="A348" s="230">
        <v>60</v>
      </c>
      <c r="B348" s="231">
        <v>8</v>
      </c>
      <c r="C348" s="468" t="s">
        <v>572</v>
      </c>
      <c r="D348" s="504">
        <v>60.813500127871762</v>
      </c>
      <c r="E348" s="34">
        <v>69.502431758879752</v>
      </c>
      <c r="F348" s="34">
        <v>220.29264630534576</v>
      </c>
      <c r="G348" s="34">
        <v>206.06299132700036</v>
      </c>
      <c r="H348" s="34">
        <v>5.6623928903825425</v>
      </c>
      <c r="I348" s="34">
        <v>1.2302687708123821</v>
      </c>
      <c r="J348" s="34">
        <v>0.1721868574986008</v>
      </c>
      <c r="K348" s="34"/>
      <c r="L348" s="34"/>
      <c r="M348" s="34"/>
      <c r="N348" s="237"/>
      <c r="O348" s="2"/>
    </row>
    <row r="349" spans="1:25" ht="15.75" customHeight="1">
      <c r="A349" s="124">
        <v>61</v>
      </c>
      <c r="B349" s="281">
        <v>1</v>
      </c>
      <c r="C349" s="468" t="s">
        <v>572</v>
      </c>
      <c r="D349" s="504">
        <v>44645.373</v>
      </c>
      <c r="E349" s="127">
        <v>24912.841</v>
      </c>
      <c r="F349" s="127">
        <v>7495.7259999999997</v>
      </c>
      <c r="G349" s="127">
        <v>3463.3249999999998</v>
      </c>
      <c r="H349" s="127">
        <v>1804.404</v>
      </c>
      <c r="I349" s="127">
        <v>924.10799999999995</v>
      </c>
      <c r="J349" s="127">
        <v>278.04399999999998</v>
      </c>
      <c r="K349" s="127">
        <v>14.536</v>
      </c>
      <c r="L349" s="127">
        <v>11.045999999999999</v>
      </c>
      <c r="M349" s="127">
        <v>7.0709999999999997</v>
      </c>
      <c r="N349" s="154">
        <v>4.1539999999999999</v>
      </c>
    </row>
    <row r="350" spans="1:25" ht="15.75" customHeight="1"/>
    <row r="351" spans="1:25" ht="15.75" customHeight="1"/>
    <row r="352" spans="1:25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X604"/>
  <sheetViews>
    <sheetView topLeftCell="A118" workbookViewId="0">
      <selection activeCell="C17" sqref="C17"/>
    </sheetView>
  </sheetViews>
  <sheetFormatPr defaultColWidth="12.5546875" defaultRowHeight="15" customHeight="1"/>
  <cols>
    <col min="1" max="8" width="8.5546875" customWidth="1"/>
    <col min="9" max="9" width="13.5546875" customWidth="1"/>
    <col min="10" max="50" width="8.5546875" customWidth="1"/>
  </cols>
  <sheetData>
    <row r="1" spans="1:50" ht="14.4">
      <c r="A1" s="16" t="s">
        <v>219</v>
      </c>
      <c r="B1" s="15" t="s">
        <v>220</v>
      </c>
    </row>
    <row r="2" spans="1:50" ht="14.4">
      <c r="A2" s="329">
        <v>1</v>
      </c>
      <c r="B2" s="315">
        <v>1</v>
      </c>
      <c r="C2" s="207">
        <v>1</v>
      </c>
      <c r="D2" s="207">
        <v>1.2656304666823099</v>
      </c>
      <c r="E2" s="207">
        <v>1.57977700264465</v>
      </c>
      <c r="F2" s="207">
        <v>1.9994139051111299</v>
      </c>
      <c r="G2" s="207">
        <v>2.49569537808491</v>
      </c>
      <c r="H2" s="207">
        <v>3.13681906170895</v>
      </c>
      <c r="I2" s="207">
        <v>3.9426421639050901</v>
      </c>
      <c r="J2" s="207">
        <v>5.0595551832915904</v>
      </c>
      <c r="K2" s="207">
        <v>6.2284954201944096</v>
      </c>
      <c r="L2" s="207">
        <v>7.8285448341957098</v>
      </c>
      <c r="M2" s="207">
        <v>10.0462971141803</v>
      </c>
      <c r="N2" s="207">
        <v>12.453340351057699</v>
      </c>
      <c r="O2" s="207">
        <v>15.652501398276801</v>
      </c>
      <c r="P2" s="207">
        <v>19.810282649446599</v>
      </c>
      <c r="Q2" s="207">
        <v>25.072497274727699</v>
      </c>
      <c r="R2" s="207">
        <v>31.732516426704599</v>
      </c>
      <c r="S2" s="207">
        <v>40.161639574134398</v>
      </c>
      <c r="T2" s="207">
        <v>50.130299686951602</v>
      </c>
      <c r="U2" s="207">
        <v>63.887552190864902</v>
      </c>
      <c r="V2" s="207">
        <v>78.104855652586096</v>
      </c>
      <c r="W2" s="207">
        <v>99.539162403279803</v>
      </c>
      <c r="X2" s="207">
        <v>124.24612378321</v>
      </c>
      <c r="Y2" s="207">
        <v>157.249679627212</v>
      </c>
      <c r="Z2" s="207">
        <v>199.01998541223301</v>
      </c>
      <c r="AA2" s="207">
        <v>250.14658815499499</v>
      </c>
      <c r="AB2" s="207">
        <v>316.59314310559398</v>
      </c>
      <c r="AC2" s="207">
        <v>395.175827257283</v>
      </c>
      <c r="AD2" s="330">
        <v>496.69325773983797</v>
      </c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</row>
    <row r="3" spans="1:50" ht="14.4">
      <c r="A3" s="331">
        <v>1</v>
      </c>
      <c r="B3" s="332">
        <v>2</v>
      </c>
      <c r="C3" s="18">
        <v>1</v>
      </c>
      <c r="D3" s="18">
        <v>1.2656304666823099</v>
      </c>
      <c r="E3" s="18">
        <v>1.57977700264465</v>
      </c>
      <c r="F3" s="18">
        <v>1.9994139051111299</v>
      </c>
      <c r="G3" s="18">
        <v>2.49569537808491</v>
      </c>
      <c r="H3" s="18">
        <v>3.13681906170895</v>
      </c>
      <c r="I3" s="18">
        <v>3.9426421639050901</v>
      </c>
      <c r="J3" s="18">
        <v>5.0595551832915904</v>
      </c>
      <c r="K3" s="18">
        <v>6.2284954201944096</v>
      </c>
      <c r="L3" s="18">
        <v>7.8285448341957098</v>
      </c>
      <c r="M3" s="18">
        <v>10.0462971141803</v>
      </c>
      <c r="N3" s="18">
        <v>12.453340351057699</v>
      </c>
      <c r="O3" s="18">
        <v>15.652501398276801</v>
      </c>
      <c r="P3" s="18">
        <v>19.810282649446599</v>
      </c>
      <c r="Q3" s="18">
        <v>25.072497274727699</v>
      </c>
      <c r="R3" s="18">
        <v>31.732516426704599</v>
      </c>
      <c r="S3" s="18">
        <v>40.161639574134398</v>
      </c>
      <c r="T3" s="18">
        <v>50.130299686951602</v>
      </c>
      <c r="U3" s="18">
        <v>63.887552190864902</v>
      </c>
      <c r="V3" s="18">
        <v>78.104855652586096</v>
      </c>
      <c r="W3" s="18">
        <v>99.539162403279803</v>
      </c>
      <c r="X3" s="18">
        <v>124.24612378321</v>
      </c>
      <c r="Y3" s="18">
        <v>157.249679627212</v>
      </c>
      <c r="Z3" s="18">
        <v>199.01998541223301</v>
      </c>
      <c r="AA3" s="18">
        <v>250.14658815499499</v>
      </c>
      <c r="AB3" s="18">
        <v>316.59314310559398</v>
      </c>
      <c r="AC3" s="18">
        <v>395.175827257283</v>
      </c>
      <c r="AD3" s="333">
        <v>496.69325773983797</v>
      </c>
    </row>
    <row r="4" spans="1:50" ht="14.4">
      <c r="A4" s="331">
        <v>1</v>
      </c>
      <c r="B4" s="332">
        <v>3</v>
      </c>
      <c r="C4" s="18">
        <v>1</v>
      </c>
      <c r="D4" s="18">
        <v>1.2656304666823099</v>
      </c>
      <c r="E4" s="18">
        <v>1.57977700264465</v>
      </c>
      <c r="F4" s="18">
        <v>1.9994139051111299</v>
      </c>
      <c r="G4" s="18">
        <v>2.49569537808491</v>
      </c>
      <c r="H4" s="18">
        <v>3.13681906170895</v>
      </c>
      <c r="I4" s="18">
        <v>3.9426421639050901</v>
      </c>
      <c r="J4" s="18">
        <v>5.0595551832915904</v>
      </c>
      <c r="K4" s="18">
        <v>6.2284954201944096</v>
      </c>
      <c r="L4" s="18">
        <v>7.8285448341957098</v>
      </c>
      <c r="M4" s="18">
        <v>10.0462971141803</v>
      </c>
      <c r="N4" s="18">
        <v>12.453340351057699</v>
      </c>
      <c r="O4" s="18">
        <v>15.652501398276801</v>
      </c>
      <c r="P4" s="18">
        <v>19.810282649446599</v>
      </c>
      <c r="Q4" s="18">
        <v>25.072497274727699</v>
      </c>
      <c r="R4" s="18">
        <v>31.732516426704599</v>
      </c>
      <c r="S4" s="18">
        <v>40.161639574134398</v>
      </c>
      <c r="T4" s="18">
        <v>50.130299686951602</v>
      </c>
      <c r="U4" s="18">
        <v>63.887552190864902</v>
      </c>
      <c r="V4" s="18">
        <v>78.104855652586096</v>
      </c>
      <c r="W4" s="18">
        <v>99.539162403279803</v>
      </c>
      <c r="X4" s="18">
        <v>124.24612378321</v>
      </c>
      <c r="Y4" s="18">
        <v>157.249679627212</v>
      </c>
      <c r="Z4" s="18">
        <v>199.01998541223301</v>
      </c>
      <c r="AA4" s="18">
        <v>250.14658815499499</v>
      </c>
      <c r="AB4" s="18">
        <v>316.59314310559398</v>
      </c>
      <c r="AC4" s="18">
        <v>395.175827257283</v>
      </c>
      <c r="AD4" s="333">
        <v>496.69325773983797</v>
      </c>
    </row>
    <row r="5" spans="1:50" ht="14.4">
      <c r="A5" s="331">
        <v>1</v>
      </c>
      <c r="B5" s="332">
        <v>4</v>
      </c>
      <c r="C5" s="18">
        <v>1</v>
      </c>
      <c r="D5" s="18">
        <v>1.2656304666823099</v>
      </c>
      <c r="E5" s="18">
        <v>1.57977700264465</v>
      </c>
      <c r="F5" s="18">
        <v>1.9994139051111299</v>
      </c>
      <c r="G5" s="18">
        <v>2.49569537808491</v>
      </c>
      <c r="H5" s="18">
        <v>3.13681906170895</v>
      </c>
      <c r="I5" s="18">
        <v>3.9426421639050901</v>
      </c>
      <c r="J5" s="18">
        <v>5.0595551832915904</v>
      </c>
      <c r="K5" s="18">
        <v>6.2284954201944096</v>
      </c>
      <c r="L5" s="18">
        <v>7.8285448341957098</v>
      </c>
      <c r="M5" s="18">
        <v>10.0462971141803</v>
      </c>
      <c r="N5" s="18">
        <v>12.453340351057699</v>
      </c>
      <c r="O5" s="18">
        <v>15.652501398276801</v>
      </c>
      <c r="P5" s="18">
        <v>19.810282649446599</v>
      </c>
      <c r="Q5" s="18">
        <v>25.072497274727699</v>
      </c>
      <c r="R5" s="18">
        <v>31.732516426704599</v>
      </c>
      <c r="S5" s="18">
        <v>40.161639574134398</v>
      </c>
      <c r="T5" s="18">
        <v>50.130299686951602</v>
      </c>
      <c r="U5" s="18">
        <v>63.887552190864902</v>
      </c>
      <c r="V5" s="18">
        <v>78.104855652586096</v>
      </c>
      <c r="W5" s="18">
        <v>99.539162403279803</v>
      </c>
      <c r="X5" s="18">
        <v>124.24612378321</v>
      </c>
      <c r="Y5" s="18">
        <v>157.249679627212</v>
      </c>
      <c r="Z5" s="18">
        <v>199.01998541223301</v>
      </c>
      <c r="AA5" s="18">
        <v>250.14658815499499</v>
      </c>
      <c r="AB5" s="18">
        <v>316.59314310559398</v>
      </c>
      <c r="AC5" s="18">
        <v>395.175827257283</v>
      </c>
      <c r="AD5" s="333">
        <v>496.69325773983797</v>
      </c>
    </row>
    <row r="6" spans="1:50" ht="14.4">
      <c r="A6" s="334">
        <v>1</v>
      </c>
      <c r="B6" s="335">
        <v>5</v>
      </c>
      <c r="C6" s="20">
        <v>1</v>
      </c>
      <c r="D6" s="20">
        <v>1.2656304666823099</v>
      </c>
      <c r="E6" s="20">
        <v>1.57977700264465</v>
      </c>
      <c r="F6" s="20">
        <v>1.9994139051111299</v>
      </c>
      <c r="G6" s="20">
        <v>2.49569537808491</v>
      </c>
      <c r="H6" s="20">
        <v>3.13681906170895</v>
      </c>
      <c r="I6" s="20">
        <v>3.9426421639050901</v>
      </c>
      <c r="J6" s="20">
        <v>5.0595551832915904</v>
      </c>
      <c r="K6" s="20">
        <v>6.2284954201944096</v>
      </c>
      <c r="L6" s="20">
        <v>7.8285448341957098</v>
      </c>
      <c r="M6" s="20">
        <v>10.0462971141803</v>
      </c>
      <c r="N6" s="20">
        <v>12.453340351057699</v>
      </c>
      <c r="O6" s="20">
        <v>15.652501398276801</v>
      </c>
      <c r="P6" s="20">
        <v>19.810282649446599</v>
      </c>
      <c r="Q6" s="20">
        <v>25.072497274727699</v>
      </c>
      <c r="R6" s="20">
        <v>31.732516426704599</v>
      </c>
      <c r="S6" s="20">
        <v>40.161639574134398</v>
      </c>
      <c r="T6" s="20">
        <v>50.130299686951602</v>
      </c>
      <c r="U6" s="20">
        <v>63.887552190864902</v>
      </c>
      <c r="V6" s="20">
        <v>78.104855652586096</v>
      </c>
      <c r="W6" s="20">
        <v>99.539162403279803</v>
      </c>
      <c r="X6" s="20">
        <v>124.24612378321</v>
      </c>
      <c r="Y6" s="20">
        <v>157.249679627212</v>
      </c>
      <c r="Z6" s="20">
        <v>199.01998541223301</v>
      </c>
      <c r="AA6" s="20">
        <v>250.14658815499499</v>
      </c>
      <c r="AB6" s="20">
        <v>316.59314310559398</v>
      </c>
      <c r="AC6" s="20">
        <v>395.175827257283</v>
      </c>
      <c r="AD6" s="336">
        <v>496.69325773983797</v>
      </c>
    </row>
    <row r="7" spans="1:50" ht="14.4">
      <c r="A7" s="199">
        <v>2</v>
      </c>
      <c r="B7" s="200">
        <v>1</v>
      </c>
      <c r="C7" s="337">
        <v>0.99574895943253205</v>
      </c>
      <c r="D7" s="337">
        <v>1.5977736831715299</v>
      </c>
      <c r="E7" s="337">
        <v>2.5097471645417202</v>
      </c>
      <c r="F7" s="337">
        <v>3.9759870240397901</v>
      </c>
      <c r="G7" s="337">
        <v>6.3257217296163297</v>
      </c>
      <c r="H7" s="337">
        <v>9.9787221598385702</v>
      </c>
      <c r="I7" s="337">
        <v>15.8084728153328</v>
      </c>
      <c r="J7" s="337">
        <v>24.9376062903631</v>
      </c>
      <c r="K7" s="337">
        <v>39.506608642469402</v>
      </c>
      <c r="L7" s="337">
        <v>62.587086677696803</v>
      </c>
      <c r="M7" s="337">
        <v>100</v>
      </c>
      <c r="N7" s="338"/>
      <c r="O7" s="326"/>
      <c r="P7" s="326"/>
      <c r="Q7" s="326"/>
      <c r="R7" s="326"/>
      <c r="S7" s="326"/>
      <c r="T7" s="326"/>
      <c r="U7" s="326"/>
      <c r="V7" s="326"/>
      <c r="W7" s="326"/>
      <c r="X7" s="326"/>
      <c r="Y7" s="326"/>
    </row>
    <row r="8" spans="1:50" ht="14.4">
      <c r="A8" s="196">
        <v>2</v>
      </c>
      <c r="B8" s="201">
        <v>2</v>
      </c>
      <c r="C8" s="339">
        <v>0.99574895943253205</v>
      </c>
      <c r="D8" s="339">
        <v>1.5977736831715299</v>
      </c>
      <c r="E8" s="339">
        <v>2.5097471645417202</v>
      </c>
      <c r="F8" s="339">
        <v>3.9759870240397901</v>
      </c>
      <c r="G8" s="339">
        <v>6.3257217296163297</v>
      </c>
      <c r="H8" s="339">
        <v>9.9787221598385702</v>
      </c>
      <c r="I8" s="339">
        <v>15.8084728153328</v>
      </c>
      <c r="J8" s="339">
        <v>24.9376062903631</v>
      </c>
      <c r="K8" s="339">
        <v>39.506608642469402</v>
      </c>
      <c r="L8" s="339">
        <v>62.587086677696803</v>
      </c>
      <c r="M8" s="339">
        <v>100</v>
      </c>
      <c r="N8" s="340"/>
      <c r="O8" s="274"/>
      <c r="P8" s="274"/>
      <c r="Q8" s="274"/>
      <c r="R8" s="274"/>
      <c r="S8" s="274"/>
      <c r="T8" s="274"/>
      <c r="U8" s="274"/>
      <c r="V8" s="274"/>
      <c r="W8" s="274"/>
      <c r="X8" s="274"/>
      <c r="Y8" s="274"/>
    </row>
    <row r="9" spans="1:50" ht="14.4">
      <c r="A9" s="196">
        <v>2</v>
      </c>
      <c r="B9" s="201">
        <v>3</v>
      </c>
      <c r="C9" s="341">
        <v>0.99574895943253205</v>
      </c>
      <c r="D9" s="341">
        <v>1.5977736831715299</v>
      </c>
      <c r="E9" s="341">
        <v>2.5097471645417202</v>
      </c>
      <c r="F9" s="341">
        <v>3.9759870240397901</v>
      </c>
      <c r="G9" s="341">
        <v>6.3257217296163297</v>
      </c>
      <c r="H9" s="341">
        <v>9.9787221598385702</v>
      </c>
      <c r="I9" s="341">
        <v>15.8084728153328</v>
      </c>
      <c r="J9" s="341">
        <v>24.9376062903631</v>
      </c>
      <c r="K9" s="341">
        <v>39.506608642469402</v>
      </c>
      <c r="L9" s="341">
        <v>62.587086677696803</v>
      </c>
      <c r="M9" s="341">
        <v>100</v>
      </c>
      <c r="N9" s="338"/>
      <c r="O9" s="326"/>
      <c r="P9" s="326"/>
      <c r="Q9" s="326"/>
      <c r="R9" s="326"/>
      <c r="S9" s="326"/>
      <c r="T9" s="326"/>
      <c r="U9" s="326"/>
      <c r="V9" s="326"/>
      <c r="W9" s="326"/>
      <c r="X9" s="326"/>
      <c r="Y9" s="326"/>
    </row>
    <row r="10" spans="1:50" ht="14.4">
      <c r="A10" s="196">
        <v>2</v>
      </c>
      <c r="B10" s="201">
        <v>4</v>
      </c>
      <c r="C10" s="339">
        <v>0.99574895943253205</v>
      </c>
      <c r="D10" s="339">
        <v>1.5977736831715299</v>
      </c>
      <c r="E10" s="339">
        <v>2.5097471645417202</v>
      </c>
      <c r="F10" s="339">
        <v>3.9759870240397901</v>
      </c>
      <c r="G10" s="339">
        <v>6.3257217296163297</v>
      </c>
      <c r="H10" s="339">
        <v>9.9787221598385702</v>
      </c>
      <c r="I10" s="339">
        <v>15.8084728153328</v>
      </c>
      <c r="J10" s="339">
        <v>24.9376062903631</v>
      </c>
      <c r="K10" s="339">
        <v>39.506608642469402</v>
      </c>
      <c r="L10" s="339">
        <v>62.587086677696803</v>
      </c>
      <c r="M10" s="339">
        <v>100</v>
      </c>
      <c r="N10" s="340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4"/>
    </row>
    <row r="11" spans="1:50" ht="14.4">
      <c r="A11" s="203">
        <v>3</v>
      </c>
      <c r="B11" s="200">
        <v>1</v>
      </c>
      <c r="C11" s="342">
        <v>0.10346139387845101</v>
      </c>
      <c r="D11" s="342">
        <v>0.15043188637608401</v>
      </c>
      <c r="E11" s="342">
        <v>0.22122162910704399</v>
      </c>
      <c r="F11" s="342">
        <v>0.325323376338084</v>
      </c>
      <c r="G11" s="342">
        <v>0.46240724558247598</v>
      </c>
      <c r="H11" s="342">
        <v>0.71968567300115205</v>
      </c>
      <c r="I11" s="342">
        <v>1</v>
      </c>
      <c r="J11" s="342">
        <v>1.50431886376084</v>
      </c>
      <c r="K11" s="342">
        <v>2.2374518320560699</v>
      </c>
      <c r="L11" s="342">
        <v>3.2532337633808401</v>
      </c>
      <c r="M11" s="342">
        <v>4.6768209011058604</v>
      </c>
      <c r="N11" s="342">
        <v>7.0354299039645598</v>
      </c>
      <c r="O11" s="342">
        <v>10.346139387845099</v>
      </c>
      <c r="P11" s="342">
        <v>15.2147916607627</v>
      </c>
      <c r="Q11" s="342">
        <v>22.1221629107045</v>
      </c>
      <c r="R11" s="342">
        <v>32.532337633808297</v>
      </c>
      <c r="S11" s="342">
        <v>47.301710667332898</v>
      </c>
      <c r="T11" s="342">
        <v>68.776239114488405</v>
      </c>
      <c r="U11" s="342">
        <v>102.29448417865601</v>
      </c>
      <c r="V11" s="342">
        <v>148.735210729351</v>
      </c>
      <c r="W11" s="342">
        <v>218.72653741020599</v>
      </c>
      <c r="X11" s="342">
        <v>329.03445623126601</v>
      </c>
      <c r="Y11" s="130">
        <v>473.01710667332901</v>
      </c>
    </row>
    <row r="12" spans="1:50" ht="14.4">
      <c r="A12" s="204">
        <v>3</v>
      </c>
      <c r="B12" s="201">
        <v>2</v>
      </c>
      <c r="C12" s="343">
        <v>0.10346139387845101</v>
      </c>
      <c r="D12" s="343">
        <v>0.15043188637608401</v>
      </c>
      <c r="E12" s="343">
        <v>0.22122162910704399</v>
      </c>
      <c r="F12" s="343">
        <v>0.325323376338084</v>
      </c>
      <c r="G12" s="343">
        <v>0.46240724558247598</v>
      </c>
      <c r="H12" s="343">
        <v>0.71968567300115205</v>
      </c>
      <c r="I12" s="343">
        <v>1</v>
      </c>
      <c r="J12" s="343">
        <v>1.50431886376084</v>
      </c>
      <c r="K12" s="343">
        <v>2.2374518320560699</v>
      </c>
      <c r="L12" s="343">
        <v>3.2532337633808401</v>
      </c>
      <c r="M12" s="343">
        <v>4.6768209011058604</v>
      </c>
      <c r="N12" s="343">
        <v>7.0354299039645598</v>
      </c>
      <c r="O12" s="343">
        <v>10.346139387845099</v>
      </c>
      <c r="P12" s="343">
        <v>15.2147916607627</v>
      </c>
      <c r="Q12" s="343">
        <v>22.1221629107045</v>
      </c>
      <c r="R12" s="343">
        <v>32.532337633808297</v>
      </c>
      <c r="S12" s="343">
        <v>47.301710667332898</v>
      </c>
      <c r="T12" s="343">
        <v>68.776239114488405</v>
      </c>
      <c r="U12" s="343">
        <v>102.29448417865601</v>
      </c>
      <c r="V12" s="343">
        <v>148.735210729351</v>
      </c>
      <c r="W12" s="343">
        <v>218.72653741020599</v>
      </c>
      <c r="X12" s="343">
        <v>329.03445623126601</v>
      </c>
      <c r="Y12" s="131">
        <v>473.01710667332901</v>
      </c>
    </row>
    <row r="13" spans="1:50" ht="14.4">
      <c r="A13" s="204">
        <v>3</v>
      </c>
      <c r="B13" s="201">
        <v>3</v>
      </c>
      <c r="C13" s="344">
        <v>0.10346139387845101</v>
      </c>
      <c r="D13" s="344">
        <v>0.15043188637608401</v>
      </c>
      <c r="E13" s="344">
        <v>0.22122162910704399</v>
      </c>
      <c r="F13" s="344">
        <v>0.325323376338084</v>
      </c>
      <c r="G13" s="344">
        <v>0.46240724558247598</v>
      </c>
      <c r="H13" s="344">
        <v>0.71968567300115205</v>
      </c>
      <c r="I13" s="344">
        <v>1</v>
      </c>
      <c r="J13" s="344">
        <v>1.50431886376084</v>
      </c>
      <c r="K13" s="344">
        <v>2.2374518320560699</v>
      </c>
      <c r="L13" s="344">
        <v>3.2532337633808401</v>
      </c>
      <c r="M13" s="344">
        <v>4.6768209011058604</v>
      </c>
      <c r="N13" s="344">
        <v>7.0354299039645598</v>
      </c>
      <c r="O13" s="344">
        <v>10.346139387845099</v>
      </c>
      <c r="P13" s="344">
        <v>15.2147916607627</v>
      </c>
      <c r="Q13" s="344">
        <v>22.1221629107045</v>
      </c>
      <c r="R13" s="344">
        <v>32.532337633808297</v>
      </c>
      <c r="S13" s="344">
        <v>47.301710667332898</v>
      </c>
      <c r="T13" s="344">
        <v>68.776239114488405</v>
      </c>
      <c r="U13" s="344">
        <v>102.29448417865601</v>
      </c>
      <c r="V13" s="344">
        <v>148.735210729351</v>
      </c>
      <c r="W13" s="344">
        <v>218.72653741020599</v>
      </c>
      <c r="X13" s="344">
        <v>329.03445623126601</v>
      </c>
      <c r="Y13" s="132">
        <v>473.01710667332901</v>
      </c>
    </row>
    <row r="14" spans="1:50" ht="14.4">
      <c r="A14" s="204">
        <v>3</v>
      </c>
      <c r="B14" s="201">
        <v>4</v>
      </c>
      <c r="C14" s="343">
        <v>0.10346139387845101</v>
      </c>
      <c r="D14" s="343">
        <v>0.15043188637608401</v>
      </c>
      <c r="E14" s="343">
        <v>0.22122162910704399</v>
      </c>
      <c r="F14" s="343">
        <v>0.325323376338084</v>
      </c>
      <c r="G14" s="343">
        <v>0.46240724558247598</v>
      </c>
      <c r="H14" s="343">
        <v>0.71968567300115205</v>
      </c>
      <c r="I14" s="343">
        <v>1</v>
      </c>
      <c r="J14" s="343">
        <v>1.50431886376084</v>
      </c>
      <c r="K14" s="343">
        <v>2.2374518320560699</v>
      </c>
      <c r="L14" s="343">
        <v>3.2532337633808401</v>
      </c>
      <c r="M14" s="343">
        <v>4.6768209011058604</v>
      </c>
      <c r="N14" s="343">
        <v>7.0354299039645598</v>
      </c>
      <c r="O14" s="343">
        <v>10.346139387845099</v>
      </c>
      <c r="P14" s="343">
        <v>15.2147916607627</v>
      </c>
      <c r="Q14" s="343">
        <v>22.1221629107045</v>
      </c>
      <c r="R14" s="343">
        <v>32.532337633808297</v>
      </c>
      <c r="S14" s="343">
        <v>47.301710667332898</v>
      </c>
      <c r="T14" s="343">
        <v>68.776239114488405</v>
      </c>
      <c r="U14" s="343">
        <v>102.29448417865601</v>
      </c>
      <c r="V14" s="343">
        <v>148.735210729351</v>
      </c>
      <c r="W14" s="343">
        <v>218.72653741020599</v>
      </c>
      <c r="X14" s="343">
        <v>329.03445623126601</v>
      </c>
      <c r="Y14" s="131">
        <v>473.01710667332901</v>
      </c>
    </row>
    <row r="15" spans="1:50" ht="14.4">
      <c r="A15" s="203">
        <v>4</v>
      </c>
      <c r="B15" s="200">
        <v>1</v>
      </c>
      <c r="C15" s="393">
        <v>9.7996099776150401E-3</v>
      </c>
      <c r="D15" s="393">
        <v>1.95033803395279E-2</v>
      </c>
      <c r="E15" s="393">
        <v>2.9237084702437001E-2</v>
      </c>
      <c r="F15" s="393">
        <v>3.9210880382297399E-2</v>
      </c>
      <c r="G15" s="393">
        <v>5.8780160722749102E-2</v>
      </c>
      <c r="H15" s="393">
        <v>0.10050734531764299</v>
      </c>
      <c r="I15" s="393">
        <v>0.156893299209549</v>
      </c>
      <c r="J15" s="393">
        <v>0.249920682271629</v>
      </c>
      <c r="K15" s="393">
        <v>0.39409814947923899</v>
      </c>
      <c r="L15" s="393">
        <v>0.62145057388310199</v>
      </c>
      <c r="M15" s="393">
        <v>0.989929794359935</v>
      </c>
      <c r="N15" s="393">
        <v>1.54529353981152</v>
      </c>
      <c r="O15" s="393">
        <v>2.48659121859979</v>
      </c>
      <c r="P15" s="393">
        <v>3.9210880382297399</v>
      </c>
      <c r="Q15" s="393">
        <v>6.2460347427116796</v>
      </c>
      <c r="R15" s="394">
        <v>9.84932783998382</v>
      </c>
      <c r="S15" s="394">
        <v>15.689329920954901</v>
      </c>
      <c r="T15" s="394">
        <v>24.491252116014198</v>
      </c>
      <c r="U15" s="394">
        <v>38.620081577963703</v>
      </c>
      <c r="V15" s="394">
        <v>62.777237075172302</v>
      </c>
      <c r="W15" s="394">
        <v>98.992979435993504</v>
      </c>
      <c r="X15" s="395"/>
      <c r="Y15" s="250"/>
    </row>
    <row r="16" spans="1:50" ht="14.4">
      <c r="A16" s="204">
        <v>4</v>
      </c>
      <c r="B16" s="201">
        <v>2</v>
      </c>
      <c r="C16" s="396">
        <v>9.7996099776150401E-3</v>
      </c>
      <c r="D16" s="396">
        <v>1.95033803395279E-2</v>
      </c>
      <c r="E16" s="396">
        <v>2.9237084702437001E-2</v>
      </c>
      <c r="F16" s="396">
        <v>3.9210880382297399E-2</v>
      </c>
      <c r="G16" s="396">
        <v>5.8780160722749102E-2</v>
      </c>
      <c r="H16" s="396">
        <v>0.10050734531764299</v>
      </c>
      <c r="I16" s="396">
        <v>0.156893299209549</v>
      </c>
      <c r="J16" s="396">
        <v>0.249920682271629</v>
      </c>
      <c r="K16" s="396">
        <v>0.39409814947923899</v>
      </c>
      <c r="L16" s="396">
        <v>0.62145057388310199</v>
      </c>
      <c r="M16" s="396">
        <v>0.989929794359935</v>
      </c>
      <c r="N16" s="396">
        <v>1.54529353981152</v>
      </c>
      <c r="O16" s="396">
        <v>2.48659121859979</v>
      </c>
      <c r="P16" s="396">
        <v>3.9210880382297399</v>
      </c>
      <c r="Q16" s="396">
        <v>6.2460347427116796</v>
      </c>
      <c r="R16" s="397">
        <v>9.84932783998382</v>
      </c>
      <c r="S16" s="397">
        <v>15.689329920954901</v>
      </c>
      <c r="T16" s="397">
        <v>24.491252116014198</v>
      </c>
      <c r="U16" s="397">
        <v>38.620081577963703</v>
      </c>
      <c r="V16" s="397">
        <v>62.777237075172302</v>
      </c>
      <c r="W16" s="397">
        <v>98.992979435993504</v>
      </c>
      <c r="X16" s="340"/>
      <c r="Y16" s="274"/>
    </row>
    <row r="17" spans="1:50" ht="14.4">
      <c r="A17" s="204">
        <v>4</v>
      </c>
      <c r="B17" s="201">
        <v>3</v>
      </c>
      <c r="C17" s="398">
        <v>9.7996099776150401E-3</v>
      </c>
      <c r="D17" s="398">
        <v>1.95033803395279E-2</v>
      </c>
      <c r="E17" s="398">
        <v>2.9237084702437001E-2</v>
      </c>
      <c r="F17" s="398">
        <v>3.9210880382297399E-2</v>
      </c>
      <c r="G17" s="398">
        <v>5.8780160722749102E-2</v>
      </c>
      <c r="H17" s="398">
        <v>0.10050734531764299</v>
      </c>
      <c r="I17" s="398">
        <v>0.156893299209549</v>
      </c>
      <c r="J17" s="398">
        <v>0.249920682271629</v>
      </c>
      <c r="K17" s="398">
        <v>0.39409814947923899</v>
      </c>
      <c r="L17" s="398">
        <v>0.62145057388310199</v>
      </c>
      <c r="M17" s="398">
        <v>0.989929794359935</v>
      </c>
      <c r="N17" s="398">
        <v>1.54529353981152</v>
      </c>
      <c r="O17" s="398">
        <v>2.48659121859979</v>
      </c>
      <c r="P17" s="398">
        <v>3.9210880382297399</v>
      </c>
      <c r="Q17" s="398">
        <v>6.2460347427116796</v>
      </c>
      <c r="R17" s="399">
        <v>9.84932783998382</v>
      </c>
      <c r="S17" s="399">
        <v>15.689329920954901</v>
      </c>
      <c r="T17" s="399">
        <v>24.491252116014198</v>
      </c>
      <c r="U17" s="399">
        <v>38.620081577963703</v>
      </c>
      <c r="V17" s="399">
        <v>62.777237075172302</v>
      </c>
      <c r="W17" s="399">
        <v>98.992979435993504</v>
      </c>
      <c r="X17" s="338"/>
      <c r="Y17" s="326"/>
    </row>
    <row r="18" spans="1:50" ht="14.4">
      <c r="A18" s="203">
        <v>5</v>
      </c>
      <c r="B18" s="200">
        <v>1</v>
      </c>
      <c r="C18" s="349">
        <v>0.1</v>
      </c>
      <c r="D18" s="349">
        <v>0.120177348102179</v>
      </c>
      <c r="E18" s="349">
        <v>0.14442594996872399</v>
      </c>
      <c r="F18" s="349">
        <v>0.17224312920385301</v>
      </c>
      <c r="G18" s="349">
        <v>0.213436304443925</v>
      </c>
      <c r="H18" s="349">
        <v>0.248763775608522</v>
      </c>
      <c r="I18" s="349">
        <v>0.298957708565178</v>
      </c>
      <c r="J18" s="349">
        <v>0.36762936963128101</v>
      </c>
      <c r="K18" s="349">
        <v>0.441807227267633</v>
      </c>
      <c r="L18" s="349">
        <v>0.53503399206054303</v>
      </c>
      <c r="M18" s="349">
        <v>0.63808428501175996</v>
      </c>
      <c r="N18" s="349">
        <v>0.76098259329455098</v>
      </c>
      <c r="O18" s="349">
        <v>0.92155929022937599</v>
      </c>
      <c r="P18" s="349">
        <v>1.1160196473499899</v>
      </c>
      <c r="Q18" s="349">
        <v>1.35151353415493</v>
      </c>
      <c r="R18" s="349">
        <v>1.62421312458944</v>
      </c>
      <c r="S18" s="349">
        <v>1.9669420923252501</v>
      </c>
      <c r="T18" s="349">
        <v>2.3638188452620099</v>
      </c>
      <c r="U18" s="349">
        <v>2.7975955107325299</v>
      </c>
      <c r="V18" s="349">
        <v>3.4402132630397602</v>
      </c>
      <c r="W18" s="349">
        <v>4.0404538926578502</v>
      </c>
      <c r="X18" s="349">
        <v>4.9685606860952198</v>
      </c>
      <c r="Y18" s="349">
        <v>5.9255309755456702</v>
      </c>
      <c r="Z18" s="223">
        <v>7.1758909706655896</v>
      </c>
      <c r="AA18" s="223">
        <v>8.5580044021228598</v>
      </c>
      <c r="AB18" s="223">
        <v>10.363848703103701</v>
      </c>
      <c r="AC18" s="223">
        <v>12.6472343328848</v>
      </c>
      <c r="AD18" s="223">
        <v>15.1991108295293</v>
      </c>
      <c r="AE18" s="223">
        <v>18.265888330039498</v>
      </c>
      <c r="AF18" s="223">
        <v>22.120215670064201</v>
      </c>
      <c r="AG18" s="223">
        <v>26.787853536006899</v>
      </c>
      <c r="AH18" s="223">
        <v>31.9473316166209</v>
      </c>
      <c r="AI18" s="223">
        <v>38.6886119456085</v>
      </c>
      <c r="AJ18" s="223">
        <v>46.852385427368603</v>
      </c>
      <c r="AK18" s="223">
        <v>56.305954329223503</v>
      </c>
      <c r="AL18" s="223">
        <v>68.711404338152903</v>
      </c>
      <c r="AM18" s="223">
        <v>80.084353105042496</v>
      </c>
      <c r="AN18" s="223">
        <v>97.728711517531494</v>
      </c>
      <c r="AO18" s="223">
        <v>115.662587748265</v>
      </c>
      <c r="AP18" s="223">
        <v>143.32412216102901</v>
      </c>
      <c r="AQ18" s="223">
        <v>170.92908370522699</v>
      </c>
      <c r="AR18" s="223">
        <v>206.99722496540099</v>
      </c>
      <c r="AS18" s="293">
        <v>276.91745564046403</v>
      </c>
      <c r="AT18" s="21"/>
      <c r="AU18" s="21"/>
      <c r="AV18" s="21"/>
      <c r="AW18" s="21"/>
      <c r="AX18" s="21"/>
    </row>
    <row r="19" spans="1:50" ht="14.4">
      <c r="A19" s="204">
        <v>5</v>
      </c>
      <c r="B19" s="201">
        <v>2</v>
      </c>
      <c r="C19" s="344">
        <v>0.1</v>
      </c>
      <c r="D19" s="344">
        <v>0.120177348102179</v>
      </c>
      <c r="E19" s="344">
        <v>0.14442594996872399</v>
      </c>
      <c r="F19" s="344">
        <v>0.17224312920385301</v>
      </c>
      <c r="G19" s="344">
        <v>0.213436304443925</v>
      </c>
      <c r="H19" s="344">
        <v>0.248763775608522</v>
      </c>
      <c r="I19" s="344">
        <v>0.298957708565178</v>
      </c>
      <c r="J19" s="344">
        <v>0.36762936963128101</v>
      </c>
      <c r="K19" s="344">
        <v>0.441807227267633</v>
      </c>
      <c r="L19" s="344">
        <v>0.53503399206054303</v>
      </c>
      <c r="M19" s="344">
        <v>0.63808428501175996</v>
      </c>
      <c r="N19" s="344">
        <v>0.76098259329455098</v>
      </c>
      <c r="O19" s="344">
        <v>0.92155929022937599</v>
      </c>
      <c r="P19" s="344">
        <v>1.1160196473499899</v>
      </c>
      <c r="Q19" s="344">
        <v>1.35151353415493</v>
      </c>
      <c r="R19" s="344">
        <v>1.62421312458944</v>
      </c>
      <c r="S19" s="344">
        <v>1.9669420923252501</v>
      </c>
      <c r="T19" s="344">
        <v>2.3638188452620099</v>
      </c>
      <c r="U19" s="344">
        <v>2.7975955107325299</v>
      </c>
      <c r="V19" s="344">
        <v>3.4402132630397602</v>
      </c>
      <c r="W19" s="344">
        <v>4.0404538926578502</v>
      </c>
      <c r="X19" s="344">
        <v>4.9685606860952198</v>
      </c>
      <c r="Y19" s="344">
        <v>5.9255309755456702</v>
      </c>
      <c r="Z19" s="21">
        <v>7.1758909706655896</v>
      </c>
      <c r="AA19" s="21">
        <v>8.5580044021228598</v>
      </c>
      <c r="AB19" s="21">
        <v>10.363848703103701</v>
      </c>
      <c r="AC19" s="21">
        <v>12.6472343328848</v>
      </c>
      <c r="AD19" s="21">
        <v>15.1991108295293</v>
      </c>
      <c r="AE19" s="21">
        <v>18.265888330039498</v>
      </c>
      <c r="AF19" s="21">
        <v>22.120215670064201</v>
      </c>
      <c r="AG19" s="21">
        <v>26.787853536006899</v>
      </c>
      <c r="AH19" s="21">
        <v>31.9473316166209</v>
      </c>
      <c r="AI19" s="21">
        <v>38.6886119456085</v>
      </c>
      <c r="AJ19" s="21">
        <v>46.852385427368603</v>
      </c>
      <c r="AK19" s="21">
        <v>56.305954329223503</v>
      </c>
      <c r="AL19" s="21">
        <v>68.711404338152903</v>
      </c>
      <c r="AM19" s="21">
        <v>80.084353105042496</v>
      </c>
      <c r="AN19" s="21">
        <v>97.728711517531494</v>
      </c>
      <c r="AO19" s="21">
        <v>115.662587748265</v>
      </c>
      <c r="AP19" s="21">
        <v>143.32412216102901</v>
      </c>
      <c r="AQ19" s="21">
        <v>170.92908370522699</v>
      </c>
      <c r="AR19" s="21">
        <v>206.99722496540099</v>
      </c>
      <c r="AS19" s="211">
        <v>276.91745564046403</v>
      </c>
      <c r="AT19" s="21"/>
      <c r="AU19" s="21"/>
      <c r="AV19" s="21"/>
      <c r="AW19" s="21"/>
      <c r="AX19" s="21"/>
    </row>
    <row r="20" spans="1:50" ht="14.4">
      <c r="A20" s="204">
        <v>5</v>
      </c>
      <c r="B20" s="201">
        <v>3</v>
      </c>
      <c r="C20" s="343">
        <v>0.1</v>
      </c>
      <c r="D20" s="343">
        <v>0.120177348102179</v>
      </c>
      <c r="E20" s="343">
        <v>0.14442594996872399</v>
      </c>
      <c r="F20" s="343">
        <v>0.17224312920385301</v>
      </c>
      <c r="G20" s="343">
        <v>0.213436304443925</v>
      </c>
      <c r="H20" s="343">
        <v>0.248763775608522</v>
      </c>
      <c r="I20" s="343">
        <v>0.298957708565178</v>
      </c>
      <c r="J20" s="343">
        <v>0.36762936963128101</v>
      </c>
      <c r="K20" s="343">
        <v>0.441807227267633</v>
      </c>
      <c r="L20" s="343">
        <v>0.53503399206054303</v>
      </c>
      <c r="M20" s="343">
        <v>0.63808428501175996</v>
      </c>
      <c r="N20" s="343">
        <v>0.76098259329455098</v>
      </c>
      <c r="O20" s="343">
        <v>0.92155929022937599</v>
      </c>
      <c r="P20" s="343">
        <v>1.1160196473499899</v>
      </c>
      <c r="Q20" s="343">
        <v>1.35151353415493</v>
      </c>
      <c r="R20" s="343">
        <v>1.62421312458944</v>
      </c>
      <c r="S20" s="343">
        <v>1.9669420923252501</v>
      </c>
      <c r="T20" s="343">
        <v>2.3638188452620099</v>
      </c>
      <c r="U20" s="343">
        <v>2.7975955107325299</v>
      </c>
      <c r="V20" s="343">
        <v>3.4402132630397602</v>
      </c>
      <c r="W20" s="343">
        <v>4.0404538926578502</v>
      </c>
      <c r="X20" s="343">
        <v>4.9685606860952198</v>
      </c>
      <c r="Y20" s="343">
        <v>5.9255309755456702</v>
      </c>
      <c r="Z20" s="21">
        <v>7.1758909706655896</v>
      </c>
      <c r="AA20" s="21">
        <v>8.5580044021228598</v>
      </c>
      <c r="AB20" s="21">
        <v>10.363848703103701</v>
      </c>
      <c r="AC20" s="21">
        <v>12.6472343328848</v>
      </c>
      <c r="AD20" s="21">
        <v>15.1991108295293</v>
      </c>
      <c r="AE20" s="21">
        <v>18.265888330039498</v>
      </c>
      <c r="AF20" s="21">
        <v>22.120215670064201</v>
      </c>
      <c r="AG20" s="21">
        <v>26.787853536006899</v>
      </c>
      <c r="AH20" s="21">
        <v>31.9473316166209</v>
      </c>
      <c r="AI20" s="21">
        <v>38.6886119456085</v>
      </c>
      <c r="AJ20" s="21">
        <v>46.852385427368603</v>
      </c>
      <c r="AK20" s="21">
        <v>56.305954329223503</v>
      </c>
      <c r="AL20" s="21">
        <v>68.711404338152903</v>
      </c>
      <c r="AM20" s="21">
        <v>80.084353105042496</v>
      </c>
      <c r="AN20" s="21">
        <v>97.728711517531494</v>
      </c>
      <c r="AO20" s="21">
        <v>115.662587748265</v>
      </c>
      <c r="AP20" s="21">
        <v>143.32412216102901</v>
      </c>
      <c r="AQ20" s="21">
        <v>170.92908370522699</v>
      </c>
      <c r="AR20" s="21">
        <v>206.99722496540099</v>
      </c>
      <c r="AS20" s="211">
        <v>276.91745564046403</v>
      </c>
      <c r="AT20" s="21"/>
      <c r="AU20" s="21"/>
      <c r="AV20" s="21"/>
      <c r="AW20" s="21"/>
      <c r="AX20" s="21"/>
    </row>
    <row r="21" spans="1:50" ht="15.75" customHeight="1">
      <c r="A21" s="204">
        <v>5</v>
      </c>
      <c r="B21" s="201">
        <v>4</v>
      </c>
      <c r="C21" s="344">
        <v>0.1</v>
      </c>
      <c r="D21" s="344">
        <v>0.120177348102179</v>
      </c>
      <c r="E21" s="344">
        <v>0.14442594996872399</v>
      </c>
      <c r="F21" s="344">
        <v>0.17224312920385301</v>
      </c>
      <c r="G21" s="344">
        <v>0.213436304443925</v>
      </c>
      <c r="H21" s="344">
        <v>0.248763775608522</v>
      </c>
      <c r="I21" s="344">
        <v>0.298957708565178</v>
      </c>
      <c r="J21" s="344">
        <v>0.36762936963128101</v>
      </c>
      <c r="K21" s="344">
        <v>0.441807227267633</v>
      </c>
      <c r="L21" s="344">
        <v>0.53503399206054303</v>
      </c>
      <c r="M21" s="344">
        <v>0.63808428501175996</v>
      </c>
      <c r="N21" s="344">
        <v>0.76098259329455098</v>
      </c>
      <c r="O21" s="344">
        <v>0.92155929022937599</v>
      </c>
      <c r="P21" s="344">
        <v>1.1160196473499899</v>
      </c>
      <c r="Q21" s="344">
        <v>1.35151353415493</v>
      </c>
      <c r="R21" s="344">
        <v>1.62421312458944</v>
      </c>
      <c r="S21" s="344">
        <v>1.9669420923252501</v>
      </c>
      <c r="T21" s="344">
        <v>2.3638188452620099</v>
      </c>
      <c r="U21" s="344">
        <v>2.7975955107325299</v>
      </c>
      <c r="V21" s="344">
        <v>3.4402132630397602</v>
      </c>
      <c r="W21" s="344">
        <v>4.0404538926578502</v>
      </c>
      <c r="X21" s="344">
        <v>4.9685606860952198</v>
      </c>
      <c r="Y21" s="344">
        <v>5.9255309755456702</v>
      </c>
      <c r="Z21" s="21">
        <v>7.1758909706655896</v>
      </c>
      <c r="AA21" s="21">
        <v>8.5580044021228598</v>
      </c>
      <c r="AB21" s="21">
        <v>10.363848703103701</v>
      </c>
      <c r="AC21" s="21">
        <v>12.6472343328848</v>
      </c>
      <c r="AD21" s="21">
        <v>15.1991108295293</v>
      </c>
      <c r="AE21" s="21">
        <v>18.265888330039498</v>
      </c>
      <c r="AF21" s="21">
        <v>22.120215670064201</v>
      </c>
      <c r="AG21" s="21">
        <v>26.787853536006899</v>
      </c>
      <c r="AH21" s="21">
        <v>31.9473316166209</v>
      </c>
      <c r="AI21" s="21">
        <v>38.6886119456085</v>
      </c>
      <c r="AJ21" s="21">
        <v>46.852385427368603</v>
      </c>
      <c r="AK21" s="21">
        <v>56.305954329223503</v>
      </c>
      <c r="AL21" s="21">
        <v>68.711404338152903</v>
      </c>
      <c r="AM21" s="21">
        <v>80.084353105042496</v>
      </c>
      <c r="AN21" s="21">
        <v>97.728711517531494</v>
      </c>
      <c r="AO21" s="21">
        <v>115.662587748265</v>
      </c>
      <c r="AP21" s="21">
        <v>143.32412216102901</v>
      </c>
      <c r="AQ21" s="21">
        <v>170.92908370522699</v>
      </c>
      <c r="AR21" s="21">
        <v>206.99722496540099</v>
      </c>
      <c r="AS21" s="211">
        <v>276.91745564046403</v>
      </c>
      <c r="AT21" s="21"/>
      <c r="AU21" s="21"/>
      <c r="AV21" s="21"/>
      <c r="AW21" s="21"/>
      <c r="AX21" s="21"/>
    </row>
    <row r="22" spans="1:50" ht="15.75" customHeight="1">
      <c r="A22" s="204">
        <v>5</v>
      </c>
      <c r="B22" s="201">
        <v>5</v>
      </c>
      <c r="C22" s="343">
        <v>0.1</v>
      </c>
      <c r="D22" s="343">
        <v>0.120177348102179</v>
      </c>
      <c r="E22" s="343">
        <v>0.14442594996872399</v>
      </c>
      <c r="F22" s="343">
        <v>0.17224312920385301</v>
      </c>
      <c r="G22" s="343">
        <v>0.213436304443925</v>
      </c>
      <c r="H22" s="343">
        <v>0.248763775608522</v>
      </c>
      <c r="I22" s="343">
        <v>0.298957708565178</v>
      </c>
      <c r="J22" s="343">
        <v>0.36762936963128101</v>
      </c>
      <c r="K22" s="343">
        <v>0.441807227267633</v>
      </c>
      <c r="L22" s="343">
        <v>0.53503399206054303</v>
      </c>
      <c r="M22" s="343">
        <v>0.63808428501175996</v>
      </c>
      <c r="N22" s="343">
        <v>0.76098259329455098</v>
      </c>
      <c r="O22" s="343">
        <v>0.92155929022937599</v>
      </c>
      <c r="P22" s="343">
        <v>1.1160196473499899</v>
      </c>
      <c r="Q22" s="343">
        <v>1.35151353415493</v>
      </c>
      <c r="R22" s="343">
        <v>1.62421312458944</v>
      </c>
      <c r="S22" s="343">
        <v>1.9669420923252501</v>
      </c>
      <c r="T22" s="343">
        <v>2.3638188452620099</v>
      </c>
      <c r="U22" s="343">
        <v>2.7975955107325299</v>
      </c>
      <c r="V22" s="343">
        <v>3.4402132630397602</v>
      </c>
      <c r="W22" s="343">
        <v>4.0404538926578502</v>
      </c>
      <c r="X22" s="343">
        <v>4.9685606860952198</v>
      </c>
      <c r="Y22" s="343">
        <v>5.9255309755456702</v>
      </c>
      <c r="Z22" s="21">
        <v>7.1758909706655896</v>
      </c>
      <c r="AA22" s="21">
        <v>8.5580044021228598</v>
      </c>
      <c r="AB22" s="21">
        <v>10.363848703103701</v>
      </c>
      <c r="AC22" s="21">
        <v>12.6472343328848</v>
      </c>
      <c r="AD22" s="21">
        <v>15.1991108295293</v>
      </c>
      <c r="AE22" s="21">
        <v>18.265888330039498</v>
      </c>
      <c r="AF22" s="21">
        <v>22.120215670064201</v>
      </c>
      <c r="AG22" s="21">
        <v>26.787853536006899</v>
      </c>
      <c r="AH22" s="21">
        <v>31.9473316166209</v>
      </c>
      <c r="AI22" s="21">
        <v>38.6886119456085</v>
      </c>
      <c r="AJ22" s="21">
        <v>46.852385427368603</v>
      </c>
      <c r="AK22" s="21">
        <v>56.305954329223503</v>
      </c>
      <c r="AL22" s="21">
        <v>68.711404338152903</v>
      </c>
      <c r="AM22" s="21">
        <v>80.084353105042496</v>
      </c>
      <c r="AN22" s="21">
        <v>97.728711517531494</v>
      </c>
      <c r="AO22" s="21">
        <v>115.662587748265</v>
      </c>
      <c r="AP22" s="21">
        <v>143.32412216102901</v>
      </c>
      <c r="AQ22" s="21">
        <v>170.92908370522699</v>
      </c>
      <c r="AR22" s="21">
        <v>206.99722496540099</v>
      </c>
      <c r="AS22" s="211">
        <v>276.91745564046403</v>
      </c>
      <c r="AT22" s="21"/>
      <c r="AU22" s="21"/>
      <c r="AV22" s="21"/>
      <c r="AW22" s="21"/>
      <c r="AX22" s="21"/>
    </row>
    <row r="23" spans="1:50" ht="15.75" customHeight="1">
      <c r="A23" s="204">
        <v>5</v>
      </c>
      <c r="B23" s="201">
        <v>6</v>
      </c>
      <c r="C23" s="344">
        <v>0.1</v>
      </c>
      <c r="D23" s="344">
        <v>0.120177348102179</v>
      </c>
      <c r="E23" s="344">
        <v>0.14442594996872399</v>
      </c>
      <c r="F23" s="344">
        <v>0.17224312920385301</v>
      </c>
      <c r="G23" s="344">
        <v>0.213436304443925</v>
      </c>
      <c r="H23" s="344">
        <v>0.248763775608522</v>
      </c>
      <c r="I23" s="344">
        <v>0.298957708565178</v>
      </c>
      <c r="J23" s="344">
        <v>0.36762936963128101</v>
      </c>
      <c r="K23" s="344">
        <v>0.441807227267633</v>
      </c>
      <c r="L23" s="344">
        <v>0.53503399206054303</v>
      </c>
      <c r="M23" s="344">
        <v>0.63808428501175996</v>
      </c>
      <c r="N23" s="344">
        <v>0.76098259329455098</v>
      </c>
      <c r="O23" s="344">
        <v>0.92155929022937599</v>
      </c>
      <c r="P23" s="344">
        <v>1.1160196473499899</v>
      </c>
      <c r="Q23" s="344">
        <v>1.35151353415493</v>
      </c>
      <c r="R23" s="344">
        <v>1.62421312458944</v>
      </c>
      <c r="S23" s="344">
        <v>1.9669420923252501</v>
      </c>
      <c r="T23" s="344">
        <v>2.3638188452620099</v>
      </c>
      <c r="U23" s="344">
        <v>2.7975955107325299</v>
      </c>
      <c r="V23" s="344">
        <v>3.4402132630397602</v>
      </c>
      <c r="W23" s="344">
        <v>4.0404538926578502</v>
      </c>
      <c r="X23" s="344">
        <v>4.9685606860952198</v>
      </c>
      <c r="Y23" s="344">
        <v>5.9255309755456702</v>
      </c>
      <c r="Z23" s="23">
        <v>7.1758909706655896</v>
      </c>
      <c r="AA23" s="23">
        <v>8.5580044021228598</v>
      </c>
      <c r="AB23" s="23">
        <v>10.363848703103701</v>
      </c>
      <c r="AC23" s="23">
        <v>12.6472343328848</v>
      </c>
      <c r="AD23" s="23">
        <v>15.1991108295293</v>
      </c>
      <c r="AE23" s="23">
        <v>18.265888330039498</v>
      </c>
      <c r="AF23" s="23">
        <v>22.120215670064201</v>
      </c>
      <c r="AG23" s="23">
        <v>26.787853536006899</v>
      </c>
      <c r="AH23" s="23">
        <v>31.9473316166209</v>
      </c>
      <c r="AI23" s="23">
        <v>38.6886119456085</v>
      </c>
      <c r="AJ23" s="23">
        <v>46.852385427368603</v>
      </c>
      <c r="AK23" s="23">
        <v>56.305954329223503</v>
      </c>
      <c r="AL23" s="23">
        <v>68.711404338152903</v>
      </c>
      <c r="AM23" s="23">
        <v>80.084353105042496</v>
      </c>
      <c r="AN23" s="23">
        <v>97.728711517531494</v>
      </c>
      <c r="AO23" s="23">
        <v>115.662587748265</v>
      </c>
      <c r="AP23" s="23">
        <v>143.32412216102901</v>
      </c>
      <c r="AQ23" s="23">
        <v>170.92908370522699</v>
      </c>
      <c r="AR23" s="23">
        <v>206.99722496540099</v>
      </c>
      <c r="AS23" s="212">
        <v>276.91745564046403</v>
      </c>
      <c r="AT23" s="21"/>
      <c r="AU23" s="21"/>
      <c r="AV23" s="21"/>
      <c r="AW23" s="21"/>
      <c r="AX23" s="21"/>
    </row>
    <row r="24" spans="1:50" ht="15.75" customHeight="1">
      <c r="A24" s="203">
        <v>6</v>
      </c>
      <c r="B24" s="200">
        <v>1</v>
      </c>
      <c r="C24" s="349">
        <v>0.102983099197286</v>
      </c>
      <c r="D24" s="349">
        <v>0.12901443294311599</v>
      </c>
      <c r="E24" s="349">
        <v>0.16644723907633799</v>
      </c>
      <c r="F24" s="349">
        <v>0.218990629460591</v>
      </c>
      <c r="G24" s="349">
        <v>0.27977474632885402</v>
      </c>
      <c r="H24" s="349">
        <v>0.36094980249421399</v>
      </c>
      <c r="I24" s="349">
        <v>0.45218812069842801</v>
      </c>
      <c r="J24" s="349">
        <v>0.60670660559262002</v>
      </c>
      <c r="K24" s="349">
        <v>0.77510707692751502</v>
      </c>
      <c r="L24" s="349">
        <v>0.99024961186350602</v>
      </c>
      <c r="M24" s="349">
        <v>1.2775649214671101</v>
      </c>
      <c r="N24" s="349">
        <v>1.6004986757617301</v>
      </c>
      <c r="O24" s="349">
        <v>2.16855385825095</v>
      </c>
      <c r="P24" s="349">
        <v>2.7977474632885402</v>
      </c>
      <c r="Q24" s="349">
        <v>3.5743040182210501</v>
      </c>
      <c r="R24" s="349">
        <v>4.7026258361351099</v>
      </c>
      <c r="S24" s="349">
        <v>6.1268047805733099</v>
      </c>
      <c r="T24" s="349">
        <v>7.7510707692751497</v>
      </c>
      <c r="U24" s="349">
        <v>10.298309919728601</v>
      </c>
      <c r="V24" s="349">
        <v>13.0284759920612</v>
      </c>
      <c r="W24" s="349">
        <v>16.6447239076338</v>
      </c>
      <c r="X24" s="349">
        <v>21.8990629460591</v>
      </c>
      <c r="Y24" s="349">
        <v>27.704683396135898</v>
      </c>
      <c r="Z24" s="223">
        <v>35.049421245590501</v>
      </c>
      <c r="AA24" s="223">
        <v>45.664054323381599</v>
      </c>
      <c r="AB24" s="223">
        <v>59.493303545235797</v>
      </c>
      <c r="AC24" s="223">
        <v>77.510707692751595</v>
      </c>
      <c r="AD24" s="223">
        <v>99.024961186350595</v>
      </c>
      <c r="AE24" s="223">
        <v>129.01443294311599</v>
      </c>
      <c r="AF24" s="223">
        <v>163.217212856327</v>
      </c>
      <c r="AG24" s="223">
        <v>212.64715391898099</v>
      </c>
      <c r="AH24" s="223">
        <v>277.04683396135903</v>
      </c>
      <c r="AI24" s="223">
        <v>364.50385657304997</v>
      </c>
      <c r="AJ24" s="223">
        <v>465.67734089720898</v>
      </c>
      <c r="AK24" s="293">
        <v>594.93303545235801</v>
      </c>
      <c r="AL24" s="96"/>
      <c r="AM24" s="96"/>
      <c r="AN24" s="96"/>
      <c r="AO24" s="96"/>
      <c r="AP24" s="96"/>
      <c r="AQ24" s="96"/>
      <c r="AR24" s="96"/>
      <c r="AS24" s="96"/>
      <c r="AT24" s="96"/>
    </row>
    <row r="25" spans="1:50" ht="15.75" customHeight="1">
      <c r="A25" s="204">
        <v>6</v>
      </c>
      <c r="B25" s="201">
        <v>2</v>
      </c>
      <c r="C25" s="344">
        <v>0.102983099197286</v>
      </c>
      <c r="D25" s="344">
        <v>0.12901443294311599</v>
      </c>
      <c r="E25" s="344">
        <v>0.16644723907633799</v>
      </c>
      <c r="F25" s="344">
        <v>0.218990629460591</v>
      </c>
      <c r="G25" s="344">
        <v>0.27977474632885402</v>
      </c>
      <c r="H25" s="344">
        <v>0.36094980249421399</v>
      </c>
      <c r="I25" s="344">
        <v>0.45218812069842801</v>
      </c>
      <c r="J25" s="344">
        <v>0.60670660559262002</v>
      </c>
      <c r="K25" s="344">
        <v>0.77510707692751502</v>
      </c>
      <c r="L25" s="344">
        <v>0.99024961186350602</v>
      </c>
      <c r="M25" s="344">
        <v>1.2775649214671101</v>
      </c>
      <c r="N25" s="344">
        <v>1.6004986757617301</v>
      </c>
      <c r="O25" s="344">
        <v>2.16855385825095</v>
      </c>
      <c r="P25" s="344">
        <v>2.7977474632885402</v>
      </c>
      <c r="Q25" s="344">
        <v>3.5743040182210501</v>
      </c>
      <c r="R25" s="344">
        <v>4.7026258361351099</v>
      </c>
      <c r="S25" s="344">
        <v>6.1268047805733099</v>
      </c>
      <c r="T25" s="344">
        <v>7.7510707692751497</v>
      </c>
      <c r="U25" s="344">
        <v>10.298309919728601</v>
      </c>
      <c r="V25" s="344">
        <v>13.0284759920612</v>
      </c>
      <c r="W25" s="344">
        <v>16.6447239076338</v>
      </c>
      <c r="X25" s="344">
        <v>21.8990629460591</v>
      </c>
      <c r="Y25" s="344">
        <v>27.704683396135898</v>
      </c>
      <c r="Z25" s="21">
        <v>35.049421245590501</v>
      </c>
      <c r="AA25" s="21">
        <v>45.664054323381599</v>
      </c>
      <c r="AB25" s="21">
        <v>59.493303545235797</v>
      </c>
      <c r="AC25" s="21">
        <v>77.510707692751595</v>
      </c>
      <c r="AD25" s="21">
        <v>99.024961186350595</v>
      </c>
      <c r="AE25" s="21">
        <v>129.01443294311599</v>
      </c>
      <c r="AF25" s="21">
        <v>163.217212856327</v>
      </c>
      <c r="AG25" s="21">
        <v>212.64715391898099</v>
      </c>
      <c r="AH25" s="21">
        <v>277.04683396135903</v>
      </c>
      <c r="AI25" s="21">
        <v>364.50385657304997</v>
      </c>
      <c r="AJ25" s="21">
        <v>465.67734089720898</v>
      </c>
      <c r="AK25" s="211">
        <v>594.93303545235801</v>
      </c>
    </row>
    <row r="26" spans="1:50" ht="15.75" customHeight="1">
      <c r="A26" s="204">
        <v>6</v>
      </c>
      <c r="B26" s="201">
        <v>3</v>
      </c>
      <c r="C26" s="343">
        <v>0.102983099197286</v>
      </c>
      <c r="D26" s="343">
        <v>0.12901443294311599</v>
      </c>
      <c r="E26" s="343">
        <v>0.16644723907633799</v>
      </c>
      <c r="F26" s="343">
        <v>0.218990629460591</v>
      </c>
      <c r="G26" s="343">
        <v>0.27977474632885402</v>
      </c>
      <c r="H26" s="343">
        <v>0.36094980249421399</v>
      </c>
      <c r="I26" s="343">
        <v>0.45218812069842801</v>
      </c>
      <c r="J26" s="343">
        <v>0.60670660559262002</v>
      </c>
      <c r="K26" s="343">
        <v>0.77510707692751502</v>
      </c>
      <c r="L26" s="343">
        <v>0.99024961186350602</v>
      </c>
      <c r="M26" s="343">
        <v>1.2775649214671101</v>
      </c>
      <c r="N26" s="343">
        <v>1.6004986757617301</v>
      </c>
      <c r="O26" s="343">
        <v>2.16855385825095</v>
      </c>
      <c r="P26" s="343">
        <v>2.7977474632885402</v>
      </c>
      <c r="Q26" s="343">
        <v>3.5743040182210501</v>
      </c>
      <c r="R26" s="343">
        <v>4.7026258361351099</v>
      </c>
      <c r="S26" s="343">
        <v>6.1268047805733099</v>
      </c>
      <c r="T26" s="343">
        <v>7.7510707692751497</v>
      </c>
      <c r="U26" s="343">
        <v>10.298309919728601</v>
      </c>
      <c r="V26" s="343">
        <v>13.0284759920612</v>
      </c>
      <c r="W26" s="343">
        <v>16.6447239076338</v>
      </c>
      <c r="X26" s="343">
        <v>21.8990629460591</v>
      </c>
      <c r="Y26" s="343">
        <v>27.704683396135898</v>
      </c>
      <c r="Z26" s="21">
        <v>35.049421245590501</v>
      </c>
      <c r="AA26" s="21">
        <v>45.664054323381599</v>
      </c>
      <c r="AB26" s="21">
        <v>59.493303545235797</v>
      </c>
      <c r="AC26" s="21">
        <v>77.510707692751595</v>
      </c>
      <c r="AD26" s="21">
        <v>99.024961186350595</v>
      </c>
      <c r="AE26" s="21">
        <v>129.01443294311599</v>
      </c>
      <c r="AF26" s="21">
        <v>163.217212856327</v>
      </c>
      <c r="AG26" s="21">
        <v>212.64715391898099</v>
      </c>
      <c r="AH26" s="21">
        <v>277.04683396135903</v>
      </c>
      <c r="AI26" s="21">
        <v>364.50385657304997</v>
      </c>
      <c r="AJ26" s="21">
        <v>465.67734089720898</v>
      </c>
      <c r="AK26" s="211">
        <v>594.93303545235801</v>
      </c>
    </row>
    <row r="27" spans="1:50" ht="15.75" customHeight="1">
      <c r="A27" s="204">
        <v>6</v>
      </c>
      <c r="B27" s="201">
        <v>4</v>
      </c>
      <c r="C27" s="344">
        <v>0.102983099197286</v>
      </c>
      <c r="D27" s="344">
        <v>0.12901443294311599</v>
      </c>
      <c r="E27" s="344">
        <v>0.16644723907633799</v>
      </c>
      <c r="F27" s="344">
        <v>0.218990629460591</v>
      </c>
      <c r="G27" s="344">
        <v>0.27977474632885402</v>
      </c>
      <c r="H27" s="344">
        <v>0.36094980249421399</v>
      </c>
      <c r="I27" s="344">
        <v>0.45218812069842801</v>
      </c>
      <c r="J27" s="344">
        <v>0.60670660559262002</v>
      </c>
      <c r="K27" s="344">
        <v>0.77510707692751502</v>
      </c>
      <c r="L27" s="344">
        <v>0.99024961186350602</v>
      </c>
      <c r="M27" s="344">
        <v>1.2775649214671101</v>
      </c>
      <c r="N27" s="344">
        <v>1.6004986757617301</v>
      </c>
      <c r="O27" s="344">
        <v>2.16855385825095</v>
      </c>
      <c r="P27" s="344">
        <v>2.7977474632885402</v>
      </c>
      <c r="Q27" s="344">
        <v>3.5743040182210501</v>
      </c>
      <c r="R27" s="344">
        <v>4.7026258361351099</v>
      </c>
      <c r="S27" s="344">
        <v>6.1268047805733099</v>
      </c>
      <c r="T27" s="344">
        <v>7.7510707692751497</v>
      </c>
      <c r="U27" s="344">
        <v>10.298309919728601</v>
      </c>
      <c r="V27" s="344">
        <v>13.0284759920612</v>
      </c>
      <c r="W27" s="344">
        <v>16.6447239076338</v>
      </c>
      <c r="X27" s="344">
        <v>21.8990629460591</v>
      </c>
      <c r="Y27" s="344">
        <v>27.704683396135898</v>
      </c>
      <c r="Z27" s="23">
        <v>35.049421245590501</v>
      </c>
      <c r="AA27" s="23">
        <v>45.664054323381599</v>
      </c>
      <c r="AB27" s="23">
        <v>59.493303545235797</v>
      </c>
      <c r="AC27" s="23">
        <v>77.510707692751595</v>
      </c>
      <c r="AD27" s="23">
        <v>99.024961186350595</v>
      </c>
      <c r="AE27" s="23">
        <v>129.01443294311599</v>
      </c>
      <c r="AF27" s="23">
        <v>163.217212856327</v>
      </c>
      <c r="AG27" s="23">
        <v>212.64715391898099</v>
      </c>
      <c r="AH27" s="23">
        <v>277.04683396135903</v>
      </c>
      <c r="AI27" s="23">
        <v>364.50385657304997</v>
      </c>
      <c r="AJ27" s="23">
        <v>465.67734089720898</v>
      </c>
      <c r="AK27" s="212">
        <v>594.93303545235801</v>
      </c>
    </row>
    <row r="28" spans="1:50" ht="15.75" customHeight="1">
      <c r="A28" s="203">
        <v>7</v>
      </c>
      <c r="B28" s="200">
        <v>1</v>
      </c>
      <c r="C28" s="350">
        <v>7.1068089589057595E-2</v>
      </c>
      <c r="D28" s="350">
        <v>0.1</v>
      </c>
      <c r="E28" s="350">
        <v>0.147049690520796</v>
      </c>
      <c r="F28" s="350">
        <v>0.21152361090237501</v>
      </c>
      <c r="G28" s="350">
        <v>0.31449059016463299</v>
      </c>
      <c r="H28" s="350">
        <v>0.45739043814781299</v>
      </c>
      <c r="I28" s="350">
        <v>0.68004223365473404</v>
      </c>
      <c r="J28" s="350">
        <v>0.98904331302099402</v>
      </c>
      <c r="K28" s="350">
        <v>1.4704969052079599</v>
      </c>
      <c r="L28" s="350">
        <v>2.1386688339895299</v>
      </c>
      <c r="M28" s="350">
        <v>3.1797453764085799</v>
      </c>
      <c r="N28" s="350">
        <v>4.6245743955411998</v>
      </c>
      <c r="O28" s="350">
        <v>6.8757578631978298</v>
      </c>
      <c r="P28" s="350">
        <v>10</v>
      </c>
      <c r="Q28" s="350">
        <v>14.543851309140001</v>
      </c>
      <c r="R28" s="350">
        <v>21.152361090237498</v>
      </c>
      <c r="S28" s="350">
        <v>31.449059016463298</v>
      </c>
      <c r="T28" s="350">
        <v>46.758057353581599</v>
      </c>
      <c r="U28" s="350">
        <v>65.793322465756702</v>
      </c>
      <c r="V28" s="350">
        <v>101.107806587917</v>
      </c>
      <c r="W28" s="350">
        <v>140.71012824213699</v>
      </c>
      <c r="X28" s="350">
        <v>213.86688339895301</v>
      </c>
      <c r="Y28" s="351"/>
    </row>
    <row r="29" spans="1:50" ht="15.75" customHeight="1">
      <c r="A29" s="204">
        <v>7</v>
      </c>
      <c r="B29" s="201">
        <v>2</v>
      </c>
      <c r="C29" s="344">
        <v>0.14543851309139999</v>
      </c>
      <c r="D29" s="344">
        <v>0.32505864635467102</v>
      </c>
      <c r="E29" s="344">
        <v>0.69519279617756002</v>
      </c>
      <c r="F29" s="344">
        <v>1.50325789298109</v>
      </c>
      <c r="G29" s="344">
        <v>3.2149708051674399</v>
      </c>
      <c r="H29" s="344">
        <v>6.9519279617756</v>
      </c>
      <c r="I29" s="344">
        <v>14.543851309140001</v>
      </c>
      <c r="J29" s="344">
        <v>32.149708051674402</v>
      </c>
      <c r="K29" s="344">
        <v>67.259122376807596</v>
      </c>
      <c r="L29" s="344">
        <v>148.678716679898</v>
      </c>
      <c r="M29" s="344">
        <v>314.49059016463298</v>
      </c>
      <c r="N29" s="352"/>
      <c r="O29" s="342"/>
      <c r="P29" s="342"/>
      <c r="Q29" s="342"/>
      <c r="R29" s="342"/>
      <c r="S29" s="342"/>
      <c r="T29" s="342"/>
      <c r="U29" s="342"/>
      <c r="V29" s="342"/>
      <c r="W29" s="342"/>
      <c r="X29" s="342"/>
      <c r="Y29" s="344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</row>
    <row r="30" spans="1:50" ht="15.75" customHeight="1">
      <c r="A30" s="203">
        <v>8</v>
      </c>
      <c r="B30" s="200">
        <v>1</v>
      </c>
      <c r="C30" s="353"/>
      <c r="D30" s="244"/>
      <c r="E30" s="244"/>
      <c r="F30" s="244"/>
      <c r="G30" s="244"/>
      <c r="H30" s="244"/>
      <c r="I30" s="244"/>
      <c r="J30" s="244"/>
      <c r="K30" s="354"/>
      <c r="L30" s="354"/>
      <c r="M30" s="244"/>
      <c r="N30" s="274"/>
      <c r="O30" s="274"/>
      <c r="P30" s="274"/>
      <c r="Q30" s="274"/>
      <c r="R30" s="274"/>
      <c r="S30" s="274"/>
      <c r="T30" s="274"/>
      <c r="U30" s="274"/>
      <c r="V30" s="274"/>
      <c r="W30" s="274"/>
      <c r="X30" s="274"/>
      <c r="Y30" s="274"/>
    </row>
    <row r="31" spans="1:50" ht="15.75" customHeight="1">
      <c r="A31" s="204">
        <v>8</v>
      </c>
      <c r="B31" s="201">
        <v>2</v>
      </c>
      <c r="C31" s="355"/>
      <c r="D31" s="326"/>
      <c r="E31" s="326"/>
      <c r="F31" s="326"/>
      <c r="G31" s="326"/>
      <c r="H31" s="326"/>
      <c r="I31" s="326"/>
      <c r="J31" s="326"/>
      <c r="K31" s="356"/>
      <c r="L31" s="356"/>
      <c r="M31" s="326"/>
      <c r="N31" s="326"/>
      <c r="O31" s="326"/>
      <c r="P31" s="326"/>
      <c r="Q31" s="326"/>
      <c r="R31" s="326"/>
      <c r="S31" s="326"/>
      <c r="T31" s="326"/>
      <c r="U31" s="326"/>
      <c r="V31" s="326"/>
      <c r="W31" s="326"/>
      <c r="X31" s="326"/>
      <c r="Y31" s="326"/>
    </row>
    <row r="32" spans="1:50" ht="15.75" customHeight="1">
      <c r="A32" s="204">
        <v>8</v>
      </c>
      <c r="B32" s="201">
        <v>3</v>
      </c>
      <c r="C32" s="357"/>
      <c r="D32" s="274"/>
      <c r="E32" s="274"/>
      <c r="F32" s="274"/>
      <c r="G32" s="274"/>
      <c r="H32" s="274"/>
      <c r="I32" s="274"/>
      <c r="J32" s="274"/>
      <c r="K32" s="358"/>
      <c r="L32" s="358"/>
      <c r="M32" s="274"/>
      <c r="N32" s="274"/>
      <c r="O32" s="274"/>
      <c r="P32" s="274"/>
      <c r="Q32" s="274"/>
      <c r="R32" s="274"/>
      <c r="S32" s="274"/>
      <c r="T32" s="274"/>
      <c r="U32" s="274"/>
      <c r="V32" s="274"/>
      <c r="W32" s="274"/>
      <c r="X32" s="274"/>
      <c r="Y32" s="274"/>
    </row>
    <row r="33" spans="1:28" ht="15.75" customHeight="1">
      <c r="A33" s="204">
        <v>8</v>
      </c>
      <c r="B33" s="201">
        <v>4</v>
      </c>
      <c r="C33" s="355"/>
      <c r="D33" s="326"/>
      <c r="E33" s="326"/>
      <c r="F33" s="326"/>
      <c r="G33" s="326"/>
      <c r="H33" s="326"/>
      <c r="I33" s="326"/>
      <c r="J33" s="326"/>
      <c r="K33" s="356"/>
      <c r="L33" s="356"/>
      <c r="M33" s="326"/>
      <c r="N33" s="326"/>
      <c r="O33" s="326"/>
      <c r="P33" s="326"/>
      <c r="Q33" s="326"/>
      <c r="R33" s="326"/>
      <c r="S33" s="326"/>
      <c r="T33" s="326"/>
      <c r="U33" s="326"/>
      <c r="V33" s="326"/>
      <c r="W33" s="326"/>
      <c r="X33" s="326"/>
      <c r="Y33" s="326"/>
    </row>
    <row r="34" spans="1:28" ht="15.75" customHeight="1">
      <c r="A34" s="203">
        <v>9</v>
      </c>
      <c r="B34" s="200">
        <v>1</v>
      </c>
      <c r="C34" s="357"/>
      <c r="D34" s="274"/>
      <c r="E34" s="274"/>
      <c r="F34" s="274"/>
      <c r="G34" s="274"/>
      <c r="H34" s="274"/>
      <c r="I34" s="274"/>
      <c r="J34" s="274"/>
      <c r="K34" s="358"/>
      <c r="L34" s="358"/>
      <c r="M34" s="274"/>
      <c r="N34" s="274"/>
      <c r="O34" s="274"/>
      <c r="P34" s="274"/>
      <c r="Q34" s="274"/>
      <c r="R34" s="274"/>
      <c r="S34" s="274"/>
      <c r="T34" s="274"/>
      <c r="U34" s="274"/>
      <c r="V34" s="274"/>
      <c r="W34" s="274"/>
      <c r="X34" s="274"/>
      <c r="Y34" s="274"/>
    </row>
    <row r="35" spans="1:28" ht="15.75" customHeight="1">
      <c r="A35" s="204">
        <v>9</v>
      </c>
      <c r="B35" s="201">
        <v>2</v>
      </c>
      <c r="C35" s="355"/>
      <c r="D35" s="326"/>
      <c r="E35" s="326"/>
      <c r="F35" s="326"/>
      <c r="G35" s="326"/>
      <c r="H35" s="326"/>
      <c r="I35" s="326"/>
      <c r="J35" s="326"/>
      <c r="K35" s="356"/>
      <c r="L35" s="356"/>
      <c r="M35" s="326"/>
      <c r="N35" s="326"/>
      <c r="O35" s="326"/>
      <c r="P35" s="326"/>
      <c r="Q35" s="326"/>
      <c r="R35" s="326"/>
      <c r="S35" s="326"/>
      <c r="T35" s="326"/>
      <c r="U35" s="326"/>
      <c r="V35" s="326"/>
      <c r="W35" s="326"/>
      <c r="X35" s="326"/>
      <c r="Y35" s="326"/>
    </row>
    <row r="36" spans="1:28" ht="15.75" customHeight="1">
      <c r="A36" s="204">
        <v>9</v>
      </c>
      <c r="B36" s="201">
        <v>3</v>
      </c>
      <c r="C36" s="357"/>
      <c r="D36" s="274"/>
      <c r="E36" s="274"/>
      <c r="F36" s="274"/>
      <c r="G36" s="274"/>
      <c r="H36" s="274"/>
      <c r="I36" s="274"/>
      <c r="J36" s="274"/>
      <c r="K36" s="358"/>
      <c r="L36" s="358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</row>
    <row r="37" spans="1:28" ht="15.75" customHeight="1">
      <c r="A37" s="204">
        <v>9</v>
      </c>
      <c r="B37" s="201">
        <v>4</v>
      </c>
      <c r="C37" s="355"/>
      <c r="D37" s="326"/>
      <c r="E37" s="326"/>
      <c r="F37" s="326"/>
      <c r="G37" s="326"/>
      <c r="H37" s="326"/>
      <c r="I37" s="326"/>
      <c r="J37" s="326"/>
      <c r="K37" s="356"/>
      <c r="L37" s="356"/>
      <c r="M37" s="326"/>
      <c r="N37" s="326"/>
      <c r="O37" s="326"/>
      <c r="P37" s="326"/>
      <c r="Q37" s="326"/>
      <c r="R37" s="326"/>
      <c r="S37" s="326"/>
      <c r="T37" s="326"/>
      <c r="U37" s="326"/>
      <c r="V37" s="326"/>
      <c r="W37" s="326"/>
      <c r="X37" s="326"/>
      <c r="Y37" s="326"/>
    </row>
    <row r="38" spans="1:28" ht="15.75" customHeight="1">
      <c r="A38" s="203">
        <v>11</v>
      </c>
      <c r="B38" s="200" t="s">
        <v>221</v>
      </c>
      <c r="C38" s="400">
        <v>1</v>
      </c>
      <c r="D38" s="245">
        <v>10</v>
      </c>
      <c r="E38" s="245">
        <v>20</v>
      </c>
      <c r="F38" s="245">
        <v>30</v>
      </c>
      <c r="G38" s="245">
        <v>40</v>
      </c>
      <c r="H38" s="245">
        <v>50</v>
      </c>
      <c r="I38" s="245">
        <v>60</v>
      </c>
      <c r="J38" s="245">
        <v>70</v>
      </c>
      <c r="K38" s="245">
        <v>80</v>
      </c>
      <c r="L38" s="245">
        <v>90</v>
      </c>
      <c r="M38" s="245">
        <v>100</v>
      </c>
      <c r="N38" s="340"/>
      <c r="O38" s="274"/>
      <c r="P38" s="274"/>
      <c r="Q38" s="274"/>
      <c r="R38" s="274"/>
      <c r="S38" s="274"/>
      <c r="T38" s="274"/>
      <c r="U38" s="274"/>
      <c r="V38" s="274"/>
      <c r="W38" s="274"/>
      <c r="X38" s="274"/>
      <c r="Y38" s="274"/>
    </row>
    <row r="39" spans="1:28" ht="15.75" customHeight="1">
      <c r="A39" s="204">
        <v>11</v>
      </c>
      <c r="B39" s="201" t="s">
        <v>222</v>
      </c>
      <c r="C39" s="401">
        <v>1</v>
      </c>
      <c r="D39" s="268">
        <v>10</v>
      </c>
      <c r="E39" s="268">
        <v>20</v>
      </c>
      <c r="F39" s="268">
        <v>30</v>
      </c>
      <c r="G39" s="268">
        <v>40</v>
      </c>
      <c r="H39" s="268">
        <v>50</v>
      </c>
      <c r="I39" s="268">
        <v>60</v>
      </c>
      <c r="J39" s="268">
        <v>70</v>
      </c>
      <c r="K39" s="268">
        <v>80</v>
      </c>
      <c r="L39" s="268">
        <v>90</v>
      </c>
      <c r="M39" s="268">
        <v>100</v>
      </c>
      <c r="N39" s="338"/>
      <c r="O39" s="326"/>
      <c r="P39" s="326"/>
      <c r="Q39" s="326"/>
      <c r="R39" s="326"/>
      <c r="S39" s="326"/>
      <c r="T39" s="326"/>
      <c r="U39" s="326"/>
      <c r="V39" s="326"/>
      <c r="W39" s="326"/>
      <c r="X39" s="326"/>
      <c r="Y39" s="326"/>
    </row>
    <row r="40" spans="1:28" ht="15.75" customHeight="1">
      <c r="A40" s="204">
        <v>11</v>
      </c>
      <c r="B40" s="201" t="s">
        <v>223</v>
      </c>
      <c r="C40" s="402">
        <v>1</v>
      </c>
      <c r="D40" s="267">
        <v>10</v>
      </c>
      <c r="E40" s="267">
        <v>20</v>
      </c>
      <c r="F40" s="267">
        <v>30</v>
      </c>
      <c r="G40" s="267">
        <v>40</v>
      </c>
      <c r="H40" s="267">
        <v>50</v>
      </c>
      <c r="I40" s="267">
        <v>60</v>
      </c>
      <c r="J40" s="267">
        <v>70</v>
      </c>
      <c r="K40" s="267">
        <v>80</v>
      </c>
      <c r="L40" s="267">
        <v>90</v>
      </c>
      <c r="M40" s="267">
        <v>100</v>
      </c>
      <c r="N40" s="340"/>
      <c r="O40" s="274"/>
      <c r="P40" s="274"/>
      <c r="Q40" s="274"/>
      <c r="R40" s="274"/>
      <c r="S40" s="274"/>
      <c r="T40" s="274"/>
      <c r="U40" s="274"/>
      <c r="V40" s="274"/>
      <c r="W40" s="274"/>
      <c r="X40" s="274"/>
      <c r="Y40" s="274"/>
    </row>
    <row r="41" spans="1:28" ht="15.75" customHeight="1">
      <c r="A41" s="403">
        <v>11</v>
      </c>
      <c r="B41" s="201" t="s">
        <v>224</v>
      </c>
      <c r="C41" s="401">
        <v>1</v>
      </c>
      <c r="D41" s="268">
        <v>10</v>
      </c>
      <c r="E41" s="268">
        <v>20</v>
      </c>
      <c r="F41" s="268">
        <v>30</v>
      </c>
      <c r="G41" s="268">
        <v>40</v>
      </c>
      <c r="H41" s="268">
        <v>50</v>
      </c>
      <c r="I41" s="268">
        <v>60</v>
      </c>
      <c r="J41" s="268">
        <v>70</v>
      </c>
      <c r="K41" s="268">
        <v>80</v>
      </c>
      <c r="L41" s="268">
        <v>90</v>
      </c>
      <c r="M41" s="268">
        <v>100</v>
      </c>
      <c r="N41" s="338"/>
      <c r="O41" s="326"/>
      <c r="P41" s="326"/>
      <c r="Q41" s="326"/>
      <c r="R41" s="326"/>
      <c r="S41" s="326"/>
      <c r="T41" s="326"/>
      <c r="U41" s="326"/>
      <c r="V41" s="326"/>
      <c r="W41" s="326"/>
      <c r="X41" s="326"/>
      <c r="Y41" s="326"/>
    </row>
    <row r="42" spans="1:28" ht="15.75" customHeight="1">
      <c r="A42" s="203">
        <v>11</v>
      </c>
      <c r="B42" s="200" t="s">
        <v>225</v>
      </c>
      <c r="C42" s="353"/>
      <c r="D42" s="244"/>
      <c r="E42" s="244"/>
      <c r="F42" s="244"/>
      <c r="G42" s="244"/>
      <c r="H42" s="244"/>
      <c r="I42" s="244"/>
      <c r="J42" s="244"/>
      <c r="K42" s="244"/>
      <c r="L42" s="244"/>
      <c r="M42" s="244"/>
      <c r="N42" s="274"/>
      <c r="O42" s="274"/>
      <c r="P42" s="274"/>
      <c r="Q42" s="274"/>
      <c r="R42" s="274"/>
      <c r="S42" s="274"/>
      <c r="T42" s="274"/>
      <c r="U42" s="274"/>
      <c r="V42" s="274"/>
      <c r="W42" s="274"/>
      <c r="X42" s="274"/>
      <c r="Y42" s="274"/>
    </row>
    <row r="43" spans="1:28" ht="15.75" customHeight="1">
      <c r="A43" s="204">
        <v>11</v>
      </c>
      <c r="B43" s="201" t="s">
        <v>226</v>
      </c>
      <c r="C43" s="355"/>
      <c r="D43" s="326"/>
      <c r="E43" s="326"/>
      <c r="F43" s="326"/>
      <c r="G43" s="326"/>
      <c r="H43" s="326"/>
      <c r="I43" s="326"/>
      <c r="J43" s="326"/>
      <c r="K43" s="326"/>
      <c r="L43" s="326"/>
      <c r="M43" s="326"/>
      <c r="N43" s="326"/>
      <c r="O43" s="326"/>
      <c r="P43" s="326"/>
      <c r="Q43" s="326"/>
      <c r="R43" s="326"/>
      <c r="S43" s="326"/>
      <c r="T43" s="326"/>
      <c r="U43" s="326"/>
      <c r="V43" s="326"/>
      <c r="W43" s="326"/>
      <c r="X43" s="326"/>
      <c r="Y43" s="326"/>
    </row>
    <row r="44" spans="1:28" ht="15.75" customHeight="1">
      <c r="A44" s="204">
        <v>11</v>
      </c>
      <c r="B44" s="201" t="s">
        <v>227</v>
      </c>
      <c r="C44" s="357"/>
      <c r="D44" s="274"/>
      <c r="E44" s="274"/>
      <c r="F44" s="274"/>
      <c r="G44" s="274"/>
      <c r="H44" s="274"/>
      <c r="I44" s="274"/>
      <c r="J44" s="274"/>
      <c r="K44" s="274"/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</row>
    <row r="45" spans="1:28" ht="15.75" customHeight="1">
      <c r="A45" s="204">
        <v>11</v>
      </c>
      <c r="B45" s="201" t="s">
        <v>228</v>
      </c>
      <c r="C45" s="355"/>
      <c r="D45" s="326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6"/>
      <c r="P45" s="326"/>
      <c r="Q45" s="326"/>
      <c r="R45" s="326"/>
      <c r="S45" s="326"/>
      <c r="T45" s="326"/>
      <c r="U45" s="326"/>
      <c r="V45" s="326"/>
      <c r="W45" s="326"/>
      <c r="X45" s="326"/>
      <c r="Y45" s="326"/>
      <c r="Z45" s="2"/>
      <c r="AA45" s="2"/>
    </row>
    <row r="46" spans="1:28" ht="15.75" customHeight="1">
      <c r="A46" s="199">
        <v>12</v>
      </c>
      <c r="B46" s="200" t="s">
        <v>221</v>
      </c>
      <c r="C46" s="350">
        <v>1.01690230953915E-2</v>
      </c>
      <c r="D46" s="350">
        <v>1.47036404358208E-2</v>
      </c>
      <c r="E46" s="350">
        <v>2.0732486243725999E-2</v>
      </c>
      <c r="F46" s="350">
        <v>3.1523541691542402E-2</v>
      </c>
      <c r="G46" s="350">
        <v>4.6351111866184097E-2</v>
      </c>
      <c r="H46" s="350">
        <v>6.8153008268088205E-2</v>
      </c>
      <c r="I46" s="350">
        <v>9.93734316165239E-2</v>
      </c>
      <c r="J46" s="350">
        <v>0.14611512073630001</v>
      </c>
      <c r="K46" s="350">
        <v>0.211271444404206</v>
      </c>
      <c r="L46" s="350">
        <v>0.31326025145951297</v>
      </c>
      <c r="M46" s="350">
        <v>0.46448295661164102</v>
      </c>
      <c r="N46" s="350">
        <v>0.68295947493800302</v>
      </c>
      <c r="O46" s="350">
        <v>0.99581850316337595</v>
      </c>
      <c r="P46" s="350">
        <v>1.4398775290807899</v>
      </c>
      <c r="Q46" s="350">
        <v>2.1529301481842098</v>
      </c>
      <c r="R46" s="350">
        <v>3.1391726101680102</v>
      </c>
      <c r="S46" s="350">
        <v>4.7332503557851897</v>
      </c>
      <c r="T46" s="350">
        <v>6.78679832852636</v>
      </c>
      <c r="U46" s="350">
        <v>10.063058335878001</v>
      </c>
      <c r="V46" s="350">
        <v>14.4289742481771</v>
      </c>
      <c r="W46" s="350">
        <v>21.394419365016802</v>
      </c>
      <c r="X46" s="350">
        <v>31.195055416801299</v>
      </c>
      <c r="Y46" s="350">
        <v>46.643334617315801</v>
      </c>
      <c r="Z46" s="224">
        <v>68.582725945387807</v>
      </c>
      <c r="AA46" s="304">
        <v>99.1653857185551</v>
      </c>
      <c r="AB46" s="2"/>
    </row>
    <row r="47" spans="1:28" ht="15.75" customHeight="1">
      <c r="A47" s="196">
        <v>12</v>
      </c>
      <c r="B47" s="201" t="s">
        <v>222</v>
      </c>
      <c r="C47" s="375">
        <v>1.01690230953915E-2</v>
      </c>
      <c r="D47" s="375">
        <v>1.47036404358208E-2</v>
      </c>
      <c r="E47" s="375">
        <v>2.0732486243725999E-2</v>
      </c>
      <c r="F47" s="375">
        <v>3.1523541691542402E-2</v>
      </c>
      <c r="G47" s="375">
        <v>4.6351111866184097E-2</v>
      </c>
      <c r="H47" s="375">
        <v>6.8153008268088205E-2</v>
      </c>
      <c r="I47" s="375">
        <v>9.93734316165239E-2</v>
      </c>
      <c r="J47" s="375">
        <v>0.14611512073630001</v>
      </c>
      <c r="K47" s="375">
        <v>0.211271444404206</v>
      </c>
      <c r="L47" s="375">
        <v>0.31326025145951297</v>
      </c>
      <c r="M47" s="375">
        <v>0.46448295661164102</v>
      </c>
      <c r="N47" s="375">
        <v>0.68295947493800302</v>
      </c>
      <c r="O47" s="375">
        <v>0.99581850316337595</v>
      </c>
      <c r="P47" s="375">
        <v>1.4398775290807899</v>
      </c>
      <c r="Q47" s="375">
        <v>2.1529301481842098</v>
      </c>
      <c r="R47" s="375">
        <v>3.1391726101680102</v>
      </c>
      <c r="S47" s="375">
        <v>4.7332503557851897</v>
      </c>
      <c r="T47" s="375">
        <v>6.78679832852636</v>
      </c>
      <c r="U47" s="375">
        <v>10.063058335878001</v>
      </c>
      <c r="V47" s="375">
        <v>14.4289742481771</v>
      </c>
      <c r="W47" s="375">
        <v>21.394419365016802</v>
      </c>
      <c r="X47" s="375">
        <v>31.195055416801299</v>
      </c>
      <c r="Y47" s="375">
        <v>46.643334617315801</v>
      </c>
      <c r="Z47" s="24">
        <v>68.582725945387807</v>
      </c>
      <c r="AA47" s="302">
        <v>99.1653857185551</v>
      </c>
      <c r="AB47" s="2"/>
    </row>
    <row r="48" spans="1:28" ht="15.75" customHeight="1">
      <c r="A48" s="196">
        <v>12</v>
      </c>
      <c r="B48" s="201" t="s">
        <v>223</v>
      </c>
      <c r="C48" s="366">
        <v>1.01690230953915E-2</v>
      </c>
      <c r="D48" s="366">
        <v>1.47036404358208E-2</v>
      </c>
      <c r="E48" s="366">
        <v>2.0732486243725999E-2</v>
      </c>
      <c r="F48" s="366">
        <v>3.1523541691542402E-2</v>
      </c>
      <c r="G48" s="366">
        <v>4.6351111866184097E-2</v>
      </c>
      <c r="H48" s="366">
        <v>6.8153008268088205E-2</v>
      </c>
      <c r="I48" s="366">
        <v>9.93734316165239E-2</v>
      </c>
      <c r="J48" s="366">
        <v>0.14611512073630001</v>
      </c>
      <c r="K48" s="366">
        <v>0.211271444404206</v>
      </c>
      <c r="L48" s="366">
        <v>0.31326025145951297</v>
      </c>
      <c r="M48" s="366">
        <v>0.46448295661164102</v>
      </c>
      <c r="N48" s="366">
        <v>0.68295947493800302</v>
      </c>
      <c r="O48" s="366">
        <v>0.99581850316337595</v>
      </c>
      <c r="P48" s="366">
        <v>1.4398775290807899</v>
      </c>
      <c r="Q48" s="366">
        <v>2.1529301481842098</v>
      </c>
      <c r="R48" s="366">
        <v>3.1391726101680102</v>
      </c>
      <c r="S48" s="366">
        <v>4.7332503557851897</v>
      </c>
      <c r="T48" s="366">
        <v>6.78679832852636</v>
      </c>
      <c r="U48" s="366">
        <v>10.063058335878001</v>
      </c>
      <c r="V48" s="366">
        <v>14.4289742481771</v>
      </c>
      <c r="W48" s="366">
        <v>21.394419365016802</v>
      </c>
      <c r="X48" s="366">
        <v>31.195055416801299</v>
      </c>
      <c r="Y48" s="366">
        <v>46.643334617315801</v>
      </c>
      <c r="Z48" s="24">
        <v>68.582725945387807</v>
      </c>
      <c r="AA48" s="302">
        <v>99.1653857185551</v>
      </c>
      <c r="AB48" s="2"/>
    </row>
    <row r="49" spans="1:45" ht="15.75" customHeight="1">
      <c r="A49" s="196">
        <v>12</v>
      </c>
      <c r="B49" s="201" t="s">
        <v>224</v>
      </c>
      <c r="C49" s="375">
        <v>1.01690230953915E-2</v>
      </c>
      <c r="D49" s="375">
        <v>1.47036404358208E-2</v>
      </c>
      <c r="E49" s="375">
        <v>2.0732486243725999E-2</v>
      </c>
      <c r="F49" s="375">
        <v>3.1523541691542402E-2</v>
      </c>
      <c r="G49" s="375">
        <v>4.6351111866184097E-2</v>
      </c>
      <c r="H49" s="375">
        <v>6.8153008268088205E-2</v>
      </c>
      <c r="I49" s="375">
        <v>9.93734316165239E-2</v>
      </c>
      <c r="J49" s="375">
        <v>0.14611512073630001</v>
      </c>
      <c r="K49" s="375">
        <v>0.211271444404206</v>
      </c>
      <c r="L49" s="375">
        <v>0.31326025145951297</v>
      </c>
      <c r="M49" s="375">
        <v>0.46448295661164102</v>
      </c>
      <c r="N49" s="375">
        <v>0.68295947493800302</v>
      </c>
      <c r="O49" s="375">
        <v>0.99581850316337595</v>
      </c>
      <c r="P49" s="375">
        <v>1.4398775290807899</v>
      </c>
      <c r="Q49" s="375">
        <v>2.1529301481842098</v>
      </c>
      <c r="R49" s="375">
        <v>3.1391726101680102</v>
      </c>
      <c r="S49" s="375">
        <v>4.7332503557851897</v>
      </c>
      <c r="T49" s="375">
        <v>6.78679832852636</v>
      </c>
      <c r="U49" s="375">
        <v>10.063058335878001</v>
      </c>
      <c r="V49" s="375">
        <v>14.4289742481771</v>
      </c>
      <c r="W49" s="375">
        <v>21.394419365016802</v>
      </c>
      <c r="X49" s="375">
        <v>31.195055416801299</v>
      </c>
      <c r="Y49" s="375">
        <v>46.643334617315801</v>
      </c>
      <c r="Z49" s="24">
        <v>68.582725945387807</v>
      </c>
      <c r="AA49" s="302">
        <v>99.1653857185551</v>
      </c>
      <c r="AB49" s="2"/>
    </row>
    <row r="50" spans="1:45" ht="15.75" customHeight="1">
      <c r="A50" s="196">
        <v>12</v>
      </c>
      <c r="B50" s="201" t="s">
        <v>229</v>
      </c>
      <c r="C50" s="366">
        <v>1.01690230953915E-2</v>
      </c>
      <c r="D50" s="366">
        <v>1.47036404358208E-2</v>
      </c>
      <c r="E50" s="366">
        <v>2.0732486243725999E-2</v>
      </c>
      <c r="F50" s="366">
        <v>3.1523541691542402E-2</v>
      </c>
      <c r="G50" s="366">
        <v>4.6351111866184097E-2</v>
      </c>
      <c r="H50" s="366">
        <v>6.8153008268088205E-2</v>
      </c>
      <c r="I50" s="366">
        <v>9.93734316165239E-2</v>
      </c>
      <c r="J50" s="366">
        <v>0.14611512073630001</v>
      </c>
      <c r="K50" s="366">
        <v>0.211271444404206</v>
      </c>
      <c r="L50" s="366">
        <v>0.31326025145951297</v>
      </c>
      <c r="M50" s="366">
        <v>0.46448295661164102</v>
      </c>
      <c r="N50" s="366">
        <v>0.68295947493800302</v>
      </c>
      <c r="O50" s="366">
        <v>0.99581850316337595</v>
      </c>
      <c r="P50" s="366">
        <v>1.4398775290807899</v>
      </c>
      <c r="Q50" s="366">
        <v>2.1529301481842098</v>
      </c>
      <c r="R50" s="366">
        <v>3.1391726101680102</v>
      </c>
      <c r="S50" s="366">
        <v>4.7332503557851897</v>
      </c>
      <c r="T50" s="366">
        <v>6.78679832852636</v>
      </c>
      <c r="U50" s="366">
        <v>10.063058335878001</v>
      </c>
      <c r="V50" s="366">
        <v>14.4289742481771</v>
      </c>
      <c r="W50" s="366">
        <v>21.394419365016802</v>
      </c>
      <c r="X50" s="366">
        <v>31.195055416801299</v>
      </c>
      <c r="Y50" s="366">
        <v>46.643334617315801</v>
      </c>
      <c r="Z50" s="31">
        <v>68.582725945387807</v>
      </c>
      <c r="AA50" s="305">
        <v>99.1653857185551</v>
      </c>
      <c r="AB50" s="2"/>
    </row>
    <row r="51" spans="1:45" ht="15.75" customHeight="1">
      <c r="A51" s="203">
        <v>12</v>
      </c>
      <c r="B51" s="200" t="s">
        <v>225</v>
      </c>
      <c r="C51" s="374"/>
      <c r="D51" s="250"/>
      <c r="E51" s="250"/>
      <c r="F51" s="250"/>
      <c r="G51" s="250"/>
      <c r="H51" s="250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Y51" s="250"/>
      <c r="Z51" s="2"/>
      <c r="AA51" s="2"/>
    </row>
    <row r="52" spans="1:45" ht="15.75" customHeight="1">
      <c r="A52" s="204">
        <v>12</v>
      </c>
      <c r="B52" s="201" t="s">
        <v>226</v>
      </c>
      <c r="C52" s="259"/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</row>
    <row r="53" spans="1:45" ht="15.75" customHeight="1">
      <c r="A53" s="204">
        <v>12</v>
      </c>
      <c r="B53" s="201" t="s">
        <v>227</v>
      </c>
      <c r="C53" s="369"/>
      <c r="D53" s="326"/>
      <c r="E53" s="326"/>
      <c r="F53" s="326"/>
      <c r="G53" s="326"/>
      <c r="H53" s="326"/>
      <c r="I53" s="326"/>
      <c r="J53" s="326"/>
      <c r="K53" s="326"/>
      <c r="L53" s="326"/>
      <c r="M53" s="326"/>
      <c r="N53" s="326"/>
      <c r="O53" s="326"/>
      <c r="P53" s="326"/>
      <c r="Q53" s="326"/>
      <c r="R53" s="326"/>
      <c r="S53" s="326"/>
      <c r="T53" s="326"/>
      <c r="U53" s="326"/>
      <c r="V53" s="326"/>
      <c r="W53" s="326"/>
      <c r="X53" s="326"/>
      <c r="Y53" s="326"/>
    </row>
    <row r="54" spans="1:45" ht="15.75" customHeight="1">
      <c r="A54" s="204">
        <v>12</v>
      </c>
      <c r="B54" s="201" t="s">
        <v>228</v>
      </c>
      <c r="C54" s="259"/>
      <c r="D54" s="274"/>
      <c r="E54" s="274"/>
      <c r="F54" s="274"/>
      <c r="G54" s="274"/>
      <c r="H54" s="274"/>
      <c r="I54" s="274"/>
      <c r="J54" s="274"/>
      <c r="K54" s="274"/>
      <c r="L54" s="274"/>
      <c r="M54" s="274"/>
      <c r="N54" s="274"/>
      <c r="O54" s="274"/>
      <c r="P54" s="274"/>
      <c r="Q54" s="274"/>
      <c r="R54" s="274"/>
      <c r="S54" s="274"/>
      <c r="T54" s="274"/>
      <c r="U54" s="274"/>
      <c r="V54" s="274"/>
      <c r="W54" s="274"/>
      <c r="X54" s="274"/>
      <c r="Y54" s="274"/>
    </row>
    <row r="55" spans="1:45" ht="15.75" customHeight="1">
      <c r="A55" s="204">
        <v>12</v>
      </c>
      <c r="B55" s="201" t="s">
        <v>230</v>
      </c>
      <c r="C55" s="369"/>
      <c r="D55" s="326"/>
      <c r="E55" s="326"/>
      <c r="F55" s="326"/>
      <c r="G55" s="326"/>
      <c r="H55" s="326"/>
      <c r="I55" s="326"/>
      <c r="J55" s="326"/>
      <c r="K55" s="326"/>
      <c r="L55" s="326"/>
      <c r="M55" s="326"/>
      <c r="N55" s="326"/>
      <c r="O55" s="326"/>
      <c r="P55" s="326"/>
      <c r="Q55" s="326"/>
      <c r="R55" s="326"/>
      <c r="S55" s="326"/>
      <c r="T55" s="326"/>
      <c r="U55" s="326"/>
      <c r="V55" s="326"/>
      <c r="W55" s="326"/>
      <c r="X55" s="326"/>
      <c r="Y55" s="326"/>
    </row>
    <row r="56" spans="1:45" ht="15.75" customHeight="1">
      <c r="A56" s="203">
        <v>13</v>
      </c>
      <c r="B56" s="200">
        <v>1</v>
      </c>
      <c r="C56" s="349">
        <v>0.51553025672583197</v>
      </c>
      <c r="D56" s="349">
        <v>0.574760139586875</v>
      </c>
      <c r="E56" s="349">
        <v>0.64736193128836494</v>
      </c>
      <c r="F56" s="349">
        <v>0.72913454016248402</v>
      </c>
      <c r="G56" s="349">
        <v>0.81567321766900003</v>
      </c>
      <c r="H56" s="349">
        <v>0.91248266109909704</v>
      </c>
      <c r="I56" s="349">
        <v>1.03475428361372</v>
      </c>
      <c r="J56" s="349">
        <v>1.16546100766585</v>
      </c>
      <c r="K56" s="349">
        <v>1.29495352405761</v>
      </c>
      <c r="L56" s="349">
        <v>1.46349313372846</v>
      </c>
      <c r="M56" s="349">
        <v>1.6539683569177099</v>
      </c>
      <c r="N56" s="349">
        <v>1.83150301570848</v>
      </c>
      <c r="O56" s="349">
        <v>2.0769223041159601</v>
      </c>
      <c r="P56" s="349">
        <v>2.31554207165465</v>
      </c>
      <c r="Q56" s="349">
        <v>2.6347613288793599</v>
      </c>
      <c r="R56" s="349">
        <v>2.9675756282842101</v>
      </c>
      <c r="S56" s="349">
        <v>3.3424299245093598</v>
      </c>
      <c r="T56" s="349">
        <v>3.7138019901048298</v>
      </c>
      <c r="U56" s="349">
        <v>4.1404845702896003</v>
      </c>
      <c r="V56" s="349">
        <v>4.6793731406980497</v>
      </c>
      <c r="W56" s="349">
        <v>5.3064037360798197</v>
      </c>
      <c r="X56" s="349">
        <v>5.8560479863541897</v>
      </c>
      <c r="Y56" s="349">
        <v>6.6633592899835996</v>
      </c>
      <c r="Z56" s="223">
        <v>7.4542123753105303</v>
      </c>
      <c r="AA56" s="223">
        <v>8.42438840828145</v>
      </c>
      <c r="AB56" s="223">
        <v>9.3286505214771491</v>
      </c>
      <c r="AC56" s="223">
        <v>10.542781799870401</v>
      </c>
      <c r="AD56" s="223">
        <v>11.754052985754701</v>
      </c>
      <c r="AE56" s="223">
        <v>13.419994977144899</v>
      </c>
      <c r="AF56" s="223">
        <v>15.3220486591533</v>
      </c>
      <c r="AG56" s="223">
        <v>16.8517611267464</v>
      </c>
      <c r="AH56" s="223">
        <v>18.9804196172372</v>
      </c>
      <c r="AI56" s="223">
        <v>21.377963177665698</v>
      </c>
      <c r="AJ56" s="223">
        <v>24.0783564769342</v>
      </c>
      <c r="AK56" s="223">
        <v>27.119854488103002</v>
      </c>
      <c r="AL56" s="223">
        <v>30.338624430131301</v>
      </c>
      <c r="AM56" s="223">
        <v>34.170898694956499</v>
      </c>
      <c r="AN56" s="223">
        <v>38.487253115579897</v>
      </c>
      <c r="AO56" s="223">
        <v>43.793083012851199</v>
      </c>
      <c r="AP56" s="223">
        <v>49.157516169684001</v>
      </c>
      <c r="AQ56" s="223">
        <v>55.366930329961797</v>
      </c>
      <c r="AR56" s="223">
        <v>63.645417461403902</v>
      </c>
      <c r="AS56" s="293">
        <v>68.820099754706305</v>
      </c>
    </row>
    <row r="57" spans="1:45" ht="15.75" customHeight="1">
      <c r="A57" s="204">
        <v>13</v>
      </c>
      <c r="B57" s="201">
        <v>2</v>
      </c>
      <c r="C57" s="344">
        <v>0.51553025672583197</v>
      </c>
      <c r="D57" s="344">
        <v>0.574760139586875</v>
      </c>
      <c r="E57" s="344">
        <v>0.64736193128836494</v>
      </c>
      <c r="F57" s="344">
        <v>0.72913454016248402</v>
      </c>
      <c r="G57" s="344">
        <v>0.81567321766900003</v>
      </c>
      <c r="H57" s="344">
        <v>0.91248266109909704</v>
      </c>
      <c r="I57" s="344">
        <v>1.03475428361372</v>
      </c>
      <c r="J57" s="344">
        <v>1.16546100766585</v>
      </c>
      <c r="K57" s="344">
        <v>1.29495352405761</v>
      </c>
      <c r="L57" s="344">
        <v>1.46349313372846</v>
      </c>
      <c r="M57" s="344">
        <v>1.6539683569177099</v>
      </c>
      <c r="N57" s="344">
        <v>1.83150301570848</v>
      </c>
      <c r="O57" s="344">
        <v>2.0769223041159601</v>
      </c>
      <c r="P57" s="344">
        <v>2.31554207165465</v>
      </c>
      <c r="Q57" s="344">
        <v>2.6347613288793599</v>
      </c>
      <c r="R57" s="344">
        <v>2.9675756282842101</v>
      </c>
      <c r="S57" s="344">
        <v>3.3424299245093598</v>
      </c>
      <c r="T57" s="344">
        <v>3.7138019901048298</v>
      </c>
      <c r="U57" s="344">
        <v>4.1404845702896003</v>
      </c>
      <c r="V57" s="344">
        <v>4.6793731406980497</v>
      </c>
      <c r="W57" s="344">
        <v>5.3064037360798197</v>
      </c>
      <c r="X57" s="344">
        <v>5.8560479863541897</v>
      </c>
      <c r="Y57" s="344">
        <v>6.6633592899835996</v>
      </c>
      <c r="Z57" s="21">
        <v>7.4542123753105303</v>
      </c>
      <c r="AA57" s="21">
        <v>8.42438840828145</v>
      </c>
      <c r="AB57" s="21">
        <v>9.3286505214771491</v>
      </c>
      <c r="AC57" s="21">
        <v>10.542781799870401</v>
      </c>
      <c r="AD57" s="21">
        <v>11.754052985754701</v>
      </c>
      <c r="AE57" s="21">
        <v>13.419994977144899</v>
      </c>
      <c r="AF57" s="21">
        <v>15.3220486591533</v>
      </c>
      <c r="AG57" s="21">
        <v>16.8517611267464</v>
      </c>
      <c r="AH57" s="21">
        <v>18.9804196172372</v>
      </c>
      <c r="AI57" s="21">
        <v>21.377963177665698</v>
      </c>
      <c r="AJ57" s="21">
        <v>24.0783564769342</v>
      </c>
      <c r="AK57" s="21">
        <v>27.119854488103002</v>
      </c>
      <c r="AL57" s="21">
        <v>30.338624430131301</v>
      </c>
      <c r="AM57" s="21">
        <v>34.170898694956499</v>
      </c>
      <c r="AN57" s="21">
        <v>38.487253115579897</v>
      </c>
      <c r="AO57" s="21">
        <v>43.793083012851199</v>
      </c>
      <c r="AP57" s="21">
        <v>49.157516169684001</v>
      </c>
      <c r="AQ57" s="21">
        <v>55.366930329961797</v>
      </c>
      <c r="AR57" s="21">
        <v>63.645417461403902</v>
      </c>
      <c r="AS57" s="211">
        <v>68.820099754706305</v>
      </c>
    </row>
    <row r="58" spans="1:45" ht="15.75" customHeight="1">
      <c r="A58" s="204">
        <v>13</v>
      </c>
      <c r="B58" s="201">
        <v>3</v>
      </c>
      <c r="C58" s="343">
        <v>0.51553025672583197</v>
      </c>
      <c r="D58" s="343">
        <v>0.574760139586875</v>
      </c>
      <c r="E58" s="343">
        <v>0.64736193128836494</v>
      </c>
      <c r="F58" s="343">
        <v>0.72913454016248402</v>
      </c>
      <c r="G58" s="343">
        <v>0.81567321766900003</v>
      </c>
      <c r="H58" s="343">
        <v>0.91248266109909704</v>
      </c>
      <c r="I58" s="343">
        <v>1.03475428361372</v>
      </c>
      <c r="J58" s="343">
        <v>1.16546100766585</v>
      </c>
      <c r="K58" s="343">
        <v>1.29495352405761</v>
      </c>
      <c r="L58" s="343">
        <v>1.46349313372846</v>
      </c>
      <c r="M58" s="343">
        <v>1.6539683569177099</v>
      </c>
      <c r="N58" s="343">
        <v>1.83150301570848</v>
      </c>
      <c r="O58" s="343">
        <v>2.0769223041159601</v>
      </c>
      <c r="P58" s="343">
        <v>2.31554207165465</v>
      </c>
      <c r="Q58" s="343">
        <v>2.6347613288793599</v>
      </c>
      <c r="R58" s="343">
        <v>2.9675756282842101</v>
      </c>
      <c r="S58" s="343">
        <v>3.3424299245093598</v>
      </c>
      <c r="T58" s="343">
        <v>3.7138019901048298</v>
      </c>
      <c r="U58" s="343">
        <v>4.1404845702896003</v>
      </c>
      <c r="V58" s="343">
        <v>4.6793731406980497</v>
      </c>
      <c r="W58" s="343">
        <v>5.3064037360798197</v>
      </c>
      <c r="X58" s="343">
        <v>5.8560479863541897</v>
      </c>
      <c r="Y58" s="343">
        <v>6.6633592899835996</v>
      </c>
      <c r="Z58" s="21">
        <v>7.4542123753105303</v>
      </c>
      <c r="AA58" s="21">
        <v>8.42438840828145</v>
      </c>
      <c r="AB58" s="21">
        <v>9.3286505214771491</v>
      </c>
      <c r="AC58" s="21">
        <v>10.542781799870401</v>
      </c>
      <c r="AD58" s="21">
        <v>11.754052985754701</v>
      </c>
      <c r="AE58" s="21">
        <v>13.419994977144899</v>
      </c>
      <c r="AF58" s="21">
        <v>15.3220486591533</v>
      </c>
      <c r="AG58" s="21">
        <v>16.8517611267464</v>
      </c>
      <c r="AH58" s="21">
        <v>18.9804196172372</v>
      </c>
      <c r="AI58" s="21">
        <v>21.377963177665698</v>
      </c>
      <c r="AJ58" s="21">
        <v>24.0783564769342</v>
      </c>
      <c r="AK58" s="21">
        <v>27.119854488103002</v>
      </c>
      <c r="AL58" s="21">
        <v>30.338624430131301</v>
      </c>
      <c r="AM58" s="21">
        <v>34.170898694956499</v>
      </c>
      <c r="AN58" s="21">
        <v>38.487253115579897</v>
      </c>
      <c r="AO58" s="21">
        <v>43.793083012851199</v>
      </c>
      <c r="AP58" s="21">
        <v>49.157516169684001</v>
      </c>
      <c r="AQ58" s="21">
        <v>55.366930329961797</v>
      </c>
      <c r="AR58" s="21">
        <v>63.645417461403902</v>
      </c>
      <c r="AS58" s="211">
        <v>68.820099754706305</v>
      </c>
    </row>
    <row r="59" spans="1:45" ht="15.75" customHeight="1">
      <c r="A59" s="204">
        <v>13</v>
      </c>
      <c r="B59" s="201">
        <v>4</v>
      </c>
      <c r="C59" s="344">
        <v>0.51553025672583197</v>
      </c>
      <c r="D59" s="344">
        <v>0.574760139586875</v>
      </c>
      <c r="E59" s="344">
        <v>0.64736193128836494</v>
      </c>
      <c r="F59" s="344">
        <v>0.72913454016248402</v>
      </c>
      <c r="G59" s="344">
        <v>0.81567321766900003</v>
      </c>
      <c r="H59" s="344">
        <v>0.91248266109909704</v>
      </c>
      <c r="I59" s="344">
        <v>1.03475428361372</v>
      </c>
      <c r="J59" s="344">
        <v>1.16546100766585</v>
      </c>
      <c r="K59" s="344">
        <v>1.29495352405761</v>
      </c>
      <c r="L59" s="344">
        <v>1.46349313372846</v>
      </c>
      <c r="M59" s="344">
        <v>1.6539683569177099</v>
      </c>
      <c r="N59" s="344">
        <v>1.83150301570848</v>
      </c>
      <c r="O59" s="344">
        <v>2.0769223041159601</v>
      </c>
      <c r="P59" s="344">
        <v>2.31554207165465</v>
      </c>
      <c r="Q59" s="344">
        <v>2.6347613288793599</v>
      </c>
      <c r="R59" s="344">
        <v>2.9675756282842101</v>
      </c>
      <c r="S59" s="344">
        <v>3.3424299245093598</v>
      </c>
      <c r="T59" s="344">
        <v>3.7138019901048298</v>
      </c>
      <c r="U59" s="344">
        <v>4.1404845702896003</v>
      </c>
      <c r="V59" s="344">
        <v>4.6793731406980497</v>
      </c>
      <c r="W59" s="344">
        <v>5.3064037360798197</v>
      </c>
      <c r="X59" s="344">
        <v>5.8560479863541897</v>
      </c>
      <c r="Y59" s="344">
        <v>6.6633592899835996</v>
      </c>
      <c r="Z59" s="21">
        <v>7.4542123753105303</v>
      </c>
      <c r="AA59" s="21">
        <v>8.42438840828145</v>
      </c>
      <c r="AB59" s="21">
        <v>9.3286505214771491</v>
      </c>
      <c r="AC59" s="21">
        <v>10.542781799870401</v>
      </c>
      <c r="AD59" s="21">
        <v>11.754052985754701</v>
      </c>
      <c r="AE59" s="21">
        <v>13.419994977144899</v>
      </c>
      <c r="AF59" s="21">
        <v>15.3220486591533</v>
      </c>
      <c r="AG59" s="21">
        <v>16.8517611267464</v>
      </c>
      <c r="AH59" s="21">
        <v>18.9804196172372</v>
      </c>
      <c r="AI59" s="21">
        <v>21.377963177665698</v>
      </c>
      <c r="AJ59" s="21">
        <v>24.0783564769342</v>
      </c>
      <c r="AK59" s="21">
        <v>27.119854488103002</v>
      </c>
      <c r="AL59" s="21">
        <v>30.338624430131301</v>
      </c>
      <c r="AM59" s="21">
        <v>34.170898694956499</v>
      </c>
      <c r="AN59" s="21">
        <v>38.487253115579897</v>
      </c>
      <c r="AO59" s="21">
        <v>43.793083012851199</v>
      </c>
      <c r="AP59" s="21">
        <v>49.157516169684001</v>
      </c>
      <c r="AQ59" s="21">
        <v>55.366930329961797</v>
      </c>
      <c r="AR59" s="21">
        <v>63.645417461403902</v>
      </c>
      <c r="AS59" s="211">
        <v>68.820099754706305</v>
      </c>
    </row>
    <row r="60" spans="1:45" ht="15.75" customHeight="1">
      <c r="A60" s="204">
        <v>13</v>
      </c>
      <c r="B60" s="201">
        <v>5</v>
      </c>
      <c r="C60" s="343">
        <v>0.51553025672583197</v>
      </c>
      <c r="D60" s="343">
        <v>0.574760139586875</v>
      </c>
      <c r="E60" s="343">
        <v>0.64736193128836494</v>
      </c>
      <c r="F60" s="343">
        <v>0.72913454016248402</v>
      </c>
      <c r="G60" s="343">
        <v>0.81567321766900003</v>
      </c>
      <c r="H60" s="343">
        <v>0.91248266109909704</v>
      </c>
      <c r="I60" s="343">
        <v>1.03475428361372</v>
      </c>
      <c r="J60" s="343">
        <v>1.16546100766585</v>
      </c>
      <c r="K60" s="343">
        <v>1.29495352405761</v>
      </c>
      <c r="L60" s="343">
        <v>1.46349313372846</v>
      </c>
      <c r="M60" s="343">
        <v>1.6539683569177099</v>
      </c>
      <c r="N60" s="343">
        <v>1.83150301570848</v>
      </c>
      <c r="O60" s="343">
        <v>2.0769223041159601</v>
      </c>
      <c r="P60" s="343">
        <v>2.31554207165465</v>
      </c>
      <c r="Q60" s="343">
        <v>2.6347613288793599</v>
      </c>
      <c r="R60" s="343">
        <v>2.9675756282842101</v>
      </c>
      <c r="S60" s="343">
        <v>3.3424299245093598</v>
      </c>
      <c r="T60" s="343">
        <v>3.7138019901048298</v>
      </c>
      <c r="U60" s="343">
        <v>4.1404845702896003</v>
      </c>
      <c r="V60" s="343">
        <v>4.6793731406980497</v>
      </c>
      <c r="W60" s="343">
        <v>5.3064037360798197</v>
      </c>
      <c r="X60" s="343">
        <v>5.8560479863541897</v>
      </c>
      <c r="Y60" s="343">
        <v>6.6633592899835996</v>
      </c>
      <c r="Z60" s="21">
        <v>7.4542123753105303</v>
      </c>
      <c r="AA60" s="21">
        <v>8.42438840828145</v>
      </c>
      <c r="AB60" s="21">
        <v>9.3286505214771491</v>
      </c>
      <c r="AC60" s="21">
        <v>10.542781799870401</v>
      </c>
      <c r="AD60" s="21">
        <v>11.754052985754701</v>
      </c>
      <c r="AE60" s="21">
        <v>13.419994977144899</v>
      </c>
      <c r="AF60" s="21">
        <v>15.3220486591533</v>
      </c>
      <c r="AG60" s="21">
        <v>16.8517611267464</v>
      </c>
      <c r="AH60" s="21">
        <v>18.9804196172372</v>
      </c>
      <c r="AI60" s="21">
        <v>21.377963177665698</v>
      </c>
      <c r="AJ60" s="21">
        <v>24.0783564769342</v>
      </c>
      <c r="AK60" s="21">
        <v>27.119854488103002</v>
      </c>
      <c r="AL60" s="21">
        <v>30.338624430131301</v>
      </c>
      <c r="AM60" s="21">
        <v>34.170898694956499</v>
      </c>
      <c r="AN60" s="21">
        <v>38.487253115579897</v>
      </c>
      <c r="AO60" s="21">
        <v>43.793083012851199</v>
      </c>
      <c r="AP60" s="21">
        <v>49.157516169684001</v>
      </c>
      <c r="AQ60" s="21">
        <v>55.366930329961797</v>
      </c>
      <c r="AR60" s="21">
        <v>63.645417461403902</v>
      </c>
      <c r="AS60" s="211">
        <v>68.820099754706305</v>
      </c>
    </row>
    <row r="61" spans="1:45" ht="15.75" customHeight="1">
      <c r="A61" s="204">
        <v>13</v>
      </c>
      <c r="B61" s="201">
        <v>6</v>
      </c>
      <c r="C61" s="344">
        <v>0.51553025672583197</v>
      </c>
      <c r="D61" s="344">
        <v>0.574760139586875</v>
      </c>
      <c r="E61" s="344">
        <v>0.64736193128836494</v>
      </c>
      <c r="F61" s="344">
        <v>0.72913454016248402</v>
      </c>
      <c r="G61" s="344">
        <v>0.81567321766900003</v>
      </c>
      <c r="H61" s="344">
        <v>0.91248266109909704</v>
      </c>
      <c r="I61" s="344">
        <v>1.03475428361372</v>
      </c>
      <c r="J61" s="344">
        <v>1.16546100766585</v>
      </c>
      <c r="K61" s="344">
        <v>1.29495352405761</v>
      </c>
      <c r="L61" s="344">
        <v>1.46349313372846</v>
      </c>
      <c r="M61" s="344">
        <v>1.6539683569177099</v>
      </c>
      <c r="N61" s="344">
        <v>1.83150301570848</v>
      </c>
      <c r="O61" s="344">
        <v>2.0769223041159601</v>
      </c>
      <c r="P61" s="344">
        <v>2.31554207165465</v>
      </c>
      <c r="Q61" s="344">
        <v>2.6347613288793599</v>
      </c>
      <c r="R61" s="344">
        <v>2.9675756282842101</v>
      </c>
      <c r="S61" s="344">
        <v>3.3424299245093598</v>
      </c>
      <c r="T61" s="344">
        <v>3.7138019901048298</v>
      </c>
      <c r="U61" s="344">
        <v>4.1404845702896003</v>
      </c>
      <c r="V61" s="344">
        <v>4.6793731406980497</v>
      </c>
      <c r="W61" s="344">
        <v>5.3064037360798197</v>
      </c>
      <c r="X61" s="344">
        <v>5.8560479863541897</v>
      </c>
      <c r="Y61" s="344">
        <v>6.6633592899835996</v>
      </c>
      <c r="Z61" s="21">
        <v>7.4542123753105303</v>
      </c>
      <c r="AA61" s="21">
        <v>8.42438840828145</v>
      </c>
      <c r="AB61" s="21">
        <v>9.3286505214771491</v>
      </c>
      <c r="AC61" s="21">
        <v>10.542781799870401</v>
      </c>
      <c r="AD61" s="21">
        <v>11.754052985754701</v>
      </c>
      <c r="AE61" s="21">
        <v>13.419994977144899</v>
      </c>
      <c r="AF61" s="21">
        <v>15.3220486591533</v>
      </c>
      <c r="AG61" s="21">
        <v>16.8517611267464</v>
      </c>
      <c r="AH61" s="21">
        <v>18.9804196172372</v>
      </c>
      <c r="AI61" s="21">
        <v>21.377963177665698</v>
      </c>
      <c r="AJ61" s="21">
        <v>24.0783564769342</v>
      </c>
      <c r="AK61" s="21">
        <v>27.119854488103002</v>
      </c>
      <c r="AL61" s="21">
        <v>30.338624430131301</v>
      </c>
      <c r="AM61" s="21">
        <v>34.170898694956499</v>
      </c>
      <c r="AN61" s="21">
        <v>38.487253115579897</v>
      </c>
      <c r="AO61" s="21">
        <v>43.793083012851199</v>
      </c>
      <c r="AP61" s="21">
        <v>49.157516169684001</v>
      </c>
      <c r="AQ61" s="21">
        <v>55.366930329961797</v>
      </c>
      <c r="AR61" s="21">
        <v>63.645417461403902</v>
      </c>
      <c r="AS61" s="211">
        <v>68.820099754706305</v>
      </c>
    </row>
    <row r="62" spans="1:45" ht="15.75" customHeight="1">
      <c r="A62" s="204">
        <v>13</v>
      </c>
      <c r="B62" s="201">
        <v>7</v>
      </c>
      <c r="C62" s="343">
        <v>0.51553025672583197</v>
      </c>
      <c r="D62" s="343">
        <v>0.574760139586875</v>
      </c>
      <c r="E62" s="343">
        <v>0.64736193128836494</v>
      </c>
      <c r="F62" s="343">
        <v>0.72913454016248402</v>
      </c>
      <c r="G62" s="343">
        <v>0.81567321766900003</v>
      </c>
      <c r="H62" s="343">
        <v>0.91248266109909704</v>
      </c>
      <c r="I62" s="343">
        <v>1.03475428361372</v>
      </c>
      <c r="J62" s="343">
        <v>1.16546100766585</v>
      </c>
      <c r="K62" s="343">
        <v>1.29495352405761</v>
      </c>
      <c r="L62" s="343">
        <v>1.46349313372846</v>
      </c>
      <c r="M62" s="343">
        <v>1.6539683569177099</v>
      </c>
      <c r="N62" s="343">
        <v>1.83150301570848</v>
      </c>
      <c r="O62" s="343">
        <v>2.0769223041159601</v>
      </c>
      <c r="P62" s="343">
        <v>2.31554207165465</v>
      </c>
      <c r="Q62" s="343">
        <v>2.6347613288793599</v>
      </c>
      <c r="R62" s="343">
        <v>2.9675756282842101</v>
      </c>
      <c r="S62" s="343">
        <v>3.3424299245093598</v>
      </c>
      <c r="T62" s="343">
        <v>3.7138019901048298</v>
      </c>
      <c r="U62" s="343">
        <v>4.1404845702896003</v>
      </c>
      <c r="V62" s="343">
        <v>4.6793731406980497</v>
      </c>
      <c r="W62" s="343">
        <v>5.3064037360798197</v>
      </c>
      <c r="X62" s="343">
        <v>5.8560479863541897</v>
      </c>
      <c r="Y62" s="343">
        <v>6.6633592899835996</v>
      </c>
      <c r="Z62" s="21">
        <v>7.4542123753105303</v>
      </c>
      <c r="AA62" s="21">
        <v>8.42438840828145</v>
      </c>
      <c r="AB62" s="21">
        <v>9.3286505214771491</v>
      </c>
      <c r="AC62" s="21">
        <v>10.542781799870401</v>
      </c>
      <c r="AD62" s="21">
        <v>11.754052985754701</v>
      </c>
      <c r="AE62" s="21">
        <v>13.419994977144899</v>
      </c>
      <c r="AF62" s="21">
        <v>15.3220486591533</v>
      </c>
      <c r="AG62" s="21">
        <v>16.8517611267464</v>
      </c>
      <c r="AH62" s="21">
        <v>18.9804196172372</v>
      </c>
      <c r="AI62" s="21">
        <v>21.377963177665698</v>
      </c>
      <c r="AJ62" s="21">
        <v>24.0783564769342</v>
      </c>
      <c r="AK62" s="21">
        <v>27.119854488103002</v>
      </c>
      <c r="AL62" s="21">
        <v>30.338624430131301</v>
      </c>
      <c r="AM62" s="21">
        <v>34.170898694956499</v>
      </c>
      <c r="AN62" s="21">
        <v>38.487253115579897</v>
      </c>
      <c r="AO62" s="21">
        <v>43.793083012851199</v>
      </c>
      <c r="AP62" s="21">
        <v>49.157516169684001</v>
      </c>
      <c r="AQ62" s="21">
        <v>55.366930329961797</v>
      </c>
      <c r="AR62" s="21">
        <v>63.645417461403902</v>
      </c>
      <c r="AS62" s="211">
        <v>68.820099754706305</v>
      </c>
    </row>
    <row r="63" spans="1:45" ht="15.75" customHeight="1">
      <c r="A63" s="204">
        <v>13</v>
      </c>
      <c r="B63" s="201">
        <v>8</v>
      </c>
      <c r="C63" s="344">
        <v>0.51553025672583197</v>
      </c>
      <c r="D63" s="344">
        <v>0.574760139586875</v>
      </c>
      <c r="E63" s="344">
        <v>0.64736193128836494</v>
      </c>
      <c r="F63" s="344">
        <v>0.72913454016248402</v>
      </c>
      <c r="G63" s="344">
        <v>0.81567321766900003</v>
      </c>
      <c r="H63" s="344">
        <v>0.91248266109909704</v>
      </c>
      <c r="I63" s="344">
        <v>1.03475428361372</v>
      </c>
      <c r="J63" s="344">
        <v>1.16546100766585</v>
      </c>
      <c r="K63" s="344">
        <v>1.29495352405761</v>
      </c>
      <c r="L63" s="344">
        <v>1.46349313372846</v>
      </c>
      <c r="M63" s="344">
        <v>1.6539683569177099</v>
      </c>
      <c r="N63" s="344">
        <v>1.83150301570848</v>
      </c>
      <c r="O63" s="344">
        <v>2.0769223041159601</v>
      </c>
      <c r="P63" s="344">
        <v>2.31554207165465</v>
      </c>
      <c r="Q63" s="344">
        <v>2.6347613288793599</v>
      </c>
      <c r="R63" s="344">
        <v>2.9675756282842101</v>
      </c>
      <c r="S63" s="344">
        <v>3.3424299245093598</v>
      </c>
      <c r="T63" s="344">
        <v>3.7138019901048298</v>
      </c>
      <c r="U63" s="344">
        <v>4.1404845702896003</v>
      </c>
      <c r="V63" s="344">
        <v>4.6793731406980497</v>
      </c>
      <c r="W63" s="344">
        <v>5.3064037360798197</v>
      </c>
      <c r="X63" s="344">
        <v>5.8560479863541897</v>
      </c>
      <c r="Y63" s="344">
        <v>6.6633592899835996</v>
      </c>
      <c r="Z63" s="23">
        <v>7.4542123753105303</v>
      </c>
      <c r="AA63" s="23">
        <v>8.42438840828145</v>
      </c>
      <c r="AB63" s="23">
        <v>9.3286505214771491</v>
      </c>
      <c r="AC63" s="23">
        <v>10.542781799870401</v>
      </c>
      <c r="AD63" s="23">
        <v>11.754052985754701</v>
      </c>
      <c r="AE63" s="23">
        <v>13.419994977144899</v>
      </c>
      <c r="AF63" s="23">
        <v>15.3220486591533</v>
      </c>
      <c r="AG63" s="23">
        <v>16.8517611267464</v>
      </c>
      <c r="AH63" s="23">
        <v>18.9804196172372</v>
      </c>
      <c r="AI63" s="23">
        <v>21.377963177665698</v>
      </c>
      <c r="AJ63" s="23">
        <v>24.0783564769342</v>
      </c>
      <c r="AK63" s="23">
        <v>27.119854488103002</v>
      </c>
      <c r="AL63" s="23">
        <v>30.338624430131301</v>
      </c>
      <c r="AM63" s="23">
        <v>34.170898694956499</v>
      </c>
      <c r="AN63" s="23">
        <v>38.487253115579897</v>
      </c>
      <c r="AO63" s="23">
        <v>43.793083012851199</v>
      </c>
      <c r="AP63" s="23">
        <v>49.157516169684001</v>
      </c>
      <c r="AQ63" s="23">
        <v>55.366930329961797</v>
      </c>
      <c r="AR63" s="23">
        <v>63.645417461403902</v>
      </c>
      <c r="AS63" s="212">
        <v>68.820099754706305</v>
      </c>
    </row>
    <row r="64" spans="1:45" ht="15.75" customHeight="1">
      <c r="A64" s="199">
        <v>14</v>
      </c>
      <c r="B64" s="200">
        <v>1</v>
      </c>
      <c r="C64" s="349">
        <v>1.4660177833749599</v>
      </c>
      <c r="D64" s="349">
        <v>2.42378322217687</v>
      </c>
      <c r="E64" s="349">
        <v>3.79414525395867</v>
      </c>
      <c r="F64" s="349">
        <v>5.9392845351937398</v>
      </c>
      <c r="G64" s="349">
        <v>9.3994282086104697</v>
      </c>
      <c r="H64" s="349">
        <v>14.7136903999174</v>
      </c>
      <c r="I64" s="349">
        <v>24.061860570751801</v>
      </c>
      <c r="J64" s="349">
        <v>38.0799305136442</v>
      </c>
      <c r="K64" s="349">
        <v>60.927058832994803</v>
      </c>
      <c r="L64" s="349">
        <v>95.374086673168307</v>
      </c>
      <c r="M64" s="349">
        <v>150.93756289699201</v>
      </c>
      <c r="N64" s="349">
        <v>236.275055550628</v>
      </c>
      <c r="O64" s="349">
        <v>357.92942381455799</v>
      </c>
      <c r="P64" s="351"/>
      <c r="Q64" s="244"/>
      <c r="R64" s="244"/>
      <c r="S64" s="244"/>
      <c r="T64" s="244"/>
      <c r="U64" s="244"/>
      <c r="V64" s="244"/>
      <c r="W64" s="244"/>
      <c r="X64" s="244"/>
      <c r="Y64" s="244"/>
    </row>
    <row r="65" spans="1:25" ht="15.75" customHeight="1">
      <c r="A65" s="196">
        <v>14</v>
      </c>
      <c r="B65" s="201">
        <v>2</v>
      </c>
      <c r="C65" s="344">
        <v>1.4660177833749599</v>
      </c>
      <c r="D65" s="344">
        <v>2.42378322217687</v>
      </c>
      <c r="E65" s="344">
        <v>3.79414525395867</v>
      </c>
      <c r="F65" s="344">
        <v>5.9392845351937398</v>
      </c>
      <c r="G65" s="344">
        <v>9.3994282086104697</v>
      </c>
      <c r="H65" s="344">
        <v>14.7136903999174</v>
      </c>
      <c r="I65" s="344">
        <v>24.061860570751801</v>
      </c>
      <c r="J65" s="344">
        <v>38.0799305136442</v>
      </c>
      <c r="K65" s="344">
        <v>60.927058832994803</v>
      </c>
      <c r="L65" s="344">
        <v>95.374086673168307</v>
      </c>
      <c r="M65" s="344">
        <v>150.93756289699201</v>
      </c>
      <c r="N65" s="344">
        <v>236.275055550628</v>
      </c>
      <c r="O65" s="344">
        <v>357.92942381455799</v>
      </c>
      <c r="P65" s="338"/>
      <c r="Q65" s="326"/>
      <c r="R65" s="326"/>
      <c r="S65" s="326"/>
      <c r="T65" s="326"/>
      <c r="U65" s="326"/>
      <c r="V65" s="326"/>
      <c r="W65" s="326"/>
      <c r="X65" s="326"/>
      <c r="Y65" s="326"/>
    </row>
    <row r="66" spans="1:25" ht="15.75" customHeight="1">
      <c r="A66" s="196">
        <v>14</v>
      </c>
      <c r="B66" s="201">
        <v>3</v>
      </c>
      <c r="C66" s="343">
        <v>1.4660177833749599</v>
      </c>
      <c r="D66" s="343">
        <v>2.42378322217687</v>
      </c>
      <c r="E66" s="343">
        <v>3.79414525395867</v>
      </c>
      <c r="F66" s="343">
        <v>5.9392845351937398</v>
      </c>
      <c r="G66" s="343">
        <v>9.3994282086104697</v>
      </c>
      <c r="H66" s="343">
        <v>14.7136903999174</v>
      </c>
      <c r="I66" s="343">
        <v>24.061860570751801</v>
      </c>
      <c r="J66" s="343">
        <v>38.0799305136442</v>
      </c>
      <c r="K66" s="343">
        <v>60.927058832994803</v>
      </c>
      <c r="L66" s="343">
        <v>95.374086673168307</v>
      </c>
      <c r="M66" s="343">
        <v>150.93756289699201</v>
      </c>
      <c r="N66" s="343">
        <v>236.275055550628</v>
      </c>
      <c r="O66" s="343">
        <v>357.92942381455799</v>
      </c>
      <c r="P66" s="340"/>
      <c r="Q66" s="274"/>
      <c r="R66" s="274"/>
      <c r="S66" s="274"/>
      <c r="T66" s="274"/>
      <c r="U66" s="274"/>
      <c r="V66" s="274"/>
      <c r="W66" s="274"/>
      <c r="X66" s="274"/>
      <c r="Y66" s="274"/>
    </row>
    <row r="67" spans="1:25" ht="15.75" customHeight="1">
      <c r="A67" s="196">
        <v>14</v>
      </c>
      <c r="B67" s="201">
        <v>4</v>
      </c>
      <c r="C67" s="344">
        <v>1.4660177833749599</v>
      </c>
      <c r="D67" s="344">
        <v>2.42378322217687</v>
      </c>
      <c r="E67" s="344">
        <v>3.79414525395867</v>
      </c>
      <c r="F67" s="344">
        <v>5.9392845351937398</v>
      </c>
      <c r="G67" s="344">
        <v>9.3994282086104697</v>
      </c>
      <c r="H67" s="344">
        <v>14.7136903999174</v>
      </c>
      <c r="I67" s="344">
        <v>24.061860570751801</v>
      </c>
      <c r="J67" s="344">
        <v>38.0799305136442</v>
      </c>
      <c r="K67" s="344">
        <v>60.927058832994803</v>
      </c>
      <c r="L67" s="344">
        <v>95.374086673168307</v>
      </c>
      <c r="M67" s="344">
        <v>150.93756289699201</v>
      </c>
      <c r="N67" s="344">
        <v>236.275055550628</v>
      </c>
      <c r="O67" s="344">
        <v>357.92942381455799</v>
      </c>
      <c r="P67" s="338"/>
      <c r="Q67" s="326"/>
      <c r="R67" s="326"/>
      <c r="S67" s="326"/>
      <c r="T67" s="326"/>
      <c r="U67" s="326"/>
      <c r="V67" s="326"/>
      <c r="W67" s="326"/>
      <c r="X67" s="326"/>
      <c r="Y67" s="326"/>
    </row>
    <row r="68" spans="1:25" ht="15.75" customHeight="1">
      <c r="A68" s="196">
        <v>14</v>
      </c>
      <c r="B68" s="201">
        <v>5</v>
      </c>
      <c r="C68" s="343">
        <v>1.4660177833749599</v>
      </c>
      <c r="D68" s="343">
        <v>2.42378322217687</v>
      </c>
      <c r="E68" s="343">
        <v>3.79414525395867</v>
      </c>
      <c r="F68" s="343">
        <v>5.9392845351937398</v>
      </c>
      <c r="G68" s="343">
        <v>9.3994282086104697</v>
      </c>
      <c r="H68" s="343">
        <v>14.7136903999174</v>
      </c>
      <c r="I68" s="343">
        <v>24.061860570751801</v>
      </c>
      <c r="J68" s="343">
        <v>38.0799305136442</v>
      </c>
      <c r="K68" s="343">
        <v>60.927058832994803</v>
      </c>
      <c r="L68" s="343">
        <v>95.374086673168307</v>
      </c>
      <c r="M68" s="343">
        <v>150.93756289699201</v>
      </c>
      <c r="N68" s="343">
        <v>236.275055550628</v>
      </c>
      <c r="O68" s="343">
        <v>357.92942381455799</v>
      </c>
      <c r="P68" s="340"/>
      <c r="Q68" s="274"/>
      <c r="R68" s="274"/>
      <c r="S68" s="274"/>
      <c r="T68" s="274"/>
      <c r="U68" s="274"/>
      <c r="V68" s="274"/>
      <c r="W68" s="274"/>
      <c r="X68" s="274"/>
      <c r="Y68" s="274"/>
    </row>
    <row r="69" spans="1:25" ht="15.75" customHeight="1">
      <c r="A69" s="196">
        <v>14</v>
      </c>
      <c r="B69" s="201">
        <v>6</v>
      </c>
      <c r="C69" s="344">
        <v>1.4660177833749599</v>
      </c>
      <c r="D69" s="344">
        <v>2.42378322217687</v>
      </c>
      <c r="E69" s="344">
        <v>3.79414525395867</v>
      </c>
      <c r="F69" s="344">
        <v>5.9392845351937398</v>
      </c>
      <c r="G69" s="344">
        <v>9.3994282086104697</v>
      </c>
      <c r="H69" s="344">
        <v>14.7136903999174</v>
      </c>
      <c r="I69" s="344">
        <v>24.061860570751801</v>
      </c>
      <c r="J69" s="344">
        <v>38.0799305136442</v>
      </c>
      <c r="K69" s="344">
        <v>60.927058832994803</v>
      </c>
      <c r="L69" s="344">
        <v>95.374086673168307</v>
      </c>
      <c r="M69" s="344">
        <v>150.93756289699201</v>
      </c>
      <c r="N69" s="344">
        <v>236.275055550628</v>
      </c>
      <c r="O69" s="344">
        <v>357.92942381455799</v>
      </c>
      <c r="P69" s="338"/>
      <c r="Q69" s="326"/>
      <c r="R69" s="326"/>
      <c r="S69" s="326"/>
      <c r="T69" s="326"/>
      <c r="U69" s="326"/>
      <c r="V69" s="326"/>
      <c r="W69" s="326"/>
      <c r="X69" s="326"/>
      <c r="Y69" s="326"/>
    </row>
    <row r="70" spans="1:25" ht="15.75" customHeight="1">
      <c r="A70" s="196">
        <v>14</v>
      </c>
      <c r="B70" s="201">
        <v>7</v>
      </c>
      <c r="C70" s="343">
        <v>1.4660177833749599</v>
      </c>
      <c r="D70" s="343">
        <v>2.42378322217687</v>
      </c>
      <c r="E70" s="343">
        <v>3.79414525395867</v>
      </c>
      <c r="F70" s="343">
        <v>5.9392845351937398</v>
      </c>
      <c r="G70" s="343">
        <v>9.3994282086104697</v>
      </c>
      <c r="H70" s="343">
        <v>14.7136903999174</v>
      </c>
      <c r="I70" s="343">
        <v>24.061860570751801</v>
      </c>
      <c r="J70" s="343">
        <v>38.0799305136442</v>
      </c>
      <c r="K70" s="343">
        <v>60.927058832994803</v>
      </c>
      <c r="L70" s="343">
        <v>95.374086673168307</v>
      </c>
      <c r="M70" s="343">
        <v>150.93756289699201</v>
      </c>
      <c r="N70" s="343">
        <v>236.275055550628</v>
      </c>
      <c r="O70" s="343">
        <v>357.92942381455799</v>
      </c>
      <c r="P70" s="340"/>
      <c r="Q70" s="274"/>
      <c r="R70" s="274"/>
      <c r="S70" s="274"/>
      <c r="T70" s="274"/>
      <c r="U70" s="274"/>
      <c r="V70" s="274"/>
      <c r="W70" s="274"/>
      <c r="X70" s="274"/>
      <c r="Y70" s="274"/>
    </row>
    <row r="71" spans="1:25" ht="15.75" customHeight="1">
      <c r="A71" s="196">
        <v>14</v>
      </c>
      <c r="B71" s="201">
        <v>8</v>
      </c>
      <c r="C71" s="344">
        <v>1.4660177833749599</v>
      </c>
      <c r="D71" s="344">
        <v>2.42378322217687</v>
      </c>
      <c r="E71" s="344">
        <v>3.79414525395867</v>
      </c>
      <c r="F71" s="344">
        <v>5.9392845351937398</v>
      </c>
      <c r="G71" s="344">
        <v>9.3994282086104697</v>
      </c>
      <c r="H71" s="344">
        <v>14.7136903999174</v>
      </c>
      <c r="I71" s="344">
        <v>24.061860570751801</v>
      </c>
      <c r="J71" s="344">
        <v>38.0799305136442</v>
      </c>
      <c r="K71" s="344">
        <v>60.927058832994803</v>
      </c>
      <c r="L71" s="344">
        <v>95.374086673168307</v>
      </c>
      <c r="M71" s="344">
        <v>150.93756289699201</v>
      </c>
      <c r="N71" s="344">
        <v>236.275055550628</v>
      </c>
      <c r="O71" s="344">
        <v>357.92942381455799</v>
      </c>
      <c r="P71" s="338"/>
      <c r="Q71" s="326"/>
      <c r="R71" s="326"/>
      <c r="S71" s="326"/>
      <c r="T71" s="326"/>
      <c r="U71" s="326"/>
      <c r="V71" s="326"/>
      <c r="W71" s="326"/>
      <c r="X71" s="326"/>
      <c r="Y71" s="326"/>
    </row>
    <row r="72" spans="1:25" ht="15.75" customHeight="1">
      <c r="A72" s="196">
        <v>14</v>
      </c>
      <c r="B72" s="201">
        <v>9</v>
      </c>
      <c r="C72" s="343">
        <v>1.4660177833749599</v>
      </c>
      <c r="D72" s="343">
        <v>2.42378322217687</v>
      </c>
      <c r="E72" s="343">
        <v>3.79414525395867</v>
      </c>
      <c r="F72" s="343">
        <v>5.9392845351937398</v>
      </c>
      <c r="G72" s="343">
        <v>9.3994282086104697</v>
      </c>
      <c r="H72" s="343">
        <v>14.7136903999174</v>
      </c>
      <c r="I72" s="343">
        <v>24.061860570751801</v>
      </c>
      <c r="J72" s="343">
        <v>38.0799305136442</v>
      </c>
      <c r="K72" s="343">
        <v>60.927058832994803</v>
      </c>
      <c r="L72" s="343">
        <v>95.374086673168307</v>
      </c>
      <c r="M72" s="343">
        <v>150.93756289699201</v>
      </c>
      <c r="N72" s="343">
        <v>236.275055550628</v>
      </c>
      <c r="O72" s="343">
        <v>357.92942381455799</v>
      </c>
      <c r="P72" s="340"/>
      <c r="Q72" s="274"/>
      <c r="R72" s="274"/>
      <c r="S72" s="274"/>
      <c r="T72" s="274"/>
      <c r="U72" s="274"/>
      <c r="V72" s="274"/>
      <c r="W72" s="274"/>
      <c r="X72" s="274"/>
      <c r="Y72" s="274"/>
    </row>
    <row r="73" spans="1:25" ht="15.75" customHeight="1">
      <c r="A73" s="196">
        <v>14</v>
      </c>
      <c r="B73" s="201">
        <v>10</v>
      </c>
      <c r="C73" s="344">
        <v>1.4660177833749599</v>
      </c>
      <c r="D73" s="344">
        <v>2.42378322217687</v>
      </c>
      <c r="E73" s="344">
        <v>3.79414525395867</v>
      </c>
      <c r="F73" s="344">
        <v>5.9392845351937398</v>
      </c>
      <c r="G73" s="344">
        <v>9.3994282086104697</v>
      </c>
      <c r="H73" s="344">
        <v>14.7136903999174</v>
      </c>
      <c r="I73" s="344">
        <v>24.061860570751801</v>
      </c>
      <c r="J73" s="344">
        <v>38.0799305136442</v>
      </c>
      <c r="K73" s="344">
        <v>60.927058832994803</v>
      </c>
      <c r="L73" s="344">
        <v>95.374086673168307</v>
      </c>
      <c r="M73" s="344">
        <v>150.93756289699201</v>
      </c>
      <c r="N73" s="344">
        <v>236.275055550628</v>
      </c>
      <c r="O73" s="344">
        <v>357.92942381455799</v>
      </c>
      <c r="P73" s="338"/>
      <c r="Q73" s="326"/>
      <c r="R73" s="326"/>
      <c r="S73" s="326"/>
      <c r="T73" s="326"/>
      <c r="U73" s="326"/>
      <c r="V73" s="326"/>
      <c r="W73" s="326"/>
      <c r="X73" s="326"/>
      <c r="Y73" s="326"/>
    </row>
    <row r="74" spans="1:25" ht="15.75" customHeight="1">
      <c r="A74" s="199">
        <v>15</v>
      </c>
      <c r="B74" s="200">
        <v>1</v>
      </c>
      <c r="C74" s="349">
        <v>1.4797715552584101</v>
      </c>
      <c r="D74" s="349">
        <v>2.3352421822689502</v>
      </c>
      <c r="E74" s="349">
        <v>3.7505047782463801</v>
      </c>
      <c r="F74" s="349">
        <v>5.7818398167551699</v>
      </c>
      <c r="G74" s="349">
        <v>9.3403689883800798</v>
      </c>
      <c r="H74" s="349">
        <v>14.913571066174701</v>
      </c>
      <c r="I74" s="349">
        <v>22.8569349813184</v>
      </c>
      <c r="J74" s="349">
        <v>38.920445002713699</v>
      </c>
      <c r="K74" s="349">
        <v>62.874678136849099</v>
      </c>
      <c r="L74" s="349">
        <v>88.786921572692407</v>
      </c>
      <c r="M74" s="349">
        <v>140.11552239504201</v>
      </c>
      <c r="N74" s="349">
        <v>234.43654725803901</v>
      </c>
      <c r="O74" s="349">
        <v>376.51588761529399</v>
      </c>
      <c r="P74" s="340"/>
      <c r="Q74" s="274"/>
      <c r="R74" s="274"/>
      <c r="S74" s="274"/>
      <c r="T74" s="274"/>
      <c r="U74" s="274"/>
      <c r="V74" s="274"/>
      <c r="W74" s="274"/>
      <c r="X74" s="274"/>
      <c r="Y74" s="274"/>
    </row>
    <row r="75" spans="1:25" ht="15.75" customHeight="1">
      <c r="A75" s="196">
        <v>15</v>
      </c>
      <c r="B75" s="201">
        <v>2</v>
      </c>
      <c r="C75" s="344">
        <v>1.4797715552584101</v>
      </c>
      <c r="D75" s="344">
        <v>2.3352421822689502</v>
      </c>
      <c r="E75" s="344">
        <v>3.7505047782463801</v>
      </c>
      <c r="F75" s="344">
        <v>5.7818398167551699</v>
      </c>
      <c r="G75" s="344">
        <v>9.3403689883800798</v>
      </c>
      <c r="H75" s="344">
        <v>14.913571066174701</v>
      </c>
      <c r="I75" s="344">
        <v>22.8569349813184</v>
      </c>
      <c r="J75" s="344">
        <v>38.920445002713699</v>
      </c>
      <c r="K75" s="344">
        <v>62.874678136849099</v>
      </c>
      <c r="L75" s="344">
        <v>88.786921572692407</v>
      </c>
      <c r="M75" s="344">
        <v>140.11552239504201</v>
      </c>
      <c r="N75" s="344">
        <v>234.43654725803901</v>
      </c>
      <c r="O75" s="344">
        <v>376.51588761529399</v>
      </c>
      <c r="P75" s="338"/>
      <c r="Q75" s="326"/>
      <c r="R75" s="326"/>
      <c r="S75" s="326"/>
      <c r="T75" s="326"/>
      <c r="U75" s="326"/>
      <c r="V75" s="326"/>
      <c r="W75" s="326"/>
      <c r="X75" s="326"/>
      <c r="Y75" s="326"/>
    </row>
    <row r="76" spans="1:25" ht="15.75" customHeight="1">
      <c r="A76" s="196">
        <v>15</v>
      </c>
      <c r="B76" s="201">
        <v>3</v>
      </c>
      <c r="C76" s="343">
        <v>1.4797715552584101</v>
      </c>
      <c r="D76" s="343">
        <v>2.3352421822689502</v>
      </c>
      <c r="E76" s="343">
        <v>3.7505047782463801</v>
      </c>
      <c r="F76" s="343">
        <v>5.7818398167551699</v>
      </c>
      <c r="G76" s="343">
        <v>9.3403689883800798</v>
      </c>
      <c r="H76" s="343">
        <v>14.913571066174701</v>
      </c>
      <c r="I76" s="343">
        <v>22.8569349813184</v>
      </c>
      <c r="J76" s="343">
        <v>38.920445002713699</v>
      </c>
      <c r="K76" s="343">
        <v>62.874678136849099</v>
      </c>
      <c r="L76" s="343">
        <v>88.786921572692407</v>
      </c>
      <c r="M76" s="343">
        <v>140.11552239504201</v>
      </c>
      <c r="N76" s="343">
        <v>234.43654725803901</v>
      </c>
      <c r="O76" s="343">
        <v>376.51588761529399</v>
      </c>
      <c r="P76" s="340"/>
      <c r="Q76" s="274"/>
      <c r="R76" s="274"/>
      <c r="S76" s="274"/>
      <c r="T76" s="274"/>
      <c r="U76" s="274"/>
      <c r="V76" s="274"/>
      <c r="W76" s="274"/>
      <c r="X76" s="274"/>
      <c r="Y76" s="274"/>
    </row>
    <row r="77" spans="1:25" ht="15.75" customHeight="1">
      <c r="A77" s="196">
        <v>15</v>
      </c>
      <c r="B77" s="201">
        <v>4</v>
      </c>
      <c r="C77" s="344">
        <v>1.4797715552584101</v>
      </c>
      <c r="D77" s="344">
        <v>2.3352421822689502</v>
      </c>
      <c r="E77" s="344">
        <v>3.7505047782463801</v>
      </c>
      <c r="F77" s="344">
        <v>5.7818398167551699</v>
      </c>
      <c r="G77" s="344">
        <v>9.3403689883800798</v>
      </c>
      <c r="H77" s="344">
        <v>14.913571066174701</v>
      </c>
      <c r="I77" s="344">
        <v>22.8569349813184</v>
      </c>
      <c r="J77" s="344">
        <v>38.920445002713699</v>
      </c>
      <c r="K77" s="344">
        <v>62.874678136849099</v>
      </c>
      <c r="L77" s="344">
        <v>88.786921572692407</v>
      </c>
      <c r="M77" s="344">
        <v>140.11552239504201</v>
      </c>
      <c r="N77" s="344">
        <v>234.43654725803901</v>
      </c>
      <c r="O77" s="344">
        <v>376.51588761529399</v>
      </c>
      <c r="P77" s="338"/>
      <c r="Q77" s="326"/>
      <c r="R77" s="326"/>
      <c r="S77" s="326"/>
      <c r="T77" s="326"/>
      <c r="U77" s="326"/>
      <c r="V77" s="326"/>
      <c r="W77" s="326"/>
      <c r="X77" s="326"/>
      <c r="Y77" s="326"/>
    </row>
    <row r="78" spans="1:25" ht="15.75" customHeight="1">
      <c r="A78" s="196">
        <v>15</v>
      </c>
      <c r="B78" s="201">
        <v>5</v>
      </c>
      <c r="C78" s="343">
        <v>1.4797715552584101</v>
      </c>
      <c r="D78" s="343">
        <v>2.3352421822689502</v>
      </c>
      <c r="E78" s="343">
        <v>3.7505047782463801</v>
      </c>
      <c r="F78" s="343">
        <v>5.7818398167551699</v>
      </c>
      <c r="G78" s="343">
        <v>9.3403689883800798</v>
      </c>
      <c r="H78" s="343">
        <v>14.913571066174701</v>
      </c>
      <c r="I78" s="343">
        <v>22.8569349813184</v>
      </c>
      <c r="J78" s="343">
        <v>38.920445002713699</v>
      </c>
      <c r="K78" s="343">
        <v>62.874678136849099</v>
      </c>
      <c r="L78" s="343">
        <v>88.786921572692407</v>
      </c>
      <c r="M78" s="343">
        <v>140.11552239504201</v>
      </c>
      <c r="N78" s="343">
        <v>234.43654725803901</v>
      </c>
      <c r="O78" s="343">
        <v>376.51588761529399</v>
      </c>
      <c r="P78" s="340"/>
      <c r="Q78" s="274"/>
      <c r="R78" s="274"/>
      <c r="S78" s="274"/>
      <c r="T78" s="274"/>
      <c r="U78" s="274"/>
      <c r="V78" s="274"/>
      <c r="W78" s="274"/>
      <c r="X78" s="274"/>
      <c r="Y78" s="274"/>
    </row>
    <row r="79" spans="1:25" ht="15.75" customHeight="1">
      <c r="A79" s="196">
        <v>15</v>
      </c>
      <c r="B79" s="201">
        <v>6</v>
      </c>
      <c r="C79" s="344">
        <v>1.4797715552584101</v>
      </c>
      <c r="D79" s="344">
        <v>2.3352421822689502</v>
      </c>
      <c r="E79" s="344">
        <v>3.7505047782463801</v>
      </c>
      <c r="F79" s="344">
        <v>5.7818398167551699</v>
      </c>
      <c r="G79" s="344">
        <v>9.3403689883800798</v>
      </c>
      <c r="H79" s="344">
        <v>14.913571066174701</v>
      </c>
      <c r="I79" s="344">
        <v>22.8569349813184</v>
      </c>
      <c r="J79" s="344">
        <v>38.920445002713699</v>
      </c>
      <c r="K79" s="344">
        <v>62.874678136849099</v>
      </c>
      <c r="L79" s="344">
        <v>88.786921572692407</v>
      </c>
      <c r="M79" s="344">
        <v>140.11552239504201</v>
      </c>
      <c r="N79" s="344">
        <v>234.43654725803901</v>
      </c>
      <c r="O79" s="344">
        <v>376.51588761529399</v>
      </c>
      <c r="P79" s="338"/>
      <c r="Q79" s="326"/>
      <c r="R79" s="326"/>
      <c r="S79" s="326"/>
      <c r="T79" s="326"/>
      <c r="U79" s="326"/>
      <c r="V79" s="326"/>
      <c r="W79" s="326"/>
      <c r="X79" s="326"/>
      <c r="Y79" s="326"/>
    </row>
    <row r="80" spans="1:25" ht="15.75" customHeight="1">
      <c r="A80" s="272">
        <v>16</v>
      </c>
      <c r="B80" s="74">
        <v>1</v>
      </c>
      <c r="C80" s="257"/>
      <c r="D80" s="257"/>
      <c r="E80" s="353"/>
      <c r="F80" s="353"/>
      <c r="G80" s="257"/>
      <c r="H80" s="257"/>
      <c r="I80" s="257"/>
      <c r="J80" s="257"/>
      <c r="K80" s="257"/>
      <c r="L80" s="257"/>
      <c r="M80" s="257"/>
      <c r="N80" s="257"/>
      <c r="O80" s="257"/>
      <c r="P80" s="259"/>
      <c r="Q80" s="259"/>
      <c r="R80" s="259"/>
      <c r="S80" s="259"/>
      <c r="T80" s="259"/>
      <c r="U80" s="259"/>
      <c r="V80" s="259"/>
      <c r="W80" s="259"/>
      <c r="X80" s="259"/>
      <c r="Y80" s="259"/>
    </row>
    <row r="81" spans="1:28" ht="15.75" customHeight="1">
      <c r="A81" s="233">
        <v>16</v>
      </c>
      <c r="B81" s="75">
        <v>2</v>
      </c>
      <c r="C81" s="369"/>
      <c r="D81" s="369"/>
      <c r="E81" s="355"/>
      <c r="F81" s="355"/>
      <c r="G81" s="369"/>
      <c r="H81" s="369"/>
      <c r="I81" s="369"/>
      <c r="J81" s="369"/>
      <c r="K81" s="369"/>
      <c r="L81" s="369"/>
      <c r="M81" s="369"/>
      <c r="N81" s="369"/>
      <c r="O81" s="369"/>
      <c r="P81" s="369"/>
      <c r="Q81" s="369"/>
      <c r="R81" s="369"/>
      <c r="S81" s="369"/>
      <c r="T81" s="369"/>
      <c r="U81" s="369"/>
      <c r="V81" s="369"/>
      <c r="W81" s="369"/>
      <c r="X81" s="369"/>
      <c r="Y81" s="369"/>
    </row>
    <row r="82" spans="1:28" ht="15.75" customHeight="1">
      <c r="A82" s="233">
        <v>16</v>
      </c>
      <c r="B82" s="75">
        <v>3</v>
      </c>
      <c r="C82" s="259"/>
      <c r="D82" s="259"/>
      <c r="E82" s="357"/>
      <c r="F82" s="357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</row>
    <row r="83" spans="1:28" ht="15.75" customHeight="1">
      <c r="A83" s="272">
        <v>17</v>
      </c>
      <c r="B83" s="74">
        <v>1</v>
      </c>
      <c r="C83" s="250">
        <v>0.16</v>
      </c>
      <c r="D83" s="250">
        <v>0.25</v>
      </c>
      <c r="E83" s="250">
        <v>0.41</v>
      </c>
      <c r="F83" s="250">
        <v>0.66</v>
      </c>
      <c r="G83" s="250">
        <v>1.02</v>
      </c>
      <c r="H83" s="250">
        <v>1.6</v>
      </c>
      <c r="I83" s="250">
        <v>2.52</v>
      </c>
      <c r="J83" s="250">
        <v>3.97</v>
      </c>
      <c r="K83" s="250">
        <v>6.4</v>
      </c>
      <c r="L83" s="250">
        <v>10</v>
      </c>
      <c r="M83" s="250">
        <v>16</v>
      </c>
      <c r="N83" s="326"/>
      <c r="O83" s="326"/>
      <c r="P83" s="326"/>
      <c r="Q83" s="326"/>
      <c r="R83" s="326"/>
      <c r="S83" s="326"/>
      <c r="T83" s="326"/>
      <c r="U83" s="326"/>
      <c r="V83" s="326"/>
      <c r="W83" s="369"/>
      <c r="X83" s="369"/>
      <c r="Y83" s="369"/>
    </row>
    <row r="84" spans="1:28" ht="15.75" customHeight="1">
      <c r="A84" s="233">
        <v>17</v>
      </c>
      <c r="B84" s="75">
        <v>2</v>
      </c>
      <c r="C84" s="274">
        <v>0.16</v>
      </c>
      <c r="D84" s="274">
        <v>0.25</v>
      </c>
      <c r="E84" s="274">
        <v>0.41</v>
      </c>
      <c r="F84" s="274">
        <v>0.66</v>
      </c>
      <c r="G84" s="274">
        <v>1.02</v>
      </c>
      <c r="H84" s="274">
        <v>1.6</v>
      </c>
      <c r="I84" s="274">
        <v>2.5299999999999998</v>
      </c>
      <c r="J84" s="274">
        <v>3.97</v>
      </c>
      <c r="K84" s="274">
        <v>6.4</v>
      </c>
      <c r="L84" s="274">
        <v>10</v>
      </c>
      <c r="M84" s="274">
        <v>16</v>
      </c>
      <c r="N84" s="274"/>
      <c r="O84" s="274"/>
      <c r="P84" s="274"/>
      <c r="Q84" s="274"/>
      <c r="R84" s="274"/>
      <c r="S84" s="274"/>
      <c r="T84" s="274"/>
      <c r="U84" s="274"/>
      <c r="V84" s="274"/>
      <c r="W84" s="259"/>
      <c r="X84" s="259"/>
      <c r="Y84" s="259"/>
    </row>
    <row r="85" spans="1:28" ht="15.75" customHeight="1">
      <c r="A85" s="233">
        <v>17</v>
      </c>
      <c r="B85" s="75">
        <v>3</v>
      </c>
      <c r="C85" s="326">
        <v>0.16</v>
      </c>
      <c r="D85" s="326">
        <v>0.25</v>
      </c>
      <c r="E85" s="326">
        <v>0.41</v>
      </c>
      <c r="F85" s="326">
        <v>0.66</v>
      </c>
      <c r="G85" s="326">
        <v>1.02</v>
      </c>
      <c r="H85" s="326">
        <v>1.6</v>
      </c>
      <c r="I85" s="326">
        <v>2.54</v>
      </c>
      <c r="J85" s="326">
        <v>3.97</v>
      </c>
      <c r="K85" s="326">
        <v>6.4</v>
      </c>
      <c r="L85" s="326">
        <v>10</v>
      </c>
      <c r="M85" s="326">
        <v>16</v>
      </c>
      <c r="N85" s="326"/>
      <c r="O85" s="326"/>
      <c r="P85" s="326"/>
      <c r="Q85" s="326"/>
      <c r="R85" s="326"/>
      <c r="S85" s="326"/>
      <c r="T85" s="326"/>
      <c r="U85" s="326"/>
      <c r="V85" s="326"/>
      <c r="W85" s="369"/>
      <c r="X85" s="369"/>
      <c r="Y85" s="369"/>
    </row>
    <row r="86" spans="1:28" ht="15.75" customHeight="1">
      <c r="A86" s="233">
        <v>17</v>
      </c>
      <c r="B86" s="75">
        <v>4</v>
      </c>
      <c r="C86" s="274">
        <v>0.16</v>
      </c>
      <c r="D86" s="274">
        <v>0.25</v>
      </c>
      <c r="E86" s="274">
        <v>0.41</v>
      </c>
      <c r="F86" s="274">
        <v>0.66</v>
      </c>
      <c r="G86" s="274">
        <v>1.02</v>
      </c>
      <c r="H86" s="274">
        <v>1.6</v>
      </c>
      <c r="I86" s="274">
        <v>2.5499999999999998</v>
      </c>
      <c r="J86" s="274">
        <v>3.97</v>
      </c>
      <c r="K86" s="274">
        <v>6.4</v>
      </c>
      <c r="L86" s="274">
        <v>10</v>
      </c>
      <c r="M86" s="274">
        <v>16</v>
      </c>
      <c r="N86" s="274"/>
      <c r="O86" s="274"/>
      <c r="P86" s="274"/>
      <c r="Q86" s="274"/>
      <c r="R86" s="274"/>
      <c r="S86" s="274"/>
      <c r="T86" s="274"/>
      <c r="U86" s="274"/>
      <c r="V86" s="274"/>
      <c r="W86" s="259"/>
      <c r="X86" s="259"/>
      <c r="Y86" s="259"/>
    </row>
    <row r="87" spans="1:28" ht="15.75" customHeight="1">
      <c r="A87" s="229">
        <v>18</v>
      </c>
      <c r="B87" s="74">
        <v>1</v>
      </c>
      <c r="C87" s="250">
        <v>0.19</v>
      </c>
      <c r="D87" s="250">
        <v>0.28999999999999998</v>
      </c>
      <c r="E87" s="250">
        <v>0.41</v>
      </c>
      <c r="F87" s="250">
        <v>0.6</v>
      </c>
      <c r="G87" s="250">
        <v>0.83</v>
      </c>
      <c r="H87" s="250">
        <v>1.21</v>
      </c>
      <c r="I87" s="250">
        <v>1.82</v>
      </c>
      <c r="J87" s="250">
        <v>2.4900000000000002</v>
      </c>
      <c r="K87" s="250">
        <v>3.57</v>
      </c>
      <c r="L87" s="250">
        <v>5.1100000000000003</v>
      </c>
      <c r="M87" s="250">
        <v>7.5</v>
      </c>
      <c r="N87" s="250">
        <v>10.49</v>
      </c>
      <c r="O87" s="250">
        <v>15.77</v>
      </c>
      <c r="P87" s="250">
        <v>22.6</v>
      </c>
      <c r="Q87" s="250">
        <v>31.62</v>
      </c>
      <c r="R87" s="250">
        <v>46.42</v>
      </c>
      <c r="S87" s="250">
        <v>68.13</v>
      </c>
      <c r="T87" s="250">
        <v>100</v>
      </c>
      <c r="U87" s="250">
        <v>143.30000000000001</v>
      </c>
      <c r="V87" s="250">
        <v>205.35</v>
      </c>
      <c r="W87" s="370"/>
      <c r="X87" s="369"/>
      <c r="Y87" s="369"/>
    </row>
    <row r="88" spans="1:28" ht="15.75" customHeight="1">
      <c r="A88" s="228">
        <v>18</v>
      </c>
      <c r="B88" s="75">
        <v>2</v>
      </c>
      <c r="C88" s="274">
        <v>1.24</v>
      </c>
      <c r="D88" s="274">
        <v>1.78</v>
      </c>
      <c r="E88" s="274">
        <v>2.4900000000000002</v>
      </c>
      <c r="F88" s="274">
        <v>3.48</v>
      </c>
      <c r="G88" s="274">
        <v>4.87</v>
      </c>
      <c r="H88" s="274">
        <v>6.49</v>
      </c>
      <c r="I88" s="274">
        <v>9.5299999999999994</v>
      </c>
      <c r="J88" s="274">
        <v>13.02</v>
      </c>
      <c r="K88" s="274">
        <v>17.78</v>
      </c>
      <c r="L88" s="274">
        <v>26.1</v>
      </c>
      <c r="M88" s="274">
        <v>35.65</v>
      </c>
      <c r="N88" s="274">
        <v>51.09</v>
      </c>
      <c r="O88" s="274">
        <v>69.78</v>
      </c>
      <c r="P88" s="274">
        <v>100</v>
      </c>
      <c r="Q88" s="274">
        <v>133.35</v>
      </c>
      <c r="R88" s="274">
        <v>191.1</v>
      </c>
      <c r="S88" s="274">
        <v>273.83999999999997</v>
      </c>
      <c r="T88" s="274"/>
      <c r="U88" s="274"/>
      <c r="V88" s="274"/>
      <c r="W88" s="371"/>
      <c r="X88" s="259"/>
      <c r="Y88" s="259"/>
    </row>
    <row r="89" spans="1:28" ht="15.75" customHeight="1">
      <c r="A89" s="229">
        <v>19</v>
      </c>
      <c r="B89" s="74">
        <v>1</v>
      </c>
      <c r="C89" s="250"/>
      <c r="D89" s="250"/>
      <c r="E89" s="372"/>
      <c r="F89" s="372"/>
      <c r="G89" s="250"/>
      <c r="H89" s="250"/>
      <c r="I89" s="250"/>
      <c r="J89" s="250"/>
      <c r="K89" s="250"/>
      <c r="L89" s="250"/>
      <c r="M89" s="250"/>
      <c r="N89" s="250"/>
      <c r="O89" s="373"/>
      <c r="P89" s="374"/>
      <c r="Q89" s="374"/>
      <c r="R89" s="374"/>
      <c r="S89" s="374"/>
      <c r="T89" s="374"/>
      <c r="U89" s="374"/>
      <c r="V89" s="374"/>
      <c r="W89" s="369"/>
      <c r="X89" s="369"/>
      <c r="Y89" s="369"/>
    </row>
    <row r="90" spans="1:28" ht="15.75" customHeight="1">
      <c r="A90" s="228">
        <v>19</v>
      </c>
      <c r="B90" s="75">
        <v>2</v>
      </c>
      <c r="C90" s="274"/>
      <c r="D90" s="274"/>
      <c r="E90" s="366"/>
      <c r="F90" s="366"/>
      <c r="G90" s="274"/>
      <c r="H90" s="274"/>
      <c r="I90" s="274"/>
      <c r="J90" s="274"/>
      <c r="K90" s="274"/>
      <c r="L90" s="274"/>
      <c r="M90" s="274"/>
      <c r="N90" s="274"/>
      <c r="O90" s="371"/>
      <c r="P90" s="259"/>
      <c r="Q90" s="259"/>
      <c r="R90" s="259"/>
      <c r="S90" s="259"/>
      <c r="T90" s="259"/>
      <c r="U90" s="259"/>
      <c r="V90" s="259"/>
      <c r="W90" s="259"/>
      <c r="X90" s="259"/>
      <c r="Y90" s="259"/>
    </row>
    <row r="91" spans="1:28" ht="15.75" customHeight="1">
      <c r="A91" s="228">
        <v>19</v>
      </c>
      <c r="B91" s="75">
        <v>3</v>
      </c>
      <c r="C91" s="326"/>
      <c r="D91" s="326"/>
      <c r="E91" s="375"/>
      <c r="F91" s="375"/>
      <c r="G91" s="326"/>
      <c r="H91" s="326"/>
      <c r="I91" s="326"/>
      <c r="J91" s="326"/>
      <c r="K91" s="326"/>
      <c r="L91" s="326"/>
      <c r="M91" s="326"/>
      <c r="N91" s="326"/>
      <c r="O91" s="370"/>
      <c r="P91" s="369"/>
      <c r="Q91" s="369"/>
      <c r="R91" s="369"/>
      <c r="S91" s="369"/>
      <c r="T91" s="369"/>
      <c r="U91" s="369"/>
      <c r="V91" s="369"/>
      <c r="W91" s="369"/>
      <c r="X91" s="369"/>
      <c r="Y91" s="369"/>
    </row>
    <row r="92" spans="1:28" ht="15.75" customHeight="1">
      <c r="A92" s="228">
        <v>19</v>
      </c>
      <c r="B92" s="75">
        <v>4</v>
      </c>
      <c r="C92" s="274"/>
      <c r="D92" s="274"/>
      <c r="E92" s="366"/>
      <c r="F92" s="366"/>
      <c r="G92" s="274"/>
      <c r="H92" s="274"/>
      <c r="I92" s="274"/>
      <c r="J92" s="274"/>
      <c r="K92" s="274"/>
      <c r="L92" s="274"/>
      <c r="M92" s="274"/>
      <c r="N92" s="274"/>
      <c r="O92" s="371"/>
      <c r="P92" s="259"/>
      <c r="Q92" s="259"/>
      <c r="R92" s="259"/>
      <c r="S92" s="259"/>
      <c r="T92" s="259"/>
      <c r="U92" s="259"/>
      <c r="V92" s="259"/>
      <c r="W92" s="259"/>
      <c r="X92" s="259"/>
      <c r="Y92" s="259"/>
    </row>
    <row r="93" spans="1:28" ht="15.75" customHeight="1">
      <c r="A93" s="230">
        <v>19</v>
      </c>
      <c r="B93" s="75">
        <v>5</v>
      </c>
      <c r="C93" s="326"/>
      <c r="D93" s="326"/>
      <c r="E93" s="375"/>
      <c r="F93" s="375"/>
      <c r="G93" s="326"/>
      <c r="H93" s="326"/>
      <c r="I93" s="326"/>
      <c r="J93" s="326"/>
      <c r="K93" s="326"/>
      <c r="L93" s="326"/>
      <c r="M93" s="326"/>
      <c r="N93" s="326"/>
      <c r="O93" s="370"/>
      <c r="P93" s="369"/>
      <c r="Q93" s="369"/>
      <c r="R93" s="369"/>
      <c r="S93" s="369"/>
      <c r="T93" s="369"/>
      <c r="U93" s="369"/>
      <c r="V93" s="369"/>
      <c r="W93" s="369"/>
      <c r="X93" s="369"/>
      <c r="Y93" s="369"/>
      <c r="Z93" s="2"/>
      <c r="AA93" s="2"/>
    </row>
    <row r="94" spans="1:28" ht="15.75" customHeight="1">
      <c r="A94" s="272">
        <v>20</v>
      </c>
      <c r="B94" s="200" t="s">
        <v>221</v>
      </c>
      <c r="C94" s="223">
        <v>0.1</v>
      </c>
      <c r="D94" s="223">
        <v>0.24556039520355999</v>
      </c>
      <c r="E94" s="223">
        <v>0.61781862824222999</v>
      </c>
      <c r="F94" s="223">
        <v>1.55440468444548</v>
      </c>
      <c r="G94" s="223">
        <v>3.91081429496607</v>
      </c>
      <c r="H94" s="223">
        <v>9.8394379550954696</v>
      </c>
      <c r="I94" s="223">
        <v>25.057939345604101</v>
      </c>
      <c r="J94" s="223">
        <v>98.793231355898996</v>
      </c>
      <c r="K94" s="224"/>
      <c r="L94" s="222"/>
      <c r="M94" s="222"/>
      <c r="N94" s="222"/>
      <c r="O94" s="224"/>
      <c r="P94" s="224"/>
      <c r="Q94" s="222"/>
      <c r="R94" s="222"/>
      <c r="S94" s="222"/>
      <c r="T94" s="224"/>
      <c r="U94" s="224"/>
      <c r="V94" s="222"/>
      <c r="W94" s="222"/>
      <c r="X94" s="222"/>
      <c r="Y94" s="224"/>
      <c r="Z94" s="222"/>
      <c r="AA94" s="225"/>
      <c r="AB94" s="2"/>
    </row>
    <row r="95" spans="1:28" ht="15.75" customHeight="1">
      <c r="A95" s="233">
        <v>20</v>
      </c>
      <c r="B95" s="201" t="s">
        <v>222</v>
      </c>
      <c r="C95" s="21">
        <v>0.1</v>
      </c>
      <c r="D95" s="21">
        <v>0.156703667858656</v>
      </c>
      <c r="E95" s="21">
        <v>0.99193892886254598</v>
      </c>
      <c r="F95" s="21">
        <v>2.4655603947361699</v>
      </c>
      <c r="G95" s="21">
        <v>6.2790032424797699</v>
      </c>
      <c r="H95" s="21">
        <v>15.7976979126181</v>
      </c>
      <c r="I95" s="21">
        <v>61.5323748869342</v>
      </c>
      <c r="J95" s="21">
        <v>96.423582143358601</v>
      </c>
      <c r="K95" s="24"/>
      <c r="L95" s="22"/>
      <c r="M95" s="22"/>
      <c r="N95" s="22"/>
      <c r="O95" s="24"/>
      <c r="P95" s="24"/>
      <c r="Q95" s="22"/>
      <c r="R95" s="22"/>
      <c r="S95" s="22"/>
      <c r="T95" s="24"/>
      <c r="U95" s="24"/>
      <c r="V95" s="22"/>
      <c r="W95" s="22"/>
      <c r="X95" s="22"/>
      <c r="Y95" s="24"/>
      <c r="Z95" s="22"/>
      <c r="AA95" s="226"/>
      <c r="AB95" s="2"/>
    </row>
    <row r="96" spans="1:28" ht="15.75" customHeight="1">
      <c r="A96" s="233">
        <v>20</v>
      </c>
      <c r="B96" s="201" t="s">
        <v>223</v>
      </c>
      <c r="C96" s="21">
        <v>9.7601215457868901E-2</v>
      </c>
      <c r="D96" s="21">
        <v>0.31304479344083602</v>
      </c>
      <c r="E96" s="21">
        <v>0.74122016431039695</v>
      </c>
      <c r="F96" s="21">
        <v>3.1431405860308699</v>
      </c>
      <c r="G96" s="21">
        <v>7.4422622455649998</v>
      </c>
      <c r="H96" s="21">
        <v>23.2975918162848</v>
      </c>
      <c r="I96" s="21">
        <v>41.220536589744803</v>
      </c>
      <c r="J96" s="21">
        <v>97.601200000000006</v>
      </c>
      <c r="K96" s="24"/>
      <c r="L96" s="22"/>
      <c r="M96" s="22"/>
      <c r="N96" s="22"/>
      <c r="O96" s="24"/>
      <c r="P96" s="24"/>
      <c r="Q96" s="22"/>
      <c r="R96" s="22"/>
      <c r="S96" s="22"/>
      <c r="T96" s="24"/>
      <c r="U96" s="24"/>
      <c r="V96" s="22"/>
      <c r="W96" s="22"/>
      <c r="X96" s="22"/>
      <c r="Y96" s="24"/>
      <c r="Z96" s="22"/>
      <c r="AA96" s="226"/>
      <c r="AB96" s="2"/>
    </row>
    <row r="97" spans="1:28" ht="15.75" customHeight="1">
      <c r="A97" s="233">
        <v>20</v>
      </c>
      <c r="B97" s="201" t="s">
        <v>224</v>
      </c>
      <c r="C97" s="21">
        <v>0.1</v>
      </c>
      <c r="D97" s="21">
        <v>0.156703667858656</v>
      </c>
      <c r="E97" s="21">
        <v>0.99193892886254598</v>
      </c>
      <c r="F97" s="21">
        <v>2.4655603947361699</v>
      </c>
      <c r="G97" s="21">
        <v>6.2790032424797699</v>
      </c>
      <c r="H97" s="21">
        <v>15.7976979126181</v>
      </c>
      <c r="I97" s="21">
        <v>61.5323748869342</v>
      </c>
      <c r="J97" s="21">
        <v>96.423582143358601</v>
      </c>
      <c r="K97" s="24"/>
      <c r="L97" s="22"/>
      <c r="M97" s="22"/>
      <c r="N97" s="22"/>
      <c r="O97" s="24"/>
      <c r="P97" s="24"/>
      <c r="Q97" s="22"/>
      <c r="R97" s="22"/>
      <c r="S97" s="22"/>
      <c r="T97" s="24"/>
      <c r="U97" s="24"/>
      <c r="V97" s="22"/>
      <c r="W97" s="22"/>
      <c r="X97" s="22"/>
      <c r="Y97" s="24"/>
      <c r="Z97" s="22"/>
      <c r="AA97" s="226"/>
      <c r="AB97" s="2"/>
    </row>
    <row r="98" spans="1:28" ht="15.75" customHeight="1">
      <c r="A98" s="233">
        <v>20</v>
      </c>
      <c r="B98" s="201" t="s">
        <v>225</v>
      </c>
      <c r="C98" s="21">
        <v>9.7269999999999995E-2</v>
      </c>
      <c r="D98" s="21">
        <v>0.12937526846038699</v>
      </c>
      <c r="E98" s="21">
        <v>0.173652329579458</v>
      </c>
      <c r="F98" s="21">
        <v>0.23094865758781999</v>
      </c>
      <c r="G98" s="21">
        <v>0.30714982385082601</v>
      </c>
      <c r="H98" s="21">
        <v>0.40849345164831602</v>
      </c>
      <c r="I98" s="21">
        <v>0.548295552485765</v>
      </c>
      <c r="J98" s="21">
        <v>0.72920485498018195</v>
      </c>
      <c r="K98" s="21">
        <v>0.97876667844574705</v>
      </c>
      <c r="L98" s="21">
        <v>1.3137381139100499</v>
      </c>
      <c r="M98" s="21">
        <v>1.7153572610085099</v>
      </c>
      <c r="N98" s="21">
        <v>2.3024152903961701</v>
      </c>
      <c r="O98" s="21">
        <v>3.0903899648954098</v>
      </c>
      <c r="P98" s="21">
        <v>4.1100595399089501</v>
      </c>
      <c r="Q98" s="21">
        <v>5.4661744801146597</v>
      </c>
      <c r="R98" s="21">
        <v>7.3368994255983502</v>
      </c>
      <c r="S98" s="21">
        <v>9.7577108102580095</v>
      </c>
      <c r="T98" s="21">
        <v>12.8584309009932</v>
      </c>
      <c r="U98" s="21">
        <v>17.418565873262899</v>
      </c>
      <c r="V98" s="21">
        <v>23.1657957902279</v>
      </c>
      <c r="W98" s="21">
        <v>31.094018154569302</v>
      </c>
      <c r="X98" s="21">
        <v>40.974855341396101</v>
      </c>
      <c r="Y98" s="21">
        <v>54.997950342038699</v>
      </c>
      <c r="Z98" s="21">
        <v>73.144534695700401</v>
      </c>
      <c r="AA98" s="211">
        <v>97.278342309736303</v>
      </c>
      <c r="AB98" s="2"/>
    </row>
    <row r="99" spans="1:28" ht="15.75" customHeight="1">
      <c r="A99" s="233">
        <v>20</v>
      </c>
      <c r="B99" s="201" t="s">
        <v>226</v>
      </c>
      <c r="C99" s="62">
        <v>9.7278342309736504E-2</v>
      </c>
      <c r="D99" s="62">
        <v>0.152670593281933</v>
      </c>
      <c r="E99" s="62">
        <v>0.24630781387886</v>
      </c>
      <c r="F99" s="62">
        <v>0.38656020890200798</v>
      </c>
      <c r="G99" s="62">
        <v>0.60667500861282597</v>
      </c>
      <c r="H99" s="62">
        <v>0.96980491290866999</v>
      </c>
      <c r="I99" s="62">
        <v>1.5360952043218301</v>
      </c>
      <c r="J99" s="62">
        <v>2.4330547776496401</v>
      </c>
      <c r="K99" s="62">
        <v>3.8184828500034702</v>
      </c>
      <c r="L99" s="62">
        <v>6.16047485592411</v>
      </c>
      <c r="M99" s="62">
        <v>9.6683674372296302</v>
      </c>
      <c r="N99" s="62">
        <v>15.455431961653</v>
      </c>
      <c r="O99" s="62">
        <v>24.480196584911901</v>
      </c>
      <c r="P99" s="62">
        <v>38.774767558228397</v>
      </c>
      <c r="Q99" s="62">
        <v>60.853787292089301</v>
      </c>
      <c r="R99" s="62">
        <v>99.084506991156204</v>
      </c>
      <c r="S99" s="22"/>
      <c r="T99" s="22"/>
      <c r="U99" s="22"/>
      <c r="V99" s="22"/>
      <c r="W99" s="22"/>
      <c r="X99" s="22"/>
      <c r="Y99" s="22"/>
      <c r="Z99" s="22"/>
      <c r="AA99" s="226"/>
      <c r="AB99" s="2"/>
    </row>
    <row r="100" spans="1:28" ht="15.75" customHeight="1">
      <c r="A100" s="233">
        <v>20</v>
      </c>
      <c r="B100" s="201" t="s">
        <v>227</v>
      </c>
      <c r="C100" s="21">
        <v>9.6387644133333797E-2</v>
      </c>
      <c r="D100" s="21">
        <v>0.12937526846038699</v>
      </c>
      <c r="E100" s="21">
        <v>0.17048701095409499</v>
      </c>
      <c r="F100" s="21">
        <v>0.233082658897869</v>
      </c>
      <c r="G100" s="21">
        <v>0.31285246977541098</v>
      </c>
      <c r="H100" s="21">
        <v>0.41226825469207901</v>
      </c>
      <c r="I100" s="21">
        <v>0.54327560191187296</v>
      </c>
      <c r="J100" s="21">
        <v>0.74274398427981103</v>
      </c>
      <c r="K100" s="21">
        <v>1.2546869171799599</v>
      </c>
      <c r="L100" s="21">
        <v>1.69965113826852</v>
      </c>
      <c r="M100" s="21">
        <v>2.2813368393780502</v>
      </c>
      <c r="N100" s="21">
        <v>3.0340605382948298</v>
      </c>
      <c r="O100" s="21">
        <v>4.0724322321617796</v>
      </c>
      <c r="P100" s="21">
        <v>5.3665341671306797</v>
      </c>
      <c r="Q100" s="21">
        <v>7.4046981875412303</v>
      </c>
      <c r="R100" s="21">
        <v>9.6683674372296302</v>
      </c>
      <c r="S100" s="21">
        <v>12.8584309009932</v>
      </c>
      <c r="T100" s="21">
        <v>17.259078319399499</v>
      </c>
      <c r="U100" s="21">
        <v>22.7435174397183</v>
      </c>
      <c r="V100" s="21">
        <v>30.809315674965799</v>
      </c>
      <c r="W100" s="21">
        <v>40.974855341396101</v>
      </c>
      <c r="X100" s="21">
        <v>54.494379116291803</v>
      </c>
      <c r="Y100" s="21">
        <v>72.474718499129906</v>
      </c>
      <c r="Z100" s="21">
        <v>98.177271242773799</v>
      </c>
      <c r="AA100" s="226"/>
      <c r="AB100" s="2"/>
    </row>
    <row r="101" spans="1:28" ht="15.75" customHeight="1">
      <c r="A101" s="233">
        <v>20</v>
      </c>
      <c r="B101" s="201" t="s">
        <v>228</v>
      </c>
      <c r="C101" s="21">
        <v>9.7841180949089002E-2</v>
      </c>
      <c r="D101" s="21">
        <v>0.15335214006051601</v>
      </c>
      <c r="E101" s="21">
        <v>0.24417799921022301</v>
      </c>
      <c r="F101" s="21">
        <v>0.376726958756473</v>
      </c>
      <c r="G101" s="21">
        <v>0.60459855965556197</v>
      </c>
      <c r="H101" s="21">
        <v>1.5328500236423499</v>
      </c>
      <c r="I101" s="21">
        <v>2.4600281315711201</v>
      </c>
      <c r="J101" s="21">
        <v>3.8862633022462498</v>
      </c>
      <c r="K101" s="21">
        <v>6.1879762345611997</v>
      </c>
      <c r="L101" s="21">
        <v>9.5470474308631808</v>
      </c>
      <c r="M101" s="21">
        <v>15.565309093814699</v>
      </c>
      <c r="N101" s="21">
        <v>24.589511291799301</v>
      </c>
      <c r="O101" s="21">
        <v>38.540587150162999</v>
      </c>
      <c r="P101" s="21">
        <v>60.885023047701402</v>
      </c>
      <c r="Q101" s="21">
        <v>97.712732345747497</v>
      </c>
      <c r="R101" s="22"/>
      <c r="S101" s="22"/>
      <c r="T101" s="22"/>
      <c r="U101" s="22"/>
      <c r="V101" s="22"/>
      <c r="W101" s="22"/>
      <c r="X101" s="22"/>
      <c r="Y101" s="22"/>
      <c r="Z101" s="22"/>
      <c r="AA101" s="226"/>
      <c r="AB101" s="2"/>
    </row>
    <row r="102" spans="1:28" ht="15.75" customHeight="1">
      <c r="A102" s="233">
        <v>20</v>
      </c>
      <c r="B102" s="201" t="s">
        <v>231</v>
      </c>
      <c r="C102" s="21">
        <v>0.101775190930399</v>
      </c>
      <c r="D102" s="21">
        <v>0.13517797972835599</v>
      </c>
      <c r="E102" s="21">
        <v>0.23847043918164099</v>
      </c>
      <c r="F102" s="21">
        <v>0.31673683830819799</v>
      </c>
      <c r="G102" s="21">
        <v>0.55876205121047695</v>
      </c>
      <c r="H102" s="21">
        <v>1.0013905511180601</v>
      </c>
      <c r="I102" s="21">
        <v>1.31960369156694</v>
      </c>
      <c r="J102" s="21">
        <v>1.76657392109554</v>
      </c>
      <c r="K102" s="21">
        <v>3.16598170653198</v>
      </c>
      <c r="L102" s="21">
        <v>5.6293819976902002</v>
      </c>
      <c r="M102" s="21">
        <v>9.8529221778055902</v>
      </c>
      <c r="N102" s="21">
        <v>17.381756138725201</v>
      </c>
      <c r="O102" s="21">
        <v>23.2692411268632</v>
      </c>
      <c r="P102" s="21">
        <v>31.150874189559602</v>
      </c>
      <c r="Q102" s="21">
        <v>41.049778685089798</v>
      </c>
      <c r="R102" s="21">
        <v>73.567645632033305</v>
      </c>
      <c r="S102" s="21">
        <v>97.712732345747497</v>
      </c>
      <c r="T102" s="22"/>
      <c r="U102" s="22"/>
      <c r="V102" s="22"/>
      <c r="W102" s="22"/>
      <c r="X102" s="22"/>
      <c r="Y102" s="22"/>
      <c r="Z102" s="22"/>
      <c r="AA102" s="226"/>
      <c r="AB102" s="2"/>
    </row>
    <row r="103" spans="1:28" ht="15.75" customHeight="1">
      <c r="A103" s="233">
        <v>20</v>
      </c>
      <c r="B103" s="201" t="s">
        <v>232</v>
      </c>
      <c r="C103" s="21">
        <v>0.101775190930399</v>
      </c>
      <c r="D103" s="21">
        <v>0.157022574843277</v>
      </c>
      <c r="E103" s="21">
        <v>0.25200097953550099</v>
      </c>
      <c r="F103" s="21">
        <v>0.63388586387008095</v>
      </c>
      <c r="G103" s="21">
        <v>1.5819615060449701</v>
      </c>
      <c r="H103" s="21">
        <v>3.9480328387967001</v>
      </c>
      <c r="I103" s="21">
        <v>9.8529221778055902</v>
      </c>
      <c r="J103" s="21">
        <v>24.589511291799301</v>
      </c>
      <c r="K103" s="21">
        <v>60.885023047701402</v>
      </c>
      <c r="L103" s="21">
        <v>99.265684996793198</v>
      </c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6"/>
      <c r="AB103" s="2"/>
    </row>
    <row r="104" spans="1:28" ht="15.75" customHeight="1">
      <c r="A104" s="233">
        <v>20</v>
      </c>
      <c r="B104" s="201" t="s">
        <v>233</v>
      </c>
      <c r="C104" s="21">
        <v>0.101775190930399</v>
      </c>
      <c r="D104" s="21">
        <v>0.17813365711203899</v>
      </c>
      <c r="E104" s="21">
        <v>0.31673683830819799</v>
      </c>
      <c r="F104" s="21">
        <v>0.73053868205783301</v>
      </c>
      <c r="G104" s="21">
        <v>1.31960369156694</v>
      </c>
      <c r="H104" s="21">
        <v>3.16598170653198</v>
      </c>
      <c r="I104" s="21">
        <v>5.4978009874522797</v>
      </c>
      <c r="J104" s="21">
        <v>9.7755529799156999</v>
      </c>
      <c r="K104" s="21">
        <v>17.519347215572001</v>
      </c>
      <c r="L104" s="21">
        <v>41.374669610129899</v>
      </c>
      <c r="M104" s="21">
        <v>100.051329189195</v>
      </c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6"/>
      <c r="AB104" s="2"/>
    </row>
    <row r="105" spans="1:28" ht="15.75" customHeight="1">
      <c r="A105" s="233">
        <v>20</v>
      </c>
      <c r="B105" s="201" t="s">
        <v>234</v>
      </c>
      <c r="C105" s="21">
        <v>0.159518141367955</v>
      </c>
      <c r="D105" s="21">
        <v>0.25200097953550099</v>
      </c>
      <c r="E105" s="21">
        <v>0.39810226755753703</v>
      </c>
      <c r="F105" s="21">
        <v>0.62890793411430201</v>
      </c>
      <c r="G105" s="21">
        <v>1.0013905511180601</v>
      </c>
      <c r="H105" s="21">
        <v>1.5572116748900799</v>
      </c>
      <c r="I105" s="21">
        <v>3.91702631309502</v>
      </c>
      <c r="J105" s="21">
        <v>9.93091626319673</v>
      </c>
      <c r="K105" s="21">
        <v>15.6885016622526</v>
      </c>
      <c r="L105" s="21">
        <v>39.153163813527897</v>
      </c>
      <c r="M105" s="21">
        <v>61.852671333457401</v>
      </c>
      <c r="N105" s="21">
        <v>98.486210005760199</v>
      </c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6"/>
      <c r="AB105" s="2"/>
    </row>
    <row r="106" spans="1:28" ht="15.75" customHeight="1">
      <c r="A106" s="228">
        <v>20</v>
      </c>
      <c r="B106" s="75" t="s">
        <v>235</v>
      </c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36"/>
      <c r="AB106" s="2"/>
    </row>
    <row r="107" spans="1:28" ht="15.75" customHeight="1">
      <c r="A107" s="228">
        <v>20</v>
      </c>
      <c r="B107" s="75" t="s">
        <v>236</v>
      </c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36"/>
      <c r="AB107" s="2"/>
    </row>
    <row r="108" spans="1:28" ht="15.75" customHeight="1">
      <c r="A108" s="228">
        <v>20</v>
      </c>
      <c r="B108" s="75" t="s">
        <v>237</v>
      </c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36"/>
      <c r="AB108" s="2"/>
    </row>
    <row r="109" spans="1:28" ht="15.75" customHeight="1">
      <c r="A109" s="228">
        <v>20</v>
      </c>
      <c r="B109" s="75" t="s">
        <v>238</v>
      </c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36"/>
      <c r="AB109" s="2"/>
    </row>
    <row r="110" spans="1:28" ht="15.75" customHeight="1">
      <c r="A110" s="228">
        <v>20</v>
      </c>
      <c r="B110" s="75" t="s">
        <v>239</v>
      </c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36"/>
      <c r="AB110" s="2"/>
    </row>
    <row r="111" spans="1:28" ht="15.75" customHeight="1">
      <c r="A111" s="228">
        <v>20</v>
      </c>
      <c r="B111" s="75" t="s">
        <v>240</v>
      </c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36"/>
      <c r="AB111" s="2"/>
    </row>
    <row r="112" spans="1:28" ht="15.75" customHeight="1">
      <c r="A112" s="228">
        <v>20</v>
      </c>
      <c r="B112" s="75" t="s">
        <v>241</v>
      </c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36"/>
      <c r="AB112" s="2"/>
    </row>
    <row r="113" spans="1:28" ht="15.75" customHeight="1">
      <c r="A113" s="230">
        <v>20</v>
      </c>
      <c r="B113" s="231" t="s">
        <v>242</v>
      </c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237"/>
      <c r="AB113" s="2"/>
    </row>
    <row r="114" spans="1:28" ht="15.75" customHeight="1">
      <c r="A114" s="233">
        <v>21</v>
      </c>
      <c r="B114" s="75" t="s">
        <v>221</v>
      </c>
      <c r="C114" s="2"/>
      <c r="D114" s="2"/>
      <c r="E114" s="97"/>
      <c r="F114" s="97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8" ht="15.75" customHeight="1">
      <c r="A115" s="233">
        <v>21</v>
      </c>
      <c r="B115" s="75" t="s">
        <v>222</v>
      </c>
      <c r="E115" s="97"/>
      <c r="F115" s="97"/>
    </row>
    <row r="116" spans="1:28" ht="15.75" customHeight="1">
      <c r="A116" s="233">
        <v>21</v>
      </c>
      <c r="B116" s="75" t="s">
        <v>223</v>
      </c>
      <c r="E116" s="97"/>
      <c r="F116" s="97"/>
    </row>
    <row r="117" spans="1:28" ht="15.75" customHeight="1">
      <c r="A117" s="233">
        <v>21</v>
      </c>
      <c r="B117" s="75" t="s">
        <v>224</v>
      </c>
      <c r="E117" s="97"/>
      <c r="F117" s="97"/>
    </row>
    <row r="118" spans="1:28" ht="15.75" customHeight="1">
      <c r="A118" s="233">
        <v>21</v>
      </c>
      <c r="B118" s="75" t="s">
        <v>229</v>
      </c>
      <c r="E118" s="97"/>
      <c r="F118" s="97"/>
    </row>
    <row r="119" spans="1:28" ht="15.75" customHeight="1">
      <c r="A119" s="233">
        <v>21</v>
      </c>
      <c r="B119" s="75" t="s">
        <v>243</v>
      </c>
      <c r="E119" s="97"/>
      <c r="F119" s="97"/>
    </row>
    <row r="120" spans="1:28" ht="15.75" customHeight="1">
      <c r="A120" s="233">
        <v>21</v>
      </c>
      <c r="B120" s="75" t="s">
        <v>244</v>
      </c>
      <c r="C120" s="2"/>
      <c r="E120" s="97"/>
      <c r="F120" s="97"/>
    </row>
    <row r="121" spans="1:28" ht="15.75" customHeight="1">
      <c r="A121" s="233">
        <v>21</v>
      </c>
      <c r="B121" s="75" t="s">
        <v>245</v>
      </c>
      <c r="C121" s="2"/>
      <c r="D121" s="2"/>
      <c r="E121" s="97"/>
      <c r="F121" s="97"/>
    </row>
    <row r="122" spans="1:28" ht="15.75" customHeight="1">
      <c r="A122" s="228">
        <v>21</v>
      </c>
      <c r="B122" s="75" t="s">
        <v>225</v>
      </c>
      <c r="C122" s="2">
        <v>0.98</v>
      </c>
      <c r="D122" s="8">
        <v>1.32</v>
      </c>
      <c r="E122" s="8">
        <v>1.79</v>
      </c>
      <c r="F122" s="8">
        <v>2.44</v>
      </c>
      <c r="G122" s="8">
        <v>3.32</v>
      </c>
      <c r="H122" s="8">
        <v>4.42</v>
      </c>
      <c r="I122" s="8">
        <v>6.27</v>
      </c>
      <c r="J122" s="8">
        <v>8.36</v>
      </c>
      <c r="K122" s="8">
        <v>11.49</v>
      </c>
      <c r="L122" s="8">
        <v>15.31</v>
      </c>
      <c r="M122" s="8">
        <v>21.25</v>
      </c>
      <c r="N122" s="8">
        <v>28.32</v>
      </c>
      <c r="O122" s="8">
        <v>38.130000000000003</v>
      </c>
      <c r="P122" s="8">
        <v>52.41</v>
      </c>
      <c r="Q122" s="8">
        <v>70.56</v>
      </c>
      <c r="R122" s="8">
        <v>95</v>
      </c>
      <c r="S122" s="8">
        <v>130.56</v>
      </c>
      <c r="T122" s="8">
        <v>181.28</v>
      </c>
      <c r="U122" s="8">
        <v>249</v>
      </c>
    </row>
    <row r="123" spans="1:28" ht="15.75" customHeight="1">
      <c r="A123" s="228">
        <v>21</v>
      </c>
      <c r="B123" s="75" t="s">
        <v>226</v>
      </c>
      <c r="C123" s="8">
        <v>0.98</v>
      </c>
      <c r="D123" s="8">
        <v>1.32</v>
      </c>
      <c r="E123" s="8">
        <v>1.79</v>
      </c>
      <c r="F123" s="8">
        <v>2.44</v>
      </c>
      <c r="G123" s="8">
        <v>3.32</v>
      </c>
      <c r="H123" s="8">
        <v>4.42</v>
      </c>
      <c r="I123" s="8">
        <v>6.27</v>
      </c>
      <c r="J123" s="8">
        <v>8.36</v>
      </c>
      <c r="K123" s="8">
        <v>11.49</v>
      </c>
      <c r="L123" s="8">
        <v>15.31</v>
      </c>
      <c r="M123" s="8">
        <v>21.25</v>
      </c>
      <c r="N123" s="8">
        <v>28.32</v>
      </c>
      <c r="O123" s="8">
        <v>38.130000000000003</v>
      </c>
      <c r="P123" s="8">
        <v>52.41</v>
      </c>
      <c r="Q123" s="8">
        <v>70.56</v>
      </c>
      <c r="R123" s="8">
        <v>95</v>
      </c>
      <c r="S123" s="8">
        <v>130.56</v>
      </c>
      <c r="T123" s="8">
        <v>181.28</v>
      </c>
      <c r="U123" s="8">
        <v>249</v>
      </c>
    </row>
    <row r="124" spans="1:28" ht="15.75" customHeight="1">
      <c r="A124" s="228">
        <v>21</v>
      </c>
      <c r="B124" s="75" t="s">
        <v>227</v>
      </c>
      <c r="C124" s="8">
        <v>0.98</v>
      </c>
      <c r="D124" s="8">
        <v>1.32</v>
      </c>
      <c r="E124" s="8">
        <v>1.79</v>
      </c>
      <c r="F124" s="8">
        <v>2.44</v>
      </c>
      <c r="G124" s="8">
        <v>3.32</v>
      </c>
      <c r="H124" s="8">
        <v>4.42</v>
      </c>
      <c r="I124" s="8">
        <v>6.27</v>
      </c>
      <c r="J124" s="8">
        <v>8.36</v>
      </c>
      <c r="K124" s="8">
        <v>11.49</v>
      </c>
      <c r="L124" s="8">
        <v>15.31</v>
      </c>
      <c r="M124" s="8">
        <v>21.25</v>
      </c>
      <c r="N124" s="8">
        <v>28.32</v>
      </c>
      <c r="O124" s="8">
        <v>38.130000000000003</v>
      </c>
      <c r="P124" s="8">
        <v>52.41</v>
      </c>
      <c r="Q124" s="8">
        <v>70.56</v>
      </c>
      <c r="R124" s="8">
        <v>95</v>
      </c>
      <c r="S124" s="8">
        <v>130.56</v>
      </c>
      <c r="T124" s="8">
        <v>181.28</v>
      </c>
      <c r="U124" s="8">
        <v>249</v>
      </c>
    </row>
    <row r="125" spans="1:28" ht="15.75" customHeight="1">
      <c r="A125" s="228">
        <v>21</v>
      </c>
      <c r="B125" s="75" t="s">
        <v>228</v>
      </c>
      <c r="C125" s="8">
        <v>0.98</v>
      </c>
      <c r="D125" s="8">
        <v>1.32</v>
      </c>
      <c r="E125" s="8">
        <v>1.79</v>
      </c>
      <c r="F125" s="8">
        <v>2.44</v>
      </c>
      <c r="G125" s="8">
        <v>3.32</v>
      </c>
      <c r="H125" s="8">
        <v>4.42</v>
      </c>
      <c r="I125" s="8">
        <v>6.27</v>
      </c>
      <c r="J125" s="8">
        <v>8.36</v>
      </c>
      <c r="K125" s="8">
        <v>11.49</v>
      </c>
      <c r="L125" s="8">
        <v>15.31</v>
      </c>
      <c r="M125" s="8">
        <v>21.25</v>
      </c>
      <c r="N125" s="8">
        <v>28.32</v>
      </c>
      <c r="O125" s="8">
        <v>38.130000000000003</v>
      </c>
      <c r="P125" s="8">
        <v>52.41</v>
      </c>
      <c r="Q125" s="8">
        <v>70.56</v>
      </c>
      <c r="R125" s="8">
        <v>95</v>
      </c>
      <c r="S125" s="8">
        <v>130.56</v>
      </c>
      <c r="T125" s="8">
        <v>181.28</v>
      </c>
      <c r="U125" s="8">
        <v>249</v>
      </c>
    </row>
    <row r="126" spans="1:28" ht="15.75" customHeight="1">
      <c r="A126" s="228">
        <v>21</v>
      </c>
      <c r="B126" s="75" t="s">
        <v>230</v>
      </c>
      <c r="C126" s="8">
        <v>0.98</v>
      </c>
      <c r="D126" s="8">
        <v>1.32</v>
      </c>
      <c r="E126" s="8">
        <v>1.79</v>
      </c>
      <c r="F126" s="8">
        <v>2.44</v>
      </c>
      <c r="G126" s="8">
        <v>3.32</v>
      </c>
      <c r="H126" s="8">
        <v>4.42</v>
      </c>
      <c r="I126" s="8">
        <v>6.27</v>
      </c>
      <c r="J126" s="8">
        <v>8.36</v>
      </c>
      <c r="K126" s="8">
        <v>11.49</v>
      </c>
      <c r="L126" s="8">
        <v>15.31</v>
      </c>
      <c r="M126" s="8">
        <v>21.25</v>
      </c>
      <c r="N126" s="8">
        <v>28.32</v>
      </c>
      <c r="O126" s="8">
        <v>38.130000000000003</v>
      </c>
      <c r="P126" s="8">
        <v>52.41</v>
      </c>
      <c r="Q126" s="8">
        <v>70.56</v>
      </c>
      <c r="R126" s="8">
        <v>95</v>
      </c>
      <c r="S126" s="8">
        <v>130.56</v>
      </c>
      <c r="T126" s="8">
        <v>181.28</v>
      </c>
      <c r="U126" s="8">
        <v>249</v>
      </c>
    </row>
    <row r="127" spans="1:28" ht="15.75" customHeight="1">
      <c r="A127" s="228">
        <v>21</v>
      </c>
      <c r="B127" s="75" t="s">
        <v>246</v>
      </c>
      <c r="C127" s="8">
        <v>0.98</v>
      </c>
      <c r="D127" s="8">
        <v>1.32</v>
      </c>
      <c r="E127" s="8">
        <v>1.79</v>
      </c>
      <c r="F127" s="8">
        <v>2.44</v>
      </c>
      <c r="G127" s="8">
        <v>3.32</v>
      </c>
      <c r="H127" s="8">
        <v>4.42</v>
      </c>
      <c r="I127" s="8">
        <v>6.27</v>
      </c>
      <c r="J127" s="8">
        <v>8.36</v>
      </c>
      <c r="K127" s="8">
        <v>11.49</v>
      </c>
      <c r="L127" s="8">
        <v>15.31</v>
      </c>
      <c r="M127" s="8">
        <v>21.25</v>
      </c>
      <c r="N127" s="8">
        <v>28.32</v>
      </c>
      <c r="O127" s="8">
        <v>38.130000000000003</v>
      </c>
      <c r="P127" s="8">
        <v>52.41</v>
      </c>
      <c r="Q127" s="8">
        <v>70.56</v>
      </c>
      <c r="R127" s="8">
        <v>95</v>
      </c>
      <c r="S127" s="8">
        <v>130.56</v>
      </c>
      <c r="T127" s="8">
        <v>181.28</v>
      </c>
      <c r="U127" s="8">
        <v>249</v>
      </c>
    </row>
    <row r="128" spans="1:28" ht="15.75" customHeight="1">
      <c r="A128" s="228">
        <v>21</v>
      </c>
      <c r="B128" s="75" t="s">
        <v>247</v>
      </c>
      <c r="C128" s="8">
        <v>0.98</v>
      </c>
      <c r="D128" s="8">
        <v>1.32</v>
      </c>
      <c r="E128" s="8">
        <v>1.79</v>
      </c>
      <c r="F128" s="8">
        <v>2.44</v>
      </c>
      <c r="G128" s="8">
        <v>3.32</v>
      </c>
      <c r="H128" s="8">
        <v>4.42</v>
      </c>
      <c r="I128" s="8">
        <v>6.27</v>
      </c>
      <c r="J128" s="8">
        <v>8.36</v>
      </c>
      <c r="K128" s="8">
        <v>11.49</v>
      </c>
      <c r="L128" s="8">
        <v>15.31</v>
      </c>
      <c r="M128" s="8">
        <v>21.25</v>
      </c>
      <c r="N128" s="8">
        <v>28.32</v>
      </c>
      <c r="O128" s="8">
        <v>38.130000000000003</v>
      </c>
      <c r="P128" s="8">
        <v>52.41</v>
      </c>
      <c r="Q128" s="8">
        <v>70.56</v>
      </c>
      <c r="R128" s="8">
        <v>95</v>
      </c>
      <c r="S128" s="8">
        <v>130.56</v>
      </c>
      <c r="T128" s="8">
        <v>181.28</v>
      </c>
      <c r="U128" s="8">
        <v>249</v>
      </c>
    </row>
    <row r="129" spans="1:37" ht="15.75" customHeight="1">
      <c r="A129" s="228">
        <v>21</v>
      </c>
      <c r="B129" s="75" t="s">
        <v>248</v>
      </c>
      <c r="C129" s="2">
        <v>0.98</v>
      </c>
      <c r="D129" s="2">
        <v>1.32</v>
      </c>
      <c r="E129" s="2">
        <v>1.79</v>
      </c>
      <c r="F129" s="2">
        <v>2.44</v>
      </c>
      <c r="G129" s="2">
        <v>3.32</v>
      </c>
      <c r="H129" s="2">
        <v>4.42</v>
      </c>
      <c r="I129" s="2">
        <v>6.27</v>
      </c>
      <c r="J129" s="2">
        <v>8.36</v>
      </c>
      <c r="K129" s="2">
        <v>11.49</v>
      </c>
      <c r="L129" s="2">
        <v>15.31</v>
      </c>
      <c r="M129" s="2">
        <v>21.25</v>
      </c>
      <c r="N129" s="2">
        <v>28.32</v>
      </c>
      <c r="O129" s="2">
        <v>38.130000000000003</v>
      </c>
      <c r="P129" s="2">
        <v>52.41</v>
      </c>
      <c r="Q129" s="2">
        <v>70.56</v>
      </c>
      <c r="R129" s="2">
        <v>95</v>
      </c>
      <c r="S129" s="2">
        <v>130.56</v>
      </c>
      <c r="T129" s="2">
        <v>181.28</v>
      </c>
      <c r="U129" s="2">
        <v>249</v>
      </c>
      <c r="V129" s="2"/>
    </row>
    <row r="130" spans="1:37" ht="15.75" customHeight="1">
      <c r="A130" s="229">
        <v>22</v>
      </c>
      <c r="B130" s="74">
        <v>1</v>
      </c>
      <c r="C130" s="234">
        <v>0.1</v>
      </c>
      <c r="D130" s="234">
        <v>0.14000000000000001</v>
      </c>
      <c r="E130" s="234">
        <v>0.21</v>
      </c>
      <c r="F130" s="234">
        <v>0.3</v>
      </c>
      <c r="G130" s="234">
        <v>0.45</v>
      </c>
      <c r="H130" s="234">
        <v>0.61</v>
      </c>
      <c r="I130" s="234">
        <v>0.87</v>
      </c>
      <c r="J130" s="234">
        <v>1.29</v>
      </c>
      <c r="K130" s="234">
        <v>1.85</v>
      </c>
      <c r="L130" s="234">
        <v>2.62</v>
      </c>
      <c r="M130" s="234">
        <v>3.78</v>
      </c>
      <c r="N130" s="234">
        <v>5.28</v>
      </c>
      <c r="O130" s="234">
        <v>7.7</v>
      </c>
      <c r="P130" s="234">
        <v>11.1</v>
      </c>
      <c r="Q130" s="234">
        <v>16.18</v>
      </c>
      <c r="R130" s="234">
        <v>22.86</v>
      </c>
      <c r="S130" s="234">
        <v>34.75</v>
      </c>
      <c r="T130" s="234">
        <v>49.6</v>
      </c>
      <c r="U130" s="234">
        <v>70.790000000000006</v>
      </c>
      <c r="V130" s="235">
        <v>98.96</v>
      </c>
      <c r="W130" s="2"/>
    </row>
    <row r="131" spans="1:37" ht="15.75" customHeight="1">
      <c r="A131" s="228">
        <v>22</v>
      </c>
      <c r="B131" s="75">
        <v>2</v>
      </c>
      <c r="C131" s="2">
        <v>0.1</v>
      </c>
      <c r="D131" s="2">
        <v>0.14000000000000001</v>
      </c>
      <c r="E131" s="2">
        <v>0.21</v>
      </c>
      <c r="F131" s="2">
        <v>0.3</v>
      </c>
      <c r="G131" s="2">
        <v>0.45</v>
      </c>
      <c r="H131" s="2">
        <v>0.61</v>
      </c>
      <c r="I131" s="2">
        <v>0.87</v>
      </c>
      <c r="J131" s="2">
        <v>1.29</v>
      </c>
      <c r="K131" s="2">
        <v>1.85</v>
      </c>
      <c r="L131" s="2">
        <v>2.62</v>
      </c>
      <c r="M131" s="2">
        <v>3.78</v>
      </c>
      <c r="N131" s="2">
        <v>5.28</v>
      </c>
      <c r="O131" s="2">
        <v>7.7</v>
      </c>
      <c r="P131" s="2">
        <v>11.1</v>
      </c>
      <c r="Q131" s="2">
        <v>16.18</v>
      </c>
      <c r="R131" s="2">
        <v>22.86</v>
      </c>
      <c r="S131" s="2">
        <v>34.75</v>
      </c>
      <c r="T131" s="2">
        <v>49.6</v>
      </c>
      <c r="U131" s="2">
        <v>70.790000000000006</v>
      </c>
      <c r="V131" s="236">
        <v>98.96</v>
      </c>
      <c r="W131" s="2"/>
    </row>
    <row r="132" spans="1:37" ht="15.75" customHeight="1">
      <c r="A132" s="228">
        <v>22</v>
      </c>
      <c r="B132" s="75">
        <v>3</v>
      </c>
      <c r="C132" s="2">
        <v>0.1</v>
      </c>
      <c r="D132" s="2">
        <v>0.14000000000000001</v>
      </c>
      <c r="E132" s="2">
        <v>0.21</v>
      </c>
      <c r="F132" s="2">
        <v>0.3</v>
      </c>
      <c r="G132" s="2">
        <v>0.45</v>
      </c>
      <c r="H132" s="2">
        <v>0.61</v>
      </c>
      <c r="I132" s="2">
        <v>0.87</v>
      </c>
      <c r="J132" s="2">
        <v>1.29</v>
      </c>
      <c r="K132" s="2">
        <v>1.85</v>
      </c>
      <c r="L132" s="2">
        <v>2.62</v>
      </c>
      <c r="M132" s="2">
        <v>3.78</v>
      </c>
      <c r="N132" s="2">
        <v>5.28</v>
      </c>
      <c r="O132" s="2">
        <v>7.7</v>
      </c>
      <c r="P132" s="2">
        <v>11.1</v>
      </c>
      <c r="Q132" s="2">
        <v>16.18</v>
      </c>
      <c r="R132" s="2">
        <v>22.86</v>
      </c>
      <c r="S132" s="2">
        <v>34.75</v>
      </c>
      <c r="T132" s="2">
        <v>49.6</v>
      </c>
      <c r="U132" s="2">
        <v>70.790000000000006</v>
      </c>
      <c r="V132" s="236">
        <v>98.96</v>
      </c>
      <c r="W132" s="2"/>
    </row>
    <row r="133" spans="1:37" ht="15.75" customHeight="1">
      <c r="A133" s="228">
        <v>22</v>
      </c>
      <c r="B133" s="75">
        <v>4</v>
      </c>
      <c r="C133" s="2">
        <v>0.1</v>
      </c>
      <c r="D133" s="2">
        <v>0.14000000000000001</v>
      </c>
      <c r="E133" s="2">
        <v>0.21</v>
      </c>
      <c r="F133" s="2">
        <v>0.3</v>
      </c>
      <c r="G133" s="2">
        <v>0.45</v>
      </c>
      <c r="H133" s="2">
        <v>0.61</v>
      </c>
      <c r="I133" s="2">
        <v>0.87</v>
      </c>
      <c r="J133" s="2">
        <v>1.29</v>
      </c>
      <c r="K133" s="2">
        <v>1.85</v>
      </c>
      <c r="L133" s="2">
        <v>2.62</v>
      </c>
      <c r="M133" s="2">
        <v>3.78</v>
      </c>
      <c r="N133" s="2">
        <v>5.28</v>
      </c>
      <c r="O133" s="2">
        <v>7.7</v>
      </c>
      <c r="P133" s="2">
        <v>11.1</v>
      </c>
      <c r="Q133" s="2">
        <v>16.18</v>
      </c>
      <c r="R133" s="2">
        <v>22.86</v>
      </c>
      <c r="S133" s="2">
        <v>34.75</v>
      </c>
      <c r="T133" s="2">
        <v>49.6</v>
      </c>
      <c r="U133" s="2">
        <v>70.790000000000006</v>
      </c>
      <c r="V133" s="236">
        <v>98.96</v>
      </c>
      <c r="W133" s="2"/>
    </row>
    <row r="134" spans="1:37" ht="15.75" customHeight="1">
      <c r="A134" s="228">
        <v>22</v>
      </c>
      <c r="B134" s="75">
        <v>5</v>
      </c>
      <c r="C134" s="2">
        <v>0.1</v>
      </c>
      <c r="D134" s="2">
        <v>0.14000000000000001</v>
      </c>
      <c r="E134" s="2">
        <v>0.21</v>
      </c>
      <c r="F134" s="2">
        <v>0.3</v>
      </c>
      <c r="G134" s="2">
        <v>0.45</v>
      </c>
      <c r="H134" s="2">
        <v>0.61</v>
      </c>
      <c r="I134" s="2">
        <v>0.87</v>
      </c>
      <c r="J134" s="2">
        <v>1.29</v>
      </c>
      <c r="K134" s="2">
        <v>1.85</v>
      </c>
      <c r="L134" s="2">
        <v>2.62</v>
      </c>
      <c r="M134" s="2">
        <v>3.78</v>
      </c>
      <c r="N134" s="2">
        <v>5.28</v>
      </c>
      <c r="O134" s="2">
        <v>7.7</v>
      </c>
      <c r="P134" s="2">
        <v>11.1</v>
      </c>
      <c r="Q134" s="2">
        <v>16.18</v>
      </c>
      <c r="R134" s="2">
        <v>22.86</v>
      </c>
      <c r="S134" s="2">
        <v>34.75</v>
      </c>
      <c r="T134" s="2">
        <v>49.6</v>
      </c>
      <c r="U134" s="2">
        <v>70.790000000000006</v>
      </c>
      <c r="V134" s="236">
        <v>98.96</v>
      </c>
      <c r="W134" s="2"/>
    </row>
    <row r="135" spans="1:37" ht="15.75" customHeight="1">
      <c r="A135" s="228">
        <v>22</v>
      </c>
      <c r="B135" s="75">
        <v>6</v>
      </c>
      <c r="C135" s="2">
        <v>0.1</v>
      </c>
      <c r="D135" s="2">
        <v>0.14000000000000001</v>
      </c>
      <c r="E135" s="2">
        <v>0.21</v>
      </c>
      <c r="F135" s="2">
        <v>0.3</v>
      </c>
      <c r="G135" s="2">
        <v>0.45</v>
      </c>
      <c r="H135" s="2">
        <v>0.61</v>
      </c>
      <c r="I135" s="2">
        <v>0.87</v>
      </c>
      <c r="J135" s="2">
        <v>1.29</v>
      </c>
      <c r="K135" s="2">
        <v>1.85</v>
      </c>
      <c r="L135" s="2">
        <v>2.62</v>
      </c>
      <c r="M135" s="2">
        <v>3.78</v>
      </c>
      <c r="N135" s="2">
        <v>5.28</v>
      </c>
      <c r="O135" s="2">
        <v>7.7</v>
      </c>
      <c r="P135" s="2">
        <v>11.1</v>
      </c>
      <c r="Q135" s="2">
        <v>16.18</v>
      </c>
      <c r="R135" s="2">
        <v>22.86</v>
      </c>
      <c r="S135" s="2">
        <v>34.75</v>
      </c>
      <c r="T135" s="2">
        <v>49.6</v>
      </c>
      <c r="U135" s="2">
        <v>70.790000000000006</v>
      </c>
      <c r="V135" s="236">
        <v>98.96</v>
      </c>
      <c r="W135" s="2"/>
    </row>
    <row r="136" spans="1:37" ht="15.75" customHeight="1">
      <c r="A136" s="228">
        <v>22</v>
      </c>
      <c r="B136" s="75">
        <v>7</v>
      </c>
      <c r="C136" s="2">
        <v>0.1</v>
      </c>
      <c r="D136" s="2">
        <v>0.14000000000000001</v>
      </c>
      <c r="E136" s="2">
        <v>0.21</v>
      </c>
      <c r="F136" s="2">
        <v>0.3</v>
      </c>
      <c r="G136" s="2">
        <v>0.45</v>
      </c>
      <c r="H136" s="2">
        <v>0.61</v>
      </c>
      <c r="I136" s="2">
        <v>0.87</v>
      </c>
      <c r="J136" s="2">
        <v>1.29</v>
      </c>
      <c r="K136" s="2">
        <v>1.85</v>
      </c>
      <c r="L136" s="2">
        <v>2.62</v>
      </c>
      <c r="M136" s="2">
        <v>3.78</v>
      </c>
      <c r="N136" s="2">
        <v>5.28</v>
      </c>
      <c r="O136" s="2">
        <v>7.7</v>
      </c>
      <c r="P136" s="2">
        <v>11.1</v>
      </c>
      <c r="Q136" s="2">
        <v>16.18</v>
      </c>
      <c r="R136" s="2">
        <v>22.86</v>
      </c>
      <c r="S136" s="2">
        <v>34.75</v>
      </c>
      <c r="T136" s="2">
        <v>49.6</v>
      </c>
      <c r="U136" s="2">
        <v>70.790000000000006</v>
      </c>
      <c r="V136" s="236">
        <v>98.96</v>
      </c>
      <c r="W136" s="2"/>
    </row>
    <row r="137" spans="1:37" ht="15.75" customHeight="1">
      <c r="A137" s="230">
        <v>22</v>
      </c>
      <c r="B137" s="231">
        <v>8</v>
      </c>
      <c r="C137" s="34">
        <v>0.1</v>
      </c>
      <c r="D137" s="34">
        <v>0.14000000000000001</v>
      </c>
      <c r="E137" s="34">
        <v>0.21</v>
      </c>
      <c r="F137" s="34">
        <v>0.3</v>
      </c>
      <c r="G137" s="34">
        <v>0.45</v>
      </c>
      <c r="H137" s="34">
        <v>0.61</v>
      </c>
      <c r="I137" s="34">
        <v>0.87</v>
      </c>
      <c r="J137" s="34">
        <v>1.29</v>
      </c>
      <c r="K137" s="34">
        <v>1.85</v>
      </c>
      <c r="L137" s="34">
        <v>2.62</v>
      </c>
      <c r="M137" s="34">
        <v>3.78</v>
      </c>
      <c r="N137" s="34">
        <v>5.28</v>
      </c>
      <c r="O137" s="34">
        <v>7.7</v>
      </c>
      <c r="P137" s="34">
        <v>11.1</v>
      </c>
      <c r="Q137" s="34">
        <v>16.18</v>
      </c>
      <c r="R137" s="34">
        <v>22.86</v>
      </c>
      <c r="S137" s="34">
        <v>34.75</v>
      </c>
      <c r="T137" s="34">
        <v>49.6</v>
      </c>
      <c r="U137" s="34">
        <v>70.790000000000006</v>
      </c>
      <c r="V137" s="237">
        <v>98.96</v>
      </c>
      <c r="W137" s="2"/>
    </row>
    <row r="138" spans="1:37" ht="15.75" customHeight="1">
      <c r="A138" s="228">
        <v>23</v>
      </c>
      <c r="B138" s="75">
        <v>1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37" ht="15.75" customHeight="1">
      <c r="A139" s="228">
        <v>23</v>
      </c>
      <c r="B139" s="75">
        <v>2</v>
      </c>
    </row>
    <row r="140" spans="1:37" ht="15.75" customHeight="1">
      <c r="A140" s="228">
        <v>23</v>
      </c>
      <c r="B140" s="75">
        <v>3</v>
      </c>
    </row>
    <row r="141" spans="1:37" ht="15.75" customHeight="1">
      <c r="A141" s="228">
        <v>23</v>
      </c>
      <c r="B141" s="75">
        <v>4</v>
      </c>
    </row>
    <row r="142" spans="1:37" ht="15.75" customHeight="1">
      <c r="A142" s="228">
        <v>23</v>
      </c>
      <c r="B142" s="75">
        <v>5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7" ht="15.75" customHeight="1">
      <c r="A143" s="309">
        <v>24</v>
      </c>
      <c r="B143" s="310">
        <v>1</v>
      </c>
      <c r="C143" s="234">
        <v>0.1</v>
      </c>
      <c r="D143" s="234">
        <v>0.12</v>
      </c>
      <c r="E143" s="234">
        <v>0.15</v>
      </c>
      <c r="F143" s="234">
        <v>0.19</v>
      </c>
      <c r="G143" s="234">
        <v>0.23</v>
      </c>
      <c r="H143" s="234">
        <v>0.28000000000000003</v>
      </c>
      <c r="I143" s="234">
        <v>0.35</v>
      </c>
      <c r="J143" s="234">
        <v>0.43</v>
      </c>
      <c r="K143" s="234">
        <v>0.52</v>
      </c>
      <c r="L143" s="234">
        <v>0.67</v>
      </c>
      <c r="M143" s="234">
        <v>0.82</v>
      </c>
      <c r="N143" s="234">
        <v>1</v>
      </c>
      <c r="O143" s="234">
        <v>1.22</v>
      </c>
      <c r="P143" s="234">
        <v>1.53</v>
      </c>
      <c r="Q143" s="234">
        <v>1.87</v>
      </c>
      <c r="R143" s="234">
        <v>2.2799999999999998</v>
      </c>
      <c r="S143" s="234">
        <v>2.82</v>
      </c>
      <c r="T143" s="234">
        <v>3.55</v>
      </c>
      <c r="U143" s="234">
        <v>4.32</v>
      </c>
      <c r="V143" s="234">
        <v>5.27</v>
      </c>
      <c r="W143" s="234">
        <v>6.74</v>
      </c>
      <c r="X143" s="234">
        <v>8.2100000000000009</v>
      </c>
      <c r="Y143" s="234">
        <v>10.17</v>
      </c>
      <c r="Z143" s="234">
        <v>12.18</v>
      </c>
      <c r="AA143" s="234">
        <v>15.09</v>
      </c>
      <c r="AB143" s="234">
        <v>18.68</v>
      </c>
      <c r="AC143" s="234">
        <v>22.76</v>
      </c>
      <c r="AD143" s="234">
        <v>28.65</v>
      </c>
      <c r="AE143" s="234">
        <v>35.479999999999997</v>
      </c>
      <c r="AF143" s="234">
        <v>42.52</v>
      </c>
      <c r="AG143" s="234">
        <v>52.65</v>
      </c>
      <c r="AH143" s="234">
        <v>64.14</v>
      </c>
      <c r="AI143" s="234">
        <v>82.09</v>
      </c>
      <c r="AJ143" s="235">
        <v>96.76</v>
      </c>
      <c r="AK143" s="2"/>
    </row>
    <row r="144" spans="1:37" ht="15.75" customHeight="1">
      <c r="A144" s="238">
        <v>24</v>
      </c>
      <c r="B144" s="239">
        <v>2</v>
      </c>
      <c r="C144" s="2">
        <v>0.1</v>
      </c>
      <c r="D144" s="2">
        <v>0.12</v>
      </c>
      <c r="E144" s="2">
        <v>0.15</v>
      </c>
      <c r="F144" s="2">
        <v>0.19</v>
      </c>
      <c r="G144" s="2">
        <v>0.23</v>
      </c>
      <c r="H144" s="2">
        <v>0.28000000000000003</v>
      </c>
      <c r="I144" s="2">
        <v>0.35</v>
      </c>
      <c r="J144" s="2">
        <v>0.43</v>
      </c>
      <c r="K144" s="2">
        <v>0.52</v>
      </c>
      <c r="L144" s="2">
        <v>0.67</v>
      </c>
      <c r="M144" s="2">
        <v>0.82</v>
      </c>
      <c r="N144" s="2">
        <v>1</v>
      </c>
      <c r="O144" s="2">
        <v>1.22</v>
      </c>
      <c r="P144" s="2">
        <v>1.53</v>
      </c>
      <c r="Q144" s="2">
        <v>1.87</v>
      </c>
      <c r="R144" s="2">
        <v>2.2799999999999998</v>
      </c>
      <c r="S144" s="2">
        <v>2.82</v>
      </c>
      <c r="T144" s="2">
        <v>3.55</v>
      </c>
      <c r="U144" s="2">
        <v>4.32</v>
      </c>
      <c r="V144" s="2">
        <v>5.27</v>
      </c>
      <c r="W144" s="2">
        <v>6.74</v>
      </c>
      <c r="X144" s="2">
        <v>8.2100000000000009</v>
      </c>
      <c r="Y144" s="2">
        <v>10.17</v>
      </c>
      <c r="Z144" s="2">
        <v>12.18</v>
      </c>
      <c r="AA144" s="2">
        <v>15.09</v>
      </c>
      <c r="AB144" s="2">
        <v>18.68</v>
      </c>
      <c r="AC144" s="2">
        <v>22.76</v>
      </c>
      <c r="AD144" s="2">
        <v>28.65</v>
      </c>
      <c r="AE144" s="2">
        <v>35.479999999999997</v>
      </c>
      <c r="AF144" s="2">
        <v>42.52</v>
      </c>
      <c r="AG144" s="2">
        <v>52.65</v>
      </c>
      <c r="AH144" s="2">
        <v>64.14</v>
      </c>
      <c r="AI144" s="2">
        <v>82.09</v>
      </c>
      <c r="AJ144" s="236">
        <v>96.76</v>
      </c>
      <c r="AK144" s="2"/>
    </row>
    <row r="145" spans="1:37" ht="15.75" customHeight="1">
      <c r="A145" s="238">
        <v>24</v>
      </c>
      <c r="B145" s="239">
        <v>3</v>
      </c>
      <c r="C145" s="2">
        <v>0.1</v>
      </c>
      <c r="D145" s="2">
        <v>0.12</v>
      </c>
      <c r="E145" s="2">
        <v>0.15</v>
      </c>
      <c r="F145" s="2">
        <v>0.19</v>
      </c>
      <c r="G145" s="2">
        <v>0.23</v>
      </c>
      <c r="H145" s="2">
        <v>0.28000000000000003</v>
      </c>
      <c r="I145" s="2">
        <v>0.35</v>
      </c>
      <c r="J145" s="2">
        <v>0.43</v>
      </c>
      <c r="K145" s="2">
        <v>0.52</v>
      </c>
      <c r="L145" s="2">
        <v>0.67</v>
      </c>
      <c r="M145" s="2">
        <v>0.82</v>
      </c>
      <c r="N145" s="2">
        <v>1</v>
      </c>
      <c r="O145" s="2">
        <v>1.22</v>
      </c>
      <c r="P145" s="2">
        <v>1.53</v>
      </c>
      <c r="Q145" s="2">
        <v>1.87</v>
      </c>
      <c r="R145" s="2">
        <v>2.2799999999999998</v>
      </c>
      <c r="S145" s="2">
        <v>2.82</v>
      </c>
      <c r="T145" s="2">
        <v>3.55</v>
      </c>
      <c r="U145" s="2">
        <v>4.32</v>
      </c>
      <c r="V145" s="2">
        <v>5.27</v>
      </c>
      <c r="W145" s="2">
        <v>6.74</v>
      </c>
      <c r="X145" s="2">
        <v>8.2100000000000009</v>
      </c>
      <c r="Y145" s="2">
        <v>10.17</v>
      </c>
      <c r="Z145" s="2">
        <v>12.18</v>
      </c>
      <c r="AA145" s="2">
        <v>15.09</v>
      </c>
      <c r="AB145" s="2">
        <v>18.68</v>
      </c>
      <c r="AC145" s="2">
        <v>22.76</v>
      </c>
      <c r="AD145" s="2">
        <v>28.65</v>
      </c>
      <c r="AE145" s="2">
        <v>35.479999999999997</v>
      </c>
      <c r="AF145" s="2">
        <v>42.52</v>
      </c>
      <c r="AG145" s="2">
        <v>52.65</v>
      </c>
      <c r="AH145" s="2">
        <v>64.14</v>
      </c>
      <c r="AI145" s="2">
        <v>82.09</v>
      </c>
      <c r="AJ145" s="236">
        <v>96.76</v>
      </c>
      <c r="AK145" s="2"/>
    </row>
    <row r="146" spans="1:37" ht="15.75" customHeight="1">
      <c r="A146" s="238">
        <v>24</v>
      </c>
      <c r="B146" s="239">
        <v>4</v>
      </c>
      <c r="C146" s="2">
        <v>0.1</v>
      </c>
      <c r="D146" s="2">
        <v>0.12</v>
      </c>
      <c r="E146" s="2">
        <v>0.15</v>
      </c>
      <c r="F146" s="2">
        <v>0.19</v>
      </c>
      <c r="G146" s="2">
        <v>0.23</v>
      </c>
      <c r="H146" s="2">
        <v>0.28000000000000003</v>
      </c>
      <c r="I146" s="2">
        <v>0.35</v>
      </c>
      <c r="J146" s="2">
        <v>0.43</v>
      </c>
      <c r="K146" s="2">
        <v>0.52</v>
      </c>
      <c r="L146" s="2">
        <v>0.67</v>
      </c>
      <c r="M146" s="2">
        <v>0.82</v>
      </c>
      <c r="N146" s="2">
        <v>1</v>
      </c>
      <c r="O146" s="2">
        <v>1.22</v>
      </c>
      <c r="P146" s="2">
        <v>1.53</v>
      </c>
      <c r="Q146" s="2">
        <v>1.87</v>
      </c>
      <c r="R146" s="2">
        <v>2.2799999999999998</v>
      </c>
      <c r="S146" s="2">
        <v>2.82</v>
      </c>
      <c r="T146" s="2">
        <v>3.55</v>
      </c>
      <c r="U146" s="2">
        <v>4.32</v>
      </c>
      <c r="V146" s="2">
        <v>5.27</v>
      </c>
      <c r="W146" s="2">
        <v>6.74</v>
      </c>
      <c r="X146" s="2">
        <v>8.2100000000000009</v>
      </c>
      <c r="Y146" s="2">
        <v>10.17</v>
      </c>
      <c r="Z146" s="2">
        <v>12.18</v>
      </c>
      <c r="AA146" s="2">
        <v>15.09</v>
      </c>
      <c r="AB146" s="2">
        <v>18.68</v>
      </c>
      <c r="AC146" s="2">
        <v>22.76</v>
      </c>
      <c r="AD146" s="2">
        <v>28.65</v>
      </c>
      <c r="AE146" s="2">
        <v>35.479999999999997</v>
      </c>
      <c r="AF146" s="2">
        <v>42.52</v>
      </c>
      <c r="AG146" s="2">
        <v>52.65</v>
      </c>
      <c r="AH146" s="2">
        <v>64.14</v>
      </c>
      <c r="AI146" s="2">
        <v>82.09</v>
      </c>
      <c r="AJ146" s="236">
        <v>96.76</v>
      </c>
      <c r="AK146" s="2"/>
    </row>
    <row r="147" spans="1:37" ht="15.75" customHeight="1">
      <c r="A147" s="238">
        <v>24</v>
      </c>
      <c r="B147" s="239">
        <v>5</v>
      </c>
      <c r="C147" s="2">
        <v>0.1</v>
      </c>
      <c r="D147" s="2">
        <v>0.12</v>
      </c>
      <c r="E147" s="2">
        <v>0.15</v>
      </c>
      <c r="F147" s="2">
        <v>0.19</v>
      </c>
      <c r="G147" s="2">
        <v>0.23</v>
      </c>
      <c r="H147" s="2">
        <v>0.28000000000000003</v>
      </c>
      <c r="I147" s="2">
        <v>0.35</v>
      </c>
      <c r="J147" s="2">
        <v>0.43</v>
      </c>
      <c r="K147" s="2">
        <v>0.52</v>
      </c>
      <c r="L147" s="2">
        <v>0.67</v>
      </c>
      <c r="M147" s="2">
        <v>0.82</v>
      </c>
      <c r="N147" s="2">
        <v>1</v>
      </c>
      <c r="O147" s="2">
        <v>1.22</v>
      </c>
      <c r="P147" s="2">
        <v>1.53</v>
      </c>
      <c r="Q147" s="2">
        <v>1.87</v>
      </c>
      <c r="R147" s="2">
        <v>2.2799999999999998</v>
      </c>
      <c r="S147" s="2">
        <v>2.82</v>
      </c>
      <c r="T147" s="2">
        <v>3.55</v>
      </c>
      <c r="U147" s="2">
        <v>4.32</v>
      </c>
      <c r="V147" s="2">
        <v>5.27</v>
      </c>
      <c r="W147" s="2">
        <v>6.74</v>
      </c>
      <c r="X147" s="2">
        <v>8.2100000000000009</v>
      </c>
      <c r="Y147" s="2">
        <v>10.17</v>
      </c>
      <c r="Z147" s="2">
        <v>12.18</v>
      </c>
      <c r="AA147" s="2">
        <v>15.09</v>
      </c>
      <c r="AB147" s="2">
        <v>18.68</v>
      </c>
      <c r="AC147" s="2">
        <v>22.76</v>
      </c>
      <c r="AD147" s="2">
        <v>28.65</v>
      </c>
      <c r="AE147" s="2">
        <v>35.479999999999997</v>
      </c>
      <c r="AF147" s="2">
        <v>42.52</v>
      </c>
      <c r="AG147" s="2">
        <v>52.65</v>
      </c>
      <c r="AH147" s="2">
        <v>64.14</v>
      </c>
      <c r="AI147" s="2">
        <v>82.09</v>
      </c>
      <c r="AJ147" s="236">
        <v>96.76</v>
      </c>
      <c r="AK147" s="2"/>
    </row>
    <row r="148" spans="1:37" ht="15.75" customHeight="1">
      <c r="A148" s="238">
        <v>24</v>
      </c>
      <c r="B148" s="239">
        <v>6</v>
      </c>
      <c r="C148" s="2">
        <v>0.1</v>
      </c>
      <c r="D148" s="2">
        <v>0.12</v>
      </c>
      <c r="E148" s="2">
        <v>0.15</v>
      </c>
      <c r="F148" s="2">
        <v>0.19</v>
      </c>
      <c r="G148" s="2">
        <v>0.23</v>
      </c>
      <c r="H148" s="2">
        <v>0.28000000000000003</v>
      </c>
      <c r="I148" s="2">
        <v>0.35</v>
      </c>
      <c r="J148" s="2">
        <v>0.43</v>
      </c>
      <c r="K148" s="2">
        <v>0.52</v>
      </c>
      <c r="L148" s="2">
        <v>0.67</v>
      </c>
      <c r="M148" s="2">
        <v>0.82</v>
      </c>
      <c r="N148" s="2">
        <v>1</v>
      </c>
      <c r="O148" s="2">
        <v>1.22</v>
      </c>
      <c r="P148" s="2">
        <v>1.53</v>
      </c>
      <c r="Q148" s="2">
        <v>1.87</v>
      </c>
      <c r="R148" s="2">
        <v>2.2799999999999998</v>
      </c>
      <c r="S148" s="2">
        <v>2.82</v>
      </c>
      <c r="T148" s="2">
        <v>3.55</v>
      </c>
      <c r="U148" s="2">
        <v>4.32</v>
      </c>
      <c r="V148" s="2">
        <v>5.27</v>
      </c>
      <c r="W148" s="2">
        <v>6.74</v>
      </c>
      <c r="X148" s="2">
        <v>8.2100000000000009</v>
      </c>
      <c r="Y148" s="2">
        <v>10.17</v>
      </c>
      <c r="Z148" s="2">
        <v>12.18</v>
      </c>
      <c r="AA148" s="2">
        <v>15.09</v>
      </c>
      <c r="AB148" s="2">
        <v>18.68</v>
      </c>
      <c r="AC148" s="2">
        <v>22.76</v>
      </c>
      <c r="AD148" s="2">
        <v>28.65</v>
      </c>
      <c r="AE148" s="2">
        <v>35.479999999999997</v>
      </c>
      <c r="AF148" s="2">
        <v>42.52</v>
      </c>
      <c r="AG148" s="2">
        <v>52.65</v>
      </c>
      <c r="AH148" s="2">
        <v>64.14</v>
      </c>
      <c r="AI148" s="2">
        <v>82.09</v>
      </c>
      <c r="AJ148" s="236">
        <v>96.76</v>
      </c>
      <c r="AK148" s="2"/>
    </row>
    <row r="149" spans="1:37" ht="15.75" customHeight="1">
      <c r="A149" s="311">
        <v>24</v>
      </c>
      <c r="B149" s="312">
        <v>7</v>
      </c>
      <c r="C149" s="34">
        <v>0.1</v>
      </c>
      <c r="D149" s="34">
        <v>0.12</v>
      </c>
      <c r="E149" s="34">
        <v>0.15</v>
      </c>
      <c r="F149" s="34">
        <v>0.19</v>
      </c>
      <c r="G149" s="34">
        <v>0.23</v>
      </c>
      <c r="H149" s="34">
        <v>0.28000000000000003</v>
      </c>
      <c r="I149" s="34">
        <v>0.35</v>
      </c>
      <c r="J149" s="34">
        <v>0.43</v>
      </c>
      <c r="K149" s="34">
        <v>0.52</v>
      </c>
      <c r="L149" s="34">
        <v>0.67</v>
      </c>
      <c r="M149" s="34">
        <v>0.82</v>
      </c>
      <c r="N149" s="34">
        <v>1</v>
      </c>
      <c r="O149" s="34">
        <v>1.22</v>
      </c>
      <c r="P149" s="34">
        <v>1.53</v>
      </c>
      <c r="Q149" s="34">
        <v>1.87</v>
      </c>
      <c r="R149" s="34">
        <v>2.2799999999999998</v>
      </c>
      <c r="S149" s="34">
        <v>2.82</v>
      </c>
      <c r="T149" s="34">
        <v>3.55</v>
      </c>
      <c r="U149" s="34">
        <v>4.32</v>
      </c>
      <c r="V149" s="34">
        <v>5.27</v>
      </c>
      <c r="W149" s="34">
        <v>6.74</v>
      </c>
      <c r="X149" s="34">
        <v>8.2100000000000009</v>
      </c>
      <c r="Y149" s="34">
        <v>10.17</v>
      </c>
      <c r="Z149" s="34">
        <v>12.18</v>
      </c>
      <c r="AA149" s="34">
        <v>15.09</v>
      </c>
      <c r="AB149" s="34">
        <v>18.68</v>
      </c>
      <c r="AC149" s="34">
        <v>22.76</v>
      </c>
      <c r="AD149" s="34">
        <v>28.65</v>
      </c>
      <c r="AE149" s="34">
        <v>35.479999999999997</v>
      </c>
      <c r="AF149" s="34">
        <v>42.52</v>
      </c>
      <c r="AG149" s="34">
        <v>52.65</v>
      </c>
      <c r="AH149" s="34">
        <v>64.14</v>
      </c>
      <c r="AI149" s="34">
        <v>82.09</v>
      </c>
      <c r="AJ149" s="237">
        <v>96.76</v>
      </c>
      <c r="AK149" s="2"/>
    </row>
    <row r="150" spans="1:37" ht="15.75" customHeight="1">
      <c r="A150" s="228">
        <v>25</v>
      </c>
      <c r="B150" s="75">
        <v>1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7" ht="15.75" customHeight="1">
      <c r="A151" s="228">
        <v>25</v>
      </c>
      <c r="B151" s="75">
        <v>2</v>
      </c>
    </row>
    <row r="152" spans="1:37" ht="15.75" customHeight="1">
      <c r="A152" s="228">
        <v>25</v>
      </c>
      <c r="B152" s="75">
        <v>3</v>
      </c>
    </row>
    <row r="153" spans="1:37" ht="15.75" customHeight="1">
      <c r="A153" s="228">
        <v>25</v>
      </c>
      <c r="B153" s="75">
        <v>4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37" ht="15.75" customHeight="1">
      <c r="A154" s="229">
        <v>26</v>
      </c>
      <c r="B154" s="200" t="s">
        <v>221</v>
      </c>
      <c r="C154" s="234">
        <v>0.10199999999999999</v>
      </c>
      <c r="D154" s="234">
        <v>0.14899999999999999</v>
      </c>
      <c r="E154" s="234">
        <v>0.219</v>
      </c>
      <c r="F154" s="234">
        <v>0.318</v>
      </c>
      <c r="G154" s="234">
        <v>0.46800000000000003</v>
      </c>
      <c r="H154" s="234">
        <v>0.68799999999999994</v>
      </c>
      <c r="I154" s="234">
        <v>1</v>
      </c>
      <c r="J154" s="234">
        <v>1.4710000000000001</v>
      </c>
      <c r="K154" s="234">
        <v>2.1120000000000001</v>
      </c>
      <c r="L154" s="234">
        <v>3.181</v>
      </c>
      <c r="M154" s="234">
        <v>4.6790000000000003</v>
      </c>
      <c r="N154" s="234">
        <v>6.7990000000000004</v>
      </c>
      <c r="O154" s="234">
        <v>10</v>
      </c>
      <c r="P154" s="234">
        <v>15.066000000000001</v>
      </c>
      <c r="Q154" s="234">
        <v>22.428000000000001</v>
      </c>
      <c r="R154" s="234">
        <v>31.433</v>
      </c>
      <c r="S154" s="234">
        <v>46.79</v>
      </c>
      <c r="T154" s="234">
        <v>67.992000000000004</v>
      </c>
      <c r="U154" s="235">
        <v>100</v>
      </c>
      <c r="V154" s="2"/>
    </row>
    <row r="155" spans="1:37" ht="15.75" customHeight="1">
      <c r="A155" s="228">
        <v>26</v>
      </c>
      <c r="B155" s="201" t="s">
        <v>222</v>
      </c>
      <c r="C155" s="2">
        <v>0.10199999999999999</v>
      </c>
      <c r="D155" s="2">
        <v>0.14899999999999999</v>
      </c>
      <c r="E155" s="2">
        <v>0.219</v>
      </c>
      <c r="F155" s="2">
        <v>0.318</v>
      </c>
      <c r="G155" s="2">
        <v>0.46800000000000003</v>
      </c>
      <c r="H155" s="2">
        <v>0.68799999999999994</v>
      </c>
      <c r="I155" s="2">
        <v>1</v>
      </c>
      <c r="J155" s="2">
        <v>1.4710000000000001</v>
      </c>
      <c r="K155" s="2">
        <v>2.1120000000000001</v>
      </c>
      <c r="L155" s="2">
        <v>3.181</v>
      </c>
      <c r="M155" s="2">
        <v>4.6790000000000003</v>
      </c>
      <c r="N155" s="2">
        <v>6.7990000000000004</v>
      </c>
      <c r="O155" s="2">
        <v>10</v>
      </c>
      <c r="P155" s="2">
        <v>15.066000000000001</v>
      </c>
      <c r="Q155" s="2">
        <v>22.428000000000001</v>
      </c>
      <c r="R155" s="2">
        <v>31.433</v>
      </c>
      <c r="S155" s="2">
        <v>46.79</v>
      </c>
      <c r="T155" s="2">
        <v>67.992000000000004</v>
      </c>
      <c r="U155" s="236">
        <v>100</v>
      </c>
      <c r="V155" s="2"/>
    </row>
    <row r="156" spans="1:37" ht="15.75" customHeight="1">
      <c r="A156" s="228">
        <v>26</v>
      </c>
      <c r="B156" s="201" t="s">
        <v>223</v>
      </c>
      <c r="C156" s="2">
        <v>0.10199999999999999</v>
      </c>
      <c r="D156" s="2">
        <v>0.14899999999999999</v>
      </c>
      <c r="E156" s="2">
        <v>0.219</v>
      </c>
      <c r="F156" s="2">
        <v>0.318</v>
      </c>
      <c r="G156" s="2">
        <v>0.46800000000000003</v>
      </c>
      <c r="H156" s="2">
        <v>0.68799999999999994</v>
      </c>
      <c r="I156" s="2">
        <v>1</v>
      </c>
      <c r="J156" s="2">
        <v>1.4710000000000001</v>
      </c>
      <c r="K156" s="2">
        <v>2.1120000000000001</v>
      </c>
      <c r="L156" s="2">
        <v>3.181</v>
      </c>
      <c r="M156" s="2">
        <v>4.6790000000000003</v>
      </c>
      <c r="N156" s="2">
        <v>6.7990000000000004</v>
      </c>
      <c r="O156" s="2">
        <v>10</v>
      </c>
      <c r="P156" s="2">
        <v>15.066000000000001</v>
      </c>
      <c r="Q156" s="2">
        <v>22.428000000000001</v>
      </c>
      <c r="R156" s="2">
        <v>31.433</v>
      </c>
      <c r="S156" s="2">
        <v>46.79</v>
      </c>
      <c r="T156" s="2">
        <v>67.992000000000004</v>
      </c>
      <c r="U156" s="236">
        <v>100</v>
      </c>
      <c r="V156" s="2"/>
    </row>
    <row r="157" spans="1:37" ht="15.75" customHeight="1">
      <c r="A157" s="228">
        <v>26</v>
      </c>
      <c r="B157" s="201" t="s">
        <v>224</v>
      </c>
      <c r="C157" s="2">
        <v>0.10199999999999999</v>
      </c>
      <c r="D157" s="2">
        <v>0.14899999999999999</v>
      </c>
      <c r="E157" s="2">
        <v>0.219</v>
      </c>
      <c r="F157" s="2">
        <v>0.318</v>
      </c>
      <c r="G157" s="2">
        <v>0.46800000000000003</v>
      </c>
      <c r="H157" s="2">
        <v>0.68799999999999994</v>
      </c>
      <c r="I157" s="2">
        <v>1</v>
      </c>
      <c r="J157" s="2">
        <v>1.4710000000000001</v>
      </c>
      <c r="K157" s="2">
        <v>2.1120000000000001</v>
      </c>
      <c r="L157" s="2">
        <v>3.181</v>
      </c>
      <c r="M157" s="2">
        <v>4.6790000000000003</v>
      </c>
      <c r="N157" s="2">
        <v>6.7990000000000004</v>
      </c>
      <c r="O157" s="2">
        <v>10</v>
      </c>
      <c r="P157" s="2">
        <v>15.066000000000001</v>
      </c>
      <c r="Q157" s="2">
        <v>22.428000000000001</v>
      </c>
      <c r="R157" s="2">
        <v>31.433</v>
      </c>
      <c r="S157" s="2">
        <v>46.79</v>
      </c>
      <c r="T157" s="2">
        <v>67.992000000000004</v>
      </c>
      <c r="U157" s="236">
        <v>100</v>
      </c>
      <c r="V157" s="2"/>
    </row>
    <row r="158" spans="1:37" ht="15.75" customHeight="1">
      <c r="A158" s="228">
        <v>26</v>
      </c>
      <c r="B158" s="201" t="s">
        <v>229</v>
      </c>
      <c r="C158" s="2">
        <v>0.10199999999999999</v>
      </c>
      <c r="D158" s="2">
        <v>0.14899999999999999</v>
      </c>
      <c r="E158" s="2">
        <v>0.219</v>
      </c>
      <c r="F158" s="2">
        <v>0.318</v>
      </c>
      <c r="G158" s="2">
        <v>0.46800000000000003</v>
      </c>
      <c r="H158" s="2">
        <v>0.68799999999999994</v>
      </c>
      <c r="I158" s="2">
        <v>1</v>
      </c>
      <c r="J158" s="2">
        <v>1.4710000000000001</v>
      </c>
      <c r="K158" s="2">
        <v>2.1120000000000001</v>
      </c>
      <c r="L158" s="2">
        <v>3.181</v>
      </c>
      <c r="M158" s="2">
        <v>4.6790000000000003</v>
      </c>
      <c r="N158" s="2">
        <v>6.7990000000000004</v>
      </c>
      <c r="O158" s="2">
        <v>10</v>
      </c>
      <c r="P158" s="2">
        <v>15.066000000000001</v>
      </c>
      <c r="Q158" s="2">
        <v>22.428000000000001</v>
      </c>
      <c r="R158" s="2">
        <v>31.433</v>
      </c>
      <c r="S158" s="2">
        <v>46.79</v>
      </c>
      <c r="T158" s="2">
        <v>67.992000000000004</v>
      </c>
      <c r="U158" s="236">
        <v>100</v>
      </c>
      <c r="V158" s="2"/>
    </row>
    <row r="159" spans="1:37" ht="15.75" customHeight="1">
      <c r="A159" s="228">
        <v>26</v>
      </c>
      <c r="B159" s="201" t="s">
        <v>225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36"/>
      <c r="V159" s="2"/>
    </row>
    <row r="160" spans="1:37" ht="15.75" customHeight="1">
      <c r="A160" s="228">
        <v>26</v>
      </c>
      <c r="B160" s="201" t="s">
        <v>226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36"/>
      <c r="V160" s="2"/>
    </row>
    <row r="161" spans="1:22" ht="15.75" customHeight="1">
      <c r="A161" s="228">
        <v>26</v>
      </c>
      <c r="B161" s="201" t="s">
        <v>227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36"/>
      <c r="V161" s="2"/>
    </row>
    <row r="162" spans="1:22" ht="15.75" customHeight="1">
      <c r="A162" s="228">
        <v>26</v>
      </c>
      <c r="B162" s="201" t="s">
        <v>228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36"/>
      <c r="V162" s="2"/>
    </row>
    <row r="163" spans="1:22" ht="15.75" customHeight="1">
      <c r="A163" s="230">
        <v>26</v>
      </c>
      <c r="B163" s="231" t="s">
        <v>230</v>
      </c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237"/>
      <c r="V163" s="2"/>
    </row>
    <row r="164" spans="1:22" ht="15.75" customHeight="1">
      <c r="A164" s="199">
        <v>27</v>
      </c>
      <c r="B164" s="200">
        <v>1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2" ht="15.75" customHeight="1">
      <c r="A165" s="196">
        <v>27</v>
      </c>
      <c r="B165" s="201">
        <v>2</v>
      </c>
    </row>
    <row r="166" spans="1:22" ht="15.75" customHeight="1">
      <c r="A166" s="196">
        <v>27</v>
      </c>
      <c r="B166" s="201">
        <v>3</v>
      </c>
    </row>
    <row r="167" spans="1:22" ht="15.75" customHeight="1">
      <c r="A167" s="196">
        <v>27</v>
      </c>
      <c r="B167" s="201">
        <v>4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2" ht="15.75" customHeight="1">
      <c r="A168" s="229">
        <v>28</v>
      </c>
      <c r="B168" s="74">
        <v>1</v>
      </c>
      <c r="C168" s="234">
        <v>0.1</v>
      </c>
      <c r="D168" s="234">
        <v>0.15</v>
      </c>
      <c r="E168" s="234">
        <v>0.22</v>
      </c>
      <c r="F168" s="234">
        <v>0.32</v>
      </c>
      <c r="G168" s="234">
        <v>0.47</v>
      </c>
      <c r="H168" s="234">
        <v>0.71</v>
      </c>
      <c r="I168" s="234">
        <v>1.01</v>
      </c>
      <c r="J168" s="234">
        <v>1.53</v>
      </c>
      <c r="K168" s="234">
        <v>2.17</v>
      </c>
      <c r="L168" s="234">
        <v>3.24</v>
      </c>
      <c r="M168" s="234">
        <v>4.71</v>
      </c>
      <c r="N168" s="234">
        <v>6.95</v>
      </c>
      <c r="O168" s="234">
        <v>10.17</v>
      </c>
      <c r="P168" s="234">
        <v>14.89</v>
      </c>
      <c r="Q168" s="234">
        <v>21.95</v>
      </c>
      <c r="R168" s="234">
        <v>31.66</v>
      </c>
      <c r="S168" s="234">
        <v>48.42</v>
      </c>
      <c r="T168" s="234">
        <v>70.36</v>
      </c>
      <c r="U168" s="235">
        <v>99.27</v>
      </c>
      <c r="V168" s="2"/>
    </row>
    <row r="169" spans="1:22" ht="15.75" customHeight="1">
      <c r="A169" s="228">
        <v>28</v>
      </c>
      <c r="B169" s="75">
        <v>2</v>
      </c>
      <c r="C169" s="2">
        <v>0.1</v>
      </c>
      <c r="D169" s="2">
        <v>0.15</v>
      </c>
      <c r="E169" s="2">
        <v>0.22</v>
      </c>
      <c r="F169" s="2">
        <v>0.32</v>
      </c>
      <c r="G169" s="2">
        <v>0.47</v>
      </c>
      <c r="H169" s="2">
        <v>0.71</v>
      </c>
      <c r="I169" s="2">
        <v>1.01</v>
      </c>
      <c r="J169" s="2">
        <v>1.53</v>
      </c>
      <c r="K169" s="2">
        <v>2.17</v>
      </c>
      <c r="L169" s="2">
        <v>3.24</v>
      </c>
      <c r="M169" s="2">
        <v>4.71</v>
      </c>
      <c r="N169" s="2">
        <v>6.95</v>
      </c>
      <c r="O169" s="32">
        <v>10.17</v>
      </c>
      <c r="P169" s="2">
        <v>14.89</v>
      </c>
      <c r="Q169" s="2">
        <v>21.95</v>
      </c>
      <c r="R169" s="2">
        <v>31.66</v>
      </c>
      <c r="S169" s="2">
        <v>48.42</v>
      </c>
      <c r="T169" s="2">
        <v>70.36</v>
      </c>
      <c r="U169" s="236">
        <v>99.27</v>
      </c>
      <c r="V169" s="2"/>
    </row>
    <row r="170" spans="1:22" ht="15.75" customHeight="1">
      <c r="A170" s="228">
        <v>28</v>
      </c>
      <c r="B170" s="75">
        <v>3</v>
      </c>
      <c r="C170" s="2">
        <v>0.1</v>
      </c>
      <c r="D170" s="2">
        <v>0.15</v>
      </c>
      <c r="E170" s="2">
        <v>0.22</v>
      </c>
      <c r="F170" s="2">
        <v>0.32</v>
      </c>
      <c r="G170" s="2">
        <v>0.47</v>
      </c>
      <c r="H170" s="2">
        <v>0.71</v>
      </c>
      <c r="I170" s="2">
        <v>1.01</v>
      </c>
      <c r="J170" s="2">
        <v>1.53</v>
      </c>
      <c r="K170" s="2">
        <v>2.17</v>
      </c>
      <c r="L170" s="2">
        <v>3.24</v>
      </c>
      <c r="M170" s="2">
        <v>4.71</v>
      </c>
      <c r="N170" s="2">
        <v>6.95</v>
      </c>
      <c r="O170" s="2">
        <v>10.17</v>
      </c>
      <c r="P170" s="2">
        <v>14.89</v>
      </c>
      <c r="Q170" s="2">
        <v>21.95</v>
      </c>
      <c r="R170" s="2">
        <v>31.66</v>
      </c>
      <c r="S170" s="2">
        <v>48.42</v>
      </c>
      <c r="T170" s="2">
        <v>70.36</v>
      </c>
      <c r="U170" s="236">
        <v>99.27</v>
      </c>
      <c r="V170" s="2"/>
    </row>
    <row r="171" spans="1:22" ht="15.75" customHeight="1">
      <c r="A171" s="228">
        <v>28</v>
      </c>
      <c r="B171" s="75">
        <v>4</v>
      </c>
      <c r="C171" s="2">
        <v>0.1</v>
      </c>
      <c r="D171" s="2">
        <v>0.15</v>
      </c>
      <c r="E171" s="2">
        <v>0.22</v>
      </c>
      <c r="F171" s="2">
        <v>0.32</v>
      </c>
      <c r="G171" s="2">
        <v>0.47</v>
      </c>
      <c r="H171" s="2">
        <v>0.71</v>
      </c>
      <c r="I171" s="2">
        <v>1.01</v>
      </c>
      <c r="J171" s="2">
        <v>1.53</v>
      </c>
      <c r="K171" s="2">
        <v>2.17</v>
      </c>
      <c r="L171" s="2">
        <v>3.24</v>
      </c>
      <c r="M171" s="2">
        <v>4.71</v>
      </c>
      <c r="N171" s="2">
        <v>6.95</v>
      </c>
      <c r="O171" s="2">
        <v>10.17</v>
      </c>
      <c r="P171" s="2">
        <v>14.89</v>
      </c>
      <c r="Q171" s="2">
        <v>21.95</v>
      </c>
      <c r="R171" s="2">
        <v>31.66</v>
      </c>
      <c r="S171" s="2">
        <v>48.42</v>
      </c>
      <c r="T171" s="2">
        <v>70.36</v>
      </c>
      <c r="U171" s="236">
        <v>99.27</v>
      </c>
      <c r="V171" s="2"/>
    </row>
    <row r="172" spans="1:22" ht="15.75" customHeight="1">
      <c r="A172" s="228">
        <v>28</v>
      </c>
      <c r="B172" s="75">
        <v>5</v>
      </c>
      <c r="C172" s="2">
        <v>0.1</v>
      </c>
      <c r="D172" s="2">
        <v>0.15</v>
      </c>
      <c r="E172" s="2">
        <v>0.22</v>
      </c>
      <c r="F172" s="2">
        <v>0.32</v>
      </c>
      <c r="G172" s="2">
        <v>0.47</v>
      </c>
      <c r="H172" s="2">
        <v>0.71</v>
      </c>
      <c r="I172" s="2">
        <v>1.01</v>
      </c>
      <c r="J172" s="2">
        <v>1.53</v>
      </c>
      <c r="K172" s="2">
        <v>2.17</v>
      </c>
      <c r="L172" s="2">
        <v>3.24</v>
      </c>
      <c r="M172" s="2">
        <v>4.71</v>
      </c>
      <c r="N172" s="2">
        <v>6.95</v>
      </c>
      <c r="O172" s="2">
        <v>10.17</v>
      </c>
      <c r="P172" s="2">
        <v>14.89</v>
      </c>
      <c r="Q172" s="2">
        <v>21.95</v>
      </c>
      <c r="R172" s="2">
        <v>31.66</v>
      </c>
      <c r="S172" s="2">
        <v>48.42</v>
      </c>
      <c r="T172" s="2">
        <v>70.36</v>
      </c>
      <c r="U172" s="236">
        <v>99.27</v>
      </c>
      <c r="V172" s="2"/>
    </row>
    <row r="173" spans="1:22" ht="15.75" customHeight="1">
      <c r="A173" s="230">
        <v>28</v>
      </c>
      <c r="B173" s="231">
        <v>6</v>
      </c>
      <c r="C173" s="34">
        <v>0.1</v>
      </c>
      <c r="D173" s="34">
        <v>0.15</v>
      </c>
      <c r="E173" s="34">
        <v>0.22</v>
      </c>
      <c r="F173" s="34">
        <v>0.32</v>
      </c>
      <c r="G173" s="34">
        <v>0.47</v>
      </c>
      <c r="H173" s="34">
        <v>0.71</v>
      </c>
      <c r="I173" s="34">
        <v>1.01</v>
      </c>
      <c r="J173" s="34">
        <v>1.53</v>
      </c>
      <c r="K173" s="34">
        <v>2.17</v>
      </c>
      <c r="L173" s="34">
        <v>3.24</v>
      </c>
      <c r="M173" s="34">
        <v>4.71</v>
      </c>
      <c r="N173" s="34">
        <v>6.95</v>
      </c>
      <c r="O173" s="34">
        <v>10.17</v>
      </c>
      <c r="P173" s="34">
        <v>14.89</v>
      </c>
      <c r="Q173" s="34">
        <v>21.95</v>
      </c>
      <c r="R173" s="34">
        <v>31.66</v>
      </c>
      <c r="S173" s="34">
        <v>48.42</v>
      </c>
      <c r="T173" s="34">
        <v>70.36</v>
      </c>
      <c r="U173" s="237">
        <v>99.27</v>
      </c>
      <c r="V173" s="2"/>
    </row>
    <row r="174" spans="1:22" ht="15.75" customHeight="1">
      <c r="A174" s="228">
        <v>29</v>
      </c>
      <c r="B174" s="75">
        <v>1</v>
      </c>
      <c r="C174" s="2">
        <v>0.03</v>
      </c>
      <c r="D174" s="2">
        <v>0.06</v>
      </c>
      <c r="E174" s="2">
        <v>0.1</v>
      </c>
      <c r="F174" s="2">
        <v>0.18</v>
      </c>
      <c r="G174" s="2">
        <v>0.3</v>
      </c>
      <c r="H174" s="2">
        <v>0.56999999999999995</v>
      </c>
      <c r="I174" s="2">
        <v>0.99</v>
      </c>
      <c r="J174" s="2">
        <v>1.71</v>
      </c>
      <c r="K174" s="2">
        <v>2.99</v>
      </c>
      <c r="L174" s="2">
        <v>5.24</v>
      </c>
      <c r="M174" s="2">
        <v>9.56</v>
      </c>
      <c r="N174" s="2">
        <v>16.32</v>
      </c>
      <c r="O174" s="2">
        <v>30.18</v>
      </c>
      <c r="P174" s="2">
        <v>49.48</v>
      </c>
      <c r="Q174" s="2">
        <v>93.96</v>
      </c>
      <c r="R174" s="2">
        <v>160.34</v>
      </c>
      <c r="S174" s="2">
        <v>259.37</v>
      </c>
      <c r="T174" s="236">
        <v>486.02</v>
      </c>
      <c r="U174" s="2"/>
    </row>
    <row r="175" spans="1:22" ht="15.75" customHeight="1">
      <c r="A175" s="228">
        <v>29</v>
      </c>
      <c r="B175" s="75">
        <v>2</v>
      </c>
      <c r="C175" s="2">
        <v>0.03</v>
      </c>
      <c r="D175" s="2">
        <v>0.06</v>
      </c>
      <c r="E175" s="2">
        <v>0.1</v>
      </c>
      <c r="F175" s="2">
        <v>0.18</v>
      </c>
      <c r="G175" s="2">
        <v>0.3</v>
      </c>
      <c r="H175" s="2">
        <v>0.56999999999999995</v>
      </c>
      <c r="I175" s="2">
        <v>0.99</v>
      </c>
      <c r="J175" s="2">
        <v>1.71</v>
      </c>
      <c r="K175" s="2">
        <v>2.99</v>
      </c>
      <c r="L175" s="2">
        <v>5.24</v>
      </c>
      <c r="M175" s="2">
        <v>9.56</v>
      </c>
      <c r="N175" s="2">
        <v>16.32</v>
      </c>
      <c r="O175" s="2">
        <v>30.18</v>
      </c>
      <c r="P175" s="2">
        <v>49.48</v>
      </c>
      <c r="Q175" s="2">
        <v>93.96</v>
      </c>
      <c r="R175" s="2">
        <v>160.34</v>
      </c>
      <c r="S175" s="2">
        <v>259.37</v>
      </c>
      <c r="T175" s="236">
        <v>486.02</v>
      </c>
      <c r="U175" s="2"/>
    </row>
    <row r="176" spans="1:22" ht="15.75" customHeight="1">
      <c r="A176" s="228">
        <v>29</v>
      </c>
      <c r="B176" s="75">
        <v>3</v>
      </c>
      <c r="C176" s="2">
        <v>0.03</v>
      </c>
      <c r="D176" s="2">
        <v>0.06</v>
      </c>
      <c r="E176" s="2">
        <v>0.1</v>
      </c>
      <c r="F176" s="2">
        <v>0.18</v>
      </c>
      <c r="G176" s="2">
        <v>0.3</v>
      </c>
      <c r="H176" s="2">
        <v>0.56999999999999995</v>
      </c>
      <c r="I176" s="2">
        <v>0.99</v>
      </c>
      <c r="J176" s="2">
        <v>1.71</v>
      </c>
      <c r="K176" s="2">
        <v>2.99</v>
      </c>
      <c r="L176" s="2">
        <v>5.24</v>
      </c>
      <c r="M176" s="2">
        <v>9.56</v>
      </c>
      <c r="N176" s="2">
        <v>16.32</v>
      </c>
      <c r="O176" s="2">
        <v>30.18</v>
      </c>
      <c r="P176" s="2">
        <v>49.48</v>
      </c>
      <c r="Q176" s="2">
        <v>93.96</v>
      </c>
      <c r="R176" s="2">
        <v>160.34</v>
      </c>
      <c r="S176" s="2">
        <v>259.37</v>
      </c>
      <c r="T176" s="236">
        <v>486.02</v>
      </c>
      <c r="U176" s="2"/>
    </row>
    <row r="177" spans="1:28" ht="15.75" customHeight="1">
      <c r="A177" s="228">
        <v>29</v>
      </c>
      <c r="B177" s="75">
        <v>4</v>
      </c>
      <c r="C177" s="2">
        <v>0.03</v>
      </c>
      <c r="D177" s="2">
        <v>0.06</v>
      </c>
      <c r="E177" s="2">
        <v>0.1</v>
      </c>
      <c r="F177" s="2">
        <v>0.18</v>
      </c>
      <c r="G177" s="2">
        <v>0.3</v>
      </c>
      <c r="H177" s="2">
        <v>0.56999999999999995</v>
      </c>
      <c r="I177" s="2">
        <v>0.99</v>
      </c>
      <c r="J177" s="2">
        <v>1.71</v>
      </c>
      <c r="K177" s="2">
        <v>2.99</v>
      </c>
      <c r="L177" s="2">
        <v>5.24</v>
      </c>
      <c r="M177" s="2">
        <v>9.56</v>
      </c>
      <c r="N177" s="2">
        <v>16.32</v>
      </c>
      <c r="O177" s="2">
        <v>30.18</v>
      </c>
      <c r="P177" s="2">
        <v>49.48</v>
      </c>
      <c r="Q177" s="2">
        <v>93.96</v>
      </c>
      <c r="R177" s="2">
        <v>160.34</v>
      </c>
      <c r="S177" s="2">
        <v>259.37</v>
      </c>
      <c r="T177" s="236">
        <v>486.02</v>
      </c>
      <c r="U177" s="2"/>
    </row>
    <row r="178" spans="1:28" ht="15.75" customHeight="1">
      <c r="A178" s="230">
        <v>29</v>
      </c>
      <c r="B178" s="231">
        <v>5</v>
      </c>
      <c r="C178" s="34">
        <v>0.03</v>
      </c>
      <c r="D178" s="34">
        <v>0.06</v>
      </c>
      <c r="E178" s="34">
        <v>0.1</v>
      </c>
      <c r="F178" s="34">
        <v>0.18</v>
      </c>
      <c r="G178" s="34">
        <v>0.3</v>
      </c>
      <c r="H178" s="34">
        <v>0.56999999999999995</v>
      </c>
      <c r="I178" s="34">
        <v>0.99</v>
      </c>
      <c r="J178" s="34">
        <v>1.71</v>
      </c>
      <c r="K178" s="34">
        <v>2.99</v>
      </c>
      <c r="L178" s="34">
        <v>5.24</v>
      </c>
      <c r="M178" s="34">
        <v>9.56</v>
      </c>
      <c r="N178" s="34">
        <v>16.32</v>
      </c>
      <c r="O178" s="34">
        <v>30.18</v>
      </c>
      <c r="P178" s="34">
        <v>49.48</v>
      </c>
      <c r="Q178" s="34">
        <v>93.96</v>
      </c>
      <c r="R178" s="34">
        <v>160.34</v>
      </c>
      <c r="S178" s="34">
        <v>259.37</v>
      </c>
      <c r="T178" s="237">
        <v>486.02</v>
      </c>
      <c r="U178" s="2"/>
    </row>
    <row r="179" spans="1:28" ht="15.75" customHeight="1">
      <c r="A179" s="228">
        <v>30</v>
      </c>
      <c r="B179" s="75">
        <v>1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8" ht="15.75" customHeight="1">
      <c r="A180" s="228">
        <v>30</v>
      </c>
      <c r="B180" s="75">
        <v>2</v>
      </c>
    </row>
    <row r="181" spans="1:28" ht="15.75" customHeight="1">
      <c r="A181" s="228">
        <v>30</v>
      </c>
      <c r="B181" s="75">
        <v>3</v>
      </c>
    </row>
    <row r="182" spans="1:28" ht="15.75" customHeight="1">
      <c r="A182" s="229">
        <v>31</v>
      </c>
      <c r="B182" s="74">
        <v>1</v>
      </c>
    </row>
    <row r="183" spans="1:28" ht="15.75" customHeight="1">
      <c r="A183" s="228">
        <v>31</v>
      </c>
      <c r="B183" s="75">
        <v>2</v>
      </c>
    </row>
    <row r="184" spans="1:28" ht="15.75" customHeight="1">
      <c r="A184" s="228">
        <v>31</v>
      </c>
      <c r="B184" s="75">
        <v>3</v>
      </c>
    </row>
    <row r="185" spans="1:28" ht="15.75" customHeight="1">
      <c r="A185" s="228">
        <v>31</v>
      </c>
      <c r="B185" s="75">
        <v>4</v>
      </c>
    </row>
    <row r="186" spans="1:28" ht="15.75" customHeight="1">
      <c r="A186" s="230">
        <v>31</v>
      </c>
      <c r="B186" s="231">
        <v>5</v>
      </c>
    </row>
    <row r="187" spans="1:28" ht="15.75" customHeight="1">
      <c r="A187" s="199">
        <v>32</v>
      </c>
      <c r="B187" s="200">
        <v>1</v>
      </c>
    </row>
    <row r="188" spans="1:28" ht="15.75" customHeight="1">
      <c r="A188" s="196">
        <v>32</v>
      </c>
      <c r="B188" s="201">
        <v>2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8" ht="15.75" customHeight="1">
      <c r="A189" s="229">
        <v>33</v>
      </c>
      <c r="B189" s="200">
        <v>1</v>
      </c>
      <c r="C189" s="149">
        <v>0.01</v>
      </c>
      <c r="D189" s="234">
        <v>1.4999999999999999E-2</v>
      </c>
      <c r="E189" s="234">
        <v>2.1999999999999999E-2</v>
      </c>
      <c r="F189" s="234">
        <v>3.2000000000000001E-2</v>
      </c>
      <c r="G189" s="234">
        <v>4.5999999999999999E-2</v>
      </c>
      <c r="H189" s="234">
        <v>6.9000000000000006E-2</v>
      </c>
      <c r="I189" s="234">
        <v>0.10199999999999999</v>
      </c>
      <c r="J189" s="234">
        <v>0.14899999999999999</v>
      </c>
      <c r="K189" s="234">
        <v>0.219</v>
      </c>
      <c r="L189" s="234">
        <v>0.316</v>
      </c>
      <c r="M189" s="234">
        <v>0.46400000000000002</v>
      </c>
      <c r="N189" s="234">
        <v>0.69199999999999995</v>
      </c>
      <c r="O189" s="234">
        <v>0.98499999999999999</v>
      </c>
      <c r="P189" s="234">
        <v>1.4910000000000001</v>
      </c>
      <c r="Q189" s="234">
        <v>2.1539999999999999</v>
      </c>
      <c r="R189" s="234">
        <v>3.1619999999999999</v>
      </c>
      <c r="S189" s="234">
        <v>4.5709999999999997</v>
      </c>
      <c r="T189" s="234">
        <v>6.7089999999999996</v>
      </c>
      <c r="U189" s="234">
        <v>10</v>
      </c>
      <c r="V189" s="234">
        <v>14.454000000000001</v>
      </c>
      <c r="W189" s="234">
        <v>21.544</v>
      </c>
      <c r="X189" s="234">
        <v>31.140999999999998</v>
      </c>
      <c r="Y189" s="234">
        <v>46.415999999999997</v>
      </c>
      <c r="Z189" s="234">
        <v>68.129000000000005</v>
      </c>
      <c r="AA189" s="235">
        <v>100</v>
      </c>
      <c r="AB189" s="2"/>
    </row>
    <row r="190" spans="1:28" ht="15.75" customHeight="1">
      <c r="A190" s="228">
        <v>33</v>
      </c>
      <c r="B190" s="201">
        <v>2</v>
      </c>
      <c r="C190" s="64">
        <v>0.01</v>
      </c>
      <c r="D190" s="2">
        <v>1.4999999999999999E-2</v>
      </c>
      <c r="E190" s="2">
        <v>2.1999999999999999E-2</v>
      </c>
      <c r="F190" s="2">
        <v>3.2000000000000001E-2</v>
      </c>
      <c r="G190" s="2">
        <v>4.5999999999999999E-2</v>
      </c>
      <c r="H190" s="2">
        <v>6.9000000000000006E-2</v>
      </c>
      <c r="I190" s="2">
        <v>0.10199999999999999</v>
      </c>
      <c r="J190" s="2">
        <v>0.14899999999999999</v>
      </c>
      <c r="K190" s="2">
        <v>0.219</v>
      </c>
      <c r="L190" s="2">
        <v>0.316</v>
      </c>
      <c r="M190" s="2">
        <v>0.46400000000000002</v>
      </c>
      <c r="N190" s="2">
        <v>0.69199999999999995</v>
      </c>
      <c r="O190" s="2">
        <v>0.98499999999999999</v>
      </c>
      <c r="P190" s="2">
        <v>1.4910000000000001</v>
      </c>
      <c r="Q190" s="2">
        <v>2.1539999999999999</v>
      </c>
      <c r="R190" s="2">
        <v>3.1619999999999999</v>
      </c>
      <c r="S190" s="2">
        <v>4.5709999999999997</v>
      </c>
      <c r="T190" s="2">
        <v>6.7089999999999996</v>
      </c>
      <c r="U190" s="2">
        <v>10</v>
      </c>
      <c r="V190" s="2">
        <v>14.454000000000001</v>
      </c>
      <c r="W190" s="2">
        <v>21.544</v>
      </c>
      <c r="X190" s="2">
        <v>31.140999999999998</v>
      </c>
      <c r="Y190" s="2">
        <v>46.415999999999997</v>
      </c>
      <c r="Z190" s="2">
        <v>68.129000000000005</v>
      </c>
      <c r="AA190" s="236">
        <v>100</v>
      </c>
      <c r="AB190" s="2"/>
    </row>
    <row r="191" spans="1:28" ht="15.75" customHeight="1">
      <c r="A191" s="228">
        <v>33</v>
      </c>
      <c r="B191" s="201">
        <v>3</v>
      </c>
      <c r="C191" s="64">
        <v>0.01</v>
      </c>
      <c r="D191" s="2">
        <v>1.4999999999999999E-2</v>
      </c>
      <c r="E191" s="2">
        <v>2.1999999999999999E-2</v>
      </c>
      <c r="F191" s="2">
        <v>3.2000000000000001E-2</v>
      </c>
      <c r="G191" s="2">
        <v>4.5999999999999999E-2</v>
      </c>
      <c r="H191" s="2">
        <v>6.9000000000000006E-2</v>
      </c>
      <c r="I191" s="2">
        <v>0.10199999999999999</v>
      </c>
      <c r="J191" s="2">
        <v>0.14899999999999999</v>
      </c>
      <c r="K191" s="2">
        <v>0.219</v>
      </c>
      <c r="L191" s="2">
        <v>0.316</v>
      </c>
      <c r="M191" s="2">
        <v>0.46400000000000002</v>
      </c>
      <c r="N191" s="2">
        <v>0.69199999999999995</v>
      </c>
      <c r="O191" s="2">
        <v>0.98499999999999999</v>
      </c>
      <c r="P191" s="2">
        <v>1.4910000000000001</v>
      </c>
      <c r="Q191" s="2">
        <v>2.1539999999999999</v>
      </c>
      <c r="R191" s="2">
        <v>3.1619999999999999</v>
      </c>
      <c r="S191" s="2">
        <v>4.5709999999999997</v>
      </c>
      <c r="T191" s="2">
        <v>6.7089999999999996</v>
      </c>
      <c r="U191" s="2">
        <v>10</v>
      </c>
      <c r="V191" s="2">
        <v>14.454000000000001</v>
      </c>
      <c r="W191" s="2">
        <v>21.544</v>
      </c>
      <c r="X191" s="2">
        <v>31.140999999999998</v>
      </c>
      <c r="Y191" s="2">
        <v>46.415999999999997</v>
      </c>
      <c r="Z191" s="2">
        <v>68.129000000000005</v>
      </c>
      <c r="AA191" s="236">
        <v>100</v>
      </c>
      <c r="AB191" s="2"/>
    </row>
    <row r="192" spans="1:28" ht="15.75" customHeight="1">
      <c r="A192" s="230">
        <v>33</v>
      </c>
      <c r="B192" s="202">
        <v>4</v>
      </c>
      <c r="C192" s="150">
        <v>0.01</v>
      </c>
      <c r="D192" s="34">
        <v>1.4999999999999999E-2</v>
      </c>
      <c r="E192" s="34">
        <v>2.1999999999999999E-2</v>
      </c>
      <c r="F192" s="34">
        <v>3.2000000000000001E-2</v>
      </c>
      <c r="G192" s="34">
        <v>4.5999999999999999E-2</v>
      </c>
      <c r="H192" s="34">
        <v>6.9000000000000006E-2</v>
      </c>
      <c r="I192" s="34">
        <v>0.10199999999999999</v>
      </c>
      <c r="J192" s="34">
        <v>0.14899999999999999</v>
      </c>
      <c r="K192" s="34">
        <v>0.219</v>
      </c>
      <c r="L192" s="34">
        <v>0.316</v>
      </c>
      <c r="M192" s="34">
        <v>0.46400000000000002</v>
      </c>
      <c r="N192" s="34">
        <v>0.69199999999999995</v>
      </c>
      <c r="O192" s="34">
        <v>0.98499999999999999</v>
      </c>
      <c r="P192" s="34">
        <v>1.4910000000000001</v>
      </c>
      <c r="Q192" s="34">
        <v>2.1539999999999999</v>
      </c>
      <c r="R192" s="34">
        <v>3.1619999999999999</v>
      </c>
      <c r="S192" s="34">
        <v>4.5709999999999997</v>
      </c>
      <c r="T192" s="34">
        <v>6.7089999999999996</v>
      </c>
      <c r="U192" s="34">
        <v>10</v>
      </c>
      <c r="V192" s="34">
        <v>14.454000000000001</v>
      </c>
      <c r="W192" s="34">
        <v>21.544</v>
      </c>
      <c r="X192" s="34">
        <v>31.140999999999998</v>
      </c>
      <c r="Y192" s="34">
        <v>46.415999999999997</v>
      </c>
      <c r="Z192" s="34">
        <v>68.129000000000005</v>
      </c>
      <c r="AA192" s="237">
        <v>100</v>
      </c>
      <c r="AB192" s="2"/>
    </row>
    <row r="193" spans="1:36" ht="15.75" customHeight="1">
      <c r="A193" s="203">
        <v>34</v>
      </c>
      <c r="B193" s="200">
        <v>1</v>
      </c>
      <c r="C193" s="8">
        <v>0.1</v>
      </c>
      <c r="D193" s="8">
        <v>0.157</v>
      </c>
      <c r="E193" s="8">
        <v>0.25</v>
      </c>
      <c r="F193" s="8">
        <v>0.4</v>
      </c>
      <c r="G193" s="8">
        <v>0.62</v>
      </c>
      <c r="H193" s="8">
        <v>0.99</v>
      </c>
      <c r="I193" s="8">
        <v>1.5669999999999999</v>
      </c>
      <c r="J193" s="8">
        <v>2.5259999999999998</v>
      </c>
      <c r="K193" s="8">
        <v>3.9580000000000002</v>
      </c>
      <c r="L193" s="8">
        <v>6.3220000000000001</v>
      </c>
      <c r="M193" s="8">
        <v>9.9049999999999994</v>
      </c>
      <c r="N193" s="8">
        <v>15.971</v>
      </c>
      <c r="O193" s="8">
        <v>24.548999999999999</v>
      </c>
      <c r="P193" s="8">
        <v>39.207000000000001</v>
      </c>
      <c r="Q193" s="8">
        <v>62.615000000000002</v>
      </c>
      <c r="R193" s="8">
        <v>98.106999999999999</v>
      </c>
      <c r="S193" s="8">
        <v>156.68299999999999</v>
      </c>
      <c r="T193" s="8">
        <v>245.494</v>
      </c>
      <c r="U193" s="8">
        <v>388.34</v>
      </c>
      <c r="V193" s="8">
        <v>632.16399999999999</v>
      </c>
      <c r="W193" s="2"/>
      <c r="X193" s="2"/>
      <c r="Y193" s="2"/>
      <c r="Z193" s="2"/>
      <c r="AA193" s="2"/>
    </row>
    <row r="194" spans="1:36" ht="15.75" customHeight="1">
      <c r="A194" s="204">
        <v>34</v>
      </c>
      <c r="B194" s="201">
        <v>2</v>
      </c>
      <c r="C194" s="8">
        <v>0.1</v>
      </c>
      <c r="D194" s="8">
        <v>0.157</v>
      </c>
      <c r="E194" s="8">
        <v>0.25</v>
      </c>
      <c r="F194" s="8">
        <v>0.4</v>
      </c>
      <c r="G194" s="8">
        <v>0.62</v>
      </c>
      <c r="H194" s="8">
        <v>0.99</v>
      </c>
      <c r="I194" s="8">
        <v>1.5669999999999999</v>
      </c>
      <c r="J194" s="8">
        <v>2.5259999999999998</v>
      </c>
      <c r="K194" s="8">
        <v>3.9580000000000002</v>
      </c>
      <c r="L194" s="8">
        <v>6.3220000000000001</v>
      </c>
      <c r="M194" s="8">
        <v>9.9049999999999994</v>
      </c>
      <c r="N194" s="8">
        <v>15.971</v>
      </c>
      <c r="O194" s="8">
        <v>24.548999999999999</v>
      </c>
      <c r="P194" s="8">
        <v>39.207000000000001</v>
      </c>
      <c r="Q194" s="8">
        <v>62.615000000000002</v>
      </c>
      <c r="R194" s="8">
        <v>98.106999999999999</v>
      </c>
      <c r="S194" s="8">
        <v>156.68299999999999</v>
      </c>
      <c r="T194" s="8">
        <v>245.494</v>
      </c>
      <c r="U194" s="8">
        <v>388.34</v>
      </c>
      <c r="V194" s="8">
        <v>632.16399999999999</v>
      </c>
    </row>
    <row r="195" spans="1:36" ht="15.75" customHeight="1">
      <c r="A195" s="204">
        <v>34</v>
      </c>
      <c r="B195" s="201">
        <v>3</v>
      </c>
      <c r="C195" s="8">
        <v>0.1</v>
      </c>
      <c r="D195" s="8">
        <v>0.157</v>
      </c>
      <c r="E195" s="8">
        <v>0.25</v>
      </c>
      <c r="F195" s="8">
        <v>0.4</v>
      </c>
      <c r="G195" s="8">
        <v>0.62</v>
      </c>
      <c r="H195" s="8">
        <v>0.99</v>
      </c>
      <c r="I195" s="8">
        <v>1.5669999999999999</v>
      </c>
      <c r="J195" s="8">
        <v>2.5259999999999998</v>
      </c>
      <c r="K195" s="8">
        <v>3.9580000000000002</v>
      </c>
      <c r="L195" s="8">
        <v>6.3220000000000001</v>
      </c>
      <c r="M195" s="8">
        <v>9.9049999999999994</v>
      </c>
      <c r="N195" s="8">
        <v>15.971</v>
      </c>
      <c r="O195" s="8">
        <v>24.548999999999999</v>
      </c>
      <c r="P195" s="8">
        <v>39.207000000000001</v>
      </c>
      <c r="Q195" s="8">
        <v>62.615000000000002</v>
      </c>
      <c r="R195" s="8">
        <v>98.106999999999999</v>
      </c>
      <c r="S195" s="8">
        <v>156.68299999999999</v>
      </c>
      <c r="T195" s="8">
        <v>245.494</v>
      </c>
      <c r="U195" s="8">
        <v>388.34</v>
      </c>
      <c r="V195" s="8"/>
    </row>
    <row r="196" spans="1:36" ht="15.75" customHeight="1">
      <c r="A196" s="204">
        <v>34</v>
      </c>
      <c r="B196" s="201">
        <v>4</v>
      </c>
      <c r="C196" s="8">
        <v>0.1</v>
      </c>
      <c r="D196" s="8">
        <v>0.157</v>
      </c>
      <c r="E196" s="8">
        <v>0.25</v>
      </c>
      <c r="F196" s="8">
        <v>0.4</v>
      </c>
      <c r="G196" s="8">
        <v>0.62</v>
      </c>
      <c r="H196" s="8">
        <v>0.99</v>
      </c>
      <c r="I196" s="8">
        <v>1.5669999999999999</v>
      </c>
      <c r="J196" s="8">
        <v>2.5259999999999998</v>
      </c>
      <c r="K196" s="8">
        <v>3.9580000000000002</v>
      </c>
      <c r="L196" s="8">
        <v>6.3220000000000001</v>
      </c>
      <c r="M196" s="8">
        <v>9.9049999999999994</v>
      </c>
      <c r="N196" s="8">
        <v>15.971</v>
      </c>
      <c r="O196" s="8">
        <v>24.548999999999999</v>
      </c>
      <c r="P196" s="8">
        <v>39.207000000000001</v>
      </c>
      <c r="Q196" s="8">
        <v>62.615000000000002</v>
      </c>
      <c r="R196" s="8">
        <v>98.106999999999999</v>
      </c>
      <c r="S196" s="8">
        <v>156.68299999999999</v>
      </c>
      <c r="T196" s="8">
        <v>245.494</v>
      </c>
      <c r="U196" s="8">
        <v>388.34</v>
      </c>
      <c r="V196" s="8">
        <v>632.16399999999999</v>
      </c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spans="1:36" ht="15.75" customHeight="1">
      <c r="A197" s="229">
        <v>35</v>
      </c>
      <c r="B197" s="74">
        <v>1</v>
      </c>
      <c r="C197" s="234">
        <v>1.0999999999999999E-2</v>
      </c>
      <c r="D197" s="234">
        <v>1.4E-2</v>
      </c>
      <c r="E197" s="234">
        <v>1.7999999999999999E-2</v>
      </c>
      <c r="F197" s="234">
        <v>2.4E-2</v>
      </c>
      <c r="G197" s="234">
        <v>3.3000000000000002E-2</v>
      </c>
      <c r="H197" s="234">
        <v>4.2000000000000003E-2</v>
      </c>
      <c r="I197" s="234">
        <v>0.06</v>
      </c>
      <c r="J197" s="234">
        <v>7.5999999999999998E-2</v>
      </c>
      <c r="K197" s="234">
        <v>9.9000000000000005E-2</v>
      </c>
      <c r="L197" s="234">
        <v>0.129</v>
      </c>
      <c r="M197" s="234">
        <v>0.17699999999999999</v>
      </c>
      <c r="N197" s="234">
        <v>0.23799999999999999</v>
      </c>
      <c r="O197" s="234">
        <v>0.32600000000000001</v>
      </c>
      <c r="P197" s="234">
        <v>0.40600000000000003</v>
      </c>
      <c r="Q197" s="234">
        <v>0.56999999999999995</v>
      </c>
      <c r="R197" s="234">
        <v>0.74</v>
      </c>
      <c r="S197" s="457">
        <v>1.0169999999999999</v>
      </c>
      <c r="T197" s="457">
        <v>1.35</v>
      </c>
      <c r="U197" s="457">
        <v>1.794</v>
      </c>
      <c r="V197" s="457">
        <v>2.3319999999999999</v>
      </c>
      <c r="W197" s="457">
        <v>3.2719999999999998</v>
      </c>
      <c r="X197" s="457">
        <v>4.1609999999999996</v>
      </c>
      <c r="Y197" s="457">
        <v>5.5279999999999996</v>
      </c>
      <c r="Z197" s="457">
        <v>7.2649999999999997</v>
      </c>
      <c r="AA197" s="457">
        <v>9.9730000000000008</v>
      </c>
      <c r="AB197" s="457">
        <v>13.395</v>
      </c>
      <c r="AC197" s="457">
        <v>17.41</v>
      </c>
      <c r="AD197" s="457">
        <v>24.163</v>
      </c>
      <c r="AE197" s="457">
        <v>30.728999999999999</v>
      </c>
      <c r="AF197" s="457">
        <v>40.380000000000003</v>
      </c>
      <c r="AG197" s="457">
        <v>56.658000000000001</v>
      </c>
      <c r="AH197" s="457">
        <v>76.099000000000004</v>
      </c>
      <c r="AI197" s="461">
        <v>100</v>
      </c>
      <c r="AJ197" s="2"/>
    </row>
    <row r="198" spans="1:36" ht="15.75" customHeight="1">
      <c r="A198" s="228">
        <v>35</v>
      </c>
      <c r="B198" s="75">
        <v>2</v>
      </c>
      <c r="C198" s="2">
        <v>1.0999999999999999E-2</v>
      </c>
      <c r="D198" s="2">
        <v>1.4E-2</v>
      </c>
      <c r="E198" s="2">
        <v>1.7999999999999999E-2</v>
      </c>
      <c r="F198" s="2">
        <v>2.4E-2</v>
      </c>
      <c r="G198" s="2">
        <v>3.3000000000000002E-2</v>
      </c>
      <c r="H198" s="2">
        <v>4.2000000000000003E-2</v>
      </c>
      <c r="I198" s="2">
        <v>0.06</v>
      </c>
      <c r="J198" s="2">
        <v>7.5999999999999998E-2</v>
      </c>
      <c r="K198" s="2">
        <v>9.9000000000000005E-2</v>
      </c>
      <c r="L198" s="2">
        <v>0.129</v>
      </c>
      <c r="M198" s="2">
        <v>0.17699999999999999</v>
      </c>
      <c r="N198" s="2">
        <v>0.23799999999999999</v>
      </c>
      <c r="O198" s="2">
        <v>0.32600000000000001</v>
      </c>
      <c r="P198" s="2">
        <v>0.40600000000000003</v>
      </c>
      <c r="Q198" s="2">
        <v>0.56999999999999995</v>
      </c>
      <c r="R198" s="2">
        <v>0.74</v>
      </c>
      <c r="S198" s="101">
        <v>1.0169999999999999</v>
      </c>
      <c r="T198" s="101">
        <v>1.35</v>
      </c>
      <c r="U198" s="101">
        <v>1.794</v>
      </c>
      <c r="V198" s="101">
        <v>2.3319999999999999</v>
      </c>
      <c r="W198" s="101">
        <v>3.2719999999999998</v>
      </c>
      <c r="X198" s="101">
        <v>4.1609999999999996</v>
      </c>
      <c r="Y198" s="101">
        <v>5.5279999999999996</v>
      </c>
      <c r="Z198" s="101">
        <v>7.2649999999999997</v>
      </c>
      <c r="AA198" s="101">
        <v>9.9730000000000008</v>
      </c>
      <c r="AB198" s="101">
        <v>13.395</v>
      </c>
      <c r="AC198" s="101">
        <v>17.41</v>
      </c>
      <c r="AD198" s="101">
        <v>24.163</v>
      </c>
      <c r="AE198" s="101">
        <v>30.728999999999999</v>
      </c>
      <c r="AF198" s="101">
        <v>40.380000000000003</v>
      </c>
      <c r="AG198" s="101">
        <v>56.658000000000001</v>
      </c>
      <c r="AH198" s="101">
        <v>76.099000000000004</v>
      </c>
      <c r="AI198" s="308">
        <v>100</v>
      </c>
      <c r="AJ198" s="2"/>
    </row>
    <row r="199" spans="1:36" ht="15.75" customHeight="1">
      <c r="A199" s="228">
        <v>35</v>
      </c>
      <c r="B199" s="75">
        <v>3</v>
      </c>
      <c r="C199" s="2">
        <v>1.0999999999999999E-2</v>
      </c>
      <c r="D199" s="2">
        <v>1.4E-2</v>
      </c>
      <c r="E199" s="2">
        <v>1.7999999999999999E-2</v>
      </c>
      <c r="F199" s="2">
        <v>2.4E-2</v>
      </c>
      <c r="G199" s="2">
        <v>3.3000000000000002E-2</v>
      </c>
      <c r="H199" s="2">
        <v>4.2000000000000003E-2</v>
      </c>
      <c r="I199" s="2">
        <v>0.06</v>
      </c>
      <c r="J199" s="2">
        <v>7.5999999999999998E-2</v>
      </c>
      <c r="K199" s="2">
        <v>9.9000000000000005E-2</v>
      </c>
      <c r="L199" s="2">
        <v>0.129</v>
      </c>
      <c r="M199" s="2">
        <v>0.17699999999999999</v>
      </c>
      <c r="N199" s="2">
        <v>0.23799999999999999</v>
      </c>
      <c r="O199" s="2">
        <v>0.32600000000000001</v>
      </c>
      <c r="P199" s="2">
        <v>0.40600000000000003</v>
      </c>
      <c r="Q199" s="2">
        <v>0.56999999999999995</v>
      </c>
      <c r="R199" s="2">
        <v>0.74</v>
      </c>
      <c r="S199" s="101">
        <v>1.0169999999999999</v>
      </c>
      <c r="T199" s="101">
        <v>1.35</v>
      </c>
      <c r="U199" s="101">
        <v>1.794</v>
      </c>
      <c r="V199" s="101">
        <v>2.3319999999999999</v>
      </c>
      <c r="W199" s="101">
        <v>3.2719999999999998</v>
      </c>
      <c r="X199" s="101">
        <v>4.1609999999999996</v>
      </c>
      <c r="Y199" s="101">
        <v>5.5279999999999996</v>
      </c>
      <c r="Z199" s="101">
        <v>7.2649999999999997</v>
      </c>
      <c r="AA199" s="101">
        <v>9.9730000000000008</v>
      </c>
      <c r="AB199" s="101">
        <v>13.395</v>
      </c>
      <c r="AC199" s="101">
        <v>17.41</v>
      </c>
      <c r="AD199" s="101">
        <v>24.163</v>
      </c>
      <c r="AE199" s="101">
        <v>30.728999999999999</v>
      </c>
      <c r="AF199" s="101">
        <v>40.380000000000003</v>
      </c>
      <c r="AG199" s="101">
        <v>56.658000000000001</v>
      </c>
      <c r="AH199" s="101">
        <v>76.099000000000004</v>
      </c>
      <c r="AI199" s="308">
        <v>100</v>
      </c>
      <c r="AJ199" s="2"/>
    </row>
    <row r="200" spans="1:36" ht="15.75" customHeight="1">
      <c r="A200" s="230">
        <v>35</v>
      </c>
      <c r="B200" s="231">
        <v>4</v>
      </c>
      <c r="C200" s="34">
        <v>1.0999999999999999E-2</v>
      </c>
      <c r="D200" s="34">
        <v>1.4E-2</v>
      </c>
      <c r="E200" s="34">
        <v>1.7999999999999999E-2</v>
      </c>
      <c r="F200" s="34">
        <v>2.4E-2</v>
      </c>
      <c r="G200" s="34">
        <v>3.3000000000000002E-2</v>
      </c>
      <c r="H200" s="34">
        <v>4.2000000000000003E-2</v>
      </c>
      <c r="I200" s="34">
        <v>0.06</v>
      </c>
      <c r="J200" s="34">
        <v>7.5999999999999998E-2</v>
      </c>
      <c r="K200" s="34">
        <v>9.9000000000000005E-2</v>
      </c>
      <c r="L200" s="34">
        <v>0.129</v>
      </c>
      <c r="M200" s="34">
        <v>0.17699999999999999</v>
      </c>
      <c r="N200" s="34">
        <v>0.23799999999999999</v>
      </c>
      <c r="O200" s="34">
        <v>0.32600000000000001</v>
      </c>
      <c r="P200" s="34">
        <v>0.40600000000000003</v>
      </c>
      <c r="Q200" s="34">
        <v>0.56999999999999995</v>
      </c>
      <c r="R200" s="34">
        <v>0.74</v>
      </c>
      <c r="S200" s="119">
        <v>1.0169999999999999</v>
      </c>
      <c r="T200" s="119">
        <v>1.35</v>
      </c>
      <c r="U200" s="119">
        <v>1.794</v>
      </c>
      <c r="V200" s="119">
        <v>2.3319999999999999</v>
      </c>
      <c r="W200" s="119">
        <v>3.2719999999999998</v>
      </c>
      <c r="X200" s="119">
        <v>4.1609999999999996</v>
      </c>
      <c r="Y200" s="119">
        <v>5.5279999999999996</v>
      </c>
      <c r="Z200" s="119">
        <v>7.2649999999999997</v>
      </c>
      <c r="AA200" s="119">
        <v>9.9730000000000008</v>
      </c>
      <c r="AB200" s="119">
        <v>13.395</v>
      </c>
      <c r="AC200" s="119">
        <v>17.41</v>
      </c>
      <c r="AD200" s="119">
        <v>24.163</v>
      </c>
      <c r="AE200" s="119">
        <v>30.728999999999999</v>
      </c>
      <c r="AF200" s="119">
        <v>40.380000000000003</v>
      </c>
      <c r="AG200" s="119">
        <v>56.658000000000001</v>
      </c>
      <c r="AH200" s="119">
        <v>76.099000000000004</v>
      </c>
      <c r="AI200" s="324">
        <v>100</v>
      </c>
      <c r="AJ200" s="2"/>
    </row>
    <row r="201" spans="1:36" ht="15.75" customHeight="1">
      <c r="A201" s="233">
        <v>36</v>
      </c>
      <c r="B201" s="75">
        <v>1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spans="1:36" ht="15.75" customHeight="1">
      <c r="A202" s="233">
        <v>36</v>
      </c>
      <c r="B202" s="75">
        <v>2</v>
      </c>
    </row>
    <row r="203" spans="1:36" ht="15.75" customHeight="1">
      <c r="A203" s="233">
        <v>36</v>
      </c>
      <c r="B203" s="75">
        <v>3</v>
      </c>
    </row>
    <row r="204" spans="1:36" ht="15.75" customHeight="1">
      <c r="A204" s="241">
        <v>36</v>
      </c>
      <c r="B204" s="75">
        <v>4</v>
      </c>
    </row>
    <row r="205" spans="1:36" ht="15.75" customHeight="1">
      <c r="A205" s="233">
        <v>37</v>
      </c>
      <c r="B205" s="200">
        <v>1</v>
      </c>
    </row>
    <row r="206" spans="1:36" ht="15.75" customHeight="1">
      <c r="A206" s="233">
        <v>37</v>
      </c>
      <c r="B206" s="201">
        <v>2</v>
      </c>
    </row>
    <row r="207" spans="1:36" ht="15.75" customHeight="1">
      <c r="A207" s="233">
        <v>37</v>
      </c>
      <c r="B207" s="201">
        <v>3</v>
      </c>
    </row>
    <row r="208" spans="1:36" ht="15.75" customHeight="1">
      <c r="A208" s="233">
        <v>37</v>
      </c>
      <c r="B208" s="201">
        <v>4</v>
      </c>
    </row>
    <row r="209" spans="1:24" ht="15.75" customHeight="1">
      <c r="A209" s="233">
        <v>37</v>
      </c>
      <c r="B209" s="201">
        <v>5</v>
      </c>
    </row>
    <row r="210" spans="1:24" ht="15.75" customHeight="1">
      <c r="A210" s="233">
        <v>37</v>
      </c>
      <c r="B210" s="201">
        <v>6</v>
      </c>
    </row>
    <row r="211" spans="1:24" ht="15.75" customHeight="1">
      <c r="A211" s="233">
        <v>37</v>
      </c>
      <c r="B211" s="201">
        <v>7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4" ht="15.75" customHeight="1">
      <c r="A212" s="229">
        <v>38</v>
      </c>
      <c r="B212" s="74">
        <v>1</v>
      </c>
      <c r="C212" s="222">
        <v>9.9000000000000005E-2</v>
      </c>
      <c r="D212" s="222">
        <v>0.125</v>
      </c>
      <c r="E212" s="222">
        <v>0.156</v>
      </c>
      <c r="F212" s="222">
        <v>0.19700000000000001</v>
      </c>
      <c r="G212" s="222">
        <v>0.25600000000000001</v>
      </c>
      <c r="H212" s="222">
        <v>0.315</v>
      </c>
      <c r="I212" s="222">
        <v>0.39900000000000002</v>
      </c>
      <c r="J212" s="222">
        <v>0.5</v>
      </c>
      <c r="K212" s="222">
        <v>0.622</v>
      </c>
      <c r="L212" s="222">
        <v>0.79400000000000004</v>
      </c>
      <c r="M212" s="320">
        <v>1.0049999999999999</v>
      </c>
      <c r="N212" s="320">
        <v>1.2709999999999999</v>
      </c>
      <c r="O212" s="320">
        <v>1.6240000000000001</v>
      </c>
      <c r="P212" s="320">
        <v>1.998</v>
      </c>
      <c r="Q212" s="320">
        <v>2.5049999999999999</v>
      </c>
      <c r="R212" s="320">
        <v>3.23</v>
      </c>
      <c r="S212" s="320">
        <v>4.0110000000000001</v>
      </c>
      <c r="T212" s="320">
        <v>5.0279999999999996</v>
      </c>
      <c r="U212" s="320">
        <v>6.423</v>
      </c>
      <c r="V212" s="320">
        <v>8.2059999999999995</v>
      </c>
      <c r="W212" s="321">
        <v>10.19</v>
      </c>
      <c r="X212" s="2"/>
    </row>
    <row r="213" spans="1:24" ht="15.75" customHeight="1">
      <c r="A213" s="228">
        <v>38</v>
      </c>
      <c r="B213" s="75">
        <v>2</v>
      </c>
      <c r="C213" s="22">
        <v>9.9000000000000005E-2</v>
      </c>
      <c r="D213" s="22">
        <v>0.125</v>
      </c>
      <c r="E213" s="22">
        <v>0.156</v>
      </c>
      <c r="F213" s="22">
        <v>0.19700000000000001</v>
      </c>
      <c r="G213" s="22">
        <v>0.25600000000000001</v>
      </c>
      <c r="H213" s="22">
        <v>0.315</v>
      </c>
      <c r="I213" s="22">
        <v>0.39900000000000002</v>
      </c>
      <c r="J213" s="22">
        <v>0.5</v>
      </c>
      <c r="K213" s="22">
        <v>0.622</v>
      </c>
      <c r="L213" s="22">
        <v>0.79400000000000004</v>
      </c>
      <c r="M213" s="117">
        <v>1.0049999999999999</v>
      </c>
      <c r="N213" s="117">
        <v>1.2709999999999999</v>
      </c>
      <c r="O213" s="117">
        <v>1.6240000000000001</v>
      </c>
      <c r="P213" s="117">
        <v>1.998</v>
      </c>
      <c r="Q213" s="117">
        <v>2.5049999999999999</v>
      </c>
      <c r="R213" s="117">
        <v>3.23</v>
      </c>
      <c r="S213" s="117">
        <v>4.0110000000000001</v>
      </c>
      <c r="T213" s="117">
        <v>5.0279999999999996</v>
      </c>
      <c r="U213" s="117">
        <v>6.423</v>
      </c>
      <c r="V213" s="117">
        <v>8.2059999999999995</v>
      </c>
      <c r="W213" s="322">
        <v>10.19</v>
      </c>
      <c r="X213" s="2"/>
    </row>
    <row r="214" spans="1:24" ht="15.75" customHeight="1">
      <c r="A214" s="228">
        <v>38</v>
      </c>
      <c r="B214" s="75">
        <v>3</v>
      </c>
      <c r="C214" s="22">
        <v>9.9000000000000005E-2</v>
      </c>
      <c r="D214" s="22">
        <v>0.125</v>
      </c>
      <c r="E214" s="22">
        <v>0.156</v>
      </c>
      <c r="F214" s="22">
        <v>0.19700000000000001</v>
      </c>
      <c r="G214" s="22">
        <v>0.25600000000000001</v>
      </c>
      <c r="H214" s="22">
        <v>0.315</v>
      </c>
      <c r="I214" s="22">
        <v>0.39900000000000002</v>
      </c>
      <c r="J214" s="22">
        <v>0.5</v>
      </c>
      <c r="K214" s="22">
        <v>0.622</v>
      </c>
      <c r="L214" s="22">
        <v>0.79400000000000004</v>
      </c>
      <c r="M214" s="117">
        <v>1.0049999999999999</v>
      </c>
      <c r="N214" s="117">
        <v>1.2709999999999999</v>
      </c>
      <c r="O214" s="117">
        <v>1.6240000000000001</v>
      </c>
      <c r="P214" s="117">
        <v>1.998</v>
      </c>
      <c r="Q214" s="117">
        <v>2.5049999999999999</v>
      </c>
      <c r="R214" s="117">
        <v>3.23</v>
      </c>
      <c r="S214" s="117">
        <v>4.0110000000000001</v>
      </c>
      <c r="T214" s="117">
        <v>5.0279999999999996</v>
      </c>
      <c r="U214" s="117">
        <v>6.423</v>
      </c>
      <c r="V214" s="117">
        <v>8.2059999999999995</v>
      </c>
      <c r="W214" s="322">
        <v>10.19</v>
      </c>
      <c r="X214" s="2"/>
    </row>
    <row r="215" spans="1:24" ht="15.75" customHeight="1">
      <c r="A215" s="228">
        <v>38</v>
      </c>
      <c r="B215" s="75">
        <v>4</v>
      </c>
      <c r="C215" s="22">
        <v>9.9000000000000005E-2</v>
      </c>
      <c r="D215" s="22">
        <v>0.125</v>
      </c>
      <c r="E215" s="22">
        <v>0.156</v>
      </c>
      <c r="F215" s="22">
        <v>0.19700000000000001</v>
      </c>
      <c r="G215" s="22">
        <v>0.25600000000000001</v>
      </c>
      <c r="H215" s="22">
        <v>0.315</v>
      </c>
      <c r="I215" s="22">
        <v>0.39900000000000002</v>
      </c>
      <c r="J215" s="22">
        <v>0.5</v>
      </c>
      <c r="K215" s="22">
        <v>0.622</v>
      </c>
      <c r="L215" s="22">
        <v>0.79400000000000004</v>
      </c>
      <c r="M215" s="117">
        <v>1.0049999999999999</v>
      </c>
      <c r="N215" s="117">
        <v>1.2709999999999999</v>
      </c>
      <c r="O215" s="117">
        <v>1.6240000000000001</v>
      </c>
      <c r="P215" s="117">
        <v>1.998</v>
      </c>
      <c r="Q215" s="117">
        <v>2.5049999999999999</v>
      </c>
      <c r="R215" s="117">
        <v>3.23</v>
      </c>
      <c r="S215" s="117">
        <v>4.0110000000000001</v>
      </c>
      <c r="T215" s="117">
        <v>5.0279999999999996</v>
      </c>
      <c r="U215" s="117">
        <v>6.423</v>
      </c>
      <c r="V215" s="117">
        <v>8.2059999999999995</v>
      </c>
      <c r="W215" s="322">
        <v>10.19</v>
      </c>
      <c r="X215" s="2"/>
    </row>
    <row r="216" spans="1:24" ht="15.75" customHeight="1">
      <c r="A216" s="228">
        <v>38</v>
      </c>
      <c r="B216" s="75">
        <v>5</v>
      </c>
      <c r="C216" s="22">
        <v>9.9000000000000005E-2</v>
      </c>
      <c r="D216" s="22">
        <v>0.125</v>
      </c>
      <c r="E216" s="22">
        <v>0.156</v>
      </c>
      <c r="F216" s="22">
        <v>0.19700000000000001</v>
      </c>
      <c r="G216" s="22">
        <v>0.25600000000000001</v>
      </c>
      <c r="H216" s="22">
        <v>0.315</v>
      </c>
      <c r="I216" s="22">
        <v>0.39900000000000002</v>
      </c>
      <c r="J216" s="22">
        <v>0.5</v>
      </c>
      <c r="K216" s="22">
        <v>0.622</v>
      </c>
      <c r="L216" s="22">
        <v>0.79400000000000004</v>
      </c>
      <c r="M216" s="117">
        <v>1.0049999999999999</v>
      </c>
      <c r="N216" s="117">
        <v>1.2709999999999999</v>
      </c>
      <c r="O216" s="117">
        <v>1.6240000000000001</v>
      </c>
      <c r="P216" s="117">
        <v>1.998</v>
      </c>
      <c r="Q216" s="117">
        <v>2.5049999999999999</v>
      </c>
      <c r="R216" s="117">
        <v>3.23</v>
      </c>
      <c r="S216" s="117">
        <v>4.0110000000000001</v>
      </c>
      <c r="T216" s="117">
        <v>5.0279999999999996</v>
      </c>
      <c r="U216" s="117">
        <v>6.423</v>
      </c>
      <c r="V216" s="117">
        <v>8.2059999999999995</v>
      </c>
      <c r="W216" s="322">
        <v>10.19</v>
      </c>
      <c r="X216" s="2"/>
    </row>
    <row r="217" spans="1:24" ht="15.75" customHeight="1">
      <c r="A217" s="228">
        <v>38</v>
      </c>
      <c r="B217" s="75">
        <v>6</v>
      </c>
      <c r="C217" s="22">
        <v>9.9000000000000005E-2</v>
      </c>
      <c r="D217" s="22">
        <v>0.125</v>
      </c>
      <c r="E217" s="22">
        <v>0.156</v>
      </c>
      <c r="F217" s="22">
        <v>0.19700000000000001</v>
      </c>
      <c r="G217" s="22">
        <v>0.25600000000000001</v>
      </c>
      <c r="H217" s="22">
        <v>0.315</v>
      </c>
      <c r="I217" s="22">
        <v>0.39900000000000002</v>
      </c>
      <c r="J217" s="22">
        <v>0.5</v>
      </c>
      <c r="K217" s="22">
        <v>0.622</v>
      </c>
      <c r="L217" s="22">
        <v>0.79400000000000004</v>
      </c>
      <c r="M217" s="118">
        <v>1.0049999999999999</v>
      </c>
      <c r="N217" s="118">
        <v>1.2709999999999999</v>
      </c>
      <c r="O217" s="118">
        <v>1.6240000000000001</v>
      </c>
      <c r="P217" s="118">
        <v>1.998</v>
      </c>
      <c r="Q217" s="118">
        <v>2.5049999999999999</v>
      </c>
      <c r="R217" s="118">
        <v>3.23</v>
      </c>
      <c r="S217" s="118">
        <v>4.0110000000000001</v>
      </c>
      <c r="T217" s="118">
        <v>5.0279999999999996</v>
      </c>
      <c r="U217" s="118">
        <v>6.423</v>
      </c>
      <c r="V217" s="118">
        <v>8.2059999999999995</v>
      </c>
      <c r="W217" s="323">
        <v>10.19</v>
      </c>
      <c r="X217" s="2"/>
    </row>
    <row r="218" spans="1:24" ht="15.75" customHeight="1">
      <c r="A218" s="229">
        <v>39</v>
      </c>
      <c r="B218" s="74">
        <v>1</v>
      </c>
      <c r="C218" s="141">
        <v>0.104</v>
      </c>
      <c r="D218" s="224">
        <v>0.161</v>
      </c>
      <c r="E218" s="224">
        <v>0.29099999999999998</v>
      </c>
      <c r="F218" s="224">
        <v>0.57699999999999996</v>
      </c>
      <c r="G218" s="224">
        <v>1.458</v>
      </c>
      <c r="H218" s="224">
        <v>3.5739999999999998</v>
      </c>
      <c r="I218" s="224">
        <v>7.8310000000000004</v>
      </c>
      <c r="J218" s="224">
        <v>17.513000000000002</v>
      </c>
      <c r="K218" s="224">
        <v>35.734999999999999</v>
      </c>
      <c r="L218" s="224">
        <v>84.957999999999998</v>
      </c>
      <c r="M218" s="24">
        <v>206.13900000000001</v>
      </c>
      <c r="N218" s="302">
        <v>339.60500000000002</v>
      </c>
      <c r="O218" s="2"/>
      <c r="P218" s="2"/>
      <c r="Q218" s="2"/>
      <c r="R218" s="2"/>
      <c r="S218" s="2"/>
      <c r="T218" s="2"/>
      <c r="U218" s="2"/>
      <c r="V218" s="2"/>
      <c r="W218" s="2"/>
    </row>
    <row r="219" spans="1:24" ht="15.75" customHeight="1">
      <c r="A219" s="228">
        <v>39</v>
      </c>
      <c r="B219" s="75">
        <v>2</v>
      </c>
      <c r="C219" s="142">
        <v>0.104</v>
      </c>
      <c r="D219" s="24">
        <v>0.161</v>
      </c>
      <c r="E219" s="24">
        <v>0.29099999999999998</v>
      </c>
      <c r="F219" s="24">
        <v>0.57699999999999996</v>
      </c>
      <c r="G219" s="24">
        <v>1.458</v>
      </c>
      <c r="H219" s="24">
        <v>3.5739999999999998</v>
      </c>
      <c r="I219" s="24">
        <v>7.8310000000000004</v>
      </c>
      <c r="J219" s="24">
        <v>17.513000000000002</v>
      </c>
      <c r="K219" s="24">
        <v>35.734999999999999</v>
      </c>
      <c r="L219" s="24">
        <v>84.957999999999998</v>
      </c>
      <c r="M219" s="24">
        <v>206.13900000000001</v>
      </c>
      <c r="N219" s="302">
        <v>339.60500000000002</v>
      </c>
      <c r="O219" s="2"/>
    </row>
    <row r="220" spans="1:24" ht="15.75" customHeight="1">
      <c r="A220" s="228">
        <v>39</v>
      </c>
      <c r="B220" s="75">
        <v>3</v>
      </c>
      <c r="C220" s="142">
        <v>0.104</v>
      </c>
      <c r="D220" s="24">
        <v>0.161</v>
      </c>
      <c r="E220" s="24">
        <v>0.29099999999999998</v>
      </c>
      <c r="F220" s="24">
        <v>0.57699999999999996</v>
      </c>
      <c r="G220" s="24">
        <v>1.458</v>
      </c>
      <c r="H220" s="24">
        <v>3.5739999999999998</v>
      </c>
      <c r="I220" s="24">
        <v>7.8310000000000004</v>
      </c>
      <c r="J220" s="24">
        <v>17.513000000000002</v>
      </c>
      <c r="K220" s="24">
        <v>35.734999999999999</v>
      </c>
      <c r="L220" s="24">
        <v>84.957999999999998</v>
      </c>
      <c r="M220" s="24">
        <v>206.13900000000001</v>
      </c>
      <c r="N220" s="302">
        <v>339.60500000000002</v>
      </c>
      <c r="O220" s="2"/>
    </row>
    <row r="221" spans="1:24" ht="15.75" customHeight="1">
      <c r="A221" s="228">
        <v>39</v>
      </c>
      <c r="B221" s="75">
        <v>4</v>
      </c>
      <c r="C221" s="142">
        <v>0.104</v>
      </c>
      <c r="D221" s="24">
        <v>0.161</v>
      </c>
      <c r="E221" s="24">
        <v>0.29099999999999998</v>
      </c>
      <c r="F221" s="24">
        <v>0.57699999999999996</v>
      </c>
      <c r="G221" s="24">
        <v>1.458</v>
      </c>
      <c r="H221" s="24">
        <v>3.5739999999999998</v>
      </c>
      <c r="I221" s="24">
        <v>7.8310000000000004</v>
      </c>
      <c r="J221" s="24">
        <v>17.513000000000002</v>
      </c>
      <c r="K221" s="24">
        <v>35.734999999999999</v>
      </c>
      <c r="L221" s="24">
        <v>84.957999999999998</v>
      </c>
      <c r="M221" s="24">
        <v>206.13900000000001</v>
      </c>
      <c r="N221" s="302">
        <v>339.60500000000002</v>
      </c>
      <c r="O221" s="2"/>
    </row>
    <row r="222" spans="1:24" ht="15.75" customHeight="1">
      <c r="A222" s="228">
        <v>39</v>
      </c>
      <c r="B222" s="75">
        <v>5</v>
      </c>
      <c r="C222" s="142">
        <v>9.5000000000000001E-2</v>
      </c>
      <c r="D222" s="24">
        <v>0.152</v>
      </c>
      <c r="E222" s="24">
        <v>0.41199999999999998</v>
      </c>
      <c r="F222" s="24">
        <v>1.839</v>
      </c>
      <c r="G222" s="24">
        <v>7.8079999999999998</v>
      </c>
      <c r="H222" s="24">
        <v>39.484000000000002</v>
      </c>
      <c r="I222" s="24">
        <v>134.12299999999999</v>
      </c>
      <c r="J222" s="24">
        <v>353.99599999999998</v>
      </c>
      <c r="K222" s="24"/>
      <c r="L222" s="24"/>
      <c r="M222" s="24"/>
      <c r="N222" s="302"/>
      <c r="O222" s="2"/>
    </row>
    <row r="223" spans="1:24" ht="15.75" customHeight="1">
      <c r="A223" s="228">
        <v>39</v>
      </c>
      <c r="B223" s="75">
        <v>6</v>
      </c>
      <c r="C223" s="142">
        <v>9.5000000000000001E-2</v>
      </c>
      <c r="D223" s="24">
        <v>0.152</v>
      </c>
      <c r="E223" s="24">
        <v>0.41199999999999998</v>
      </c>
      <c r="F223" s="24">
        <v>1.839</v>
      </c>
      <c r="G223" s="24">
        <v>7.8079999999999998</v>
      </c>
      <c r="H223" s="24">
        <v>39.484000000000002</v>
      </c>
      <c r="I223" s="24">
        <v>134.12299999999999</v>
      </c>
      <c r="J223" s="24">
        <v>353.99599999999998</v>
      </c>
      <c r="K223" s="24"/>
      <c r="L223" s="24"/>
      <c r="M223" s="24"/>
      <c r="N223" s="302"/>
      <c r="O223" s="2"/>
    </row>
    <row r="224" spans="1:24" ht="15.75" customHeight="1">
      <c r="A224" s="228">
        <v>39</v>
      </c>
      <c r="B224" s="75">
        <v>7</v>
      </c>
      <c r="C224" s="142">
        <v>9.5000000000000001E-2</v>
      </c>
      <c r="D224" s="24">
        <v>0.152</v>
      </c>
      <c r="E224" s="24">
        <v>0.41199999999999998</v>
      </c>
      <c r="F224" s="24">
        <v>1.839</v>
      </c>
      <c r="G224" s="24">
        <v>7.8079999999999998</v>
      </c>
      <c r="H224" s="24">
        <v>39.484000000000002</v>
      </c>
      <c r="I224" s="24">
        <v>134.12299999999999</v>
      </c>
      <c r="J224" s="24">
        <v>353.99599999999998</v>
      </c>
      <c r="K224" s="24"/>
      <c r="L224" s="24"/>
      <c r="M224" s="24"/>
      <c r="N224" s="302"/>
      <c r="O224" s="2"/>
    </row>
    <row r="225" spans="1:27" ht="15.75" customHeight="1">
      <c r="A225" s="230">
        <v>39</v>
      </c>
      <c r="B225" s="231">
        <v>8</v>
      </c>
      <c r="C225" s="143">
        <v>9.5000000000000001E-2</v>
      </c>
      <c r="D225" s="31">
        <v>0.152</v>
      </c>
      <c r="E225" s="31">
        <v>0.41199999999999998</v>
      </c>
      <c r="F225" s="31">
        <v>1.839</v>
      </c>
      <c r="G225" s="31">
        <v>7.8079999999999998</v>
      </c>
      <c r="H225" s="31">
        <v>39.484000000000002</v>
      </c>
      <c r="I225" s="31">
        <v>134.12299999999999</v>
      </c>
      <c r="J225" s="31">
        <v>353.99599999999998</v>
      </c>
      <c r="K225" s="31"/>
      <c r="L225" s="31"/>
      <c r="M225" s="31"/>
      <c r="N225" s="305"/>
      <c r="O225" s="2"/>
    </row>
    <row r="226" spans="1:27" ht="15.75" customHeight="1">
      <c r="A226" s="228">
        <v>40</v>
      </c>
      <c r="B226" s="75">
        <v>1</v>
      </c>
      <c r="C226" s="2"/>
      <c r="D226" s="116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27" ht="15.75" customHeight="1">
      <c r="A227" s="228">
        <v>40</v>
      </c>
      <c r="B227" s="75">
        <v>2</v>
      </c>
    </row>
    <row r="228" spans="1:27" ht="15.75" customHeight="1">
      <c r="A228" s="228">
        <v>40</v>
      </c>
      <c r="B228" s="75">
        <v>3</v>
      </c>
    </row>
    <row r="229" spans="1:27" ht="15.75" customHeight="1">
      <c r="A229" s="228">
        <v>40</v>
      </c>
      <c r="B229" s="75">
        <v>4</v>
      </c>
    </row>
    <row r="230" spans="1:27" ht="15.75" customHeight="1">
      <c r="A230" s="228">
        <v>40</v>
      </c>
      <c r="B230" s="75">
        <v>5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7" ht="15.75" customHeight="1">
      <c r="A231" s="199">
        <v>41</v>
      </c>
      <c r="B231" s="200">
        <v>1</v>
      </c>
      <c r="C231" s="234">
        <v>0.1</v>
      </c>
      <c r="D231" s="234">
        <v>0.13800000000000001</v>
      </c>
      <c r="E231" s="234">
        <v>0.187</v>
      </c>
      <c r="F231" s="234">
        <v>0.249</v>
      </c>
      <c r="G231" s="234">
        <v>0.34399999999999997</v>
      </c>
      <c r="H231" s="234">
        <v>0.46800000000000003</v>
      </c>
      <c r="I231" s="234">
        <v>0.628</v>
      </c>
      <c r="J231" s="234">
        <v>0.86099999999999999</v>
      </c>
      <c r="K231" s="234">
        <v>1.181</v>
      </c>
      <c r="L231" s="234">
        <v>1.607</v>
      </c>
      <c r="M231" s="234">
        <v>2.1880000000000002</v>
      </c>
      <c r="N231" s="234">
        <v>2.9580000000000002</v>
      </c>
      <c r="O231" s="234">
        <v>3.944</v>
      </c>
      <c r="P231" s="234">
        <v>5.407</v>
      </c>
      <c r="Q231" s="234">
        <v>7.26</v>
      </c>
      <c r="R231" s="234">
        <v>10.023</v>
      </c>
      <c r="S231" s="234">
        <v>13.457000000000001</v>
      </c>
      <c r="T231" s="234">
        <v>18.45</v>
      </c>
      <c r="U231" s="234">
        <v>24.943000000000001</v>
      </c>
      <c r="V231" s="234">
        <v>34.198999999999998</v>
      </c>
      <c r="W231" s="234">
        <v>45.911999999999999</v>
      </c>
      <c r="X231" s="234">
        <v>62.948</v>
      </c>
      <c r="Y231" s="234">
        <v>85.103999999999999</v>
      </c>
      <c r="Z231" s="235">
        <v>100</v>
      </c>
      <c r="AA231" s="2"/>
    </row>
    <row r="232" spans="1:27" ht="15.75" customHeight="1">
      <c r="A232" s="196">
        <v>41</v>
      </c>
      <c r="B232" s="201">
        <v>2</v>
      </c>
      <c r="C232" s="2">
        <v>0.1</v>
      </c>
      <c r="D232" s="2">
        <v>0.13800000000000001</v>
      </c>
      <c r="E232" s="2">
        <v>0.187</v>
      </c>
      <c r="F232" s="2">
        <v>0.249</v>
      </c>
      <c r="G232" s="2">
        <v>0.34399999999999997</v>
      </c>
      <c r="H232" s="2">
        <v>0.46800000000000003</v>
      </c>
      <c r="I232" s="2">
        <v>0.628</v>
      </c>
      <c r="J232" s="2">
        <v>0.86099999999999999</v>
      </c>
      <c r="K232" s="2">
        <v>1.181</v>
      </c>
      <c r="L232" s="2">
        <v>1.607</v>
      </c>
      <c r="M232" s="2">
        <v>2.1880000000000002</v>
      </c>
      <c r="N232" s="2">
        <v>2.9580000000000002</v>
      </c>
      <c r="O232" s="2">
        <v>3.944</v>
      </c>
      <c r="P232" s="2">
        <v>5.407</v>
      </c>
      <c r="Q232" s="2">
        <v>7.26</v>
      </c>
      <c r="R232" s="2">
        <v>10.023</v>
      </c>
      <c r="S232" s="2">
        <v>13.457000000000001</v>
      </c>
      <c r="T232" s="2">
        <v>18.45</v>
      </c>
      <c r="U232" s="2">
        <v>24.943000000000001</v>
      </c>
      <c r="V232" s="2">
        <v>34.198999999999998</v>
      </c>
      <c r="W232" s="2">
        <v>45.911999999999999</v>
      </c>
      <c r="X232" s="2">
        <v>62.948</v>
      </c>
      <c r="Y232" s="2">
        <v>85.103999999999999</v>
      </c>
      <c r="Z232" s="236">
        <v>100</v>
      </c>
      <c r="AA232" s="2"/>
    </row>
    <row r="233" spans="1:27" ht="15.75" customHeight="1">
      <c r="A233" s="196">
        <v>41</v>
      </c>
      <c r="B233" s="201">
        <v>3</v>
      </c>
      <c r="C233" s="2">
        <v>0.1</v>
      </c>
      <c r="D233" s="2">
        <v>0.13800000000000001</v>
      </c>
      <c r="E233" s="2">
        <v>0.187</v>
      </c>
      <c r="F233" s="2">
        <v>0.249</v>
      </c>
      <c r="G233" s="2">
        <v>0.34399999999999997</v>
      </c>
      <c r="H233" s="2">
        <v>0.46800000000000003</v>
      </c>
      <c r="I233" s="2">
        <v>0.628</v>
      </c>
      <c r="J233" s="2">
        <v>0.86099999999999999</v>
      </c>
      <c r="K233" s="2">
        <v>1.181</v>
      </c>
      <c r="L233" s="2">
        <v>1.607</v>
      </c>
      <c r="M233" s="2">
        <v>2.1880000000000002</v>
      </c>
      <c r="N233" s="2">
        <v>2.9580000000000002</v>
      </c>
      <c r="O233" s="2">
        <v>3.944</v>
      </c>
      <c r="P233" s="2">
        <v>5.407</v>
      </c>
      <c r="Q233" s="2">
        <v>7.26</v>
      </c>
      <c r="R233" s="2">
        <v>10.023</v>
      </c>
      <c r="S233" s="2">
        <v>13.457000000000001</v>
      </c>
      <c r="T233" s="2">
        <v>18.45</v>
      </c>
      <c r="U233" s="2">
        <v>24.943000000000001</v>
      </c>
      <c r="V233" s="2">
        <v>34.198999999999998</v>
      </c>
      <c r="W233" s="2">
        <v>45.911999999999999</v>
      </c>
      <c r="X233" s="2">
        <v>62.948</v>
      </c>
      <c r="Y233" s="2">
        <v>85.103999999999999</v>
      </c>
      <c r="Z233" s="236">
        <v>100</v>
      </c>
      <c r="AA233" s="2"/>
    </row>
    <row r="234" spans="1:27" ht="15.75" customHeight="1">
      <c r="A234" s="196">
        <v>41</v>
      </c>
      <c r="B234" s="201">
        <v>4</v>
      </c>
      <c r="C234" s="2">
        <v>0.1</v>
      </c>
      <c r="D234" s="2">
        <v>0.13800000000000001</v>
      </c>
      <c r="E234" s="2">
        <v>0.187</v>
      </c>
      <c r="F234" s="2">
        <v>0.249</v>
      </c>
      <c r="G234" s="2">
        <v>0.34399999999999997</v>
      </c>
      <c r="H234" s="2">
        <v>0.46800000000000003</v>
      </c>
      <c r="I234" s="2">
        <v>0.628</v>
      </c>
      <c r="J234" s="2">
        <v>0.86099999999999999</v>
      </c>
      <c r="K234" s="2">
        <v>1.181</v>
      </c>
      <c r="L234" s="2">
        <v>1.607</v>
      </c>
      <c r="M234" s="2">
        <v>2.1880000000000002</v>
      </c>
      <c r="N234" s="2">
        <v>2.9580000000000002</v>
      </c>
      <c r="O234" s="2">
        <v>3.944</v>
      </c>
      <c r="P234" s="2">
        <v>5.407</v>
      </c>
      <c r="Q234" s="2">
        <v>7.26</v>
      </c>
      <c r="R234" s="2">
        <v>10.023</v>
      </c>
      <c r="S234" s="2">
        <v>13.457000000000001</v>
      </c>
      <c r="T234" s="2">
        <v>18.45</v>
      </c>
      <c r="U234" s="2">
        <v>24.943000000000001</v>
      </c>
      <c r="V234" s="2">
        <v>34.198999999999998</v>
      </c>
      <c r="W234" s="2">
        <v>45.911999999999999</v>
      </c>
      <c r="X234" s="2">
        <v>62.948</v>
      </c>
      <c r="Y234" s="2">
        <v>85.103999999999999</v>
      </c>
      <c r="Z234" s="236">
        <v>100</v>
      </c>
      <c r="AA234" s="2"/>
    </row>
    <row r="235" spans="1:27" ht="15.75" customHeight="1">
      <c r="A235" s="196">
        <v>41</v>
      </c>
      <c r="B235" s="201">
        <v>5</v>
      </c>
      <c r="C235" s="2">
        <v>0.1</v>
      </c>
      <c r="D235" s="2">
        <v>0.13800000000000001</v>
      </c>
      <c r="E235" s="2">
        <v>0.187</v>
      </c>
      <c r="F235" s="2">
        <v>0.249</v>
      </c>
      <c r="G235" s="2">
        <v>0.34399999999999997</v>
      </c>
      <c r="H235" s="2">
        <v>0.46800000000000003</v>
      </c>
      <c r="I235" s="2">
        <v>0.628</v>
      </c>
      <c r="J235" s="2">
        <v>0.86099999999999999</v>
      </c>
      <c r="K235" s="2">
        <v>1.181</v>
      </c>
      <c r="L235" s="2">
        <v>1.607</v>
      </c>
      <c r="M235" s="2">
        <v>2.1880000000000002</v>
      </c>
      <c r="N235" s="2">
        <v>2.9580000000000002</v>
      </c>
      <c r="O235" s="2">
        <v>3.944</v>
      </c>
      <c r="P235" s="2">
        <v>5.407</v>
      </c>
      <c r="Q235" s="2">
        <v>7.26</v>
      </c>
      <c r="R235" s="2">
        <v>10.023</v>
      </c>
      <c r="S235" s="2">
        <v>13.457000000000001</v>
      </c>
      <c r="T235" s="2">
        <v>18.45</v>
      </c>
      <c r="U235" s="2">
        <v>24.943000000000001</v>
      </c>
      <c r="V235" s="2">
        <v>34.198999999999998</v>
      </c>
      <c r="W235" s="2">
        <v>45.911999999999999</v>
      </c>
      <c r="X235" s="2">
        <v>62.948</v>
      </c>
      <c r="Y235" s="2">
        <v>85.103999999999999</v>
      </c>
      <c r="Z235" s="236">
        <v>100</v>
      </c>
      <c r="AA235" s="2"/>
    </row>
    <row r="236" spans="1:27" ht="15.75" customHeight="1">
      <c r="A236" s="196">
        <v>41</v>
      </c>
      <c r="B236" s="201">
        <v>6</v>
      </c>
      <c r="C236" s="2">
        <v>0.1</v>
      </c>
      <c r="D236" s="2">
        <v>0.13800000000000001</v>
      </c>
      <c r="E236" s="2">
        <v>0.187</v>
      </c>
      <c r="F236" s="2">
        <v>0.249</v>
      </c>
      <c r="G236" s="2">
        <v>0.34399999999999997</v>
      </c>
      <c r="H236" s="2">
        <v>0.46800000000000003</v>
      </c>
      <c r="I236" s="2">
        <v>0.628</v>
      </c>
      <c r="J236" s="2">
        <v>0.86099999999999999</v>
      </c>
      <c r="K236" s="2">
        <v>1.181</v>
      </c>
      <c r="L236" s="2">
        <v>1.607</v>
      </c>
      <c r="M236" s="2">
        <v>2.1880000000000002</v>
      </c>
      <c r="N236" s="2">
        <v>2.9580000000000002</v>
      </c>
      <c r="O236" s="2">
        <v>3.944</v>
      </c>
      <c r="P236" s="2">
        <v>5.407</v>
      </c>
      <c r="Q236" s="2">
        <v>7.26</v>
      </c>
      <c r="R236" s="2">
        <v>10.023</v>
      </c>
      <c r="S236" s="2">
        <v>13.457000000000001</v>
      </c>
      <c r="T236" s="2">
        <v>18.45</v>
      </c>
      <c r="U236" s="2">
        <v>24.943000000000001</v>
      </c>
      <c r="V236" s="2">
        <v>34.198999999999998</v>
      </c>
      <c r="W236" s="2">
        <v>45.911999999999999</v>
      </c>
      <c r="X236" s="34">
        <v>62.948</v>
      </c>
      <c r="Y236" s="34">
        <v>85.103999999999999</v>
      </c>
      <c r="Z236" s="237">
        <v>100</v>
      </c>
      <c r="AA236" s="2"/>
    </row>
    <row r="237" spans="1:27" ht="15.75" customHeight="1">
      <c r="A237" s="199">
        <v>42</v>
      </c>
      <c r="B237" s="200" t="s">
        <v>221</v>
      </c>
      <c r="C237" s="234">
        <v>0.01</v>
      </c>
      <c r="D237" s="234">
        <v>1.6E-2</v>
      </c>
      <c r="E237" s="234">
        <v>2.5000000000000001E-2</v>
      </c>
      <c r="F237" s="234">
        <v>0.04</v>
      </c>
      <c r="G237" s="234">
        <v>6.3E-2</v>
      </c>
      <c r="H237" s="234">
        <v>0.1</v>
      </c>
      <c r="I237" s="234">
        <v>0.157</v>
      </c>
      <c r="J237" s="234">
        <v>0.253</v>
      </c>
      <c r="K237" s="234">
        <v>0.39200000000000002</v>
      </c>
      <c r="L237" s="234">
        <v>0.626</v>
      </c>
      <c r="M237" s="234">
        <v>0.99099999999999999</v>
      </c>
      <c r="N237" s="234">
        <v>1.5820000000000001</v>
      </c>
      <c r="O237" s="234">
        <v>2.4790000000000001</v>
      </c>
      <c r="P237" s="234">
        <v>3.9220000000000002</v>
      </c>
      <c r="Q237" s="234">
        <v>6.2629999999999999</v>
      </c>
      <c r="R237" s="234">
        <v>9.907</v>
      </c>
      <c r="S237" s="234">
        <v>15.819000000000001</v>
      </c>
      <c r="T237" s="234">
        <v>25.024999999999999</v>
      </c>
      <c r="U237" s="234">
        <v>38.853999999999999</v>
      </c>
      <c r="V237" s="234">
        <v>62.625</v>
      </c>
      <c r="W237" s="235">
        <v>100</v>
      </c>
      <c r="X237" s="2"/>
      <c r="Y237" s="2"/>
      <c r="Z237" s="2"/>
    </row>
    <row r="238" spans="1:27" ht="15.75" customHeight="1">
      <c r="A238" s="196">
        <v>42</v>
      </c>
      <c r="B238" s="201" t="s">
        <v>222</v>
      </c>
      <c r="C238" s="2">
        <v>0.01</v>
      </c>
      <c r="D238" s="2">
        <v>1.6E-2</v>
      </c>
      <c r="E238" s="2">
        <v>2.5000000000000001E-2</v>
      </c>
      <c r="F238" s="2">
        <v>0.04</v>
      </c>
      <c r="G238" s="2">
        <v>6.3E-2</v>
      </c>
      <c r="H238" s="2">
        <v>0.1</v>
      </c>
      <c r="I238" s="2">
        <v>0.157</v>
      </c>
      <c r="J238" s="2">
        <v>0.253</v>
      </c>
      <c r="K238" s="2">
        <v>0.39200000000000002</v>
      </c>
      <c r="L238" s="2">
        <v>0.626</v>
      </c>
      <c r="M238" s="2">
        <v>0.99099999999999999</v>
      </c>
      <c r="N238" s="2">
        <v>1.5820000000000001</v>
      </c>
      <c r="O238" s="2">
        <v>2.4790000000000001</v>
      </c>
      <c r="P238" s="2">
        <v>3.9220000000000002</v>
      </c>
      <c r="Q238" s="2">
        <v>6.2629999999999999</v>
      </c>
      <c r="R238" s="2">
        <v>9.907</v>
      </c>
      <c r="S238" s="2">
        <v>15.819000000000001</v>
      </c>
      <c r="T238" s="2">
        <v>25.024999999999999</v>
      </c>
      <c r="U238" s="2">
        <v>38.853999999999999</v>
      </c>
      <c r="V238" s="2">
        <v>62.625</v>
      </c>
      <c r="W238" s="236">
        <v>100</v>
      </c>
      <c r="X238" s="2"/>
    </row>
    <row r="239" spans="1:27" ht="15.75" customHeight="1">
      <c r="A239" s="196">
        <v>42</v>
      </c>
      <c r="B239" s="201" t="s">
        <v>223</v>
      </c>
      <c r="C239" s="2">
        <v>0.01</v>
      </c>
      <c r="D239" s="2">
        <v>1.6E-2</v>
      </c>
      <c r="E239" s="2">
        <v>2.5000000000000001E-2</v>
      </c>
      <c r="F239" s="2">
        <v>0.04</v>
      </c>
      <c r="G239" s="2">
        <v>6.3E-2</v>
      </c>
      <c r="H239" s="2">
        <v>0.1</v>
      </c>
      <c r="I239" s="2">
        <v>0.157</v>
      </c>
      <c r="J239" s="2">
        <v>0.253</v>
      </c>
      <c r="K239" s="2">
        <v>0.39200000000000002</v>
      </c>
      <c r="L239" s="2">
        <v>0.626</v>
      </c>
      <c r="M239" s="2">
        <v>0.99099999999999999</v>
      </c>
      <c r="N239" s="2">
        <v>1.5820000000000001</v>
      </c>
      <c r="O239" s="2">
        <v>2.4790000000000001</v>
      </c>
      <c r="P239" s="2">
        <v>3.9220000000000002</v>
      </c>
      <c r="Q239" s="2">
        <v>6.2629999999999999</v>
      </c>
      <c r="R239" s="2">
        <v>9.907</v>
      </c>
      <c r="S239" s="2">
        <v>15.819000000000001</v>
      </c>
      <c r="T239" s="2">
        <v>25.024999999999999</v>
      </c>
      <c r="U239" s="2">
        <v>38.853999999999999</v>
      </c>
      <c r="V239" s="2">
        <v>62.625</v>
      </c>
      <c r="W239" s="236">
        <v>100</v>
      </c>
      <c r="X239" s="2"/>
    </row>
    <row r="240" spans="1:27" ht="15.75" customHeight="1">
      <c r="A240" s="196">
        <v>42</v>
      </c>
      <c r="B240" s="201" t="s">
        <v>225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36"/>
      <c r="X240" s="2"/>
    </row>
    <row r="241" spans="1:24" ht="15.75" customHeight="1">
      <c r="A241" s="196">
        <v>42</v>
      </c>
      <c r="B241" s="201" t="s">
        <v>226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36"/>
      <c r="X241" s="2"/>
    </row>
    <row r="242" spans="1:24" ht="15.75" customHeight="1">
      <c r="A242" s="196">
        <v>42</v>
      </c>
      <c r="B242" s="201" t="s">
        <v>227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34"/>
      <c r="T242" s="34"/>
      <c r="U242" s="34"/>
      <c r="V242" s="34"/>
      <c r="W242" s="237"/>
      <c r="X242" s="2"/>
    </row>
    <row r="243" spans="1:24" ht="15.75" customHeight="1">
      <c r="A243" s="229">
        <v>43</v>
      </c>
      <c r="B243" s="74">
        <v>1</v>
      </c>
      <c r="C243" s="234">
        <v>0.10100000000000001</v>
      </c>
      <c r="D243" s="234">
        <v>0.158</v>
      </c>
      <c r="E243" s="234">
        <v>0.255</v>
      </c>
      <c r="F243" s="234">
        <v>0.39900000000000002</v>
      </c>
      <c r="G243" s="234">
        <v>0.63900000000000001</v>
      </c>
      <c r="H243" s="234">
        <v>1.002</v>
      </c>
      <c r="I243" s="234">
        <v>1.583</v>
      </c>
      <c r="J243" s="234">
        <v>2.4990000000000001</v>
      </c>
      <c r="K243" s="234">
        <v>3.9740000000000002</v>
      </c>
      <c r="L243" s="234">
        <v>6.319</v>
      </c>
      <c r="M243" s="234">
        <v>9.9760000000000009</v>
      </c>
      <c r="N243" s="234">
        <v>15.864000000000001</v>
      </c>
      <c r="O243" s="234">
        <v>24.692</v>
      </c>
      <c r="P243" s="234">
        <v>39.545999999999999</v>
      </c>
      <c r="Q243" s="234">
        <v>63.335999999999999</v>
      </c>
      <c r="R243" s="235">
        <v>100</v>
      </c>
      <c r="S243" s="2"/>
      <c r="T243" s="2"/>
      <c r="U243" s="2"/>
      <c r="V243" s="2"/>
      <c r="W243" s="2"/>
    </row>
    <row r="244" spans="1:24" ht="15.75" customHeight="1">
      <c r="A244" s="228">
        <v>43</v>
      </c>
      <c r="B244" s="75">
        <v>2</v>
      </c>
      <c r="C244" s="2">
        <v>0.10100000000000001</v>
      </c>
      <c r="D244" s="2">
        <v>0.158</v>
      </c>
      <c r="E244" s="2">
        <v>0.255</v>
      </c>
      <c r="F244" s="2">
        <v>0.39900000000000002</v>
      </c>
      <c r="G244" s="2">
        <v>0.63900000000000001</v>
      </c>
      <c r="H244" s="2">
        <v>1.002</v>
      </c>
      <c r="I244" s="2">
        <v>1.583</v>
      </c>
      <c r="J244" s="2">
        <v>2.4990000000000001</v>
      </c>
      <c r="K244" s="2">
        <v>3.9740000000000002</v>
      </c>
      <c r="L244" s="2">
        <v>6.319</v>
      </c>
      <c r="M244" s="2">
        <v>9.9760000000000009</v>
      </c>
      <c r="N244" s="2">
        <v>15.864000000000001</v>
      </c>
      <c r="O244" s="2">
        <v>24.692</v>
      </c>
      <c r="P244" s="2">
        <v>39.545999999999999</v>
      </c>
      <c r="Q244" s="2">
        <v>63.335999999999999</v>
      </c>
      <c r="R244" s="236">
        <v>100</v>
      </c>
      <c r="S244" s="2"/>
    </row>
    <row r="245" spans="1:24" ht="15.75" customHeight="1">
      <c r="A245" s="228">
        <v>43</v>
      </c>
      <c r="B245" s="75">
        <v>3</v>
      </c>
      <c r="C245" s="2">
        <v>0.10100000000000001</v>
      </c>
      <c r="D245" s="2">
        <v>0.158</v>
      </c>
      <c r="E245" s="2">
        <v>0.255</v>
      </c>
      <c r="F245" s="2">
        <v>0.39900000000000002</v>
      </c>
      <c r="G245" s="2">
        <v>0.63900000000000001</v>
      </c>
      <c r="H245" s="2">
        <v>1.002</v>
      </c>
      <c r="I245" s="2">
        <v>1.583</v>
      </c>
      <c r="J245" s="2">
        <v>2.4990000000000001</v>
      </c>
      <c r="K245" s="2">
        <v>3.9740000000000002</v>
      </c>
      <c r="L245" s="2">
        <v>6.319</v>
      </c>
      <c r="M245" s="2">
        <v>9.9760000000000009</v>
      </c>
      <c r="N245" s="34">
        <v>15.864000000000001</v>
      </c>
      <c r="O245" s="34">
        <v>24.692</v>
      </c>
      <c r="P245" s="34">
        <v>39.545999999999999</v>
      </c>
      <c r="Q245" s="34">
        <v>63.335999999999999</v>
      </c>
      <c r="R245" s="237">
        <v>100</v>
      </c>
      <c r="S245" s="2"/>
    </row>
    <row r="246" spans="1:24" ht="15.75" customHeight="1">
      <c r="A246" s="229">
        <v>44</v>
      </c>
      <c r="B246" s="74" t="s">
        <v>221</v>
      </c>
      <c r="C246" s="234">
        <v>1</v>
      </c>
      <c r="D246" s="234">
        <v>1.5880000000000001</v>
      </c>
      <c r="E246" s="234">
        <v>2.5230000000000001</v>
      </c>
      <c r="F246" s="234">
        <v>4.03</v>
      </c>
      <c r="G246" s="234">
        <v>6.2960000000000003</v>
      </c>
      <c r="H246" s="234">
        <v>9.89</v>
      </c>
      <c r="I246" s="234">
        <v>16.059999999999999</v>
      </c>
      <c r="J246" s="234">
        <v>25.369</v>
      </c>
      <c r="K246" s="234">
        <v>40.075000000000003</v>
      </c>
      <c r="L246" s="234">
        <v>62.957000000000001</v>
      </c>
      <c r="M246" s="235">
        <v>100</v>
      </c>
      <c r="N246" s="2"/>
      <c r="O246" s="2"/>
      <c r="P246" s="2"/>
      <c r="Q246" s="2"/>
      <c r="R246" s="2"/>
    </row>
    <row r="247" spans="1:24" ht="15.75" customHeight="1">
      <c r="A247" s="228">
        <v>44</v>
      </c>
      <c r="B247" s="75" t="s">
        <v>222</v>
      </c>
      <c r="C247" s="2">
        <v>1</v>
      </c>
      <c r="D247" s="2">
        <v>1.5880000000000001</v>
      </c>
      <c r="E247" s="2">
        <v>2.5230000000000001</v>
      </c>
      <c r="F247" s="2">
        <v>4.03</v>
      </c>
      <c r="G247" s="2">
        <v>6.2960000000000003</v>
      </c>
      <c r="H247" s="2">
        <v>9.89</v>
      </c>
      <c r="I247" s="2">
        <v>16.059999999999999</v>
      </c>
      <c r="J247" s="2">
        <v>25.369</v>
      </c>
      <c r="K247" s="2">
        <v>40.075000000000003</v>
      </c>
      <c r="L247" s="2">
        <v>62.957000000000001</v>
      </c>
      <c r="M247" s="236">
        <v>100</v>
      </c>
      <c r="N247" s="2"/>
    </row>
    <row r="248" spans="1:24" ht="15.75" customHeight="1">
      <c r="A248" s="228">
        <v>44</v>
      </c>
      <c r="B248" s="75" t="s">
        <v>223</v>
      </c>
      <c r="C248" s="2">
        <v>1</v>
      </c>
      <c r="D248" s="2">
        <v>1.5880000000000001</v>
      </c>
      <c r="E248" s="2">
        <v>2.5230000000000001</v>
      </c>
      <c r="F248" s="2">
        <v>4.03</v>
      </c>
      <c r="G248" s="2">
        <v>6.2960000000000003</v>
      </c>
      <c r="H248" s="2">
        <v>9.89</v>
      </c>
      <c r="I248" s="2">
        <v>16.059999999999999</v>
      </c>
      <c r="J248" s="2">
        <v>25.369</v>
      </c>
      <c r="K248" s="2">
        <v>40.075000000000003</v>
      </c>
      <c r="L248" s="2">
        <v>62.957000000000001</v>
      </c>
      <c r="M248" s="236">
        <v>100</v>
      </c>
      <c r="N248" s="2"/>
    </row>
    <row r="249" spans="1:24" ht="15.75" customHeight="1">
      <c r="A249" s="228">
        <v>44</v>
      </c>
      <c r="B249" s="75" t="s">
        <v>224</v>
      </c>
      <c r="C249" s="2">
        <v>1</v>
      </c>
      <c r="D249" s="2">
        <v>1.5880000000000001</v>
      </c>
      <c r="E249" s="2">
        <v>2.5230000000000001</v>
      </c>
      <c r="F249" s="2">
        <v>4.03</v>
      </c>
      <c r="G249" s="2">
        <v>6.2960000000000003</v>
      </c>
      <c r="H249" s="2">
        <v>9.89</v>
      </c>
      <c r="I249" s="2">
        <v>16.059999999999999</v>
      </c>
      <c r="J249" s="2">
        <v>25.369</v>
      </c>
      <c r="K249" s="2">
        <v>40.075000000000003</v>
      </c>
      <c r="L249" s="2">
        <v>62.957000000000001</v>
      </c>
      <c r="M249" s="236">
        <v>100</v>
      </c>
      <c r="N249" s="2"/>
    </row>
    <row r="250" spans="1:24" ht="15.75" customHeight="1">
      <c r="A250" s="228">
        <v>44</v>
      </c>
      <c r="B250" s="75" t="s">
        <v>229</v>
      </c>
      <c r="C250" s="2">
        <v>1</v>
      </c>
      <c r="D250" s="2">
        <v>1.5880000000000001</v>
      </c>
      <c r="E250" s="2">
        <v>2.5230000000000001</v>
      </c>
      <c r="F250" s="2">
        <v>4.03</v>
      </c>
      <c r="G250" s="2">
        <v>6.2960000000000003</v>
      </c>
      <c r="H250" s="2">
        <v>9.89</v>
      </c>
      <c r="I250" s="2">
        <v>16.059999999999999</v>
      </c>
      <c r="J250" s="2">
        <v>25.369</v>
      </c>
      <c r="K250" s="2">
        <v>40.075000000000003</v>
      </c>
      <c r="L250" s="2">
        <v>62.957000000000001</v>
      </c>
      <c r="M250" s="236">
        <v>100</v>
      </c>
      <c r="N250" s="2"/>
    </row>
    <row r="251" spans="1:24" ht="15.75" customHeight="1">
      <c r="A251" s="228">
        <v>44</v>
      </c>
      <c r="B251" s="75" t="s">
        <v>225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36"/>
      <c r="N251" s="2"/>
    </row>
    <row r="252" spans="1:24" ht="15.75" customHeight="1">
      <c r="A252" s="228">
        <v>44</v>
      </c>
      <c r="B252" s="75" t="s">
        <v>226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36"/>
      <c r="N252" s="2"/>
    </row>
    <row r="253" spans="1:24" ht="15.75" customHeight="1">
      <c r="A253" s="228">
        <v>44</v>
      </c>
      <c r="B253" s="75" t="s">
        <v>227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36"/>
      <c r="N253" s="2"/>
    </row>
    <row r="254" spans="1:24" ht="15.75" customHeight="1">
      <c r="A254" s="228">
        <v>44</v>
      </c>
      <c r="B254" s="75" t="s">
        <v>228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36"/>
      <c r="N254" s="2"/>
    </row>
    <row r="255" spans="1:24" ht="15.75" customHeight="1">
      <c r="A255" s="230">
        <v>44</v>
      </c>
      <c r="B255" s="231" t="s">
        <v>230</v>
      </c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237"/>
      <c r="N255" s="2"/>
    </row>
    <row r="256" spans="1:24" ht="15.75" customHeight="1">
      <c r="A256" s="196">
        <v>45</v>
      </c>
      <c r="B256" s="201" t="s">
        <v>221</v>
      </c>
      <c r="C256" s="2">
        <v>6.4000000000000001E-2</v>
      </c>
      <c r="D256" s="2">
        <v>0.16300000000000001</v>
      </c>
      <c r="E256" s="2">
        <v>0.40500000000000003</v>
      </c>
      <c r="F256" s="2">
        <v>1.026</v>
      </c>
      <c r="G256" s="2">
        <v>2.573</v>
      </c>
      <c r="H256" s="2">
        <v>6.5270000000000001</v>
      </c>
      <c r="I256" s="2">
        <v>16.754999999999999</v>
      </c>
      <c r="J256" s="2">
        <v>43.01</v>
      </c>
      <c r="K256" s="2">
        <v>111.714</v>
      </c>
      <c r="L256" s="236">
        <v>315.11200000000002</v>
      </c>
      <c r="M256" s="2"/>
    </row>
    <row r="257" spans="1:28" ht="15.75" customHeight="1">
      <c r="A257" s="196">
        <v>45</v>
      </c>
      <c r="B257" s="201" t="s">
        <v>222</v>
      </c>
      <c r="C257" s="2">
        <v>6.4000000000000001E-2</v>
      </c>
      <c r="D257" s="2">
        <v>0.16300000000000001</v>
      </c>
      <c r="E257" s="2">
        <v>0.40500000000000003</v>
      </c>
      <c r="F257" s="2">
        <v>1.026</v>
      </c>
      <c r="G257" s="2">
        <v>2.573</v>
      </c>
      <c r="H257" s="2">
        <v>6.5270000000000001</v>
      </c>
      <c r="I257" s="2">
        <v>16.754999999999999</v>
      </c>
      <c r="J257" s="2">
        <v>43.01</v>
      </c>
      <c r="K257" s="2">
        <v>111.714</v>
      </c>
      <c r="L257" s="236">
        <v>315.11200000000002</v>
      </c>
      <c r="M257" s="2"/>
    </row>
    <row r="258" spans="1:28" ht="15.75" customHeight="1">
      <c r="A258" s="196">
        <v>45</v>
      </c>
      <c r="B258" s="201" t="s">
        <v>223</v>
      </c>
      <c r="C258" s="2">
        <v>6.4000000000000001E-2</v>
      </c>
      <c r="D258" s="2">
        <v>0.16300000000000001</v>
      </c>
      <c r="E258" s="2">
        <v>0.40500000000000003</v>
      </c>
      <c r="F258" s="2">
        <v>1.026</v>
      </c>
      <c r="G258" s="2">
        <v>2.573</v>
      </c>
      <c r="H258" s="2">
        <v>6.5270000000000001</v>
      </c>
      <c r="I258" s="2">
        <v>16.754999999999999</v>
      </c>
      <c r="J258" s="2">
        <v>43.01</v>
      </c>
      <c r="K258" s="2">
        <v>111.714</v>
      </c>
      <c r="L258" s="236">
        <v>315.11200000000002</v>
      </c>
      <c r="M258" s="2"/>
    </row>
    <row r="259" spans="1:28" ht="15.75" customHeight="1">
      <c r="A259" s="196">
        <v>45</v>
      </c>
      <c r="B259" s="201" t="s">
        <v>224</v>
      </c>
      <c r="C259" s="2">
        <v>6.4000000000000001E-2</v>
      </c>
      <c r="D259" s="2">
        <v>0.16300000000000001</v>
      </c>
      <c r="E259" s="2">
        <v>0.40500000000000003</v>
      </c>
      <c r="F259" s="2">
        <v>1.026</v>
      </c>
      <c r="G259" s="2">
        <v>2.573</v>
      </c>
      <c r="H259" s="2">
        <v>6.5270000000000001</v>
      </c>
      <c r="I259" s="2">
        <v>16.754999999999999</v>
      </c>
      <c r="J259" s="2">
        <v>43.01</v>
      </c>
      <c r="K259" s="2">
        <v>111.714</v>
      </c>
      <c r="L259" s="236">
        <v>315.11200000000002</v>
      </c>
      <c r="M259" s="2"/>
    </row>
    <row r="260" spans="1:28" ht="15.75" customHeight="1">
      <c r="A260" s="196">
        <v>45</v>
      </c>
      <c r="B260" s="201" t="s">
        <v>225</v>
      </c>
      <c r="C260" s="2"/>
      <c r="D260" s="2"/>
      <c r="E260" s="2"/>
      <c r="F260" s="2"/>
      <c r="G260" s="2"/>
      <c r="H260" s="2"/>
      <c r="I260" s="2"/>
      <c r="J260" s="2"/>
      <c r="K260" s="2"/>
      <c r="L260" s="236"/>
      <c r="M260" s="2"/>
    </row>
    <row r="261" spans="1:28" ht="15.75" customHeight="1">
      <c r="A261" s="196">
        <v>45</v>
      </c>
      <c r="B261" s="201" t="s">
        <v>226</v>
      </c>
      <c r="C261" s="2"/>
      <c r="D261" s="2"/>
      <c r="E261" s="2"/>
      <c r="F261" s="2"/>
      <c r="G261" s="2"/>
      <c r="H261" s="2"/>
      <c r="I261" s="2"/>
      <c r="J261" s="2"/>
      <c r="K261" s="2"/>
      <c r="L261" s="236"/>
      <c r="M261" s="2"/>
    </row>
    <row r="262" spans="1:28" ht="15.75" customHeight="1">
      <c r="A262" s="196">
        <v>45</v>
      </c>
      <c r="B262" s="201" t="s">
        <v>227</v>
      </c>
      <c r="C262" s="2"/>
      <c r="D262" s="2"/>
      <c r="E262" s="2"/>
      <c r="F262" s="2"/>
      <c r="G262" s="2"/>
      <c r="H262" s="2"/>
      <c r="I262" s="2"/>
      <c r="J262" s="2"/>
      <c r="K262" s="2"/>
      <c r="L262" s="236"/>
      <c r="M262" s="2"/>
    </row>
    <row r="263" spans="1:28" ht="15.75" customHeight="1">
      <c r="A263" s="196">
        <v>45</v>
      </c>
      <c r="B263" s="201" t="s">
        <v>228</v>
      </c>
      <c r="C263" s="2"/>
      <c r="D263" s="2"/>
      <c r="E263" s="2"/>
      <c r="F263" s="2"/>
      <c r="G263" s="2"/>
      <c r="H263" s="2"/>
      <c r="I263" s="2"/>
      <c r="J263" s="2"/>
      <c r="K263" s="2"/>
      <c r="L263" s="236"/>
      <c r="M263" s="2"/>
      <c r="N263" s="2"/>
      <c r="O263" s="2"/>
      <c r="P263" s="2"/>
      <c r="Q263" s="2"/>
      <c r="R263" s="2"/>
      <c r="S263" s="2"/>
      <c r="T263" s="2"/>
      <c r="U263" s="2"/>
    </row>
    <row r="264" spans="1:28" ht="15.75" customHeight="1">
      <c r="A264" s="199">
        <v>46</v>
      </c>
      <c r="B264" s="200">
        <v>1</v>
      </c>
      <c r="C264" s="234">
        <v>0.1</v>
      </c>
      <c r="D264" s="234">
        <v>0.14499999999999999</v>
      </c>
      <c r="E264" s="234">
        <v>0.216</v>
      </c>
      <c r="F264" s="234">
        <v>0.31900000000000001</v>
      </c>
      <c r="G264" s="234">
        <v>0.46700000000000003</v>
      </c>
      <c r="H264" s="234">
        <v>0.68300000000000005</v>
      </c>
      <c r="I264" s="234">
        <v>1.016</v>
      </c>
      <c r="J264" s="234">
        <v>1.464</v>
      </c>
      <c r="K264" s="234">
        <v>2.1960000000000002</v>
      </c>
      <c r="L264" s="234">
        <v>3.1619999999999999</v>
      </c>
      <c r="M264" s="234">
        <v>4.7050000000000001</v>
      </c>
      <c r="N264" s="234">
        <v>6.8869999999999996</v>
      </c>
      <c r="O264" s="234">
        <v>10.246</v>
      </c>
      <c r="P264" s="234">
        <v>14.757999999999999</v>
      </c>
      <c r="Q264" s="234">
        <v>21.779</v>
      </c>
      <c r="R264" s="234">
        <v>31.88</v>
      </c>
      <c r="S264" s="234">
        <v>46.290999999999997</v>
      </c>
      <c r="T264" s="234">
        <v>68.313999999999993</v>
      </c>
      <c r="U264" s="235">
        <v>100</v>
      </c>
      <c r="V264" s="2"/>
    </row>
    <row r="265" spans="1:28" ht="15.75" customHeight="1">
      <c r="A265" s="196">
        <v>46</v>
      </c>
      <c r="B265" s="201">
        <v>2</v>
      </c>
      <c r="C265" s="2">
        <v>0.1</v>
      </c>
      <c r="D265" s="2">
        <v>0.14499999999999999</v>
      </c>
      <c r="E265" s="2">
        <v>0.216</v>
      </c>
      <c r="F265" s="2">
        <v>0.31900000000000001</v>
      </c>
      <c r="G265" s="2">
        <v>0.46700000000000003</v>
      </c>
      <c r="H265" s="2">
        <v>0.68300000000000005</v>
      </c>
      <c r="I265" s="2">
        <v>1.016</v>
      </c>
      <c r="J265" s="2">
        <v>1.464</v>
      </c>
      <c r="K265" s="2">
        <v>2.1960000000000002</v>
      </c>
      <c r="L265" s="2">
        <v>3.1619999999999999</v>
      </c>
      <c r="M265" s="2">
        <v>4.7050000000000001</v>
      </c>
      <c r="N265" s="2">
        <v>6.8869999999999996</v>
      </c>
      <c r="O265" s="2">
        <v>10.246</v>
      </c>
      <c r="P265" s="2">
        <v>14.757999999999999</v>
      </c>
      <c r="Q265" s="2">
        <v>21.779</v>
      </c>
      <c r="R265" s="2">
        <v>31.88</v>
      </c>
      <c r="S265" s="2">
        <v>46.290999999999997</v>
      </c>
      <c r="T265" s="2">
        <v>68.313999999999993</v>
      </c>
      <c r="U265" s="236">
        <v>100</v>
      </c>
      <c r="V265" s="2"/>
    </row>
    <row r="266" spans="1:28" ht="15.75" customHeight="1">
      <c r="A266" s="196">
        <v>46</v>
      </c>
      <c r="B266" s="201">
        <v>3</v>
      </c>
      <c r="C266" s="2">
        <v>0.1</v>
      </c>
      <c r="D266" s="2">
        <v>0.14499999999999999</v>
      </c>
      <c r="E266" s="2">
        <v>0.216</v>
      </c>
      <c r="F266" s="2">
        <v>0.31900000000000001</v>
      </c>
      <c r="G266" s="2">
        <v>0.46700000000000003</v>
      </c>
      <c r="H266" s="2">
        <v>0.68300000000000005</v>
      </c>
      <c r="I266" s="2">
        <v>1.016</v>
      </c>
      <c r="J266" s="2">
        <v>1.464</v>
      </c>
      <c r="K266" s="2">
        <v>2.1960000000000002</v>
      </c>
      <c r="L266" s="2">
        <v>3.1619999999999999</v>
      </c>
      <c r="M266" s="2">
        <v>4.7050000000000001</v>
      </c>
      <c r="N266" s="2">
        <v>6.8869999999999996</v>
      </c>
      <c r="O266" s="2">
        <v>10.246</v>
      </c>
      <c r="P266" s="2">
        <v>14.757999999999999</v>
      </c>
      <c r="Q266" s="2">
        <v>21.779</v>
      </c>
      <c r="R266" s="2">
        <v>31.88</v>
      </c>
      <c r="S266" s="2">
        <v>46.290999999999997</v>
      </c>
      <c r="T266" s="2">
        <v>68.313999999999993</v>
      </c>
      <c r="U266" s="236">
        <v>100</v>
      </c>
      <c r="V266" s="2"/>
    </row>
    <row r="267" spans="1:28" ht="15.75" customHeight="1">
      <c r="A267" s="196">
        <v>46</v>
      </c>
      <c r="B267" s="201">
        <v>4</v>
      </c>
      <c r="C267" s="2">
        <v>0.1</v>
      </c>
      <c r="D267" s="2">
        <v>0.14499999999999999</v>
      </c>
      <c r="E267" s="2">
        <v>0.216</v>
      </c>
      <c r="F267" s="2">
        <v>0.31900000000000001</v>
      </c>
      <c r="G267" s="2">
        <v>0.46700000000000003</v>
      </c>
      <c r="H267" s="2">
        <v>0.68300000000000005</v>
      </c>
      <c r="I267" s="2">
        <v>1.016</v>
      </c>
      <c r="J267" s="2">
        <v>1.464</v>
      </c>
      <c r="K267" s="2">
        <v>2.1960000000000002</v>
      </c>
      <c r="L267" s="2">
        <v>3.1619999999999999</v>
      </c>
      <c r="M267" s="2">
        <v>4.7050000000000001</v>
      </c>
      <c r="N267" s="2">
        <v>6.8869999999999996</v>
      </c>
      <c r="O267" s="2">
        <v>10.246</v>
      </c>
      <c r="P267" s="2">
        <v>14.757999999999999</v>
      </c>
      <c r="Q267" s="2">
        <v>21.779</v>
      </c>
      <c r="R267" s="2">
        <v>31.88</v>
      </c>
      <c r="S267" s="2">
        <v>46.290999999999997</v>
      </c>
      <c r="T267" s="2">
        <v>68.313999999999993</v>
      </c>
      <c r="U267" s="236">
        <v>100</v>
      </c>
      <c r="V267" s="2"/>
    </row>
    <row r="268" spans="1:28" ht="15.75" customHeight="1">
      <c r="A268" s="196">
        <v>46</v>
      </c>
      <c r="B268" s="201">
        <v>5</v>
      </c>
      <c r="C268" s="2">
        <v>0.1</v>
      </c>
      <c r="D268" s="2">
        <v>0.14499999999999999</v>
      </c>
      <c r="E268" s="2">
        <v>0.216</v>
      </c>
      <c r="F268" s="2">
        <v>0.31900000000000001</v>
      </c>
      <c r="G268" s="2">
        <v>0.46700000000000003</v>
      </c>
      <c r="H268" s="2">
        <v>0.68300000000000005</v>
      </c>
      <c r="I268" s="2">
        <v>1.016</v>
      </c>
      <c r="J268" s="2">
        <v>1.464</v>
      </c>
      <c r="K268" s="2">
        <v>2.1960000000000002</v>
      </c>
      <c r="L268" s="2">
        <v>3.1619999999999999</v>
      </c>
      <c r="M268" s="2">
        <v>4.7050000000000001</v>
      </c>
      <c r="N268" s="2">
        <v>6.8869999999999996</v>
      </c>
      <c r="O268" s="2">
        <v>10.246</v>
      </c>
      <c r="P268" s="2">
        <v>14.757999999999999</v>
      </c>
      <c r="Q268" s="2">
        <v>21.779</v>
      </c>
      <c r="R268" s="2">
        <v>31.88</v>
      </c>
      <c r="S268" s="2">
        <v>46.290999999999997</v>
      </c>
      <c r="T268" s="2">
        <v>68.313999999999993</v>
      </c>
      <c r="U268" s="236">
        <v>100</v>
      </c>
      <c r="V268" s="2"/>
    </row>
    <row r="269" spans="1:28" ht="15.75" customHeight="1">
      <c r="A269" s="196">
        <v>46</v>
      </c>
      <c r="B269" s="201">
        <v>6</v>
      </c>
      <c r="C269" s="2">
        <v>0.1</v>
      </c>
      <c r="D269" s="2">
        <v>0.14499999999999999</v>
      </c>
      <c r="E269" s="2">
        <v>0.216</v>
      </c>
      <c r="F269" s="2">
        <v>0.31900000000000001</v>
      </c>
      <c r="G269" s="2">
        <v>0.46700000000000003</v>
      </c>
      <c r="H269" s="2">
        <v>0.68300000000000005</v>
      </c>
      <c r="I269" s="2">
        <v>1.016</v>
      </c>
      <c r="J269" s="2">
        <v>1.464</v>
      </c>
      <c r="K269" s="2">
        <v>2.1960000000000002</v>
      </c>
      <c r="L269" s="2">
        <v>3.1619999999999999</v>
      </c>
      <c r="M269" s="2">
        <v>4.7050000000000001</v>
      </c>
      <c r="N269" s="2">
        <v>6.8869999999999996</v>
      </c>
      <c r="O269" s="2">
        <v>10.246</v>
      </c>
      <c r="P269" s="2">
        <v>14.757999999999999</v>
      </c>
      <c r="Q269" s="2">
        <v>21.779</v>
      </c>
      <c r="R269" s="2">
        <v>31.88</v>
      </c>
      <c r="S269" s="2">
        <v>46.290999999999997</v>
      </c>
      <c r="T269" s="2">
        <v>68.313999999999993</v>
      </c>
      <c r="U269" s="236">
        <v>100</v>
      </c>
      <c r="V269" s="2"/>
      <c r="W269" s="2"/>
      <c r="X269" s="2"/>
      <c r="Y269" s="2"/>
      <c r="Z269" s="2"/>
      <c r="AA269" s="2"/>
    </row>
    <row r="270" spans="1:28" ht="15.75" customHeight="1">
      <c r="A270" s="199">
        <v>47</v>
      </c>
      <c r="B270" s="200" t="s">
        <v>221</v>
      </c>
      <c r="C270" s="234">
        <v>0.1</v>
      </c>
      <c r="D270" s="234">
        <v>0.13500000000000001</v>
      </c>
      <c r="E270" s="234">
        <v>0.18099999999999999</v>
      </c>
      <c r="F270" s="234">
        <v>0.24299999999999999</v>
      </c>
      <c r="G270" s="234">
        <v>0.318</v>
      </c>
      <c r="H270" s="234">
        <v>0.41699999999999998</v>
      </c>
      <c r="I270" s="234">
        <v>0.56799999999999995</v>
      </c>
      <c r="J270" s="234">
        <v>0.76200000000000001</v>
      </c>
      <c r="K270" s="234">
        <v>1.0389999999999999</v>
      </c>
      <c r="L270" s="234">
        <v>1.371</v>
      </c>
      <c r="M270" s="234">
        <v>1.7789999999999999</v>
      </c>
      <c r="N270" s="234">
        <v>2.4060000000000001</v>
      </c>
      <c r="O270" s="234">
        <v>3.1240000000000001</v>
      </c>
      <c r="P270" s="234">
        <v>4.2240000000000002</v>
      </c>
      <c r="Q270" s="234">
        <v>5.62</v>
      </c>
      <c r="R270" s="234">
        <v>7.5990000000000002</v>
      </c>
      <c r="S270" s="234">
        <v>10.276</v>
      </c>
      <c r="T270" s="234">
        <v>13.449</v>
      </c>
      <c r="U270" s="234">
        <v>17.891999999999999</v>
      </c>
      <c r="V270" s="234">
        <v>23.997</v>
      </c>
      <c r="W270" s="234">
        <v>31.925000000000001</v>
      </c>
      <c r="X270" s="234">
        <v>43.17</v>
      </c>
      <c r="Y270" s="234"/>
      <c r="Z270" s="234"/>
      <c r="AA270" s="235"/>
      <c r="AB270" s="2"/>
    </row>
    <row r="271" spans="1:28" ht="15.75" customHeight="1">
      <c r="A271" s="196">
        <v>47</v>
      </c>
      <c r="B271" s="201">
        <v>2</v>
      </c>
      <c r="C271" s="2">
        <v>0.1</v>
      </c>
      <c r="D271" s="2">
        <v>0.13500000000000001</v>
      </c>
      <c r="E271" s="2">
        <v>0.18099999999999999</v>
      </c>
      <c r="F271" s="2">
        <v>0.24299999999999999</v>
      </c>
      <c r="G271" s="2">
        <v>0.318</v>
      </c>
      <c r="H271" s="2">
        <v>0.41699999999999998</v>
      </c>
      <c r="I271" s="2">
        <v>0.56799999999999995</v>
      </c>
      <c r="J271" s="2">
        <v>0.76200000000000001</v>
      </c>
      <c r="K271" s="2">
        <v>1.0389999999999999</v>
      </c>
      <c r="L271" s="2">
        <v>1.371</v>
      </c>
      <c r="M271" s="2">
        <v>1.7789999999999999</v>
      </c>
      <c r="N271" s="2">
        <v>2.4060000000000001</v>
      </c>
      <c r="O271" s="2">
        <v>3.1240000000000001</v>
      </c>
      <c r="P271" s="2">
        <v>4.2240000000000002</v>
      </c>
      <c r="Q271" s="2">
        <v>5.62</v>
      </c>
      <c r="R271" s="2">
        <v>7.5990000000000002</v>
      </c>
      <c r="S271" s="2">
        <v>10.276</v>
      </c>
      <c r="T271" s="2">
        <v>13.449</v>
      </c>
      <c r="U271" s="2">
        <v>17.891999999999999</v>
      </c>
      <c r="V271" s="2">
        <v>23.997</v>
      </c>
      <c r="W271" s="2">
        <v>31.925000000000001</v>
      </c>
      <c r="X271" s="2">
        <v>43.17</v>
      </c>
      <c r="Y271" s="2">
        <v>57.902000000000001</v>
      </c>
      <c r="Z271" s="2">
        <v>76.403999999999996</v>
      </c>
      <c r="AA271" s="236">
        <v>100</v>
      </c>
      <c r="AB271" s="2"/>
    </row>
    <row r="272" spans="1:28" ht="15.75" customHeight="1">
      <c r="A272" s="196">
        <v>47</v>
      </c>
      <c r="B272" s="201">
        <v>3</v>
      </c>
      <c r="C272" s="2">
        <v>0.1</v>
      </c>
      <c r="D272" s="2">
        <v>0.13500000000000001</v>
      </c>
      <c r="E272" s="2">
        <v>0.18099999999999999</v>
      </c>
      <c r="F272" s="2">
        <v>0.24299999999999999</v>
      </c>
      <c r="G272" s="2">
        <v>0.318</v>
      </c>
      <c r="H272" s="2">
        <v>0.41699999999999998</v>
      </c>
      <c r="I272" s="2">
        <v>0.56799999999999995</v>
      </c>
      <c r="J272" s="2">
        <v>0.76200000000000001</v>
      </c>
      <c r="K272" s="2">
        <v>1.0389999999999999</v>
      </c>
      <c r="L272" s="2">
        <v>1.371</v>
      </c>
      <c r="M272" s="2">
        <v>1.7789999999999999</v>
      </c>
      <c r="N272" s="2">
        <v>2.4060000000000001</v>
      </c>
      <c r="O272" s="2">
        <v>3.1240000000000001</v>
      </c>
      <c r="P272" s="2">
        <v>4.2240000000000002</v>
      </c>
      <c r="Q272" s="2">
        <v>5.62</v>
      </c>
      <c r="R272" s="2">
        <v>7.5990000000000002</v>
      </c>
      <c r="S272" s="2">
        <v>10.276</v>
      </c>
      <c r="T272" s="2">
        <v>13.449</v>
      </c>
      <c r="U272" s="2">
        <v>17.891999999999999</v>
      </c>
      <c r="V272" s="2">
        <v>23.997</v>
      </c>
      <c r="W272" s="2">
        <v>31.925000000000001</v>
      </c>
      <c r="X272" s="2">
        <v>43.17</v>
      </c>
      <c r="Y272" s="2">
        <v>57.902000000000001</v>
      </c>
      <c r="Z272" s="2">
        <v>76.403999999999996</v>
      </c>
      <c r="AA272" s="236">
        <v>100</v>
      </c>
      <c r="AB272" s="2"/>
    </row>
    <row r="273" spans="1:28" ht="15.75" customHeight="1">
      <c r="A273" s="196">
        <v>47</v>
      </c>
      <c r="B273" s="201" t="s">
        <v>224</v>
      </c>
      <c r="C273" s="2">
        <v>0.1</v>
      </c>
      <c r="D273" s="2">
        <v>0.13500000000000001</v>
      </c>
      <c r="E273" s="2">
        <v>0.18099999999999999</v>
      </c>
      <c r="F273" s="2">
        <v>0.24299999999999999</v>
      </c>
      <c r="G273" s="2">
        <v>0.318</v>
      </c>
      <c r="H273" s="2">
        <v>0.41699999999999998</v>
      </c>
      <c r="I273" s="2">
        <v>0.56799999999999995</v>
      </c>
      <c r="J273" s="2">
        <v>0.76200000000000001</v>
      </c>
      <c r="K273" s="2">
        <v>1.0389999999999999</v>
      </c>
      <c r="L273" s="2">
        <v>1.371</v>
      </c>
      <c r="M273" s="2">
        <v>1.7789999999999999</v>
      </c>
      <c r="N273" s="2">
        <v>2.4060000000000001</v>
      </c>
      <c r="O273" s="2">
        <v>3.1240000000000001</v>
      </c>
      <c r="P273" s="2">
        <v>4.2240000000000002</v>
      </c>
      <c r="Q273" s="2">
        <v>5.62</v>
      </c>
      <c r="R273" s="2">
        <v>7.5990000000000002</v>
      </c>
      <c r="S273" s="2">
        <v>10.276</v>
      </c>
      <c r="T273" s="2">
        <v>13.449</v>
      </c>
      <c r="U273" s="2">
        <v>17.891999999999999</v>
      </c>
      <c r="V273" s="2">
        <v>23.997</v>
      </c>
      <c r="W273" s="2">
        <v>31.925000000000001</v>
      </c>
      <c r="X273" s="2">
        <v>43.17</v>
      </c>
      <c r="Y273" s="2"/>
      <c r="Z273" s="2"/>
      <c r="AA273" s="236"/>
      <c r="AB273" s="2"/>
    </row>
    <row r="274" spans="1:28" ht="15.75" customHeight="1">
      <c r="A274" s="196">
        <v>47</v>
      </c>
      <c r="B274" s="201">
        <v>5</v>
      </c>
      <c r="C274" s="2">
        <v>0.1</v>
      </c>
      <c r="D274" s="2">
        <v>0.13500000000000001</v>
      </c>
      <c r="E274" s="2">
        <v>0.18099999999999999</v>
      </c>
      <c r="F274" s="2">
        <v>0.24299999999999999</v>
      </c>
      <c r="G274" s="2">
        <v>0.318</v>
      </c>
      <c r="H274" s="2">
        <v>0.41699999999999998</v>
      </c>
      <c r="I274" s="2">
        <v>0.56799999999999995</v>
      </c>
      <c r="J274" s="2">
        <v>0.76200000000000001</v>
      </c>
      <c r="K274" s="2">
        <v>1.0389999999999999</v>
      </c>
      <c r="L274" s="2">
        <v>1.371</v>
      </c>
      <c r="M274" s="2">
        <v>1.7789999999999999</v>
      </c>
      <c r="N274" s="2">
        <v>2.4060000000000001</v>
      </c>
      <c r="O274" s="2">
        <v>3.1240000000000001</v>
      </c>
      <c r="P274" s="2">
        <v>4.2240000000000002</v>
      </c>
      <c r="Q274" s="2">
        <v>5.62</v>
      </c>
      <c r="R274" s="2">
        <v>7.5990000000000002</v>
      </c>
      <c r="S274" s="2">
        <v>10.276</v>
      </c>
      <c r="T274" s="2">
        <v>13.449</v>
      </c>
      <c r="U274" s="2">
        <v>17.891999999999999</v>
      </c>
      <c r="V274" s="2">
        <v>23.997</v>
      </c>
      <c r="W274" s="2">
        <v>31.925000000000001</v>
      </c>
      <c r="X274" s="2">
        <v>43.17</v>
      </c>
      <c r="Y274" s="2">
        <v>57.902000000000001</v>
      </c>
      <c r="Z274" s="2">
        <v>76.403999999999996</v>
      </c>
      <c r="AA274" s="236">
        <v>100</v>
      </c>
      <c r="AB274" s="2"/>
    </row>
    <row r="275" spans="1:28" ht="15.75" customHeight="1">
      <c r="A275" s="196">
        <v>47</v>
      </c>
      <c r="B275" s="201" t="s">
        <v>225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36"/>
      <c r="AB275" s="2"/>
    </row>
    <row r="276" spans="1:28" ht="15.75" customHeight="1">
      <c r="A276" s="196">
        <v>47</v>
      </c>
      <c r="B276" s="201" t="s">
        <v>228</v>
      </c>
      <c r="C276" s="2"/>
      <c r="D276" s="2"/>
      <c r="E276" s="2"/>
      <c r="F276" s="2"/>
      <c r="G276" s="2"/>
      <c r="H276" s="2"/>
      <c r="I276" s="2"/>
      <c r="J276" s="2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237"/>
      <c r="AB276" s="2"/>
    </row>
    <row r="277" spans="1:28" ht="15.75" customHeight="1">
      <c r="A277" s="199">
        <v>48</v>
      </c>
      <c r="B277" s="200">
        <v>1</v>
      </c>
      <c r="C277" s="234">
        <v>0.1</v>
      </c>
      <c r="D277" s="234">
        <v>0.251</v>
      </c>
      <c r="E277" s="234">
        <v>0.35899999999999999</v>
      </c>
      <c r="F277" s="234">
        <v>0.95399999999999996</v>
      </c>
      <c r="G277" s="234">
        <v>3.569</v>
      </c>
      <c r="H277" s="234">
        <v>12.494999999999999</v>
      </c>
      <c r="I277" s="234">
        <v>38.911999999999999</v>
      </c>
      <c r="J277" s="235">
        <v>100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8" ht="15.75" customHeight="1">
      <c r="A278" s="196">
        <v>48</v>
      </c>
      <c r="B278" s="201">
        <v>2</v>
      </c>
      <c r="C278" s="2">
        <v>0.1</v>
      </c>
      <c r="D278" s="2">
        <v>0.251</v>
      </c>
      <c r="E278" s="2">
        <v>0.35899999999999999</v>
      </c>
      <c r="F278" s="2">
        <v>0.95399999999999996</v>
      </c>
      <c r="G278" s="2">
        <v>3.569</v>
      </c>
      <c r="H278" s="2">
        <v>12.494999999999999</v>
      </c>
      <c r="I278" s="2">
        <v>38.911999999999999</v>
      </c>
      <c r="J278" s="236">
        <v>100</v>
      </c>
      <c r="K278" s="2"/>
    </row>
    <row r="279" spans="1:28" ht="15.75" customHeight="1">
      <c r="A279" s="196">
        <v>48</v>
      </c>
      <c r="B279" s="201">
        <v>3</v>
      </c>
      <c r="C279" s="2">
        <v>0.1</v>
      </c>
      <c r="D279" s="2">
        <v>0.251</v>
      </c>
      <c r="E279" s="2">
        <v>0.35899999999999999</v>
      </c>
      <c r="F279" s="2">
        <v>0.95399999999999996</v>
      </c>
      <c r="G279" s="2">
        <v>3.569</v>
      </c>
      <c r="H279" s="2">
        <v>12.494999999999999</v>
      </c>
      <c r="I279" s="2">
        <v>38.911999999999999</v>
      </c>
      <c r="J279" s="236">
        <v>100</v>
      </c>
      <c r="K279" s="2"/>
    </row>
    <row r="280" spans="1:28" ht="15.75" customHeight="1">
      <c r="A280" s="196">
        <v>48</v>
      </c>
      <c r="B280" s="201">
        <v>4</v>
      </c>
      <c r="C280" s="2">
        <v>0.1</v>
      </c>
      <c r="D280" s="2">
        <v>0.27500000000000002</v>
      </c>
      <c r="E280" s="2">
        <v>0.85499999999999998</v>
      </c>
      <c r="F280" s="2">
        <v>2.57</v>
      </c>
      <c r="G280" s="2">
        <v>9.8940000000000001</v>
      </c>
      <c r="H280" s="2">
        <v>24.369</v>
      </c>
      <c r="I280" s="2">
        <v>51.991999999999997</v>
      </c>
      <c r="J280" s="236">
        <v>100</v>
      </c>
      <c r="K280" s="2"/>
    </row>
    <row r="281" spans="1:28" ht="15.75" customHeight="1">
      <c r="A281" s="196">
        <v>48</v>
      </c>
      <c r="B281" s="201">
        <v>5</v>
      </c>
      <c r="C281" s="2">
        <v>0.1</v>
      </c>
      <c r="D281" s="2">
        <v>0.27500000000000002</v>
      </c>
      <c r="E281" s="2">
        <v>0.85499999999999998</v>
      </c>
      <c r="F281" s="2">
        <v>2.57</v>
      </c>
      <c r="G281" s="2">
        <v>9.8940000000000001</v>
      </c>
      <c r="H281" s="2">
        <v>24.369</v>
      </c>
      <c r="I281" s="2">
        <v>51.991999999999997</v>
      </c>
      <c r="J281" s="236">
        <v>100</v>
      </c>
      <c r="K281" s="2"/>
    </row>
    <row r="282" spans="1:28" ht="15.75" customHeight="1">
      <c r="A282" s="196">
        <v>48</v>
      </c>
      <c r="B282" s="201">
        <v>6</v>
      </c>
      <c r="C282" s="2">
        <v>0.1</v>
      </c>
      <c r="D282" s="2">
        <v>0.27500000000000002</v>
      </c>
      <c r="E282" s="2">
        <v>0.85499999999999998</v>
      </c>
      <c r="F282" s="2">
        <v>2.57</v>
      </c>
      <c r="G282" s="2">
        <v>9.8940000000000001</v>
      </c>
      <c r="H282" s="2">
        <v>24.369</v>
      </c>
      <c r="I282" s="2">
        <v>51.991999999999997</v>
      </c>
      <c r="J282" s="236">
        <v>100</v>
      </c>
      <c r="K282" s="2"/>
    </row>
    <row r="283" spans="1:28" ht="15.75" customHeight="1">
      <c r="A283" s="196">
        <v>48</v>
      </c>
      <c r="B283" s="201">
        <v>7</v>
      </c>
      <c r="C283" s="2">
        <v>0.1</v>
      </c>
      <c r="D283" s="2">
        <v>0.27500000000000002</v>
      </c>
      <c r="E283" s="2">
        <v>0.85499999999999998</v>
      </c>
      <c r="F283" s="2">
        <v>2.57</v>
      </c>
      <c r="G283" s="2">
        <v>9.8940000000000001</v>
      </c>
      <c r="H283" s="2">
        <v>24.369</v>
      </c>
      <c r="I283" s="2">
        <v>51.991999999999997</v>
      </c>
      <c r="J283" s="236">
        <v>100</v>
      </c>
      <c r="K283" s="2"/>
    </row>
    <row r="284" spans="1:28" ht="15.75" customHeight="1">
      <c r="A284" s="196">
        <v>48</v>
      </c>
      <c r="B284" s="201">
        <v>8</v>
      </c>
      <c r="C284" s="2">
        <v>0.1</v>
      </c>
      <c r="D284" s="2">
        <v>0.31</v>
      </c>
      <c r="E284" s="2">
        <v>0.80600000000000005</v>
      </c>
      <c r="F284" s="2">
        <v>2.625</v>
      </c>
      <c r="G284" s="2">
        <v>9.6560000000000006</v>
      </c>
      <c r="H284" s="2">
        <v>29.244</v>
      </c>
      <c r="I284" s="2">
        <v>65.664000000000001</v>
      </c>
      <c r="J284" s="236">
        <v>100</v>
      </c>
      <c r="K284" s="2"/>
    </row>
    <row r="285" spans="1:28" ht="15.75" customHeight="1">
      <c r="A285" s="196">
        <v>48</v>
      </c>
      <c r="B285" s="201">
        <v>9</v>
      </c>
      <c r="C285" s="2">
        <v>0.1</v>
      </c>
      <c r="D285" s="2">
        <v>0.31</v>
      </c>
      <c r="E285" s="2">
        <v>0.80600000000000005</v>
      </c>
      <c r="F285" s="2">
        <v>2.625</v>
      </c>
      <c r="G285" s="2">
        <v>9.6560000000000006</v>
      </c>
      <c r="H285" s="2">
        <v>29.244</v>
      </c>
      <c r="I285" s="2">
        <v>65.664000000000001</v>
      </c>
      <c r="J285" s="236">
        <v>100</v>
      </c>
      <c r="K285" s="2"/>
    </row>
    <row r="286" spans="1:28" ht="15.75" customHeight="1">
      <c r="A286" s="196">
        <v>48</v>
      </c>
      <c r="B286" s="201">
        <v>10</v>
      </c>
      <c r="C286" s="2">
        <v>0.1</v>
      </c>
      <c r="D286" s="2">
        <v>0.31</v>
      </c>
      <c r="E286" s="2">
        <v>0.80600000000000005</v>
      </c>
      <c r="F286" s="2">
        <v>2.625</v>
      </c>
      <c r="G286" s="2">
        <v>9.6560000000000006</v>
      </c>
      <c r="H286" s="2">
        <v>29.244</v>
      </c>
      <c r="I286" s="2">
        <v>65.664000000000001</v>
      </c>
      <c r="J286" s="236">
        <v>100</v>
      </c>
      <c r="K286" s="2"/>
    </row>
    <row r="287" spans="1:28" ht="15.75" customHeight="1">
      <c r="A287" s="196">
        <v>48</v>
      </c>
      <c r="B287" s="201">
        <v>11</v>
      </c>
      <c r="C287" s="2">
        <v>0.1</v>
      </c>
      <c r="D287" s="2">
        <v>0.31</v>
      </c>
      <c r="E287" s="2">
        <v>0.80600000000000005</v>
      </c>
      <c r="F287" s="2">
        <v>2.625</v>
      </c>
      <c r="G287" s="2">
        <v>9.6560000000000006</v>
      </c>
      <c r="H287" s="2">
        <v>29.244</v>
      </c>
      <c r="I287" s="2">
        <v>65.664000000000001</v>
      </c>
      <c r="J287" s="236">
        <v>100</v>
      </c>
      <c r="K287" s="2"/>
    </row>
    <row r="288" spans="1:28" ht="15.75" customHeight="1">
      <c r="A288" s="197">
        <v>48</v>
      </c>
      <c r="B288" s="202">
        <v>12</v>
      </c>
      <c r="C288" s="34">
        <v>0.1</v>
      </c>
      <c r="D288" s="34">
        <v>0.31</v>
      </c>
      <c r="E288" s="34">
        <v>0.80600000000000005</v>
      </c>
      <c r="F288" s="34">
        <v>2.625</v>
      </c>
      <c r="G288" s="34">
        <v>9.6560000000000006</v>
      </c>
      <c r="H288" s="34">
        <v>29.244</v>
      </c>
      <c r="I288" s="34">
        <v>65.664000000000001</v>
      </c>
      <c r="J288" s="237">
        <v>100</v>
      </c>
      <c r="K288" s="2"/>
      <c r="L288" s="2"/>
      <c r="M288" s="2"/>
      <c r="N288" s="2"/>
      <c r="O288" s="2"/>
      <c r="P288" s="2"/>
      <c r="Q288" s="2"/>
      <c r="R288" s="2"/>
    </row>
    <row r="289" spans="1:19" ht="15.75" customHeight="1">
      <c r="A289" s="238">
        <v>49</v>
      </c>
      <c r="B289" s="75">
        <v>1</v>
      </c>
      <c r="C289" s="2">
        <v>0.01</v>
      </c>
      <c r="D289" s="2">
        <v>1.7999999999999999E-2</v>
      </c>
      <c r="E289" s="2">
        <v>3.1E-2</v>
      </c>
      <c r="F289" s="2">
        <v>5.5E-2</v>
      </c>
      <c r="G289" s="2">
        <v>9.7000000000000003E-2</v>
      </c>
      <c r="H289" s="2">
        <v>0.17299999999999999</v>
      </c>
      <c r="I289" s="2">
        <v>0.311</v>
      </c>
      <c r="J289" s="2">
        <v>0.55100000000000005</v>
      </c>
      <c r="K289" s="234">
        <v>0.98599999999999999</v>
      </c>
      <c r="L289" s="234">
        <v>1.7470000000000001</v>
      </c>
      <c r="M289" s="234">
        <v>3.0680000000000001</v>
      </c>
      <c r="N289" s="234">
        <v>5.5460000000000003</v>
      </c>
      <c r="O289" s="234">
        <v>9.7370000000000001</v>
      </c>
      <c r="P289" s="234">
        <v>17.43</v>
      </c>
      <c r="Q289" s="234">
        <v>30.902000000000001</v>
      </c>
      <c r="R289" s="235">
        <v>54.786000000000001</v>
      </c>
      <c r="S289" s="2"/>
    </row>
    <row r="290" spans="1:19" ht="15.75" customHeight="1">
      <c r="A290" s="238">
        <v>49</v>
      </c>
      <c r="B290" s="75">
        <v>2</v>
      </c>
      <c r="C290" s="2">
        <v>0.01</v>
      </c>
      <c r="D290" s="2">
        <v>1.7999999999999999E-2</v>
      </c>
      <c r="E290" s="2">
        <v>3.1E-2</v>
      </c>
      <c r="F290" s="2">
        <v>5.5E-2</v>
      </c>
      <c r="G290" s="2">
        <v>9.7000000000000003E-2</v>
      </c>
      <c r="H290" s="2">
        <v>0.17299999999999999</v>
      </c>
      <c r="I290" s="2">
        <v>0.311</v>
      </c>
      <c r="J290" s="2">
        <v>0.55100000000000005</v>
      </c>
      <c r="K290" s="2">
        <v>0.98599999999999999</v>
      </c>
      <c r="L290" s="2">
        <v>1.7470000000000001</v>
      </c>
      <c r="M290" s="2">
        <v>3.0680000000000001</v>
      </c>
      <c r="N290" s="2">
        <v>5.5460000000000003</v>
      </c>
      <c r="O290" s="2">
        <v>9.7370000000000001</v>
      </c>
      <c r="P290" s="2">
        <v>17.43</v>
      </c>
      <c r="Q290" s="2">
        <v>30.902000000000001</v>
      </c>
      <c r="R290" s="236">
        <v>54.786000000000001</v>
      </c>
      <c r="S290" s="2"/>
    </row>
    <row r="291" spans="1:19" ht="15.75" customHeight="1">
      <c r="A291" s="238">
        <v>49</v>
      </c>
      <c r="B291" s="75">
        <v>3</v>
      </c>
      <c r="C291" s="2">
        <v>0.01</v>
      </c>
      <c r="D291" s="2">
        <v>1.7999999999999999E-2</v>
      </c>
      <c r="E291" s="2">
        <v>3.1E-2</v>
      </c>
      <c r="F291" s="2">
        <v>5.5E-2</v>
      </c>
      <c r="G291" s="2">
        <v>9.7000000000000003E-2</v>
      </c>
      <c r="H291" s="2">
        <v>0.17299999999999999</v>
      </c>
      <c r="I291" s="2">
        <v>0.311</v>
      </c>
      <c r="J291" s="2">
        <v>0.55100000000000005</v>
      </c>
      <c r="K291" s="2">
        <v>0.98599999999999999</v>
      </c>
      <c r="L291" s="2">
        <v>1.7470000000000001</v>
      </c>
      <c r="M291" s="2">
        <v>3.0680000000000001</v>
      </c>
      <c r="N291" s="2">
        <v>5.5460000000000003</v>
      </c>
      <c r="O291" s="2">
        <v>9.7370000000000001</v>
      </c>
      <c r="P291" s="2">
        <v>17.43</v>
      </c>
      <c r="Q291" s="2">
        <v>30.902000000000001</v>
      </c>
      <c r="R291" s="236">
        <v>54.786000000000001</v>
      </c>
      <c r="S291" s="2"/>
    </row>
    <row r="292" spans="1:19" ht="15.75" customHeight="1">
      <c r="A292" s="311">
        <v>49</v>
      </c>
      <c r="B292" s="231">
        <v>4</v>
      </c>
      <c r="C292" s="34">
        <v>0.01</v>
      </c>
      <c r="D292" s="34">
        <v>1.7999999999999999E-2</v>
      </c>
      <c r="E292" s="34">
        <v>3.1E-2</v>
      </c>
      <c r="F292" s="34">
        <v>5.5E-2</v>
      </c>
      <c r="G292" s="34">
        <v>9.7000000000000003E-2</v>
      </c>
      <c r="H292" s="34">
        <v>0.17299999999999999</v>
      </c>
      <c r="I292" s="34">
        <v>0.311</v>
      </c>
      <c r="J292" s="34">
        <v>0.55100000000000005</v>
      </c>
      <c r="K292" s="34">
        <v>0.98599999999999999</v>
      </c>
      <c r="L292" s="34">
        <v>1.7470000000000001</v>
      </c>
      <c r="M292" s="34">
        <v>3.0680000000000001</v>
      </c>
      <c r="N292" s="34">
        <v>5.5460000000000003</v>
      </c>
      <c r="O292" s="34">
        <v>9.7370000000000001</v>
      </c>
      <c r="P292" s="34">
        <v>17.43</v>
      </c>
      <c r="Q292" s="34">
        <v>30.902000000000001</v>
      </c>
      <c r="R292" s="237">
        <v>54.786000000000001</v>
      </c>
      <c r="S292" s="2"/>
    </row>
    <row r="293" spans="1:19" ht="15.75" customHeight="1">
      <c r="A293" s="229">
        <v>50</v>
      </c>
      <c r="B293" s="74">
        <v>1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9" ht="15.75" customHeight="1">
      <c r="A294" s="228">
        <v>50</v>
      </c>
      <c r="B294" s="75">
        <v>2</v>
      </c>
    </row>
    <row r="295" spans="1:19" ht="15.75" customHeight="1">
      <c r="A295" s="228">
        <v>50</v>
      </c>
      <c r="B295" s="75">
        <v>3</v>
      </c>
    </row>
    <row r="296" spans="1:19" ht="15.75" customHeight="1">
      <c r="A296" s="228">
        <v>50</v>
      </c>
      <c r="B296" s="75">
        <v>4</v>
      </c>
    </row>
    <row r="297" spans="1:19" ht="15.75" customHeight="1">
      <c r="A297" s="229">
        <v>51</v>
      </c>
      <c r="B297" s="74">
        <v>1</v>
      </c>
    </row>
    <row r="298" spans="1:19" ht="15.75" customHeight="1">
      <c r="A298" s="228">
        <v>51</v>
      </c>
      <c r="B298" s="75">
        <v>2</v>
      </c>
    </row>
    <row r="299" spans="1:19" ht="15.75" customHeight="1">
      <c r="A299" s="228">
        <v>51</v>
      </c>
      <c r="B299" s="75">
        <v>3</v>
      </c>
    </row>
    <row r="300" spans="1:19" ht="15.75" customHeight="1">
      <c r="A300" s="228">
        <v>51</v>
      </c>
      <c r="B300" s="75">
        <v>4</v>
      </c>
    </row>
    <row r="301" spans="1:19" ht="15.75" customHeight="1">
      <c r="A301" s="228">
        <v>51</v>
      </c>
      <c r="B301" s="75">
        <v>5</v>
      </c>
    </row>
    <row r="302" spans="1:19" ht="15.75" customHeight="1">
      <c r="A302" s="228">
        <v>51</v>
      </c>
      <c r="B302" s="75">
        <v>6</v>
      </c>
    </row>
    <row r="303" spans="1:19" ht="15.75" customHeight="1">
      <c r="A303" s="228">
        <v>51</v>
      </c>
      <c r="B303" s="75">
        <v>7</v>
      </c>
    </row>
    <row r="304" spans="1:19" ht="15.75" customHeight="1">
      <c r="A304" s="272">
        <v>52</v>
      </c>
      <c r="B304" s="200">
        <v>1</v>
      </c>
    </row>
    <row r="305" spans="1:19" ht="15.75" customHeight="1">
      <c r="A305" s="233">
        <v>52</v>
      </c>
      <c r="B305" s="201">
        <v>2</v>
      </c>
    </row>
    <row r="306" spans="1:19" ht="15.75" customHeight="1">
      <c r="A306" s="233">
        <v>52</v>
      </c>
      <c r="B306" s="201">
        <v>3</v>
      </c>
    </row>
    <row r="307" spans="1:19" ht="15.75" customHeight="1">
      <c r="A307" s="241">
        <v>52</v>
      </c>
      <c r="B307" s="202">
        <v>4</v>
      </c>
    </row>
    <row r="308" spans="1:19" ht="15.75" customHeight="1">
      <c r="A308" s="233">
        <v>53</v>
      </c>
      <c r="B308" s="201">
        <v>1</v>
      </c>
    </row>
    <row r="309" spans="1:19" ht="15.75" customHeight="1">
      <c r="A309" s="233">
        <v>53</v>
      </c>
      <c r="B309" s="201">
        <v>2</v>
      </c>
    </row>
    <row r="310" spans="1:19" ht="15.75" customHeight="1">
      <c r="A310" s="233">
        <v>53</v>
      </c>
      <c r="B310" s="201">
        <v>3</v>
      </c>
    </row>
    <row r="311" spans="1:19" ht="15.75" customHeight="1">
      <c r="A311" s="233">
        <v>53</v>
      </c>
      <c r="B311" s="201">
        <v>4</v>
      </c>
    </row>
    <row r="312" spans="1:19" ht="15.75" customHeight="1">
      <c r="A312" s="241">
        <v>53</v>
      </c>
      <c r="B312" s="202">
        <v>5</v>
      </c>
    </row>
    <row r="313" spans="1:19" ht="15.75" customHeight="1">
      <c r="A313" s="229">
        <v>54</v>
      </c>
      <c r="B313" s="200">
        <v>1</v>
      </c>
    </row>
    <row r="314" spans="1:19" ht="15.75" customHeight="1">
      <c r="A314" s="228">
        <v>54</v>
      </c>
      <c r="B314" s="201">
        <v>2</v>
      </c>
    </row>
    <row r="315" spans="1:19" ht="15.75" customHeight="1">
      <c r="A315" s="228">
        <v>54</v>
      </c>
      <c r="B315" s="201">
        <v>3</v>
      </c>
    </row>
    <row r="316" spans="1:19" ht="15.75" customHeight="1">
      <c r="A316" s="228">
        <v>54</v>
      </c>
      <c r="B316" s="201">
        <v>4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9" ht="15.75" customHeight="1">
      <c r="A317" s="199">
        <v>55</v>
      </c>
      <c r="B317" s="200" t="s">
        <v>221</v>
      </c>
      <c r="C317" s="227">
        <v>0.1</v>
      </c>
      <c r="D317" s="227">
        <v>0.161</v>
      </c>
      <c r="E317" s="227">
        <v>0.255</v>
      </c>
      <c r="F317" s="227">
        <v>0.40300000000000002</v>
      </c>
      <c r="G317" s="227">
        <v>0.63800000000000001</v>
      </c>
      <c r="H317" s="227">
        <v>1.034</v>
      </c>
      <c r="I317" s="227">
        <v>1.5980000000000001</v>
      </c>
      <c r="J317" s="227">
        <v>2.4990000000000001</v>
      </c>
      <c r="K317" s="227">
        <v>4.0019999999999998</v>
      </c>
      <c r="L317" s="227">
        <v>6.4080000000000004</v>
      </c>
      <c r="M317" s="227">
        <v>10.023999999999999</v>
      </c>
      <c r="N317" s="227">
        <v>16.052</v>
      </c>
      <c r="O317" s="227">
        <v>25.404</v>
      </c>
      <c r="P317" s="227">
        <v>40.206000000000003</v>
      </c>
      <c r="Q317" s="227">
        <v>62.887999999999998</v>
      </c>
      <c r="R317" s="215">
        <v>100</v>
      </c>
      <c r="S317" s="2"/>
    </row>
    <row r="318" spans="1:19" ht="15.75" customHeight="1">
      <c r="A318" s="196">
        <v>55</v>
      </c>
      <c r="B318" s="201" t="s">
        <v>222</v>
      </c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218"/>
      <c r="S318" s="2"/>
    </row>
    <row r="319" spans="1:19" ht="15.75" customHeight="1">
      <c r="A319" s="196">
        <v>55</v>
      </c>
      <c r="B319" s="201" t="s">
        <v>223</v>
      </c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218"/>
      <c r="S319" s="2"/>
    </row>
    <row r="320" spans="1:19" ht="15.75" customHeight="1">
      <c r="A320" s="196">
        <v>55</v>
      </c>
      <c r="B320" s="201" t="s">
        <v>225</v>
      </c>
      <c r="C320" s="12">
        <v>0.1</v>
      </c>
      <c r="D320" s="12">
        <v>0.161</v>
      </c>
      <c r="E320" s="12">
        <v>0.255</v>
      </c>
      <c r="F320" s="12">
        <v>0.40300000000000002</v>
      </c>
      <c r="G320" s="12">
        <v>0.63800000000000001</v>
      </c>
      <c r="H320" s="12">
        <v>1.034</v>
      </c>
      <c r="I320" s="12">
        <v>1.5980000000000001</v>
      </c>
      <c r="J320" s="12">
        <v>2.4990000000000001</v>
      </c>
      <c r="K320" s="12">
        <v>4.0019999999999998</v>
      </c>
      <c r="L320" s="12">
        <v>6.4080000000000004</v>
      </c>
      <c r="M320" s="12">
        <v>10.023999999999999</v>
      </c>
      <c r="N320" s="12">
        <v>16.052</v>
      </c>
      <c r="O320" s="12">
        <v>25.404</v>
      </c>
      <c r="P320" s="12">
        <v>40.206000000000003</v>
      </c>
      <c r="Q320" s="12">
        <v>62.887999999999998</v>
      </c>
      <c r="R320" s="218">
        <v>100</v>
      </c>
      <c r="S320" s="2"/>
    </row>
    <row r="321" spans="1:19" ht="15.75" customHeight="1">
      <c r="A321" s="196">
        <v>55</v>
      </c>
      <c r="B321" s="201" t="s">
        <v>226</v>
      </c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218"/>
      <c r="S321" s="2"/>
    </row>
    <row r="322" spans="1:19" ht="15.75" customHeight="1">
      <c r="A322" s="196">
        <v>55</v>
      </c>
      <c r="B322" s="201" t="s">
        <v>227</v>
      </c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218"/>
      <c r="S322" s="2"/>
    </row>
    <row r="323" spans="1:19" ht="15.75" customHeight="1">
      <c r="A323" s="196">
        <v>55</v>
      </c>
      <c r="B323" s="201" t="s">
        <v>231</v>
      </c>
      <c r="C323" s="12">
        <v>0.1</v>
      </c>
      <c r="D323" s="12">
        <v>0.161</v>
      </c>
      <c r="E323" s="12">
        <v>0.255</v>
      </c>
      <c r="F323" s="12">
        <v>0.40300000000000002</v>
      </c>
      <c r="G323" s="12">
        <v>0.63800000000000001</v>
      </c>
      <c r="H323" s="12">
        <v>1.034</v>
      </c>
      <c r="I323" s="12">
        <v>1.5980000000000001</v>
      </c>
      <c r="J323" s="12">
        <v>2.4990000000000001</v>
      </c>
      <c r="K323" s="12">
        <v>4.0019999999999998</v>
      </c>
      <c r="L323" s="12">
        <v>6.4080000000000004</v>
      </c>
      <c r="M323" s="12">
        <v>10.023999999999999</v>
      </c>
      <c r="N323" s="12">
        <v>16.052</v>
      </c>
      <c r="O323" s="12">
        <v>25.404</v>
      </c>
      <c r="P323" s="12">
        <v>40.206000000000003</v>
      </c>
      <c r="Q323" s="12">
        <v>62.887999999999998</v>
      </c>
      <c r="R323" s="218">
        <v>100</v>
      </c>
      <c r="S323" s="2"/>
    </row>
    <row r="324" spans="1:19" ht="15.75" customHeight="1">
      <c r="A324" s="196">
        <v>55</v>
      </c>
      <c r="B324" s="201" t="s">
        <v>232</v>
      </c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218"/>
      <c r="S324" s="2"/>
    </row>
    <row r="325" spans="1:19" ht="15.75" customHeight="1">
      <c r="A325" s="196">
        <v>55</v>
      </c>
      <c r="B325" s="201" t="s">
        <v>233</v>
      </c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218"/>
      <c r="S325" s="2"/>
    </row>
    <row r="326" spans="1:19" ht="15.75" customHeight="1">
      <c r="A326" s="199">
        <v>56</v>
      </c>
      <c r="B326" s="200" t="s">
        <v>221</v>
      </c>
      <c r="C326" s="234"/>
      <c r="D326" s="234"/>
      <c r="E326" s="234"/>
      <c r="F326" s="234"/>
      <c r="G326" s="234"/>
      <c r="H326" s="234"/>
      <c r="I326" s="234"/>
      <c r="J326" s="234"/>
      <c r="K326" s="234"/>
      <c r="L326" s="234"/>
      <c r="M326" s="234"/>
      <c r="N326" s="234"/>
      <c r="O326" s="234"/>
      <c r="P326" s="234"/>
      <c r="Q326" s="234"/>
      <c r="R326" s="235"/>
      <c r="S326" s="2"/>
    </row>
    <row r="327" spans="1:19" ht="15.75" customHeight="1">
      <c r="A327" s="197">
        <v>56</v>
      </c>
      <c r="B327" s="202" t="s">
        <v>225</v>
      </c>
      <c r="C327" s="27">
        <v>0.10199999999999999</v>
      </c>
      <c r="D327" s="27">
        <v>0.16</v>
      </c>
      <c r="E327" s="27">
        <v>0.252</v>
      </c>
      <c r="F327" s="27">
        <v>0.39600000000000002</v>
      </c>
      <c r="G327" s="27">
        <v>0.63400000000000001</v>
      </c>
      <c r="H327" s="27">
        <v>1.016</v>
      </c>
      <c r="I327" s="27">
        <v>1.597</v>
      </c>
      <c r="J327" s="27">
        <v>2.581</v>
      </c>
      <c r="K327" s="27">
        <v>4.0579999999999998</v>
      </c>
      <c r="L327" s="27">
        <v>6.62</v>
      </c>
      <c r="M327" s="27">
        <v>10.313000000000001</v>
      </c>
      <c r="N327" s="27">
        <v>16.065000000000001</v>
      </c>
      <c r="O327" s="27">
        <v>25.728999999999999</v>
      </c>
      <c r="P327" s="27">
        <v>40.828000000000003</v>
      </c>
      <c r="Q327" s="27">
        <v>65.39</v>
      </c>
      <c r="R327" s="221">
        <v>100</v>
      </c>
      <c r="S327" s="2"/>
    </row>
    <row r="328" spans="1:19" ht="15.75" customHeight="1">
      <c r="A328" s="196">
        <v>57</v>
      </c>
      <c r="B328" s="201">
        <v>1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9" ht="15.75" customHeight="1">
      <c r="A329" s="196">
        <v>57</v>
      </c>
      <c r="B329" s="201">
        <v>2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9" ht="15.75" customHeight="1">
      <c r="A330" s="229">
        <v>58</v>
      </c>
      <c r="B330" s="74">
        <v>1</v>
      </c>
      <c r="C330" s="234">
        <v>1</v>
      </c>
      <c r="D330" s="234">
        <v>1.581</v>
      </c>
      <c r="E330" s="234">
        <v>2.5499999999999998</v>
      </c>
      <c r="F330" s="234">
        <v>3.9220000000000002</v>
      </c>
      <c r="G330" s="234">
        <v>6.37</v>
      </c>
      <c r="H330" s="234">
        <v>10</v>
      </c>
      <c r="I330" s="234">
        <v>15.805999999999999</v>
      </c>
      <c r="J330" s="234">
        <v>24.981999999999999</v>
      </c>
      <c r="K330" s="234">
        <v>40.302999999999997</v>
      </c>
      <c r="L330" s="234">
        <v>62.41</v>
      </c>
      <c r="M330" s="235">
        <v>100</v>
      </c>
      <c r="N330" s="2"/>
    </row>
    <row r="331" spans="1:19" ht="15.75" customHeight="1">
      <c r="A331" s="228">
        <v>58</v>
      </c>
      <c r="B331" s="75">
        <v>2</v>
      </c>
      <c r="C331" s="2">
        <v>1</v>
      </c>
      <c r="D331" s="2">
        <v>1.581</v>
      </c>
      <c r="E331" s="2">
        <v>2.5499999999999998</v>
      </c>
      <c r="F331" s="2">
        <v>3.9220000000000002</v>
      </c>
      <c r="G331" s="2">
        <v>6.37</v>
      </c>
      <c r="H331" s="2">
        <v>10</v>
      </c>
      <c r="I331" s="2">
        <v>15.805999999999999</v>
      </c>
      <c r="J331" s="2">
        <v>24.981999999999999</v>
      </c>
      <c r="K331" s="2">
        <v>40.302999999999997</v>
      </c>
      <c r="L331" s="2">
        <v>62.41</v>
      </c>
      <c r="M331" s="236">
        <v>100</v>
      </c>
      <c r="N331" s="2"/>
    </row>
    <row r="332" spans="1:19" ht="15.75" customHeight="1">
      <c r="A332" s="228">
        <v>58</v>
      </c>
      <c r="B332" s="75">
        <v>3</v>
      </c>
      <c r="C332" s="2">
        <v>1</v>
      </c>
      <c r="D332" s="2">
        <v>1.581</v>
      </c>
      <c r="E332" s="2">
        <v>2.5499999999999998</v>
      </c>
      <c r="F332" s="2">
        <v>3.9220000000000002</v>
      </c>
      <c r="G332" s="2">
        <v>6.37</v>
      </c>
      <c r="H332" s="2">
        <v>10</v>
      </c>
      <c r="I332" s="2">
        <v>15.805999999999999</v>
      </c>
      <c r="J332" s="2">
        <v>24.981999999999999</v>
      </c>
      <c r="K332" s="2">
        <v>40.302999999999997</v>
      </c>
      <c r="L332" s="2">
        <v>62.41</v>
      </c>
      <c r="M332" s="236">
        <v>100</v>
      </c>
      <c r="N332" s="2"/>
    </row>
    <row r="333" spans="1:19" ht="15.75" customHeight="1">
      <c r="A333" s="228">
        <v>58</v>
      </c>
      <c r="B333" s="75">
        <v>4</v>
      </c>
      <c r="C333" s="2">
        <v>1</v>
      </c>
      <c r="D333" s="2">
        <v>1.581</v>
      </c>
      <c r="E333" s="2">
        <v>2.5499999999999998</v>
      </c>
      <c r="F333" s="2">
        <v>3.9220000000000002</v>
      </c>
      <c r="G333" s="2">
        <v>6.37</v>
      </c>
      <c r="H333" s="2">
        <v>10</v>
      </c>
      <c r="I333" s="2">
        <v>15.805999999999999</v>
      </c>
      <c r="J333" s="2">
        <v>24.981999999999999</v>
      </c>
      <c r="K333" s="2">
        <v>40.302999999999997</v>
      </c>
      <c r="L333" s="2">
        <v>62.41</v>
      </c>
      <c r="M333" s="236">
        <v>100</v>
      </c>
      <c r="N333" s="2"/>
    </row>
    <row r="334" spans="1:19" ht="15.75" customHeight="1">
      <c r="A334" s="230">
        <v>58</v>
      </c>
      <c r="B334" s="231">
        <v>5</v>
      </c>
      <c r="C334" s="34">
        <v>1</v>
      </c>
      <c r="D334" s="34">
        <v>1.581</v>
      </c>
      <c r="E334" s="34">
        <v>2.5499999999999998</v>
      </c>
      <c r="F334" s="34">
        <v>3.9220000000000002</v>
      </c>
      <c r="G334" s="34">
        <v>6.37</v>
      </c>
      <c r="H334" s="34">
        <v>10</v>
      </c>
      <c r="I334" s="34">
        <v>15.805999999999999</v>
      </c>
      <c r="J334" s="34">
        <v>24.981999999999999</v>
      </c>
      <c r="K334" s="34">
        <v>40.302999999999997</v>
      </c>
      <c r="L334" s="34">
        <v>62.41</v>
      </c>
      <c r="M334" s="237">
        <v>100</v>
      </c>
      <c r="N334" s="2"/>
    </row>
    <row r="335" spans="1:19" ht="15.75" customHeight="1">
      <c r="A335" s="229">
        <v>59</v>
      </c>
      <c r="B335" s="74">
        <v>1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9" ht="15.75" customHeight="1">
      <c r="A336" s="228">
        <v>59</v>
      </c>
      <c r="B336" s="75">
        <v>2</v>
      </c>
    </row>
    <row r="337" spans="1:2" ht="15.75" customHeight="1">
      <c r="A337" s="228">
        <v>59</v>
      </c>
      <c r="B337" s="75">
        <v>3</v>
      </c>
    </row>
    <row r="338" spans="1:2" ht="15.75" customHeight="1">
      <c r="A338" s="228">
        <v>59</v>
      </c>
      <c r="B338" s="75">
        <v>4</v>
      </c>
    </row>
    <row r="339" spans="1:2" ht="15.75" customHeight="1">
      <c r="A339" s="228">
        <v>59</v>
      </c>
      <c r="B339" s="75">
        <v>5</v>
      </c>
    </row>
    <row r="340" spans="1:2" ht="15.75" customHeight="1">
      <c r="A340" s="230">
        <v>59</v>
      </c>
      <c r="B340" s="231">
        <v>6</v>
      </c>
    </row>
    <row r="341" spans="1:2" ht="15.75" customHeight="1">
      <c r="A341" s="233">
        <v>60</v>
      </c>
      <c r="B341" s="74">
        <v>1</v>
      </c>
    </row>
    <row r="342" spans="1:2" ht="15.75" customHeight="1">
      <c r="A342" s="233">
        <v>60</v>
      </c>
      <c r="B342" s="75">
        <v>2</v>
      </c>
    </row>
    <row r="343" spans="1:2" ht="15.75" customHeight="1">
      <c r="A343" s="233">
        <v>60</v>
      </c>
      <c r="B343" s="75">
        <v>3</v>
      </c>
    </row>
    <row r="344" spans="1:2" ht="15.75" customHeight="1">
      <c r="A344" s="233">
        <v>60</v>
      </c>
      <c r="B344" s="75">
        <v>4</v>
      </c>
    </row>
    <row r="345" spans="1:2" ht="15.75" customHeight="1">
      <c r="A345" s="233">
        <v>60</v>
      </c>
      <c r="B345" s="75">
        <v>5</v>
      </c>
    </row>
    <row r="346" spans="1:2" ht="15.75" customHeight="1">
      <c r="A346" s="233">
        <v>60</v>
      </c>
      <c r="B346" s="75">
        <v>6</v>
      </c>
    </row>
    <row r="347" spans="1:2" ht="15.75" customHeight="1">
      <c r="A347" s="233">
        <v>60</v>
      </c>
      <c r="B347" s="75">
        <v>7</v>
      </c>
    </row>
    <row r="348" spans="1:2" ht="15.75" customHeight="1">
      <c r="A348" s="241">
        <v>60</v>
      </c>
      <c r="B348" s="231">
        <v>8</v>
      </c>
    </row>
    <row r="349" spans="1:2" ht="15.75" customHeight="1">
      <c r="A349" s="241">
        <v>61</v>
      </c>
      <c r="B349" s="281">
        <v>1</v>
      </c>
    </row>
    <row r="350" spans="1:2" ht="15.75" customHeight="1"/>
    <row r="351" spans="1:2" ht="15.75" customHeight="1"/>
    <row r="352" spans="1: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X1000"/>
  <sheetViews>
    <sheetView topLeftCell="A13" workbookViewId="0">
      <selection activeCell="G27" sqref="G27"/>
    </sheetView>
  </sheetViews>
  <sheetFormatPr defaultColWidth="12.5546875" defaultRowHeight="15" customHeight="1"/>
  <cols>
    <col min="1" max="1" width="8.6640625" customWidth="1"/>
    <col min="2" max="2" width="8.88671875" style="2" customWidth="1"/>
    <col min="3" max="3" width="10" customWidth="1"/>
    <col min="4" max="47" width="9.109375" customWidth="1"/>
    <col min="48" max="50" width="8.5546875" customWidth="1"/>
  </cols>
  <sheetData>
    <row r="1" spans="1:50" ht="14.4">
      <c r="A1" s="16" t="s">
        <v>219</v>
      </c>
      <c r="B1" s="15" t="s">
        <v>220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120"/>
      <c r="AU1" s="2"/>
      <c r="AV1" s="2"/>
      <c r="AW1" s="2"/>
      <c r="AX1" s="2"/>
    </row>
    <row r="2" spans="1:50" ht="14.4">
      <c r="A2" s="329">
        <v>1</v>
      </c>
      <c r="B2" s="315">
        <v>1</v>
      </c>
      <c r="C2" s="207">
        <v>1</v>
      </c>
      <c r="D2" s="207">
        <v>1.2656304666823099</v>
      </c>
      <c r="E2" s="207">
        <v>1.57977700264465</v>
      </c>
      <c r="F2" s="207">
        <v>1.9994139051111299</v>
      </c>
      <c r="G2" s="207">
        <v>2.49569537808491</v>
      </c>
      <c r="H2" s="207">
        <v>3.13681906170895</v>
      </c>
      <c r="I2" s="207">
        <v>3.9426421639050901</v>
      </c>
      <c r="J2" s="207">
        <v>5.0595551832915904</v>
      </c>
      <c r="K2" s="207">
        <v>6.2284954201944096</v>
      </c>
      <c r="L2" s="207">
        <v>7.8285448341957098</v>
      </c>
      <c r="M2" s="207">
        <v>10.0462971141803</v>
      </c>
      <c r="N2" s="207">
        <v>12.453340351057699</v>
      </c>
      <c r="O2" s="207">
        <v>15.652501398276801</v>
      </c>
      <c r="P2" s="207">
        <v>19.810282649446599</v>
      </c>
      <c r="Q2" s="207">
        <v>25.072497274727699</v>
      </c>
      <c r="R2" s="207">
        <v>31.732516426704599</v>
      </c>
      <c r="S2" s="207">
        <v>40.161639574134398</v>
      </c>
      <c r="T2" s="207">
        <v>50.130299686951602</v>
      </c>
      <c r="U2" s="207">
        <v>63.887552190864902</v>
      </c>
      <c r="V2" s="207">
        <v>78.104855652586096</v>
      </c>
      <c r="W2" s="207">
        <v>99.539162403279803</v>
      </c>
      <c r="X2" s="207">
        <v>124.24612378321</v>
      </c>
      <c r="Y2" s="207">
        <v>157.249679627212</v>
      </c>
      <c r="Z2" s="207">
        <v>199.01998541223301</v>
      </c>
      <c r="AA2" s="207">
        <v>250.14658815499499</v>
      </c>
      <c r="AB2" s="207">
        <v>316.59314310559398</v>
      </c>
      <c r="AC2" s="207">
        <v>395.175827257283</v>
      </c>
      <c r="AD2" s="330">
        <v>496.69325773983797</v>
      </c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</row>
    <row r="3" spans="1:50" ht="14.4">
      <c r="A3" s="331">
        <v>1</v>
      </c>
      <c r="B3" s="332">
        <v>2</v>
      </c>
      <c r="C3" s="18">
        <v>1</v>
      </c>
      <c r="D3" s="18">
        <v>1.2656304666823099</v>
      </c>
      <c r="E3" s="18">
        <v>1.57977700264465</v>
      </c>
      <c r="F3" s="18">
        <v>1.9994139051111299</v>
      </c>
      <c r="G3" s="18">
        <v>2.49569537808491</v>
      </c>
      <c r="H3" s="18">
        <v>3.13681906170895</v>
      </c>
      <c r="I3" s="18">
        <v>3.9426421639050901</v>
      </c>
      <c r="J3" s="18">
        <v>5.0595551832915904</v>
      </c>
      <c r="K3" s="18">
        <v>6.2284954201944096</v>
      </c>
      <c r="L3" s="18">
        <v>7.8285448341957098</v>
      </c>
      <c r="M3" s="18">
        <v>10.0462971141803</v>
      </c>
      <c r="N3" s="18">
        <v>12.453340351057699</v>
      </c>
      <c r="O3" s="18">
        <v>15.652501398276801</v>
      </c>
      <c r="P3" s="18">
        <v>19.810282649446599</v>
      </c>
      <c r="Q3" s="18">
        <v>25.072497274727699</v>
      </c>
      <c r="R3" s="18">
        <v>31.732516426704599</v>
      </c>
      <c r="S3" s="18">
        <v>40.161639574134398</v>
      </c>
      <c r="T3" s="18">
        <v>50.130299686951602</v>
      </c>
      <c r="U3" s="18">
        <v>63.887552190864902</v>
      </c>
      <c r="V3" s="18">
        <v>78.104855652586096</v>
      </c>
      <c r="W3" s="18">
        <v>99.539162403279803</v>
      </c>
      <c r="X3" s="18">
        <v>124.24612378321</v>
      </c>
      <c r="Y3" s="18">
        <v>157.249679627212</v>
      </c>
      <c r="Z3" s="18">
        <v>199.01998541223301</v>
      </c>
      <c r="AA3" s="18">
        <v>250.14658815499499</v>
      </c>
      <c r="AB3" s="18">
        <v>316.59314310559398</v>
      </c>
      <c r="AC3" s="18">
        <v>395.175827257283</v>
      </c>
      <c r="AD3" s="333">
        <v>496.69325773983797</v>
      </c>
    </row>
    <row r="4" spans="1:50" ht="14.4">
      <c r="A4" s="331">
        <v>1</v>
      </c>
      <c r="B4" s="332">
        <v>3</v>
      </c>
      <c r="C4" s="18">
        <v>1</v>
      </c>
      <c r="D4" s="18">
        <v>1.2656304666823099</v>
      </c>
      <c r="E4" s="18">
        <v>1.57977700264465</v>
      </c>
      <c r="F4" s="18">
        <v>1.9994139051111299</v>
      </c>
      <c r="G4" s="18">
        <v>2.49569537808491</v>
      </c>
      <c r="H4" s="18">
        <v>3.13681906170895</v>
      </c>
      <c r="I4" s="18">
        <v>3.9426421639050901</v>
      </c>
      <c r="J4" s="18">
        <v>5.0595551832915904</v>
      </c>
      <c r="K4" s="18">
        <v>6.2284954201944096</v>
      </c>
      <c r="L4" s="18">
        <v>7.8285448341957098</v>
      </c>
      <c r="M4" s="18">
        <v>10.0462971141803</v>
      </c>
      <c r="N4" s="18">
        <v>12.453340351057699</v>
      </c>
      <c r="O4" s="18">
        <v>15.652501398276801</v>
      </c>
      <c r="P4" s="18">
        <v>19.810282649446599</v>
      </c>
      <c r="Q4" s="18">
        <v>25.072497274727699</v>
      </c>
      <c r="R4" s="18">
        <v>31.732516426704599</v>
      </c>
      <c r="S4" s="18">
        <v>40.161639574134398</v>
      </c>
      <c r="T4" s="18">
        <v>50.130299686951602</v>
      </c>
      <c r="U4" s="18">
        <v>63.887552190864902</v>
      </c>
      <c r="V4" s="18">
        <v>78.104855652586096</v>
      </c>
      <c r="W4" s="18">
        <v>99.539162403279803</v>
      </c>
      <c r="X4" s="18">
        <v>124.24612378321</v>
      </c>
      <c r="Y4" s="18">
        <v>157.249679627212</v>
      </c>
      <c r="Z4" s="18">
        <v>199.01998541223301</v>
      </c>
      <c r="AA4" s="18">
        <v>250.14658815499499</v>
      </c>
      <c r="AB4" s="18">
        <v>316.59314310559398</v>
      </c>
      <c r="AC4" s="18">
        <v>395.175827257283</v>
      </c>
      <c r="AD4" s="333">
        <v>496.69325773983797</v>
      </c>
    </row>
    <row r="5" spans="1:50" ht="14.4">
      <c r="A5" s="331">
        <v>1</v>
      </c>
      <c r="B5" s="332">
        <v>4</v>
      </c>
      <c r="C5" s="18">
        <v>1</v>
      </c>
      <c r="D5" s="18">
        <v>1.2656304666823099</v>
      </c>
      <c r="E5" s="18">
        <v>1.57977700264465</v>
      </c>
      <c r="F5" s="18">
        <v>1.9994139051111299</v>
      </c>
      <c r="G5" s="18">
        <v>2.49569537808491</v>
      </c>
      <c r="H5" s="18">
        <v>3.13681906170895</v>
      </c>
      <c r="I5" s="18">
        <v>3.9426421639050901</v>
      </c>
      <c r="J5" s="18">
        <v>5.0595551832915904</v>
      </c>
      <c r="K5" s="18">
        <v>6.2284954201944096</v>
      </c>
      <c r="L5" s="18">
        <v>7.8285448341957098</v>
      </c>
      <c r="M5" s="18">
        <v>10.0462971141803</v>
      </c>
      <c r="N5" s="18">
        <v>12.453340351057699</v>
      </c>
      <c r="O5" s="18">
        <v>15.652501398276801</v>
      </c>
      <c r="P5" s="18">
        <v>19.810282649446599</v>
      </c>
      <c r="Q5" s="18">
        <v>25.072497274727699</v>
      </c>
      <c r="R5" s="18">
        <v>31.732516426704599</v>
      </c>
      <c r="S5" s="18">
        <v>40.161639574134398</v>
      </c>
      <c r="T5" s="18">
        <v>50.130299686951602</v>
      </c>
      <c r="U5" s="18">
        <v>63.887552190864902</v>
      </c>
      <c r="V5" s="18">
        <v>78.104855652586096</v>
      </c>
      <c r="W5" s="18">
        <v>99.539162403279803</v>
      </c>
      <c r="X5" s="18">
        <v>124.24612378321</v>
      </c>
      <c r="Y5" s="18">
        <v>157.249679627212</v>
      </c>
      <c r="Z5" s="18">
        <v>199.01998541223301</v>
      </c>
      <c r="AA5" s="18">
        <v>250.14658815499499</v>
      </c>
      <c r="AB5" s="18">
        <v>316.59314310559398</v>
      </c>
      <c r="AC5" s="18">
        <v>395.175827257283</v>
      </c>
      <c r="AD5" s="333">
        <v>496.69325773983797</v>
      </c>
    </row>
    <row r="6" spans="1:50" ht="14.4">
      <c r="A6" s="334">
        <v>1</v>
      </c>
      <c r="B6" s="335">
        <v>5</v>
      </c>
      <c r="C6" s="20">
        <v>1</v>
      </c>
      <c r="D6" s="20">
        <v>1.2656304666823099</v>
      </c>
      <c r="E6" s="20">
        <v>1.57977700264465</v>
      </c>
      <c r="F6" s="20">
        <v>1.9994139051111299</v>
      </c>
      <c r="G6" s="20">
        <v>2.49569537808491</v>
      </c>
      <c r="H6" s="20">
        <v>3.13681906170895</v>
      </c>
      <c r="I6" s="20">
        <v>3.9426421639050901</v>
      </c>
      <c r="J6" s="20">
        <v>5.0595551832915904</v>
      </c>
      <c r="K6" s="20">
        <v>6.2284954201944096</v>
      </c>
      <c r="L6" s="20">
        <v>7.8285448341957098</v>
      </c>
      <c r="M6" s="20">
        <v>10.0462971141803</v>
      </c>
      <c r="N6" s="20">
        <v>12.453340351057699</v>
      </c>
      <c r="O6" s="20">
        <v>15.652501398276801</v>
      </c>
      <c r="P6" s="20">
        <v>19.810282649446599</v>
      </c>
      <c r="Q6" s="20">
        <v>25.072497274727699</v>
      </c>
      <c r="R6" s="20">
        <v>31.732516426704599</v>
      </c>
      <c r="S6" s="20">
        <v>40.161639574134398</v>
      </c>
      <c r="T6" s="20">
        <v>50.130299686951602</v>
      </c>
      <c r="U6" s="20">
        <v>63.887552190864902</v>
      </c>
      <c r="V6" s="20">
        <v>78.104855652586096</v>
      </c>
      <c r="W6" s="20">
        <v>99.539162403279803</v>
      </c>
      <c r="X6" s="20">
        <v>124.24612378321</v>
      </c>
      <c r="Y6" s="20">
        <v>157.249679627212</v>
      </c>
      <c r="Z6" s="20">
        <v>199.01998541223301</v>
      </c>
      <c r="AA6" s="20">
        <v>250.14658815499499</v>
      </c>
      <c r="AB6" s="20">
        <v>316.59314310559398</v>
      </c>
      <c r="AC6" s="20">
        <v>395.175827257283</v>
      </c>
      <c r="AD6" s="336">
        <v>496.69325773983797</v>
      </c>
    </row>
    <row r="7" spans="1:50" ht="14.4">
      <c r="A7" s="199">
        <v>2</v>
      </c>
      <c r="B7" s="200">
        <v>1</v>
      </c>
      <c r="C7" s="337">
        <v>0.99574895943253205</v>
      </c>
      <c r="D7" s="337">
        <v>1.5977736831715299</v>
      </c>
      <c r="E7" s="337">
        <v>2.5097471645417202</v>
      </c>
      <c r="F7" s="337">
        <v>3.9759870240397901</v>
      </c>
      <c r="G7" s="337">
        <v>6.3257217296163297</v>
      </c>
      <c r="H7" s="337">
        <v>9.9787221598385702</v>
      </c>
      <c r="I7" s="337">
        <v>15.8084728153328</v>
      </c>
      <c r="J7" s="337">
        <v>24.9376062903631</v>
      </c>
      <c r="K7" s="337">
        <v>39.506608642469402</v>
      </c>
      <c r="L7" s="337">
        <v>62.587086677696803</v>
      </c>
      <c r="M7" s="337">
        <v>100</v>
      </c>
      <c r="N7" s="338"/>
      <c r="O7" s="326"/>
      <c r="P7" s="326"/>
      <c r="Q7" s="326"/>
      <c r="R7" s="326"/>
      <c r="S7" s="326"/>
      <c r="T7" s="326"/>
      <c r="U7" s="326"/>
      <c r="V7" s="326"/>
      <c r="W7" s="326"/>
      <c r="X7" s="326"/>
      <c r="Y7" s="326"/>
    </row>
    <row r="8" spans="1:50" ht="14.4">
      <c r="A8" s="196">
        <v>2</v>
      </c>
      <c r="B8" s="201">
        <v>2</v>
      </c>
      <c r="C8" s="339">
        <v>0.99574895943253205</v>
      </c>
      <c r="D8" s="339">
        <v>1.5977736831715299</v>
      </c>
      <c r="E8" s="339">
        <v>2.5097471645417202</v>
      </c>
      <c r="F8" s="339">
        <v>3.9759870240397901</v>
      </c>
      <c r="G8" s="339">
        <v>6.3257217296163297</v>
      </c>
      <c r="H8" s="339">
        <v>9.9787221598385702</v>
      </c>
      <c r="I8" s="339">
        <v>15.8084728153328</v>
      </c>
      <c r="J8" s="339">
        <v>24.9376062903631</v>
      </c>
      <c r="K8" s="339">
        <v>39.506608642469402</v>
      </c>
      <c r="L8" s="339">
        <v>62.587086677696803</v>
      </c>
      <c r="M8" s="339">
        <v>100</v>
      </c>
      <c r="N8" s="340"/>
      <c r="O8" s="274"/>
      <c r="P8" s="274"/>
      <c r="Q8" s="274"/>
      <c r="R8" s="274"/>
      <c r="S8" s="274"/>
      <c r="T8" s="274"/>
      <c r="U8" s="274"/>
      <c r="V8" s="274"/>
      <c r="W8" s="274"/>
      <c r="X8" s="274"/>
      <c r="Y8" s="274"/>
    </row>
    <row r="9" spans="1:50" ht="14.4">
      <c r="A9" s="196">
        <v>2</v>
      </c>
      <c r="B9" s="201">
        <v>3</v>
      </c>
      <c r="C9" s="341">
        <v>0.99574895943253205</v>
      </c>
      <c r="D9" s="341">
        <v>1.5977736831715299</v>
      </c>
      <c r="E9" s="341">
        <v>2.5097471645417202</v>
      </c>
      <c r="F9" s="341">
        <v>3.9759870240397901</v>
      </c>
      <c r="G9" s="341">
        <v>6.3257217296163297</v>
      </c>
      <c r="H9" s="341">
        <v>9.9787221598385702</v>
      </c>
      <c r="I9" s="341">
        <v>15.8084728153328</v>
      </c>
      <c r="J9" s="341">
        <v>24.9376062903631</v>
      </c>
      <c r="K9" s="341">
        <v>39.506608642469402</v>
      </c>
      <c r="L9" s="341">
        <v>62.587086677696803</v>
      </c>
      <c r="M9" s="341">
        <v>100</v>
      </c>
      <c r="N9" s="338"/>
      <c r="O9" s="326"/>
      <c r="P9" s="326"/>
      <c r="Q9" s="326"/>
      <c r="R9" s="326"/>
      <c r="S9" s="326"/>
      <c r="T9" s="326"/>
      <c r="U9" s="326"/>
      <c r="V9" s="326"/>
      <c r="W9" s="326"/>
      <c r="X9" s="326"/>
      <c r="Y9" s="326"/>
    </row>
    <row r="10" spans="1:50" ht="14.4">
      <c r="A10" s="196">
        <v>2</v>
      </c>
      <c r="B10" s="201">
        <v>4</v>
      </c>
      <c r="C10" s="339">
        <v>0.99574895943253205</v>
      </c>
      <c r="D10" s="339">
        <v>1.5977736831715299</v>
      </c>
      <c r="E10" s="339">
        <v>2.5097471645417202</v>
      </c>
      <c r="F10" s="339">
        <v>3.9759870240397901</v>
      </c>
      <c r="G10" s="339">
        <v>6.3257217296163297</v>
      </c>
      <c r="H10" s="339">
        <v>9.9787221598385702</v>
      </c>
      <c r="I10" s="339">
        <v>15.8084728153328</v>
      </c>
      <c r="J10" s="339">
        <v>24.9376062903631</v>
      </c>
      <c r="K10" s="339">
        <v>39.506608642469402</v>
      </c>
      <c r="L10" s="339">
        <v>62.587086677696803</v>
      </c>
      <c r="M10" s="339">
        <v>100</v>
      </c>
      <c r="N10" s="340"/>
      <c r="O10" s="274"/>
      <c r="P10" s="274"/>
      <c r="Q10" s="274"/>
      <c r="R10" s="274"/>
      <c r="S10" s="274"/>
      <c r="T10" s="274"/>
      <c r="U10" s="274"/>
      <c r="V10" s="274"/>
      <c r="W10" s="274"/>
      <c r="X10" s="274"/>
      <c r="Y10" s="274"/>
    </row>
    <row r="11" spans="1:50" ht="14.4">
      <c r="A11" s="199">
        <v>3</v>
      </c>
      <c r="B11" s="200">
        <v>1</v>
      </c>
      <c r="C11" s="342">
        <v>0.10346139387845101</v>
      </c>
      <c r="D11" s="342">
        <v>0.15043188637608401</v>
      </c>
      <c r="E11" s="342">
        <v>0.22122162910704399</v>
      </c>
      <c r="F11" s="342">
        <v>0.325323376338084</v>
      </c>
      <c r="G11" s="342">
        <v>0.46240724558247598</v>
      </c>
      <c r="H11" s="342">
        <v>0.71968567300115205</v>
      </c>
      <c r="I11" s="342">
        <v>1</v>
      </c>
      <c r="J11" s="342">
        <v>1.50431886376084</v>
      </c>
      <c r="K11" s="342">
        <v>2.2374518320560699</v>
      </c>
      <c r="L11" s="342">
        <v>3.2532337633808401</v>
      </c>
      <c r="M11" s="342">
        <v>4.6768209011058604</v>
      </c>
      <c r="N11" s="342">
        <v>7.0354299039645598</v>
      </c>
      <c r="O11" s="342">
        <v>10.346139387845099</v>
      </c>
      <c r="P11" s="342">
        <v>15.2147916607627</v>
      </c>
      <c r="Q11" s="342">
        <v>22.1221629107045</v>
      </c>
      <c r="R11" s="342">
        <v>32.532337633808297</v>
      </c>
      <c r="S11" s="342">
        <v>47.301710667332898</v>
      </c>
      <c r="T11" s="342">
        <v>68.776239114488405</v>
      </c>
      <c r="U11" s="342">
        <v>102.29448417865601</v>
      </c>
      <c r="V11" s="342">
        <v>148.735210729351</v>
      </c>
      <c r="W11" s="342">
        <v>218.72653741020599</v>
      </c>
      <c r="X11" s="342">
        <v>329.03445623126601</v>
      </c>
      <c r="Y11" s="130">
        <v>473.01710667332901</v>
      </c>
      <c r="Z11" s="2"/>
    </row>
    <row r="12" spans="1:50" ht="14.4">
      <c r="A12" s="196">
        <v>3</v>
      </c>
      <c r="B12" s="201">
        <v>2</v>
      </c>
      <c r="C12" s="343">
        <v>0.10346139387845101</v>
      </c>
      <c r="D12" s="343">
        <v>0.15043188637608401</v>
      </c>
      <c r="E12" s="343">
        <v>0.22122162910704399</v>
      </c>
      <c r="F12" s="343">
        <v>0.325323376338084</v>
      </c>
      <c r="G12" s="343">
        <v>0.46240724558247598</v>
      </c>
      <c r="H12" s="343">
        <v>0.71968567300115205</v>
      </c>
      <c r="I12" s="343">
        <v>1</v>
      </c>
      <c r="J12" s="343">
        <v>1.50431886376084</v>
      </c>
      <c r="K12" s="343">
        <v>2.2374518320560699</v>
      </c>
      <c r="L12" s="343">
        <v>3.2532337633808401</v>
      </c>
      <c r="M12" s="343">
        <v>4.6768209011058604</v>
      </c>
      <c r="N12" s="343">
        <v>7.0354299039645598</v>
      </c>
      <c r="O12" s="343">
        <v>10.346139387845099</v>
      </c>
      <c r="P12" s="343">
        <v>15.2147916607627</v>
      </c>
      <c r="Q12" s="343">
        <v>22.1221629107045</v>
      </c>
      <c r="R12" s="343">
        <v>32.532337633808297</v>
      </c>
      <c r="S12" s="343">
        <v>47.301710667332898</v>
      </c>
      <c r="T12" s="343">
        <v>68.776239114488405</v>
      </c>
      <c r="U12" s="343">
        <v>102.29448417865601</v>
      </c>
      <c r="V12" s="343">
        <v>148.735210729351</v>
      </c>
      <c r="W12" s="343">
        <v>218.72653741020599</v>
      </c>
      <c r="X12" s="343">
        <v>329.03445623126601</v>
      </c>
      <c r="Y12" s="131">
        <v>473.01710667332901</v>
      </c>
      <c r="Z12" s="2"/>
    </row>
    <row r="13" spans="1:50" ht="14.4">
      <c r="A13" s="196">
        <v>3</v>
      </c>
      <c r="B13" s="201">
        <v>3</v>
      </c>
      <c r="C13" s="344">
        <v>0.10346139387845101</v>
      </c>
      <c r="D13" s="344">
        <v>0.15043188637608401</v>
      </c>
      <c r="E13" s="344">
        <v>0.22122162910704399</v>
      </c>
      <c r="F13" s="344">
        <v>0.325323376338084</v>
      </c>
      <c r="G13" s="344">
        <v>0.46240724558247598</v>
      </c>
      <c r="H13" s="344">
        <v>0.71968567300115205</v>
      </c>
      <c r="I13" s="344">
        <v>1</v>
      </c>
      <c r="J13" s="344">
        <v>1.50431886376084</v>
      </c>
      <c r="K13" s="344">
        <v>2.2374518320560699</v>
      </c>
      <c r="L13" s="344">
        <v>3.2532337633808401</v>
      </c>
      <c r="M13" s="344">
        <v>4.6768209011058604</v>
      </c>
      <c r="N13" s="344">
        <v>7.0354299039645598</v>
      </c>
      <c r="O13" s="344">
        <v>10.346139387845099</v>
      </c>
      <c r="P13" s="344">
        <v>15.2147916607627</v>
      </c>
      <c r="Q13" s="344">
        <v>22.1221629107045</v>
      </c>
      <c r="R13" s="344">
        <v>32.532337633808297</v>
      </c>
      <c r="S13" s="344">
        <v>47.301710667332898</v>
      </c>
      <c r="T13" s="344">
        <v>68.776239114488405</v>
      </c>
      <c r="U13" s="344">
        <v>102.29448417865601</v>
      </c>
      <c r="V13" s="344">
        <v>148.735210729351</v>
      </c>
      <c r="W13" s="344">
        <v>218.72653741020599</v>
      </c>
      <c r="X13" s="344">
        <v>329.03445623126601</v>
      </c>
      <c r="Y13" s="132">
        <v>473.01710667332901</v>
      </c>
      <c r="Z13" s="2"/>
    </row>
    <row r="14" spans="1:50" ht="14.4">
      <c r="A14" s="196">
        <v>3</v>
      </c>
      <c r="B14" s="201">
        <v>4</v>
      </c>
      <c r="C14" s="343">
        <v>0.10346139387845101</v>
      </c>
      <c r="D14" s="343">
        <v>0.15043188637608401</v>
      </c>
      <c r="E14" s="343">
        <v>0.22122162910704399</v>
      </c>
      <c r="F14" s="343">
        <v>0.325323376338084</v>
      </c>
      <c r="G14" s="343">
        <v>0.46240724558247598</v>
      </c>
      <c r="H14" s="343">
        <v>0.71968567300115205</v>
      </c>
      <c r="I14" s="343">
        <v>1</v>
      </c>
      <c r="J14" s="343">
        <v>1.50431886376084</v>
      </c>
      <c r="K14" s="343">
        <v>2.2374518320560699</v>
      </c>
      <c r="L14" s="343">
        <v>3.2532337633808401</v>
      </c>
      <c r="M14" s="343">
        <v>4.6768209011058604</v>
      </c>
      <c r="N14" s="343">
        <v>7.0354299039645598</v>
      </c>
      <c r="O14" s="343">
        <v>10.346139387845099</v>
      </c>
      <c r="P14" s="343">
        <v>15.2147916607627</v>
      </c>
      <c r="Q14" s="343">
        <v>22.1221629107045</v>
      </c>
      <c r="R14" s="343">
        <v>32.532337633808297</v>
      </c>
      <c r="S14" s="343">
        <v>47.301710667332898</v>
      </c>
      <c r="T14" s="343">
        <v>68.776239114488405</v>
      </c>
      <c r="U14" s="343">
        <v>102.29448417865601</v>
      </c>
      <c r="V14" s="343">
        <v>148.735210729351</v>
      </c>
      <c r="W14" s="343">
        <v>218.72653741020599</v>
      </c>
      <c r="X14" s="345">
        <v>329.03445623126601</v>
      </c>
      <c r="Y14" s="133">
        <v>473.01710667332901</v>
      </c>
      <c r="Z14" s="2"/>
    </row>
    <row r="15" spans="1:50" ht="18" customHeight="1">
      <c r="A15" s="199">
        <v>4</v>
      </c>
      <c r="B15" s="200">
        <v>1</v>
      </c>
      <c r="C15" s="266">
        <f>6.283185*Angular_frequency!C15</f>
        <v>6.1572762417201152E-2</v>
      </c>
      <c r="D15" s="266">
        <f>6.283185*Angular_frequency!D15</f>
        <v>0.1225433467986166</v>
      </c>
      <c r="E15" s="266">
        <f>6.283185*Angular_frequency!E15</f>
        <v>0.18370201204608161</v>
      </c>
      <c r="F15" s="266">
        <f>6.283185*Angular_frequency!F15</f>
        <v>0.24636921545484528</v>
      </c>
      <c r="G15" s="266">
        <f>6.283185*Angular_frequency!G15</f>
        <v>0.36932662415076628</v>
      </c>
      <c r="H15" s="266">
        <f>6.283185*Angular_frequency!H15</f>
        <v>0.63150624448963466</v>
      </c>
      <c r="I15" s="266">
        <f>6.283185*Angular_frequency!I15</f>
        <v>0.98578962419395011</v>
      </c>
      <c r="J15" s="266">
        <f>6.283185*Angular_frequency!J15</f>
        <v>1.5702978820388651</v>
      </c>
      <c r="K15" s="266">
        <f>6.283185*Angular_frequency!K15</f>
        <v>2.476191581335712</v>
      </c>
      <c r="L15" s="266">
        <f>6.283185*Angular_frequency!L15</f>
        <v>3.9046889240636977</v>
      </c>
      <c r="M15" s="266">
        <f>6.283185*Angular_frequency!M15</f>
        <v>6.2199120349754278</v>
      </c>
      <c r="N15" s="266">
        <f>6.283185*Angular_frequency!N15</f>
        <v>9.7093651899406446</v>
      </c>
      <c r="O15" s="266">
        <f>6.283185*Angular_frequency!O15</f>
        <v>15.623712645837921</v>
      </c>
      <c r="P15" s="266">
        <f>6.283185*Angular_frequency!P15</f>
        <v>24.636921545484526</v>
      </c>
      <c r="Q15" s="266">
        <f>6.283185*Angular_frequency!Q15</f>
        <v>39.244991804884883</v>
      </c>
      <c r="R15" s="266">
        <f>6.283185*Angular_frequency!R15</f>
        <v>61.885148944268735</v>
      </c>
      <c r="S15" s="266">
        <f>6.283185*Angular_frequency!S15</f>
        <v>98.578962419395012</v>
      </c>
      <c r="T15" s="266">
        <f>6.283185*Angular_frequency!T15</f>
        <v>153.88306792655865</v>
      </c>
      <c r="U15" s="266">
        <f>6.283185*Angular_frequency!U15</f>
        <v>242.65711726943786</v>
      </c>
      <c r="V15" s="266">
        <f>6.283185*Angular_frequency!V15</f>
        <v>394.44099433216644</v>
      </c>
      <c r="W15" s="346">
        <f>6.283185*Angular_frequency!W15</f>
        <v>621.99120349754276</v>
      </c>
      <c r="X15" s="22"/>
      <c r="Y15" s="2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12"/>
      <c r="AU15" s="2"/>
    </row>
    <row r="16" spans="1:50" ht="14.4">
      <c r="A16" s="196">
        <v>4</v>
      </c>
      <c r="B16" s="201">
        <v>2</v>
      </c>
      <c r="C16" s="66">
        <f>6.283185*Angular_frequency!C16</f>
        <v>6.1572762417201152E-2</v>
      </c>
      <c r="D16" s="66">
        <f>6.283185*Angular_frequency!D16</f>
        <v>0.1225433467986166</v>
      </c>
      <c r="E16" s="66">
        <f>6.283185*Angular_frequency!E16</f>
        <v>0.18370201204608161</v>
      </c>
      <c r="F16" s="66">
        <f>6.283185*Angular_frequency!F16</f>
        <v>0.24636921545484528</v>
      </c>
      <c r="G16" s="66">
        <f>6.283185*Angular_frequency!G16</f>
        <v>0.36932662415076628</v>
      </c>
      <c r="H16" s="66">
        <f>6.283185*Angular_frequency!H16</f>
        <v>0.63150624448963466</v>
      </c>
      <c r="I16" s="66">
        <f>6.283185*Angular_frequency!I16</f>
        <v>0.98578962419395011</v>
      </c>
      <c r="J16" s="66">
        <f>6.283185*Angular_frequency!J16</f>
        <v>1.5702978820388651</v>
      </c>
      <c r="K16" s="66">
        <f>6.283185*Angular_frequency!K16</f>
        <v>2.476191581335712</v>
      </c>
      <c r="L16" s="66">
        <f>6.283185*Angular_frequency!L16</f>
        <v>3.9046889240636977</v>
      </c>
      <c r="M16" s="66">
        <f>6.283185*Angular_frequency!M16</f>
        <v>6.2199120349754278</v>
      </c>
      <c r="N16" s="66">
        <f>6.283185*Angular_frequency!N16</f>
        <v>9.7093651899406446</v>
      </c>
      <c r="O16" s="66">
        <f>6.283185*Angular_frequency!O16</f>
        <v>15.623712645837921</v>
      </c>
      <c r="P16" s="66">
        <f>6.283185*Angular_frequency!P16</f>
        <v>24.636921545484526</v>
      </c>
      <c r="Q16" s="66">
        <f>6.283185*Angular_frequency!Q16</f>
        <v>39.244991804884883</v>
      </c>
      <c r="R16" s="66">
        <f>6.283185*Angular_frequency!R16</f>
        <v>61.885148944268735</v>
      </c>
      <c r="S16" s="66">
        <f>6.283185*Angular_frequency!S16</f>
        <v>98.578962419395012</v>
      </c>
      <c r="T16" s="66">
        <f>6.283185*Angular_frequency!T16</f>
        <v>153.88306792655865</v>
      </c>
      <c r="U16" s="66">
        <f>6.283185*Angular_frequency!U16</f>
        <v>242.65711726943786</v>
      </c>
      <c r="V16" s="66">
        <f>6.283185*Angular_frequency!V16</f>
        <v>394.44099433216644</v>
      </c>
      <c r="W16" s="347">
        <f>6.283185*Angular_frequency!W16</f>
        <v>621.99120349754276</v>
      </c>
      <c r="X16" s="22"/>
      <c r="Y16" s="2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12"/>
      <c r="AU16" s="2"/>
    </row>
    <row r="17" spans="1:50" ht="14.4">
      <c r="A17" s="197">
        <v>4</v>
      </c>
      <c r="B17" s="202">
        <v>3</v>
      </c>
      <c r="C17" s="68">
        <f>6.283185*Angular_frequency!C17</f>
        <v>6.1572762417201152E-2</v>
      </c>
      <c r="D17" s="68">
        <f>6.283185*Angular_frequency!D17</f>
        <v>0.1225433467986166</v>
      </c>
      <c r="E17" s="68">
        <f>6.283185*Angular_frequency!E17</f>
        <v>0.18370201204608161</v>
      </c>
      <c r="F17" s="68">
        <f>6.283185*Angular_frequency!F17</f>
        <v>0.24636921545484528</v>
      </c>
      <c r="G17" s="68">
        <f>6.283185*Angular_frequency!G17</f>
        <v>0.36932662415076628</v>
      </c>
      <c r="H17" s="68">
        <f>6.283185*Angular_frequency!H17</f>
        <v>0.63150624448963466</v>
      </c>
      <c r="I17" s="68">
        <f>6.283185*Angular_frequency!I17</f>
        <v>0.98578962419395011</v>
      </c>
      <c r="J17" s="68">
        <f>6.283185*Angular_frequency!J17</f>
        <v>1.5702978820388651</v>
      </c>
      <c r="K17" s="68">
        <f>6.283185*Angular_frequency!K17</f>
        <v>2.476191581335712</v>
      </c>
      <c r="L17" s="68">
        <f>6.283185*Angular_frequency!L17</f>
        <v>3.9046889240636977</v>
      </c>
      <c r="M17" s="68">
        <f>6.283185*Angular_frequency!M17</f>
        <v>6.2199120349754278</v>
      </c>
      <c r="N17" s="68">
        <f>6.283185*Angular_frequency!N17</f>
        <v>9.7093651899406446</v>
      </c>
      <c r="O17" s="68">
        <f>6.283185*Angular_frequency!O17</f>
        <v>15.623712645837921</v>
      </c>
      <c r="P17" s="68">
        <f>6.283185*Angular_frequency!P17</f>
        <v>24.636921545484526</v>
      </c>
      <c r="Q17" s="68">
        <f>6.283185*Angular_frequency!Q17</f>
        <v>39.244991804884883</v>
      </c>
      <c r="R17" s="68">
        <f>6.283185*Angular_frequency!R17</f>
        <v>61.885148944268735</v>
      </c>
      <c r="S17" s="68">
        <f>6.283185*Angular_frequency!S17</f>
        <v>98.578962419395012</v>
      </c>
      <c r="T17" s="68">
        <f>6.283185*Angular_frequency!T17</f>
        <v>153.88306792655865</v>
      </c>
      <c r="U17" s="68">
        <f>6.283185*Angular_frequency!U17</f>
        <v>242.65711726943786</v>
      </c>
      <c r="V17" s="68">
        <f>6.283185*Angular_frequency!V17</f>
        <v>394.44099433216644</v>
      </c>
      <c r="W17" s="348">
        <f>6.283185*Angular_frequency!W17</f>
        <v>621.99120349754276</v>
      </c>
      <c r="X17" s="22"/>
      <c r="Y17" s="2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12"/>
      <c r="AU17" s="2"/>
    </row>
    <row r="18" spans="1:50" ht="14.4">
      <c r="A18" s="204">
        <v>5</v>
      </c>
      <c r="B18" s="201">
        <v>1</v>
      </c>
      <c r="C18" s="343">
        <v>0.1</v>
      </c>
      <c r="D18" s="343">
        <v>0.120177348102179</v>
      </c>
      <c r="E18" s="343">
        <v>0.14442594996872399</v>
      </c>
      <c r="F18" s="343">
        <v>0.17224312920385301</v>
      </c>
      <c r="G18" s="343">
        <v>0.213436304443925</v>
      </c>
      <c r="H18" s="343">
        <v>0.248763775608522</v>
      </c>
      <c r="I18" s="343">
        <v>0.298957708565178</v>
      </c>
      <c r="J18" s="343">
        <v>0.36762936963128101</v>
      </c>
      <c r="K18" s="343">
        <v>0.441807227267633</v>
      </c>
      <c r="L18" s="343">
        <v>0.53503399206054303</v>
      </c>
      <c r="M18" s="343">
        <v>0.63808428501175996</v>
      </c>
      <c r="N18" s="343">
        <v>0.76098259329455098</v>
      </c>
      <c r="O18" s="343">
        <v>0.92155929022937599</v>
      </c>
      <c r="P18" s="343">
        <v>1.1160196473499899</v>
      </c>
      <c r="Q18" s="343">
        <v>1.35151353415493</v>
      </c>
      <c r="R18" s="343">
        <v>1.62421312458944</v>
      </c>
      <c r="S18" s="343">
        <v>1.9669420923252501</v>
      </c>
      <c r="T18" s="343">
        <v>2.3638188452620099</v>
      </c>
      <c r="U18" s="343">
        <v>2.7975955107325299</v>
      </c>
      <c r="V18" s="343">
        <v>3.4402132630397602</v>
      </c>
      <c r="W18" s="343">
        <v>4.0404538926578502</v>
      </c>
      <c r="X18" s="349">
        <v>4.9685606860952198</v>
      </c>
      <c r="Y18" s="349">
        <v>5.9255309755456702</v>
      </c>
      <c r="Z18" s="223">
        <v>7.1758909706655896</v>
      </c>
      <c r="AA18" s="223">
        <v>8.5580044021228598</v>
      </c>
      <c r="AB18" s="223">
        <v>10.363848703103701</v>
      </c>
      <c r="AC18" s="223">
        <v>12.6472343328848</v>
      </c>
      <c r="AD18" s="223">
        <v>15.1991108295293</v>
      </c>
      <c r="AE18" s="223">
        <v>18.265888330039498</v>
      </c>
      <c r="AF18" s="223">
        <v>22.120215670064201</v>
      </c>
      <c r="AG18" s="223">
        <v>26.787853536006899</v>
      </c>
      <c r="AH18" s="223">
        <v>31.9473316166209</v>
      </c>
      <c r="AI18" s="223">
        <v>38.6886119456085</v>
      </c>
      <c r="AJ18" s="223">
        <v>46.852385427368603</v>
      </c>
      <c r="AK18" s="223">
        <v>56.305954329223503</v>
      </c>
      <c r="AL18" s="223">
        <v>68.711404338152903</v>
      </c>
      <c r="AM18" s="223">
        <v>80.084353105042496</v>
      </c>
      <c r="AN18" s="223">
        <v>97.728711517531494</v>
      </c>
      <c r="AO18" s="223">
        <v>115.662587748265</v>
      </c>
      <c r="AP18" s="223">
        <v>143.32412216102901</v>
      </c>
      <c r="AQ18" s="223">
        <v>170.92908370522699</v>
      </c>
      <c r="AR18" s="223">
        <v>206.99722496540099</v>
      </c>
      <c r="AS18" s="293">
        <v>276.91745564046403</v>
      </c>
      <c r="AT18" s="21"/>
      <c r="AU18" s="21"/>
      <c r="AV18" s="21"/>
      <c r="AW18" s="21"/>
      <c r="AX18" s="21"/>
    </row>
    <row r="19" spans="1:50" ht="14.4">
      <c r="A19" s="204">
        <v>5</v>
      </c>
      <c r="B19" s="201">
        <v>2</v>
      </c>
      <c r="C19" s="344">
        <v>0.1</v>
      </c>
      <c r="D19" s="344">
        <v>0.120177348102179</v>
      </c>
      <c r="E19" s="344">
        <v>0.14442594996872399</v>
      </c>
      <c r="F19" s="344">
        <v>0.17224312920385301</v>
      </c>
      <c r="G19" s="344">
        <v>0.213436304443925</v>
      </c>
      <c r="H19" s="344">
        <v>0.248763775608522</v>
      </c>
      <c r="I19" s="344">
        <v>0.298957708565178</v>
      </c>
      <c r="J19" s="344">
        <v>0.36762936963128101</v>
      </c>
      <c r="K19" s="344">
        <v>0.441807227267633</v>
      </c>
      <c r="L19" s="344">
        <v>0.53503399206054303</v>
      </c>
      <c r="M19" s="344">
        <v>0.63808428501175996</v>
      </c>
      <c r="N19" s="344">
        <v>0.76098259329455098</v>
      </c>
      <c r="O19" s="344">
        <v>0.92155929022937599</v>
      </c>
      <c r="P19" s="344">
        <v>1.1160196473499899</v>
      </c>
      <c r="Q19" s="344">
        <v>1.35151353415493</v>
      </c>
      <c r="R19" s="344">
        <v>1.62421312458944</v>
      </c>
      <c r="S19" s="344">
        <v>1.9669420923252501</v>
      </c>
      <c r="T19" s="344">
        <v>2.3638188452620099</v>
      </c>
      <c r="U19" s="344">
        <v>2.7975955107325299</v>
      </c>
      <c r="V19" s="344">
        <v>3.4402132630397602</v>
      </c>
      <c r="W19" s="344">
        <v>4.0404538926578502</v>
      </c>
      <c r="X19" s="344">
        <v>4.9685606860952198</v>
      </c>
      <c r="Y19" s="344">
        <v>5.9255309755456702</v>
      </c>
      <c r="Z19" s="21">
        <v>7.1758909706655896</v>
      </c>
      <c r="AA19" s="21">
        <v>8.5580044021228598</v>
      </c>
      <c r="AB19" s="21">
        <v>10.363848703103701</v>
      </c>
      <c r="AC19" s="21">
        <v>12.6472343328848</v>
      </c>
      <c r="AD19" s="21">
        <v>15.1991108295293</v>
      </c>
      <c r="AE19" s="21">
        <v>18.265888330039498</v>
      </c>
      <c r="AF19" s="21">
        <v>22.120215670064201</v>
      </c>
      <c r="AG19" s="21">
        <v>26.787853536006899</v>
      </c>
      <c r="AH19" s="21">
        <v>31.9473316166209</v>
      </c>
      <c r="AI19" s="21">
        <v>38.6886119456085</v>
      </c>
      <c r="AJ19" s="21">
        <v>46.852385427368603</v>
      </c>
      <c r="AK19" s="21">
        <v>56.305954329223503</v>
      </c>
      <c r="AL19" s="21">
        <v>68.711404338152903</v>
      </c>
      <c r="AM19" s="21">
        <v>80.084353105042496</v>
      </c>
      <c r="AN19" s="21">
        <v>97.728711517531494</v>
      </c>
      <c r="AO19" s="21">
        <v>115.662587748265</v>
      </c>
      <c r="AP19" s="21">
        <v>143.32412216102901</v>
      </c>
      <c r="AQ19" s="21">
        <v>170.92908370522699</v>
      </c>
      <c r="AR19" s="21">
        <v>206.99722496540099</v>
      </c>
      <c r="AS19" s="211">
        <v>276.91745564046403</v>
      </c>
      <c r="AT19" s="21"/>
      <c r="AU19" s="21"/>
      <c r="AV19" s="21"/>
      <c r="AW19" s="21"/>
      <c r="AX19" s="21"/>
    </row>
    <row r="20" spans="1:50" ht="14.4">
      <c r="A20" s="204">
        <v>5</v>
      </c>
      <c r="B20" s="201">
        <v>3</v>
      </c>
      <c r="C20" s="343">
        <v>0.1</v>
      </c>
      <c r="D20" s="343">
        <v>0.120177348102179</v>
      </c>
      <c r="E20" s="343">
        <v>0.14442594996872399</v>
      </c>
      <c r="F20" s="343">
        <v>0.17224312920385301</v>
      </c>
      <c r="G20" s="343">
        <v>0.213436304443925</v>
      </c>
      <c r="H20" s="343">
        <v>0.248763775608522</v>
      </c>
      <c r="I20" s="343">
        <v>0.298957708565178</v>
      </c>
      <c r="J20" s="343">
        <v>0.36762936963128101</v>
      </c>
      <c r="K20" s="343">
        <v>0.441807227267633</v>
      </c>
      <c r="L20" s="343">
        <v>0.53503399206054303</v>
      </c>
      <c r="M20" s="343">
        <v>0.63808428501175996</v>
      </c>
      <c r="N20" s="343">
        <v>0.76098259329455098</v>
      </c>
      <c r="O20" s="343">
        <v>0.92155929022937599</v>
      </c>
      <c r="P20" s="343">
        <v>1.1160196473499899</v>
      </c>
      <c r="Q20" s="343">
        <v>1.35151353415493</v>
      </c>
      <c r="R20" s="343">
        <v>1.62421312458944</v>
      </c>
      <c r="S20" s="343">
        <v>1.9669420923252501</v>
      </c>
      <c r="T20" s="343">
        <v>2.3638188452620099</v>
      </c>
      <c r="U20" s="343">
        <v>2.7975955107325299</v>
      </c>
      <c r="V20" s="343">
        <v>3.4402132630397602</v>
      </c>
      <c r="W20" s="343">
        <v>4.0404538926578502</v>
      </c>
      <c r="X20" s="343">
        <v>4.9685606860952198</v>
      </c>
      <c r="Y20" s="343">
        <v>5.9255309755456702</v>
      </c>
      <c r="Z20" s="21">
        <v>7.1758909706655896</v>
      </c>
      <c r="AA20" s="21">
        <v>8.5580044021228598</v>
      </c>
      <c r="AB20" s="21">
        <v>10.363848703103701</v>
      </c>
      <c r="AC20" s="21">
        <v>12.6472343328848</v>
      </c>
      <c r="AD20" s="21">
        <v>15.1991108295293</v>
      </c>
      <c r="AE20" s="21">
        <v>18.265888330039498</v>
      </c>
      <c r="AF20" s="21">
        <v>22.120215670064201</v>
      </c>
      <c r="AG20" s="21">
        <v>26.787853536006899</v>
      </c>
      <c r="AH20" s="21">
        <v>31.9473316166209</v>
      </c>
      <c r="AI20" s="21">
        <v>38.6886119456085</v>
      </c>
      <c r="AJ20" s="21">
        <v>46.852385427368603</v>
      </c>
      <c r="AK20" s="21">
        <v>56.305954329223503</v>
      </c>
      <c r="AL20" s="21">
        <v>68.711404338152903</v>
      </c>
      <c r="AM20" s="21">
        <v>80.084353105042496</v>
      </c>
      <c r="AN20" s="21">
        <v>97.728711517531494</v>
      </c>
      <c r="AO20" s="21">
        <v>115.662587748265</v>
      </c>
      <c r="AP20" s="21">
        <v>143.32412216102901</v>
      </c>
      <c r="AQ20" s="21">
        <v>170.92908370522699</v>
      </c>
      <c r="AR20" s="21">
        <v>206.99722496540099</v>
      </c>
      <c r="AS20" s="211">
        <v>276.91745564046403</v>
      </c>
      <c r="AT20" s="21"/>
      <c r="AU20" s="21"/>
      <c r="AV20" s="21"/>
      <c r="AW20" s="21"/>
      <c r="AX20" s="21"/>
    </row>
    <row r="21" spans="1:50" ht="15.75" customHeight="1">
      <c r="A21" s="204">
        <v>5</v>
      </c>
      <c r="B21" s="201">
        <v>4</v>
      </c>
      <c r="C21" s="344">
        <v>0.1</v>
      </c>
      <c r="D21" s="344">
        <v>0.120177348102179</v>
      </c>
      <c r="E21" s="344">
        <v>0.14442594996872399</v>
      </c>
      <c r="F21" s="344">
        <v>0.17224312920385301</v>
      </c>
      <c r="G21" s="344">
        <v>0.213436304443925</v>
      </c>
      <c r="H21" s="344">
        <v>0.248763775608522</v>
      </c>
      <c r="I21" s="344">
        <v>0.298957708565178</v>
      </c>
      <c r="J21" s="344">
        <v>0.36762936963128101</v>
      </c>
      <c r="K21" s="344">
        <v>0.441807227267633</v>
      </c>
      <c r="L21" s="344">
        <v>0.53503399206054303</v>
      </c>
      <c r="M21" s="344">
        <v>0.63808428501175996</v>
      </c>
      <c r="N21" s="344">
        <v>0.76098259329455098</v>
      </c>
      <c r="O21" s="344">
        <v>0.92155929022937599</v>
      </c>
      <c r="P21" s="344">
        <v>1.1160196473499899</v>
      </c>
      <c r="Q21" s="344">
        <v>1.35151353415493</v>
      </c>
      <c r="R21" s="344">
        <v>1.62421312458944</v>
      </c>
      <c r="S21" s="344">
        <v>1.9669420923252501</v>
      </c>
      <c r="T21" s="344">
        <v>2.3638188452620099</v>
      </c>
      <c r="U21" s="344">
        <v>2.7975955107325299</v>
      </c>
      <c r="V21" s="344">
        <v>3.4402132630397602</v>
      </c>
      <c r="W21" s="344">
        <v>4.0404538926578502</v>
      </c>
      <c r="X21" s="344">
        <v>4.9685606860952198</v>
      </c>
      <c r="Y21" s="344">
        <v>5.9255309755456702</v>
      </c>
      <c r="Z21" s="21">
        <v>7.1758909706655896</v>
      </c>
      <c r="AA21" s="21">
        <v>8.5580044021228598</v>
      </c>
      <c r="AB21" s="21">
        <v>10.363848703103701</v>
      </c>
      <c r="AC21" s="21">
        <v>12.6472343328848</v>
      </c>
      <c r="AD21" s="21">
        <v>15.1991108295293</v>
      </c>
      <c r="AE21" s="21">
        <v>18.265888330039498</v>
      </c>
      <c r="AF21" s="21">
        <v>22.120215670064201</v>
      </c>
      <c r="AG21" s="21">
        <v>26.787853536006899</v>
      </c>
      <c r="AH21" s="21">
        <v>31.9473316166209</v>
      </c>
      <c r="AI21" s="21">
        <v>38.6886119456085</v>
      </c>
      <c r="AJ21" s="21">
        <v>46.852385427368603</v>
      </c>
      <c r="AK21" s="21">
        <v>56.305954329223503</v>
      </c>
      <c r="AL21" s="21">
        <v>68.711404338152903</v>
      </c>
      <c r="AM21" s="21">
        <v>80.084353105042496</v>
      </c>
      <c r="AN21" s="21">
        <v>97.728711517531494</v>
      </c>
      <c r="AO21" s="21">
        <v>115.662587748265</v>
      </c>
      <c r="AP21" s="21">
        <v>143.32412216102901</v>
      </c>
      <c r="AQ21" s="21">
        <v>170.92908370522699</v>
      </c>
      <c r="AR21" s="21">
        <v>206.99722496540099</v>
      </c>
      <c r="AS21" s="211">
        <v>276.91745564046403</v>
      </c>
      <c r="AT21" s="21"/>
      <c r="AU21" s="21"/>
      <c r="AV21" s="21"/>
      <c r="AW21" s="21"/>
      <c r="AX21" s="21"/>
    </row>
    <row r="22" spans="1:50" ht="15.75" customHeight="1">
      <c r="A22" s="204">
        <v>5</v>
      </c>
      <c r="B22" s="201">
        <v>5</v>
      </c>
      <c r="C22" s="343">
        <v>0.1</v>
      </c>
      <c r="D22" s="343">
        <v>0.120177348102179</v>
      </c>
      <c r="E22" s="343">
        <v>0.14442594996872399</v>
      </c>
      <c r="F22" s="343">
        <v>0.17224312920385301</v>
      </c>
      <c r="G22" s="343">
        <v>0.213436304443925</v>
      </c>
      <c r="H22" s="343">
        <v>0.248763775608522</v>
      </c>
      <c r="I22" s="343">
        <v>0.298957708565178</v>
      </c>
      <c r="J22" s="343">
        <v>0.36762936963128101</v>
      </c>
      <c r="K22" s="343">
        <v>0.441807227267633</v>
      </c>
      <c r="L22" s="343">
        <v>0.53503399206054303</v>
      </c>
      <c r="M22" s="343">
        <v>0.63808428501175996</v>
      </c>
      <c r="N22" s="343">
        <v>0.76098259329455098</v>
      </c>
      <c r="O22" s="343">
        <v>0.92155929022937599</v>
      </c>
      <c r="P22" s="343">
        <v>1.1160196473499899</v>
      </c>
      <c r="Q22" s="343">
        <v>1.35151353415493</v>
      </c>
      <c r="R22" s="343">
        <v>1.62421312458944</v>
      </c>
      <c r="S22" s="343">
        <v>1.9669420923252501</v>
      </c>
      <c r="T22" s="343">
        <v>2.3638188452620099</v>
      </c>
      <c r="U22" s="343">
        <v>2.7975955107325299</v>
      </c>
      <c r="V22" s="343">
        <v>3.4402132630397602</v>
      </c>
      <c r="W22" s="343">
        <v>4.0404538926578502</v>
      </c>
      <c r="X22" s="343">
        <v>4.9685606860952198</v>
      </c>
      <c r="Y22" s="343">
        <v>5.9255309755456702</v>
      </c>
      <c r="Z22" s="21">
        <v>7.1758909706655896</v>
      </c>
      <c r="AA22" s="21">
        <v>8.5580044021228598</v>
      </c>
      <c r="AB22" s="21">
        <v>10.363848703103701</v>
      </c>
      <c r="AC22" s="21">
        <v>12.6472343328848</v>
      </c>
      <c r="AD22" s="21">
        <v>15.1991108295293</v>
      </c>
      <c r="AE22" s="21">
        <v>18.265888330039498</v>
      </c>
      <c r="AF22" s="21">
        <v>22.120215670064201</v>
      </c>
      <c r="AG22" s="21">
        <v>26.787853536006899</v>
      </c>
      <c r="AH22" s="21">
        <v>31.9473316166209</v>
      </c>
      <c r="AI22" s="21">
        <v>38.6886119456085</v>
      </c>
      <c r="AJ22" s="21">
        <v>46.852385427368603</v>
      </c>
      <c r="AK22" s="21">
        <v>56.305954329223503</v>
      </c>
      <c r="AL22" s="21">
        <v>68.711404338152903</v>
      </c>
      <c r="AM22" s="21">
        <v>80.084353105042496</v>
      </c>
      <c r="AN22" s="21">
        <v>97.728711517531494</v>
      </c>
      <c r="AO22" s="21">
        <v>115.662587748265</v>
      </c>
      <c r="AP22" s="21">
        <v>143.32412216102901</v>
      </c>
      <c r="AQ22" s="21">
        <v>170.92908370522699</v>
      </c>
      <c r="AR22" s="21">
        <v>206.99722496540099</v>
      </c>
      <c r="AS22" s="211">
        <v>276.91745564046403</v>
      </c>
      <c r="AT22" s="21"/>
      <c r="AU22" s="21"/>
      <c r="AV22" s="21"/>
      <c r="AW22" s="21"/>
      <c r="AX22" s="21"/>
    </row>
    <row r="23" spans="1:50" ht="15.75" customHeight="1">
      <c r="A23" s="204">
        <v>5</v>
      </c>
      <c r="B23" s="201">
        <v>6</v>
      </c>
      <c r="C23" s="344">
        <v>0.1</v>
      </c>
      <c r="D23" s="344">
        <v>0.120177348102179</v>
      </c>
      <c r="E23" s="344">
        <v>0.14442594996872399</v>
      </c>
      <c r="F23" s="344">
        <v>0.17224312920385301</v>
      </c>
      <c r="G23" s="344">
        <v>0.213436304443925</v>
      </c>
      <c r="H23" s="344">
        <v>0.248763775608522</v>
      </c>
      <c r="I23" s="344">
        <v>0.298957708565178</v>
      </c>
      <c r="J23" s="344">
        <v>0.36762936963128101</v>
      </c>
      <c r="K23" s="344">
        <v>0.441807227267633</v>
      </c>
      <c r="L23" s="344">
        <v>0.53503399206054303</v>
      </c>
      <c r="M23" s="344">
        <v>0.63808428501175996</v>
      </c>
      <c r="N23" s="344">
        <v>0.76098259329455098</v>
      </c>
      <c r="O23" s="344">
        <v>0.92155929022937599</v>
      </c>
      <c r="P23" s="344">
        <v>1.1160196473499899</v>
      </c>
      <c r="Q23" s="344">
        <v>1.35151353415493</v>
      </c>
      <c r="R23" s="344">
        <v>1.62421312458944</v>
      </c>
      <c r="S23" s="344">
        <v>1.9669420923252501</v>
      </c>
      <c r="T23" s="344">
        <v>2.3638188452620099</v>
      </c>
      <c r="U23" s="344">
        <v>2.7975955107325299</v>
      </c>
      <c r="V23" s="344">
        <v>3.4402132630397602</v>
      </c>
      <c r="W23" s="344">
        <v>4.0404538926578502</v>
      </c>
      <c r="X23" s="344">
        <v>4.9685606860952198</v>
      </c>
      <c r="Y23" s="344">
        <v>5.9255309755456702</v>
      </c>
      <c r="Z23" s="23">
        <v>7.1758909706655896</v>
      </c>
      <c r="AA23" s="23">
        <v>8.5580044021228598</v>
      </c>
      <c r="AB23" s="23">
        <v>10.363848703103701</v>
      </c>
      <c r="AC23" s="23">
        <v>12.6472343328848</v>
      </c>
      <c r="AD23" s="23">
        <v>15.1991108295293</v>
      </c>
      <c r="AE23" s="23">
        <v>18.265888330039498</v>
      </c>
      <c r="AF23" s="23">
        <v>22.120215670064201</v>
      </c>
      <c r="AG23" s="23">
        <v>26.787853536006899</v>
      </c>
      <c r="AH23" s="23">
        <v>31.9473316166209</v>
      </c>
      <c r="AI23" s="23">
        <v>38.6886119456085</v>
      </c>
      <c r="AJ23" s="23">
        <v>46.852385427368603</v>
      </c>
      <c r="AK23" s="23">
        <v>56.305954329223503</v>
      </c>
      <c r="AL23" s="23">
        <v>68.711404338152903</v>
      </c>
      <c r="AM23" s="23">
        <v>80.084353105042496</v>
      </c>
      <c r="AN23" s="23">
        <v>97.728711517531494</v>
      </c>
      <c r="AO23" s="23">
        <v>115.662587748265</v>
      </c>
      <c r="AP23" s="23">
        <v>143.32412216102901</v>
      </c>
      <c r="AQ23" s="23">
        <v>170.92908370522699</v>
      </c>
      <c r="AR23" s="23">
        <v>206.99722496540099</v>
      </c>
      <c r="AS23" s="212">
        <v>276.91745564046403</v>
      </c>
      <c r="AT23" s="21"/>
      <c r="AU23" s="21"/>
      <c r="AV23" s="21"/>
      <c r="AW23" s="21"/>
      <c r="AX23" s="21"/>
    </row>
    <row r="24" spans="1:50" ht="15.75" customHeight="1">
      <c r="A24" s="203">
        <v>6</v>
      </c>
      <c r="B24" s="200">
        <v>1</v>
      </c>
      <c r="C24" s="349">
        <v>0.102983099197286</v>
      </c>
      <c r="D24" s="349">
        <v>0.12901443294311599</v>
      </c>
      <c r="E24" s="349">
        <v>0.16644723907633799</v>
      </c>
      <c r="F24" s="349">
        <v>0.218990629460591</v>
      </c>
      <c r="G24" s="349">
        <v>0.27977474632885402</v>
      </c>
      <c r="H24" s="349">
        <v>0.36094980249421399</v>
      </c>
      <c r="I24" s="349">
        <v>0.45218812069842801</v>
      </c>
      <c r="J24" s="349">
        <v>0.60670660559262002</v>
      </c>
      <c r="K24" s="349">
        <v>0.77510707692751502</v>
      </c>
      <c r="L24" s="349">
        <v>0.99024961186350602</v>
      </c>
      <c r="M24" s="349">
        <v>1.2775649214671101</v>
      </c>
      <c r="N24" s="349">
        <v>1.6004986757617301</v>
      </c>
      <c r="O24" s="349">
        <v>2.16855385825095</v>
      </c>
      <c r="P24" s="349">
        <v>2.7977474632885402</v>
      </c>
      <c r="Q24" s="349">
        <v>3.5743040182210501</v>
      </c>
      <c r="R24" s="349">
        <v>4.7026258361351099</v>
      </c>
      <c r="S24" s="349">
        <v>6.1268047805733099</v>
      </c>
      <c r="T24" s="349">
        <v>7.7510707692751497</v>
      </c>
      <c r="U24" s="349">
        <v>10.298309919728601</v>
      </c>
      <c r="V24" s="349">
        <v>13.0284759920612</v>
      </c>
      <c r="W24" s="349">
        <v>16.6447239076338</v>
      </c>
      <c r="X24" s="349">
        <v>21.8990629460591</v>
      </c>
      <c r="Y24" s="349">
        <v>27.704683396135898</v>
      </c>
      <c r="Z24" s="223">
        <v>35.049421245590501</v>
      </c>
      <c r="AA24" s="223">
        <v>45.664054323381599</v>
      </c>
      <c r="AB24" s="223">
        <v>59.493303545235797</v>
      </c>
      <c r="AC24" s="223">
        <v>77.510707692751595</v>
      </c>
      <c r="AD24" s="223">
        <v>99.024961186350595</v>
      </c>
      <c r="AE24" s="223">
        <v>129.01443294311599</v>
      </c>
      <c r="AF24" s="223">
        <v>163.217212856327</v>
      </c>
      <c r="AG24" s="223">
        <v>212.64715391898099</v>
      </c>
      <c r="AH24" s="223">
        <v>277.04683396135903</v>
      </c>
      <c r="AI24" s="223">
        <v>364.50385657304997</v>
      </c>
      <c r="AJ24" s="223">
        <v>465.67734089720898</v>
      </c>
      <c r="AK24" s="293">
        <v>594.93303545235801</v>
      </c>
      <c r="AL24" s="96"/>
      <c r="AM24" s="96"/>
      <c r="AN24" s="96"/>
      <c r="AO24" s="96"/>
      <c r="AP24" s="96"/>
      <c r="AQ24" s="96"/>
      <c r="AR24" s="96"/>
      <c r="AS24" s="96"/>
      <c r="AT24" s="96"/>
    </row>
    <row r="25" spans="1:50" ht="15.75" customHeight="1">
      <c r="A25" s="204">
        <v>6</v>
      </c>
      <c r="B25" s="201">
        <v>2</v>
      </c>
      <c r="C25" s="344">
        <v>0.102983099197286</v>
      </c>
      <c r="D25" s="344">
        <v>0.12901443294311599</v>
      </c>
      <c r="E25" s="344">
        <v>0.16644723907633799</v>
      </c>
      <c r="F25" s="344">
        <v>0.218990629460591</v>
      </c>
      <c r="G25" s="344">
        <v>0.27977474632885402</v>
      </c>
      <c r="H25" s="344">
        <v>0.36094980249421399</v>
      </c>
      <c r="I25" s="344">
        <v>0.45218812069842801</v>
      </c>
      <c r="J25" s="344">
        <v>0.60670660559262002</v>
      </c>
      <c r="K25" s="344">
        <v>0.77510707692751502</v>
      </c>
      <c r="L25" s="344">
        <v>0.99024961186350602</v>
      </c>
      <c r="M25" s="344">
        <v>1.2775649214671101</v>
      </c>
      <c r="N25" s="344">
        <v>1.6004986757617301</v>
      </c>
      <c r="O25" s="344">
        <v>2.16855385825095</v>
      </c>
      <c r="P25" s="344">
        <v>2.7977474632885402</v>
      </c>
      <c r="Q25" s="344">
        <v>3.5743040182210501</v>
      </c>
      <c r="R25" s="344">
        <v>4.7026258361351099</v>
      </c>
      <c r="S25" s="344">
        <v>6.1268047805733099</v>
      </c>
      <c r="T25" s="344">
        <v>7.7510707692751497</v>
      </c>
      <c r="U25" s="344">
        <v>10.298309919728601</v>
      </c>
      <c r="V25" s="344">
        <v>13.0284759920612</v>
      </c>
      <c r="W25" s="344">
        <v>16.6447239076338</v>
      </c>
      <c r="X25" s="344">
        <v>21.8990629460591</v>
      </c>
      <c r="Y25" s="344">
        <v>27.704683396135898</v>
      </c>
      <c r="Z25" s="21">
        <v>35.049421245590501</v>
      </c>
      <c r="AA25" s="21">
        <v>45.664054323381599</v>
      </c>
      <c r="AB25" s="21">
        <v>59.493303545235797</v>
      </c>
      <c r="AC25" s="21">
        <v>77.510707692751595</v>
      </c>
      <c r="AD25" s="21">
        <v>99.024961186350595</v>
      </c>
      <c r="AE25" s="21">
        <v>129.01443294311599</v>
      </c>
      <c r="AF25" s="21">
        <v>163.217212856327</v>
      </c>
      <c r="AG25" s="21">
        <v>212.64715391898099</v>
      </c>
      <c r="AH25" s="21">
        <v>277.04683396135903</v>
      </c>
      <c r="AI25" s="21">
        <v>364.50385657304997</v>
      </c>
      <c r="AJ25" s="21">
        <v>465.67734089720898</v>
      </c>
      <c r="AK25" s="211">
        <v>594.93303545235801</v>
      </c>
    </row>
    <row r="26" spans="1:50" ht="15.75" customHeight="1">
      <c r="A26" s="204">
        <v>6</v>
      </c>
      <c r="B26" s="201">
        <v>3</v>
      </c>
      <c r="C26" s="343">
        <v>0.102983099197286</v>
      </c>
      <c r="D26" s="343">
        <v>0.12901443294311599</v>
      </c>
      <c r="E26" s="343">
        <v>0.16644723907633799</v>
      </c>
      <c r="F26" s="343">
        <v>0.218990629460591</v>
      </c>
      <c r="G26" s="343">
        <v>0.27977474632885402</v>
      </c>
      <c r="H26" s="343">
        <v>0.36094980249421399</v>
      </c>
      <c r="I26" s="343">
        <v>0.45218812069842801</v>
      </c>
      <c r="J26" s="343">
        <v>0.60670660559262002</v>
      </c>
      <c r="K26" s="343">
        <v>0.77510707692751502</v>
      </c>
      <c r="L26" s="343">
        <v>0.99024961186350602</v>
      </c>
      <c r="M26" s="343">
        <v>1.2775649214671101</v>
      </c>
      <c r="N26" s="343">
        <v>1.6004986757617301</v>
      </c>
      <c r="O26" s="343">
        <v>2.16855385825095</v>
      </c>
      <c r="P26" s="343">
        <v>2.7977474632885402</v>
      </c>
      <c r="Q26" s="343">
        <v>3.5743040182210501</v>
      </c>
      <c r="R26" s="343">
        <v>4.7026258361351099</v>
      </c>
      <c r="S26" s="343">
        <v>6.1268047805733099</v>
      </c>
      <c r="T26" s="343">
        <v>7.7510707692751497</v>
      </c>
      <c r="U26" s="343">
        <v>10.298309919728601</v>
      </c>
      <c r="V26" s="343">
        <v>13.0284759920612</v>
      </c>
      <c r="W26" s="343">
        <v>16.6447239076338</v>
      </c>
      <c r="X26" s="343">
        <v>21.8990629460591</v>
      </c>
      <c r="Y26" s="343">
        <v>27.704683396135898</v>
      </c>
      <c r="Z26" s="21">
        <v>35.049421245590501</v>
      </c>
      <c r="AA26" s="21">
        <v>45.664054323381599</v>
      </c>
      <c r="AB26" s="21">
        <v>59.493303545235797</v>
      </c>
      <c r="AC26" s="21">
        <v>77.510707692751595</v>
      </c>
      <c r="AD26" s="21">
        <v>99.024961186350595</v>
      </c>
      <c r="AE26" s="21">
        <v>129.01443294311599</v>
      </c>
      <c r="AF26" s="21">
        <v>163.217212856327</v>
      </c>
      <c r="AG26" s="21">
        <v>212.64715391898099</v>
      </c>
      <c r="AH26" s="21">
        <v>277.04683396135903</v>
      </c>
      <c r="AI26" s="21">
        <v>364.50385657304997</v>
      </c>
      <c r="AJ26" s="21">
        <v>465.67734089720898</v>
      </c>
      <c r="AK26" s="211">
        <v>594.93303545235801</v>
      </c>
    </row>
    <row r="27" spans="1:50" ht="15.75" customHeight="1">
      <c r="A27" s="204">
        <v>6</v>
      </c>
      <c r="B27" s="201">
        <v>4</v>
      </c>
      <c r="C27" s="344">
        <v>0.102983099197286</v>
      </c>
      <c r="D27" s="344">
        <v>0.12901443294311599</v>
      </c>
      <c r="E27" s="344">
        <v>0.16644723907633799</v>
      </c>
      <c r="F27" s="344">
        <v>0.218990629460591</v>
      </c>
      <c r="G27" s="344">
        <v>0.27977474632885402</v>
      </c>
      <c r="H27" s="344">
        <v>0.36094980249421399</v>
      </c>
      <c r="I27" s="344">
        <v>0.45218812069842801</v>
      </c>
      <c r="J27" s="344">
        <v>0.60670660559262002</v>
      </c>
      <c r="K27" s="344">
        <v>0.77510707692751502</v>
      </c>
      <c r="L27" s="344">
        <v>0.99024961186350602</v>
      </c>
      <c r="M27" s="344">
        <v>1.2775649214671101</v>
      </c>
      <c r="N27" s="344">
        <v>1.6004986757617301</v>
      </c>
      <c r="O27" s="344">
        <v>2.16855385825095</v>
      </c>
      <c r="P27" s="344">
        <v>2.7977474632885402</v>
      </c>
      <c r="Q27" s="344">
        <v>3.5743040182210501</v>
      </c>
      <c r="R27" s="344">
        <v>4.7026258361351099</v>
      </c>
      <c r="S27" s="344">
        <v>6.1268047805733099</v>
      </c>
      <c r="T27" s="344">
        <v>7.7510707692751497</v>
      </c>
      <c r="U27" s="344">
        <v>10.298309919728601</v>
      </c>
      <c r="V27" s="344">
        <v>13.0284759920612</v>
      </c>
      <c r="W27" s="344">
        <v>16.6447239076338</v>
      </c>
      <c r="X27" s="344">
        <v>21.8990629460591</v>
      </c>
      <c r="Y27" s="344">
        <v>27.704683396135898</v>
      </c>
      <c r="Z27" s="23">
        <v>35.049421245590501</v>
      </c>
      <c r="AA27" s="23">
        <v>45.664054323381599</v>
      </c>
      <c r="AB27" s="23">
        <v>59.493303545235797</v>
      </c>
      <c r="AC27" s="23">
        <v>77.510707692751595</v>
      </c>
      <c r="AD27" s="23">
        <v>99.024961186350595</v>
      </c>
      <c r="AE27" s="23">
        <v>129.01443294311599</v>
      </c>
      <c r="AF27" s="23">
        <v>163.217212856327</v>
      </c>
      <c r="AG27" s="23">
        <v>212.64715391898099</v>
      </c>
      <c r="AH27" s="23">
        <v>277.04683396135903</v>
      </c>
      <c r="AI27" s="23">
        <v>364.50385657304997</v>
      </c>
      <c r="AJ27" s="23">
        <v>465.67734089720898</v>
      </c>
      <c r="AK27" s="212">
        <v>594.93303545235801</v>
      </c>
    </row>
    <row r="28" spans="1:50" ht="15.75" customHeight="1">
      <c r="A28" s="203">
        <v>7</v>
      </c>
      <c r="B28" s="200">
        <v>1</v>
      </c>
      <c r="C28" s="350">
        <v>7.1068089589057595E-2</v>
      </c>
      <c r="D28" s="350">
        <v>0.1</v>
      </c>
      <c r="E28" s="350">
        <v>0.147049690520796</v>
      </c>
      <c r="F28" s="350">
        <v>0.21152361090237501</v>
      </c>
      <c r="G28" s="350">
        <v>0.31449059016463299</v>
      </c>
      <c r="H28" s="350">
        <v>0.45739043814781299</v>
      </c>
      <c r="I28" s="350">
        <v>0.68004223365473404</v>
      </c>
      <c r="J28" s="350">
        <v>0.98904331302099402</v>
      </c>
      <c r="K28" s="350">
        <v>1.4704969052079599</v>
      </c>
      <c r="L28" s="350">
        <v>2.1386688339895299</v>
      </c>
      <c r="M28" s="350">
        <v>3.1797453764085799</v>
      </c>
      <c r="N28" s="350">
        <v>4.6245743955411998</v>
      </c>
      <c r="O28" s="350">
        <v>6.8757578631978298</v>
      </c>
      <c r="P28" s="350">
        <v>10</v>
      </c>
      <c r="Q28" s="350">
        <v>14.543851309140001</v>
      </c>
      <c r="R28" s="350">
        <v>21.152361090237498</v>
      </c>
      <c r="S28" s="350">
        <v>31.449059016463298</v>
      </c>
      <c r="T28" s="350">
        <v>46.758057353581599</v>
      </c>
      <c r="U28" s="350">
        <v>65.793322465756702</v>
      </c>
      <c r="V28" s="350">
        <v>101.107806587917</v>
      </c>
      <c r="W28" s="350">
        <v>140.71012824213699</v>
      </c>
      <c r="X28" s="350">
        <v>213.86688339895301</v>
      </c>
      <c r="Y28" s="351"/>
    </row>
    <row r="29" spans="1:50" ht="15.75" customHeight="1">
      <c r="A29" s="204">
        <v>7</v>
      </c>
      <c r="B29" s="201">
        <v>2</v>
      </c>
      <c r="C29" s="344">
        <v>0.14543851309139999</v>
      </c>
      <c r="D29" s="344">
        <v>0.32505864635467102</v>
      </c>
      <c r="E29" s="344">
        <v>0.69519279617756002</v>
      </c>
      <c r="F29" s="344">
        <v>1.50325789298109</v>
      </c>
      <c r="G29" s="344">
        <v>3.2149708051674399</v>
      </c>
      <c r="H29" s="344">
        <v>6.9519279617756</v>
      </c>
      <c r="I29" s="344">
        <v>14.543851309140001</v>
      </c>
      <c r="J29" s="344">
        <v>32.149708051674402</v>
      </c>
      <c r="K29" s="344">
        <v>67.259122376807596</v>
      </c>
      <c r="L29" s="344">
        <v>148.678716679898</v>
      </c>
      <c r="M29" s="344">
        <v>314.49059016463298</v>
      </c>
      <c r="N29" s="352"/>
      <c r="O29" s="342"/>
      <c r="P29" s="342"/>
      <c r="Q29" s="342"/>
      <c r="R29" s="342"/>
      <c r="S29" s="342"/>
      <c r="T29" s="342"/>
      <c r="U29" s="342"/>
      <c r="V29" s="342"/>
      <c r="W29" s="342"/>
      <c r="X29" s="342"/>
      <c r="Y29" s="344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</row>
    <row r="30" spans="1:50" ht="15.75" customHeight="1">
      <c r="A30" s="203">
        <v>8</v>
      </c>
      <c r="B30" s="200">
        <v>1</v>
      </c>
      <c r="C30" s="353"/>
      <c r="D30" s="244"/>
      <c r="E30" s="244"/>
      <c r="F30" s="244"/>
      <c r="G30" s="244"/>
      <c r="H30" s="244"/>
      <c r="I30" s="244"/>
      <c r="J30" s="244"/>
      <c r="K30" s="354"/>
      <c r="L30" s="354"/>
      <c r="M30" s="244"/>
      <c r="N30" s="274"/>
      <c r="O30" s="274"/>
      <c r="P30" s="274"/>
      <c r="Q30" s="274"/>
      <c r="R30" s="274"/>
      <c r="S30" s="274"/>
      <c r="T30" s="274"/>
      <c r="U30" s="274"/>
      <c r="V30" s="274"/>
      <c r="W30" s="274"/>
      <c r="X30" s="274"/>
      <c r="Y30" s="274"/>
    </row>
    <row r="31" spans="1:50" ht="15.75" customHeight="1">
      <c r="A31" s="204">
        <v>8</v>
      </c>
      <c r="B31" s="201">
        <v>2</v>
      </c>
      <c r="C31" s="355"/>
      <c r="D31" s="326"/>
      <c r="E31" s="326"/>
      <c r="F31" s="326"/>
      <c r="G31" s="326"/>
      <c r="H31" s="326"/>
      <c r="I31" s="326"/>
      <c r="J31" s="326"/>
      <c r="K31" s="356"/>
      <c r="L31" s="356"/>
      <c r="M31" s="326"/>
      <c r="N31" s="326"/>
      <c r="O31" s="326"/>
      <c r="P31" s="326"/>
      <c r="Q31" s="326"/>
      <c r="R31" s="326"/>
      <c r="S31" s="326"/>
      <c r="T31" s="326"/>
      <c r="U31" s="326"/>
      <c r="V31" s="326"/>
      <c r="W31" s="326"/>
      <c r="X31" s="326"/>
      <c r="Y31" s="326"/>
    </row>
    <row r="32" spans="1:50" ht="15.75" customHeight="1">
      <c r="A32" s="204">
        <v>8</v>
      </c>
      <c r="B32" s="201">
        <v>3</v>
      </c>
      <c r="C32" s="357"/>
      <c r="D32" s="274"/>
      <c r="E32" s="274"/>
      <c r="F32" s="274"/>
      <c r="G32" s="274"/>
      <c r="H32" s="274"/>
      <c r="I32" s="274"/>
      <c r="J32" s="274"/>
      <c r="K32" s="358"/>
      <c r="L32" s="358"/>
      <c r="M32" s="274"/>
      <c r="N32" s="274"/>
      <c r="O32" s="274"/>
      <c r="P32" s="274"/>
      <c r="Q32" s="274"/>
      <c r="R32" s="274"/>
      <c r="S32" s="274"/>
      <c r="T32" s="274"/>
      <c r="U32" s="274"/>
      <c r="V32" s="274"/>
      <c r="W32" s="274"/>
      <c r="X32" s="274"/>
      <c r="Y32" s="274"/>
    </row>
    <row r="33" spans="1:47" ht="15.75" customHeight="1">
      <c r="A33" s="204">
        <v>8</v>
      </c>
      <c r="B33" s="201">
        <v>4</v>
      </c>
      <c r="C33" s="355"/>
      <c r="D33" s="326"/>
      <c r="E33" s="326"/>
      <c r="F33" s="326"/>
      <c r="G33" s="326"/>
      <c r="H33" s="326"/>
      <c r="I33" s="326"/>
      <c r="J33" s="326"/>
      <c r="K33" s="356"/>
      <c r="L33" s="356"/>
      <c r="M33" s="326"/>
      <c r="N33" s="326"/>
      <c r="O33" s="326"/>
      <c r="P33" s="326"/>
      <c r="Q33" s="326"/>
      <c r="R33" s="326"/>
      <c r="S33" s="326"/>
      <c r="T33" s="326"/>
      <c r="U33" s="326"/>
      <c r="V33" s="326"/>
      <c r="W33" s="326"/>
      <c r="X33" s="326"/>
      <c r="Y33" s="326"/>
    </row>
    <row r="34" spans="1:47" ht="15.75" customHeight="1">
      <c r="A34" s="203">
        <v>9</v>
      </c>
      <c r="B34" s="200">
        <v>1</v>
      </c>
      <c r="C34" s="357"/>
      <c r="D34" s="274"/>
      <c r="E34" s="274"/>
      <c r="F34" s="274"/>
      <c r="G34" s="274"/>
      <c r="H34" s="274"/>
      <c r="I34" s="274"/>
      <c r="J34" s="274"/>
      <c r="K34" s="358"/>
      <c r="L34" s="358"/>
      <c r="M34" s="274"/>
      <c r="N34" s="274"/>
      <c r="O34" s="274"/>
      <c r="P34" s="274"/>
      <c r="Q34" s="274"/>
      <c r="R34" s="274"/>
      <c r="S34" s="274"/>
      <c r="T34" s="274"/>
      <c r="U34" s="274"/>
      <c r="V34" s="274"/>
      <c r="W34" s="274"/>
      <c r="X34" s="274"/>
      <c r="Y34" s="274"/>
    </row>
    <row r="35" spans="1:47" ht="15.75" customHeight="1">
      <c r="A35" s="204">
        <v>9</v>
      </c>
      <c r="B35" s="201">
        <v>2</v>
      </c>
      <c r="C35" s="355"/>
      <c r="D35" s="326"/>
      <c r="E35" s="326"/>
      <c r="F35" s="326"/>
      <c r="G35" s="326"/>
      <c r="H35" s="326"/>
      <c r="I35" s="326"/>
      <c r="J35" s="326"/>
      <c r="K35" s="356"/>
      <c r="L35" s="356"/>
      <c r="M35" s="326"/>
      <c r="N35" s="326"/>
      <c r="O35" s="326"/>
      <c r="P35" s="326"/>
      <c r="Q35" s="326"/>
      <c r="R35" s="326"/>
      <c r="S35" s="326"/>
      <c r="T35" s="326"/>
      <c r="U35" s="326"/>
      <c r="V35" s="326"/>
      <c r="W35" s="326"/>
      <c r="X35" s="326"/>
      <c r="Y35" s="326"/>
    </row>
    <row r="36" spans="1:47" ht="15.75" customHeight="1">
      <c r="A36" s="204">
        <v>9</v>
      </c>
      <c r="B36" s="201">
        <v>3</v>
      </c>
      <c r="C36" s="357"/>
      <c r="D36" s="274"/>
      <c r="E36" s="274"/>
      <c r="F36" s="274"/>
      <c r="G36" s="274"/>
      <c r="H36" s="274"/>
      <c r="I36" s="274"/>
      <c r="J36" s="274"/>
      <c r="K36" s="358"/>
      <c r="L36" s="358"/>
      <c r="M36" s="274"/>
      <c r="N36" s="274"/>
      <c r="O36" s="274"/>
      <c r="P36" s="274"/>
      <c r="Q36" s="274"/>
      <c r="R36" s="274"/>
      <c r="S36" s="274"/>
      <c r="T36" s="274"/>
      <c r="U36" s="274"/>
      <c r="V36" s="274"/>
      <c r="W36" s="274"/>
      <c r="X36" s="274"/>
      <c r="Y36" s="274"/>
    </row>
    <row r="37" spans="1:47" ht="15.75" customHeight="1">
      <c r="A37" s="204">
        <v>9</v>
      </c>
      <c r="B37" s="201">
        <v>4</v>
      </c>
      <c r="C37" s="355"/>
      <c r="D37" s="326"/>
      <c r="E37" s="326"/>
      <c r="F37" s="326"/>
      <c r="G37" s="326"/>
      <c r="H37" s="326"/>
      <c r="I37" s="326"/>
      <c r="J37" s="326"/>
      <c r="K37" s="356"/>
      <c r="L37" s="356"/>
      <c r="M37" s="326"/>
      <c r="N37" s="326"/>
      <c r="O37" s="326"/>
      <c r="P37" s="326"/>
      <c r="Q37" s="326"/>
      <c r="R37" s="326"/>
      <c r="S37" s="326"/>
      <c r="T37" s="326"/>
      <c r="U37" s="326"/>
      <c r="V37" s="326"/>
      <c r="W37" s="326"/>
      <c r="X37" s="326"/>
      <c r="Y37" s="326"/>
    </row>
    <row r="38" spans="1:47" ht="15.75" customHeight="1">
      <c r="A38" s="199">
        <v>11</v>
      </c>
      <c r="B38" s="200" t="s">
        <v>221</v>
      </c>
      <c r="C38" s="359">
        <f>6.283185*Angular_frequency!C38</f>
        <v>6.2831849999999996</v>
      </c>
      <c r="D38" s="359">
        <f>6.283185*Angular_frequency!D38</f>
        <v>62.831849999999996</v>
      </c>
      <c r="E38" s="359">
        <f>6.283185*Angular_frequency!E38</f>
        <v>125.66369999999999</v>
      </c>
      <c r="F38" s="359">
        <f>6.283185*Angular_frequency!F38</f>
        <v>188.49554999999998</v>
      </c>
      <c r="G38" s="359">
        <f>6.283185*Angular_frequency!G38</f>
        <v>251.32739999999998</v>
      </c>
      <c r="H38" s="359">
        <f>6.283185*Angular_frequency!H38</f>
        <v>314.15924999999999</v>
      </c>
      <c r="I38" s="359">
        <f>6.283185*Angular_frequency!I38</f>
        <v>376.99109999999996</v>
      </c>
      <c r="J38" s="359">
        <f>6.283185*Angular_frequency!J38</f>
        <v>439.82294999999999</v>
      </c>
      <c r="K38" s="359">
        <f>6.283185*Angular_frequency!K38</f>
        <v>502.65479999999997</v>
      </c>
      <c r="L38" s="359">
        <f>6.283185*Angular_frequency!L38</f>
        <v>565.48664999999994</v>
      </c>
      <c r="M38" s="360">
        <f>6.283185*Angular_frequency!M38</f>
        <v>628.31849999999997</v>
      </c>
      <c r="N38" s="448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12"/>
      <c r="AU38" s="2"/>
    </row>
    <row r="39" spans="1:47" ht="15.75" customHeight="1">
      <c r="A39" s="196">
        <v>11</v>
      </c>
      <c r="B39" s="201" t="s">
        <v>222</v>
      </c>
      <c r="C39" s="26">
        <f>6.283185*Angular_frequency!C39</f>
        <v>6.2831849999999996</v>
      </c>
      <c r="D39" s="26">
        <f>6.283185*Angular_frequency!D39</f>
        <v>62.831849999999996</v>
      </c>
      <c r="E39" s="26">
        <f>6.283185*Angular_frequency!E39</f>
        <v>125.66369999999999</v>
      </c>
      <c r="F39" s="26">
        <f>6.283185*Angular_frequency!F39</f>
        <v>188.49554999999998</v>
      </c>
      <c r="G39" s="26">
        <f>6.283185*Angular_frequency!G39</f>
        <v>251.32739999999998</v>
      </c>
      <c r="H39" s="26">
        <f>6.283185*Angular_frequency!H39</f>
        <v>314.15924999999999</v>
      </c>
      <c r="I39" s="26">
        <f>6.283185*Angular_frequency!I39</f>
        <v>376.99109999999996</v>
      </c>
      <c r="J39" s="26">
        <f>6.283185*Angular_frequency!J39</f>
        <v>439.82294999999999</v>
      </c>
      <c r="K39" s="26">
        <f>6.283185*Angular_frequency!K39</f>
        <v>502.65479999999997</v>
      </c>
      <c r="L39" s="447">
        <f>6.283185*Angular_frequency!L39</f>
        <v>565.48664999999994</v>
      </c>
      <c r="M39" s="361">
        <f>6.283185*Angular_frequency!M39</f>
        <v>628.31849999999997</v>
      </c>
      <c r="N39" s="448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12"/>
      <c r="AU39" s="2"/>
    </row>
    <row r="40" spans="1:47" ht="15.75" customHeight="1">
      <c r="A40" s="196">
        <v>11</v>
      </c>
      <c r="B40" s="201" t="s">
        <v>223</v>
      </c>
      <c r="C40" s="26">
        <f>6.283185*Angular_frequency!C40</f>
        <v>6.2831849999999996</v>
      </c>
      <c r="D40" s="26">
        <f>6.283185*Angular_frequency!D40</f>
        <v>62.831849999999996</v>
      </c>
      <c r="E40" s="26">
        <f>6.283185*Angular_frequency!E40</f>
        <v>125.66369999999999</v>
      </c>
      <c r="F40" s="26">
        <f>6.283185*Angular_frequency!F40</f>
        <v>188.49554999999998</v>
      </c>
      <c r="G40" s="26">
        <f>6.283185*Angular_frequency!G40</f>
        <v>251.32739999999998</v>
      </c>
      <c r="H40" s="26">
        <f>6.283185*Angular_frequency!H40</f>
        <v>314.15924999999999</v>
      </c>
      <c r="I40" s="26">
        <f>6.283185*Angular_frequency!I40</f>
        <v>376.99109999999996</v>
      </c>
      <c r="J40" s="26">
        <f>6.283185*Angular_frequency!J40</f>
        <v>439.82294999999999</v>
      </c>
      <c r="K40" s="26">
        <f>6.283185*Angular_frequency!K40</f>
        <v>502.65479999999997</v>
      </c>
      <c r="L40" s="447">
        <f>6.283185*Angular_frequency!L40</f>
        <v>565.48664999999994</v>
      </c>
      <c r="M40" s="361">
        <f>6.283185*Angular_frequency!M40</f>
        <v>628.31849999999997</v>
      </c>
      <c r="N40" s="448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12"/>
      <c r="AU40" s="2"/>
    </row>
    <row r="41" spans="1:47" ht="15.75" customHeight="1">
      <c r="A41" s="362">
        <v>11</v>
      </c>
      <c r="B41" s="202" t="s">
        <v>224</v>
      </c>
      <c r="C41" s="29">
        <f>6.283185*Angular_frequency!C41</f>
        <v>6.2831849999999996</v>
      </c>
      <c r="D41" s="29">
        <f>6.283185*Angular_frequency!D41</f>
        <v>62.831849999999996</v>
      </c>
      <c r="E41" s="29">
        <f>6.283185*Angular_frequency!E41</f>
        <v>125.66369999999999</v>
      </c>
      <c r="F41" s="29">
        <f>6.283185*Angular_frequency!F41</f>
        <v>188.49554999999998</v>
      </c>
      <c r="G41" s="29">
        <f>6.283185*Angular_frequency!G41</f>
        <v>251.32739999999998</v>
      </c>
      <c r="H41" s="29">
        <f>6.283185*Angular_frequency!H41</f>
        <v>314.15924999999999</v>
      </c>
      <c r="I41" s="29">
        <f>6.283185*Angular_frequency!I41</f>
        <v>376.99109999999996</v>
      </c>
      <c r="J41" s="29">
        <f>6.283185*Angular_frequency!J41</f>
        <v>439.82294999999999</v>
      </c>
      <c r="K41" s="29">
        <f>6.283185*Angular_frequency!K41</f>
        <v>502.65479999999997</v>
      </c>
      <c r="L41" s="29">
        <f>6.283185*Angular_frequency!L41</f>
        <v>565.48664999999994</v>
      </c>
      <c r="M41" s="363">
        <f>6.283185*Angular_frequency!M41</f>
        <v>628.31849999999997</v>
      </c>
      <c r="N41" s="448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12"/>
      <c r="AU41" s="2"/>
    </row>
    <row r="42" spans="1:47" ht="15.75" customHeight="1">
      <c r="A42" s="204">
        <v>11</v>
      </c>
      <c r="B42" s="201" t="s">
        <v>225</v>
      </c>
      <c r="C42" s="357"/>
      <c r="D42" s="274"/>
      <c r="E42" s="274"/>
      <c r="F42" s="274"/>
      <c r="G42" s="274"/>
      <c r="H42" s="274"/>
      <c r="I42" s="274"/>
      <c r="J42" s="274"/>
      <c r="K42" s="274"/>
      <c r="L42" s="274"/>
      <c r="M42" s="274"/>
      <c r="N42" s="274"/>
      <c r="O42" s="274"/>
      <c r="P42" s="274"/>
      <c r="Q42" s="274"/>
      <c r="R42" s="274"/>
      <c r="S42" s="274"/>
      <c r="T42" s="274"/>
      <c r="U42" s="274"/>
      <c r="V42" s="274"/>
      <c r="W42" s="274"/>
      <c r="X42" s="274"/>
      <c r="Y42" s="274"/>
    </row>
    <row r="43" spans="1:47" ht="15.75" customHeight="1">
      <c r="A43" s="204">
        <v>11</v>
      </c>
      <c r="B43" s="201" t="s">
        <v>226</v>
      </c>
      <c r="C43" s="355"/>
      <c r="D43" s="326"/>
      <c r="E43" s="326"/>
      <c r="F43" s="326"/>
      <c r="G43" s="326"/>
      <c r="H43" s="326"/>
      <c r="I43" s="326"/>
      <c r="J43" s="326"/>
      <c r="K43" s="326"/>
      <c r="L43" s="326"/>
      <c r="M43" s="326"/>
      <c r="N43" s="326"/>
      <c r="O43" s="326"/>
      <c r="P43" s="326"/>
      <c r="Q43" s="326"/>
      <c r="R43" s="326"/>
      <c r="S43" s="326"/>
      <c r="T43" s="326"/>
      <c r="U43" s="326"/>
      <c r="V43" s="326"/>
      <c r="W43" s="326"/>
      <c r="X43" s="326"/>
      <c r="Y43" s="326"/>
    </row>
    <row r="44" spans="1:47" ht="15.75" customHeight="1">
      <c r="A44" s="204">
        <v>11</v>
      </c>
      <c r="B44" s="201" t="s">
        <v>227</v>
      </c>
      <c r="C44" s="357"/>
      <c r="D44" s="274"/>
      <c r="E44" s="274"/>
      <c r="F44" s="274"/>
      <c r="G44" s="274"/>
      <c r="H44" s="274"/>
      <c r="I44" s="274"/>
      <c r="J44" s="274"/>
      <c r="K44" s="274"/>
      <c r="L44" s="274"/>
      <c r="M44" s="274"/>
      <c r="N44" s="274"/>
      <c r="O44" s="274"/>
      <c r="P44" s="274"/>
      <c r="Q44" s="274"/>
      <c r="R44" s="274"/>
      <c r="S44" s="274"/>
      <c r="T44" s="274"/>
      <c r="U44" s="274"/>
      <c r="V44" s="274"/>
      <c r="W44" s="274"/>
      <c r="X44" s="274"/>
      <c r="Y44" s="274"/>
    </row>
    <row r="45" spans="1:47" ht="15.75" customHeight="1">
      <c r="A45" s="204">
        <v>11</v>
      </c>
      <c r="B45" s="201" t="s">
        <v>228</v>
      </c>
      <c r="C45" s="355"/>
      <c r="D45" s="326"/>
      <c r="E45" s="326"/>
      <c r="F45" s="326"/>
      <c r="G45" s="326"/>
      <c r="H45" s="326"/>
      <c r="I45" s="326"/>
      <c r="J45" s="326"/>
      <c r="K45" s="326"/>
      <c r="L45" s="326"/>
      <c r="M45" s="326"/>
      <c r="N45" s="326"/>
      <c r="O45" s="326"/>
      <c r="P45" s="326"/>
      <c r="Q45" s="326"/>
      <c r="R45" s="326"/>
      <c r="S45" s="326"/>
      <c r="T45" s="326"/>
      <c r="U45" s="326"/>
      <c r="V45" s="326"/>
      <c r="W45" s="326"/>
      <c r="X45" s="326"/>
      <c r="Y45" s="326"/>
      <c r="Z45" s="2"/>
      <c r="AA45" s="2"/>
    </row>
    <row r="46" spans="1:47" ht="15.75" customHeight="1">
      <c r="A46" s="199">
        <v>12</v>
      </c>
      <c r="B46" s="200" t="s">
        <v>221</v>
      </c>
      <c r="C46" s="364">
        <f>Angular_frequency!C46*6.283185</f>
        <v>6.3893853377617438E-2</v>
      </c>
      <c r="D46" s="350">
        <f>Angular_frequency!D46*6.283185</f>
        <v>9.2385693031742711E-2</v>
      </c>
      <c r="E46" s="350">
        <f>Angular_frequency!E46*6.283185</f>
        <v>0.13026604657928553</v>
      </c>
      <c r="F46" s="350">
        <f>Angular_frequency!F46*6.283185</f>
        <v>0.19806824430317382</v>
      </c>
      <c r="G46" s="350">
        <f>Angular_frequency!G46*6.283185</f>
        <v>0.29123261081092988</v>
      </c>
      <c r="H46" s="350">
        <f>Angular_frequency!H46*6.283185</f>
        <v>0.42821795925492778</v>
      </c>
      <c r="I46" s="350">
        <f>Angular_frequency!I46*6.283185</f>
        <v>0.62438165493146869</v>
      </c>
      <c r="J46" s="350">
        <f>Angular_frequency!J46*6.283185</f>
        <v>0.91806833488350914</v>
      </c>
      <c r="K46" s="350">
        <f>Angular_frequency!K46*6.283185</f>
        <v>1.3274575704088409</v>
      </c>
      <c r="L46" s="350">
        <f>Angular_frequency!L46*6.283185</f>
        <v>1.9682721130666399</v>
      </c>
      <c r="M46" s="350">
        <f>Angular_frequency!M46*6.283185</f>
        <v>2.9184323457379135</v>
      </c>
      <c r="N46" s="350">
        <f>Angular_frequency!N46*6.283185</f>
        <v>4.291160728538336</v>
      </c>
      <c r="O46" s="350">
        <f>Angular_frequency!O46*6.283185</f>
        <v>6.256911881798576</v>
      </c>
      <c r="P46" s="350">
        <f>Angular_frequency!P46*6.283185</f>
        <v>9.0470168925574832</v>
      </c>
      <c r="Q46" s="350">
        <f>Angular_frequency!Q46*6.283185</f>
        <v>13.527258413118803</v>
      </c>
      <c r="R46" s="350">
        <f>Angular_frequency!R46*6.283185</f>
        <v>19.724002256618487</v>
      </c>
      <c r="S46" s="350">
        <f>Angular_frequency!S46*6.283185</f>
        <v>29.739887636714165</v>
      </c>
      <c r="T46" s="350">
        <f>Angular_frequency!T46*6.283185</f>
        <v>42.642709455821894</v>
      </c>
      <c r="U46" s="350">
        <f>Angular_frequency!U46*6.283185</f>
        <v>63.22805719011361</v>
      </c>
      <c r="V46" s="350">
        <f>Angular_frequency!V46*6.283185</f>
        <v>90.659914561532631</v>
      </c>
      <c r="W46" s="350">
        <f>Angular_frequency!W46*6.283185</f>
        <v>134.4250948379831</v>
      </c>
      <c r="X46" s="350">
        <f>Angular_frequency!X46*6.283185</f>
        <v>196.00430426901465</v>
      </c>
      <c r="Y46" s="350">
        <f>Angular_frequency!Y46*6.283185</f>
        <v>293.06870041749937</v>
      </c>
      <c r="Z46" s="350">
        <f>Angular_frequency!Z46*6.283185</f>
        <v>430.91795491917145</v>
      </c>
      <c r="AA46" s="134">
        <f>Angular_frequency!AA46*6.283185</f>
        <v>623.07446406603958</v>
      </c>
      <c r="AB46" s="2"/>
    </row>
    <row r="47" spans="1:47" ht="15.75" customHeight="1">
      <c r="A47" s="196">
        <v>12</v>
      </c>
      <c r="B47" s="201" t="s">
        <v>222</v>
      </c>
      <c r="C47" s="365">
        <f>Angular_frequency!C47*6.283185</f>
        <v>6.3893853377617438E-2</v>
      </c>
      <c r="D47" s="366">
        <f>Angular_frequency!D47*6.283185</f>
        <v>9.2385693031742711E-2</v>
      </c>
      <c r="E47" s="366">
        <f>Angular_frequency!E47*6.283185</f>
        <v>0.13026604657928553</v>
      </c>
      <c r="F47" s="366">
        <f>Angular_frequency!F47*6.283185</f>
        <v>0.19806824430317382</v>
      </c>
      <c r="G47" s="366">
        <f>Angular_frequency!G47*6.283185</f>
        <v>0.29123261081092988</v>
      </c>
      <c r="H47" s="366">
        <f>Angular_frequency!H47*6.283185</f>
        <v>0.42821795925492778</v>
      </c>
      <c r="I47" s="366">
        <f>Angular_frequency!I47*6.283185</f>
        <v>0.62438165493146869</v>
      </c>
      <c r="J47" s="366">
        <f>Angular_frequency!J47*6.283185</f>
        <v>0.91806833488350914</v>
      </c>
      <c r="K47" s="366">
        <f>Angular_frequency!K47*6.283185</f>
        <v>1.3274575704088409</v>
      </c>
      <c r="L47" s="366">
        <f>Angular_frequency!L47*6.283185</f>
        <v>1.9682721130666399</v>
      </c>
      <c r="M47" s="366">
        <f>Angular_frequency!M47*6.283185</f>
        <v>2.9184323457379135</v>
      </c>
      <c r="N47" s="366">
        <f>Angular_frequency!N47*6.283185</f>
        <v>4.291160728538336</v>
      </c>
      <c r="O47" s="366">
        <f>Angular_frequency!O47*6.283185</f>
        <v>6.256911881798576</v>
      </c>
      <c r="P47" s="366">
        <f>Angular_frequency!P47*6.283185</f>
        <v>9.0470168925574832</v>
      </c>
      <c r="Q47" s="366">
        <f>Angular_frequency!Q47*6.283185</f>
        <v>13.527258413118803</v>
      </c>
      <c r="R47" s="366">
        <f>Angular_frequency!R47*6.283185</f>
        <v>19.724002256618487</v>
      </c>
      <c r="S47" s="366">
        <f>Angular_frequency!S47*6.283185</f>
        <v>29.739887636714165</v>
      </c>
      <c r="T47" s="366">
        <f>Angular_frequency!T47*6.283185</f>
        <v>42.642709455821894</v>
      </c>
      <c r="U47" s="366">
        <f>Angular_frequency!U47*6.283185</f>
        <v>63.22805719011361</v>
      </c>
      <c r="V47" s="366">
        <f>Angular_frequency!V47*6.283185</f>
        <v>90.659914561532631</v>
      </c>
      <c r="W47" s="366">
        <f>Angular_frequency!W47*6.283185</f>
        <v>134.4250948379831</v>
      </c>
      <c r="X47" s="366">
        <f>Angular_frequency!X47*6.283185</f>
        <v>196.00430426901465</v>
      </c>
      <c r="Y47" s="366">
        <f>Angular_frequency!Y47*6.283185</f>
        <v>293.06870041749937</v>
      </c>
      <c r="Z47" s="366">
        <f>Angular_frequency!Z47*6.283185</f>
        <v>430.91795491917145</v>
      </c>
      <c r="AA47" s="135">
        <f>Angular_frequency!AA47*6.283185</f>
        <v>623.07446406603958</v>
      </c>
      <c r="AB47" s="2"/>
    </row>
    <row r="48" spans="1:47" ht="15.75" customHeight="1">
      <c r="A48" s="196">
        <v>12</v>
      </c>
      <c r="B48" s="201" t="s">
        <v>223</v>
      </c>
      <c r="C48" s="365">
        <f>Angular_frequency!C48*6.283185</f>
        <v>6.3893853377617438E-2</v>
      </c>
      <c r="D48" s="366">
        <f>Angular_frequency!D48*6.283185</f>
        <v>9.2385693031742711E-2</v>
      </c>
      <c r="E48" s="366">
        <f>Angular_frequency!E48*6.283185</f>
        <v>0.13026604657928553</v>
      </c>
      <c r="F48" s="366">
        <f>Angular_frequency!F48*6.283185</f>
        <v>0.19806824430317382</v>
      </c>
      <c r="G48" s="366">
        <f>Angular_frequency!G48*6.283185</f>
        <v>0.29123261081092988</v>
      </c>
      <c r="H48" s="366">
        <f>Angular_frequency!H48*6.283185</f>
        <v>0.42821795925492778</v>
      </c>
      <c r="I48" s="366">
        <f>Angular_frequency!I48*6.283185</f>
        <v>0.62438165493146869</v>
      </c>
      <c r="J48" s="366">
        <f>Angular_frequency!J48*6.283185</f>
        <v>0.91806833488350914</v>
      </c>
      <c r="K48" s="366">
        <f>Angular_frequency!K48*6.283185</f>
        <v>1.3274575704088409</v>
      </c>
      <c r="L48" s="366">
        <f>Angular_frequency!L48*6.283185</f>
        <v>1.9682721130666399</v>
      </c>
      <c r="M48" s="366">
        <f>Angular_frequency!M48*6.283185</f>
        <v>2.9184323457379135</v>
      </c>
      <c r="N48" s="366">
        <f>Angular_frequency!N48*6.283185</f>
        <v>4.291160728538336</v>
      </c>
      <c r="O48" s="366">
        <f>Angular_frequency!O48*6.283185</f>
        <v>6.256911881798576</v>
      </c>
      <c r="P48" s="366">
        <f>Angular_frequency!P48*6.283185</f>
        <v>9.0470168925574832</v>
      </c>
      <c r="Q48" s="366">
        <f>Angular_frequency!Q48*6.283185</f>
        <v>13.527258413118803</v>
      </c>
      <c r="R48" s="366">
        <f>Angular_frequency!R48*6.283185</f>
        <v>19.724002256618487</v>
      </c>
      <c r="S48" s="366">
        <f>Angular_frequency!S48*6.283185</f>
        <v>29.739887636714165</v>
      </c>
      <c r="T48" s="366">
        <f>Angular_frequency!T48*6.283185</f>
        <v>42.642709455821894</v>
      </c>
      <c r="U48" s="366">
        <f>Angular_frequency!U48*6.283185</f>
        <v>63.22805719011361</v>
      </c>
      <c r="V48" s="366">
        <f>Angular_frequency!V48*6.283185</f>
        <v>90.659914561532631</v>
      </c>
      <c r="W48" s="366">
        <f>Angular_frequency!W48*6.283185</f>
        <v>134.4250948379831</v>
      </c>
      <c r="X48" s="366">
        <f>Angular_frequency!X48*6.283185</f>
        <v>196.00430426901465</v>
      </c>
      <c r="Y48" s="366">
        <f>Angular_frequency!Y48*6.283185</f>
        <v>293.06870041749937</v>
      </c>
      <c r="Z48" s="366">
        <f>Angular_frequency!Z48*6.283185</f>
        <v>430.91795491917145</v>
      </c>
      <c r="AA48" s="135">
        <f>Angular_frequency!AA48*6.283185</f>
        <v>623.07446406603958</v>
      </c>
      <c r="AB48" s="2"/>
    </row>
    <row r="49" spans="1:45" ht="15.75" customHeight="1">
      <c r="A49" s="196">
        <v>12</v>
      </c>
      <c r="B49" s="201" t="s">
        <v>224</v>
      </c>
      <c r="C49" s="365">
        <f>Angular_frequency!C49*6.283185</f>
        <v>6.3893853377617438E-2</v>
      </c>
      <c r="D49" s="366">
        <f>Angular_frequency!D49*6.283185</f>
        <v>9.2385693031742711E-2</v>
      </c>
      <c r="E49" s="366">
        <f>Angular_frequency!E49*6.283185</f>
        <v>0.13026604657928553</v>
      </c>
      <c r="F49" s="366">
        <f>Angular_frequency!F49*6.283185</f>
        <v>0.19806824430317382</v>
      </c>
      <c r="G49" s="366">
        <f>Angular_frequency!G49*6.283185</f>
        <v>0.29123261081092988</v>
      </c>
      <c r="H49" s="366">
        <f>Angular_frequency!H49*6.283185</f>
        <v>0.42821795925492778</v>
      </c>
      <c r="I49" s="366">
        <f>Angular_frequency!I49*6.283185</f>
        <v>0.62438165493146869</v>
      </c>
      <c r="J49" s="366">
        <f>Angular_frequency!J49*6.283185</f>
        <v>0.91806833488350914</v>
      </c>
      <c r="K49" s="366">
        <f>Angular_frequency!K49*6.283185</f>
        <v>1.3274575704088409</v>
      </c>
      <c r="L49" s="366">
        <f>Angular_frequency!L49*6.283185</f>
        <v>1.9682721130666399</v>
      </c>
      <c r="M49" s="366">
        <f>Angular_frequency!M49*6.283185</f>
        <v>2.9184323457379135</v>
      </c>
      <c r="N49" s="366">
        <f>Angular_frequency!N49*6.283185</f>
        <v>4.291160728538336</v>
      </c>
      <c r="O49" s="366">
        <f>Angular_frequency!O49*6.283185</f>
        <v>6.256911881798576</v>
      </c>
      <c r="P49" s="366">
        <f>Angular_frequency!P49*6.283185</f>
        <v>9.0470168925574832</v>
      </c>
      <c r="Q49" s="366">
        <f>Angular_frequency!Q49*6.283185</f>
        <v>13.527258413118803</v>
      </c>
      <c r="R49" s="366">
        <f>Angular_frequency!R49*6.283185</f>
        <v>19.724002256618487</v>
      </c>
      <c r="S49" s="366">
        <f>Angular_frequency!S49*6.283185</f>
        <v>29.739887636714165</v>
      </c>
      <c r="T49" s="366">
        <f>Angular_frequency!T49*6.283185</f>
        <v>42.642709455821894</v>
      </c>
      <c r="U49" s="366">
        <f>Angular_frequency!U49*6.283185</f>
        <v>63.22805719011361</v>
      </c>
      <c r="V49" s="366">
        <f>Angular_frequency!V49*6.283185</f>
        <v>90.659914561532631</v>
      </c>
      <c r="W49" s="366">
        <f>Angular_frequency!W49*6.283185</f>
        <v>134.4250948379831</v>
      </c>
      <c r="X49" s="366">
        <f>Angular_frequency!X49*6.283185</f>
        <v>196.00430426901465</v>
      </c>
      <c r="Y49" s="366">
        <f>Angular_frequency!Y49*6.283185</f>
        <v>293.06870041749937</v>
      </c>
      <c r="Z49" s="366">
        <f>Angular_frequency!Z49*6.283185</f>
        <v>430.91795491917145</v>
      </c>
      <c r="AA49" s="135">
        <f>Angular_frequency!AA49*6.283185</f>
        <v>623.07446406603958</v>
      </c>
      <c r="AB49" s="2"/>
    </row>
    <row r="50" spans="1:45" ht="15.75" customHeight="1">
      <c r="A50" s="196">
        <v>12</v>
      </c>
      <c r="B50" s="201" t="s">
        <v>229</v>
      </c>
      <c r="C50" s="367">
        <f>Angular_frequency!C50*6.283185</f>
        <v>6.3893853377617438E-2</v>
      </c>
      <c r="D50" s="368">
        <f>Angular_frequency!D50*6.283185</f>
        <v>9.2385693031742711E-2</v>
      </c>
      <c r="E50" s="368">
        <f>Angular_frequency!E50*6.283185</f>
        <v>0.13026604657928553</v>
      </c>
      <c r="F50" s="368">
        <f>Angular_frequency!F50*6.283185</f>
        <v>0.19806824430317382</v>
      </c>
      <c r="G50" s="368">
        <f>Angular_frequency!G50*6.283185</f>
        <v>0.29123261081092988</v>
      </c>
      <c r="H50" s="368">
        <f>Angular_frequency!H50*6.283185</f>
        <v>0.42821795925492778</v>
      </c>
      <c r="I50" s="368">
        <f>Angular_frequency!I50*6.283185</f>
        <v>0.62438165493146869</v>
      </c>
      <c r="J50" s="368">
        <f>Angular_frequency!J50*6.283185</f>
        <v>0.91806833488350914</v>
      </c>
      <c r="K50" s="368">
        <f>Angular_frequency!K50*6.283185</f>
        <v>1.3274575704088409</v>
      </c>
      <c r="L50" s="368">
        <f>Angular_frequency!L50*6.283185</f>
        <v>1.9682721130666399</v>
      </c>
      <c r="M50" s="368">
        <f>Angular_frequency!M50*6.283185</f>
        <v>2.9184323457379135</v>
      </c>
      <c r="N50" s="368">
        <f>Angular_frequency!N50*6.283185</f>
        <v>4.291160728538336</v>
      </c>
      <c r="O50" s="368">
        <f>Angular_frequency!O50*6.283185</f>
        <v>6.256911881798576</v>
      </c>
      <c r="P50" s="368">
        <f>Angular_frequency!P50*6.283185</f>
        <v>9.0470168925574832</v>
      </c>
      <c r="Q50" s="368">
        <f>Angular_frequency!Q50*6.283185</f>
        <v>13.527258413118803</v>
      </c>
      <c r="R50" s="368">
        <f>Angular_frequency!R50*6.283185</f>
        <v>19.724002256618487</v>
      </c>
      <c r="S50" s="368">
        <f>Angular_frequency!S50*6.283185</f>
        <v>29.739887636714165</v>
      </c>
      <c r="T50" s="368">
        <f>Angular_frequency!T50*6.283185</f>
        <v>42.642709455821894</v>
      </c>
      <c r="U50" s="368">
        <f>Angular_frequency!U50*6.283185</f>
        <v>63.22805719011361</v>
      </c>
      <c r="V50" s="368">
        <f>Angular_frequency!V50*6.283185</f>
        <v>90.659914561532631</v>
      </c>
      <c r="W50" s="368">
        <f>Angular_frequency!W50*6.283185</f>
        <v>134.4250948379831</v>
      </c>
      <c r="X50" s="368">
        <f>Angular_frequency!X50*6.283185</f>
        <v>196.00430426901465</v>
      </c>
      <c r="Y50" s="368">
        <f>Angular_frequency!Y50*6.283185</f>
        <v>293.06870041749937</v>
      </c>
      <c r="Z50" s="368">
        <f>Angular_frequency!Z50*6.283185</f>
        <v>430.91795491917145</v>
      </c>
      <c r="AA50" s="136">
        <f>Angular_frequency!AA50*6.283185</f>
        <v>623.07446406603958</v>
      </c>
      <c r="AB50" s="2"/>
    </row>
    <row r="51" spans="1:45" ht="15.75" customHeight="1">
      <c r="A51" s="203">
        <v>12</v>
      </c>
      <c r="B51" s="200" t="s">
        <v>225</v>
      </c>
      <c r="C51" s="369"/>
      <c r="D51" s="326"/>
      <c r="E51" s="326"/>
      <c r="F51" s="326"/>
      <c r="G51" s="326"/>
      <c r="H51" s="326"/>
      <c r="I51" s="326"/>
      <c r="J51" s="326"/>
      <c r="K51" s="326"/>
      <c r="L51" s="326"/>
      <c r="M51" s="326"/>
      <c r="N51" s="326"/>
      <c r="O51" s="326"/>
      <c r="P51" s="326"/>
      <c r="Q51" s="326"/>
      <c r="R51" s="326"/>
      <c r="S51" s="326"/>
      <c r="T51" s="326"/>
      <c r="U51" s="326"/>
      <c r="V51" s="326"/>
      <c r="W51" s="326"/>
      <c r="X51" s="326"/>
      <c r="Y51" s="326"/>
      <c r="Z51" s="2"/>
      <c r="AA51" s="2"/>
    </row>
    <row r="52" spans="1:45" ht="15.75" customHeight="1">
      <c r="A52" s="204">
        <v>12</v>
      </c>
      <c r="B52" s="201" t="s">
        <v>226</v>
      </c>
      <c r="C52" s="259"/>
      <c r="D52" s="274"/>
      <c r="E52" s="274"/>
      <c r="F52" s="274"/>
      <c r="G52" s="274"/>
      <c r="H52" s="274"/>
      <c r="I52" s="274"/>
      <c r="J52" s="274"/>
      <c r="K52" s="274"/>
      <c r="L52" s="274"/>
      <c r="M52" s="274"/>
      <c r="N52" s="274"/>
      <c r="O52" s="274"/>
      <c r="P52" s="274"/>
      <c r="Q52" s="274"/>
      <c r="R52" s="274"/>
      <c r="S52" s="274"/>
      <c r="T52" s="274"/>
      <c r="U52" s="274"/>
      <c r="V52" s="274"/>
      <c r="W52" s="274"/>
      <c r="X52" s="274"/>
      <c r="Y52" s="274"/>
    </row>
    <row r="53" spans="1:45" ht="15.75" customHeight="1">
      <c r="A53" s="204">
        <v>12</v>
      </c>
      <c r="B53" s="201" t="s">
        <v>227</v>
      </c>
      <c r="C53" s="369"/>
      <c r="D53" s="326"/>
      <c r="E53" s="326"/>
      <c r="F53" s="326"/>
      <c r="G53" s="326"/>
      <c r="H53" s="326"/>
      <c r="I53" s="326"/>
      <c r="J53" s="326"/>
      <c r="K53" s="326"/>
      <c r="L53" s="326"/>
      <c r="M53" s="326"/>
      <c r="N53" s="326"/>
      <c r="O53" s="326"/>
      <c r="P53" s="326"/>
      <c r="Q53" s="326"/>
      <c r="R53" s="326"/>
      <c r="S53" s="326"/>
      <c r="T53" s="326"/>
      <c r="U53" s="326"/>
      <c r="V53" s="326"/>
      <c r="W53" s="326"/>
      <c r="X53" s="326"/>
      <c r="Y53" s="326"/>
    </row>
    <row r="54" spans="1:45" ht="15.75" customHeight="1">
      <c r="A54" s="204">
        <v>12</v>
      </c>
      <c r="B54" s="201" t="s">
        <v>228</v>
      </c>
      <c r="C54" s="259"/>
      <c r="D54" s="274"/>
      <c r="E54" s="274"/>
      <c r="F54" s="274"/>
      <c r="G54" s="274"/>
      <c r="H54" s="274"/>
      <c r="I54" s="274"/>
      <c r="J54" s="274"/>
      <c r="K54" s="274"/>
      <c r="L54" s="274"/>
      <c r="M54" s="274"/>
      <c r="N54" s="274"/>
      <c r="O54" s="274"/>
      <c r="P54" s="274"/>
      <c r="Q54" s="274"/>
      <c r="R54" s="274"/>
      <c r="S54" s="274"/>
      <c r="T54" s="274"/>
      <c r="U54" s="274"/>
      <c r="V54" s="274"/>
      <c r="W54" s="274"/>
      <c r="X54" s="274"/>
      <c r="Y54" s="274"/>
    </row>
    <row r="55" spans="1:45" ht="15.75" customHeight="1">
      <c r="A55" s="204">
        <v>12</v>
      </c>
      <c r="B55" s="201" t="s">
        <v>230</v>
      </c>
      <c r="C55" s="369"/>
      <c r="D55" s="326"/>
      <c r="E55" s="326"/>
      <c r="F55" s="326"/>
      <c r="G55" s="326"/>
      <c r="H55" s="326"/>
      <c r="I55" s="326"/>
      <c r="J55" s="326"/>
      <c r="K55" s="326"/>
      <c r="L55" s="326"/>
      <c r="M55" s="326"/>
      <c r="N55" s="326"/>
      <c r="O55" s="326"/>
      <c r="P55" s="326"/>
      <c r="Q55" s="326"/>
      <c r="R55" s="326"/>
      <c r="S55" s="326"/>
      <c r="T55" s="326"/>
      <c r="U55" s="326"/>
      <c r="V55" s="326"/>
      <c r="W55" s="326"/>
      <c r="X55" s="326"/>
      <c r="Y55" s="326"/>
    </row>
    <row r="56" spans="1:45" ht="15.75" customHeight="1">
      <c r="A56" s="203">
        <v>13</v>
      </c>
      <c r="B56" s="200">
        <v>1</v>
      </c>
      <c r="C56" s="349">
        <v>0.51553025672583197</v>
      </c>
      <c r="D56" s="349">
        <v>0.574760139586875</v>
      </c>
      <c r="E56" s="349">
        <v>0.64736193128836494</v>
      </c>
      <c r="F56" s="349">
        <v>0.72913454016248402</v>
      </c>
      <c r="G56" s="349">
        <v>0.81567321766900003</v>
      </c>
      <c r="H56" s="349">
        <v>0.91248266109909704</v>
      </c>
      <c r="I56" s="349">
        <v>1.03475428361372</v>
      </c>
      <c r="J56" s="349">
        <v>1.16546100766585</v>
      </c>
      <c r="K56" s="349">
        <v>1.29495352405761</v>
      </c>
      <c r="L56" s="349">
        <v>1.46349313372846</v>
      </c>
      <c r="M56" s="349">
        <v>1.6539683569177099</v>
      </c>
      <c r="N56" s="349">
        <v>1.83150301570848</v>
      </c>
      <c r="O56" s="349">
        <v>2.0769223041159601</v>
      </c>
      <c r="P56" s="349">
        <v>2.31554207165465</v>
      </c>
      <c r="Q56" s="349">
        <v>2.6347613288793599</v>
      </c>
      <c r="R56" s="349">
        <v>2.9675756282842101</v>
      </c>
      <c r="S56" s="349">
        <v>3.3424299245093598</v>
      </c>
      <c r="T56" s="349">
        <v>3.7138019901048298</v>
      </c>
      <c r="U56" s="349">
        <v>4.1404845702896003</v>
      </c>
      <c r="V56" s="349">
        <v>4.6793731406980497</v>
      </c>
      <c r="W56" s="349">
        <v>5.3064037360798197</v>
      </c>
      <c r="X56" s="349">
        <v>5.8560479863541897</v>
      </c>
      <c r="Y56" s="349">
        <v>6.6633592899835996</v>
      </c>
      <c r="Z56" s="223">
        <v>7.4542123753105303</v>
      </c>
      <c r="AA56" s="223">
        <v>8.42438840828145</v>
      </c>
      <c r="AB56" s="223">
        <v>9.3286505214771491</v>
      </c>
      <c r="AC56" s="223">
        <v>10.542781799870401</v>
      </c>
      <c r="AD56" s="223">
        <v>11.754052985754701</v>
      </c>
      <c r="AE56" s="223">
        <v>13.419994977144899</v>
      </c>
      <c r="AF56" s="223">
        <v>15.3220486591533</v>
      </c>
      <c r="AG56" s="223">
        <v>16.8517611267464</v>
      </c>
      <c r="AH56" s="223">
        <v>18.9804196172372</v>
      </c>
      <c r="AI56" s="223">
        <v>21.377963177665698</v>
      </c>
      <c r="AJ56" s="223">
        <v>24.0783564769342</v>
      </c>
      <c r="AK56" s="223">
        <v>27.119854488103002</v>
      </c>
      <c r="AL56" s="223">
        <v>30.338624430131301</v>
      </c>
      <c r="AM56" s="223">
        <v>34.170898694956499</v>
      </c>
      <c r="AN56" s="223">
        <v>38.487253115579897</v>
      </c>
      <c r="AO56" s="223">
        <v>43.793083012851199</v>
      </c>
      <c r="AP56" s="223">
        <v>49.157516169684001</v>
      </c>
      <c r="AQ56" s="223">
        <v>55.366930329961797</v>
      </c>
      <c r="AR56" s="223">
        <v>63.645417461403902</v>
      </c>
      <c r="AS56" s="293">
        <v>68.820099754706305</v>
      </c>
    </row>
    <row r="57" spans="1:45" ht="15.75" customHeight="1">
      <c r="A57" s="204">
        <v>13</v>
      </c>
      <c r="B57" s="201">
        <v>2</v>
      </c>
      <c r="C57" s="344">
        <v>0.51553025672583197</v>
      </c>
      <c r="D57" s="344">
        <v>0.574760139586875</v>
      </c>
      <c r="E57" s="344">
        <v>0.64736193128836494</v>
      </c>
      <c r="F57" s="344">
        <v>0.72913454016248402</v>
      </c>
      <c r="G57" s="344">
        <v>0.81567321766900003</v>
      </c>
      <c r="H57" s="344">
        <v>0.91248266109909704</v>
      </c>
      <c r="I57" s="344">
        <v>1.03475428361372</v>
      </c>
      <c r="J57" s="344">
        <v>1.16546100766585</v>
      </c>
      <c r="K57" s="344">
        <v>1.29495352405761</v>
      </c>
      <c r="L57" s="344">
        <v>1.46349313372846</v>
      </c>
      <c r="M57" s="344">
        <v>1.6539683569177099</v>
      </c>
      <c r="N57" s="344">
        <v>1.83150301570848</v>
      </c>
      <c r="O57" s="344">
        <v>2.0769223041159601</v>
      </c>
      <c r="P57" s="344">
        <v>2.31554207165465</v>
      </c>
      <c r="Q57" s="344">
        <v>2.6347613288793599</v>
      </c>
      <c r="R57" s="344">
        <v>2.9675756282842101</v>
      </c>
      <c r="S57" s="344">
        <v>3.3424299245093598</v>
      </c>
      <c r="T57" s="344">
        <v>3.7138019901048298</v>
      </c>
      <c r="U57" s="344">
        <v>4.1404845702896003</v>
      </c>
      <c r="V57" s="344">
        <v>4.6793731406980497</v>
      </c>
      <c r="W57" s="344">
        <v>5.3064037360798197</v>
      </c>
      <c r="X57" s="344">
        <v>5.8560479863541897</v>
      </c>
      <c r="Y57" s="344">
        <v>6.6633592899835996</v>
      </c>
      <c r="Z57" s="21">
        <v>7.4542123753105303</v>
      </c>
      <c r="AA57" s="21">
        <v>8.42438840828145</v>
      </c>
      <c r="AB57" s="21">
        <v>9.3286505214771491</v>
      </c>
      <c r="AC57" s="21">
        <v>10.542781799870401</v>
      </c>
      <c r="AD57" s="21">
        <v>11.754052985754701</v>
      </c>
      <c r="AE57" s="21">
        <v>13.419994977144899</v>
      </c>
      <c r="AF57" s="21">
        <v>15.3220486591533</v>
      </c>
      <c r="AG57" s="21">
        <v>16.8517611267464</v>
      </c>
      <c r="AH57" s="21">
        <v>18.9804196172372</v>
      </c>
      <c r="AI57" s="21">
        <v>21.377963177665698</v>
      </c>
      <c r="AJ57" s="21">
        <v>24.0783564769342</v>
      </c>
      <c r="AK57" s="21">
        <v>27.119854488103002</v>
      </c>
      <c r="AL57" s="21">
        <v>30.338624430131301</v>
      </c>
      <c r="AM57" s="21">
        <v>34.170898694956499</v>
      </c>
      <c r="AN57" s="21">
        <v>38.487253115579897</v>
      </c>
      <c r="AO57" s="21">
        <v>43.793083012851199</v>
      </c>
      <c r="AP57" s="21">
        <v>49.157516169684001</v>
      </c>
      <c r="AQ57" s="21">
        <v>55.366930329961797</v>
      </c>
      <c r="AR57" s="21">
        <v>63.645417461403902</v>
      </c>
      <c r="AS57" s="211">
        <v>68.820099754706305</v>
      </c>
    </row>
    <row r="58" spans="1:45" ht="15.75" customHeight="1">
      <c r="A58" s="204">
        <v>13</v>
      </c>
      <c r="B58" s="201">
        <v>3</v>
      </c>
      <c r="C58" s="343">
        <v>0.51553025672583197</v>
      </c>
      <c r="D58" s="343">
        <v>0.574760139586875</v>
      </c>
      <c r="E58" s="343">
        <v>0.64736193128836494</v>
      </c>
      <c r="F58" s="343">
        <v>0.72913454016248402</v>
      </c>
      <c r="G58" s="343">
        <v>0.81567321766900003</v>
      </c>
      <c r="H58" s="343">
        <v>0.91248266109909704</v>
      </c>
      <c r="I58" s="343">
        <v>1.03475428361372</v>
      </c>
      <c r="J58" s="343">
        <v>1.16546100766585</v>
      </c>
      <c r="K58" s="343">
        <v>1.29495352405761</v>
      </c>
      <c r="L58" s="343">
        <v>1.46349313372846</v>
      </c>
      <c r="M58" s="343">
        <v>1.6539683569177099</v>
      </c>
      <c r="N58" s="343">
        <v>1.83150301570848</v>
      </c>
      <c r="O58" s="343">
        <v>2.0769223041159601</v>
      </c>
      <c r="P58" s="343">
        <v>2.31554207165465</v>
      </c>
      <c r="Q58" s="343">
        <v>2.6347613288793599</v>
      </c>
      <c r="R58" s="343">
        <v>2.9675756282842101</v>
      </c>
      <c r="S58" s="343">
        <v>3.3424299245093598</v>
      </c>
      <c r="T58" s="343">
        <v>3.7138019901048298</v>
      </c>
      <c r="U58" s="343">
        <v>4.1404845702896003</v>
      </c>
      <c r="V58" s="343">
        <v>4.6793731406980497</v>
      </c>
      <c r="W58" s="343">
        <v>5.3064037360798197</v>
      </c>
      <c r="X58" s="343">
        <v>5.8560479863541897</v>
      </c>
      <c r="Y58" s="343">
        <v>6.6633592899835996</v>
      </c>
      <c r="Z58" s="21">
        <v>7.4542123753105303</v>
      </c>
      <c r="AA58" s="21">
        <v>8.42438840828145</v>
      </c>
      <c r="AB58" s="21">
        <v>9.3286505214771491</v>
      </c>
      <c r="AC58" s="21">
        <v>10.542781799870401</v>
      </c>
      <c r="AD58" s="21">
        <v>11.754052985754701</v>
      </c>
      <c r="AE58" s="21">
        <v>13.419994977144899</v>
      </c>
      <c r="AF58" s="21">
        <v>15.3220486591533</v>
      </c>
      <c r="AG58" s="21">
        <v>16.8517611267464</v>
      </c>
      <c r="AH58" s="21">
        <v>18.9804196172372</v>
      </c>
      <c r="AI58" s="21">
        <v>21.377963177665698</v>
      </c>
      <c r="AJ58" s="21">
        <v>24.0783564769342</v>
      </c>
      <c r="AK58" s="21">
        <v>27.119854488103002</v>
      </c>
      <c r="AL58" s="21">
        <v>30.338624430131301</v>
      </c>
      <c r="AM58" s="21">
        <v>34.170898694956499</v>
      </c>
      <c r="AN58" s="21">
        <v>38.487253115579897</v>
      </c>
      <c r="AO58" s="21">
        <v>43.793083012851199</v>
      </c>
      <c r="AP58" s="21">
        <v>49.157516169684001</v>
      </c>
      <c r="AQ58" s="21">
        <v>55.366930329961797</v>
      </c>
      <c r="AR58" s="21">
        <v>63.645417461403902</v>
      </c>
      <c r="AS58" s="211">
        <v>68.820099754706305</v>
      </c>
    </row>
    <row r="59" spans="1:45" ht="15.75" customHeight="1">
      <c r="A59" s="204">
        <v>13</v>
      </c>
      <c r="B59" s="201">
        <v>4</v>
      </c>
      <c r="C59" s="344">
        <v>0.51553025672583197</v>
      </c>
      <c r="D59" s="344">
        <v>0.574760139586875</v>
      </c>
      <c r="E59" s="344">
        <v>0.64736193128836494</v>
      </c>
      <c r="F59" s="344">
        <v>0.72913454016248402</v>
      </c>
      <c r="G59" s="344">
        <v>0.81567321766900003</v>
      </c>
      <c r="H59" s="344">
        <v>0.91248266109909704</v>
      </c>
      <c r="I59" s="344">
        <v>1.03475428361372</v>
      </c>
      <c r="J59" s="344">
        <v>1.16546100766585</v>
      </c>
      <c r="K59" s="344">
        <v>1.29495352405761</v>
      </c>
      <c r="L59" s="344">
        <v>1.46349313372846</v>
      </c>
      <c r="M59" s="344">
        <v>1.6539683569177099</v>
      </c>
      <c r="N59" s="344">
        <v>1.83150301570848</v>
      </c>
      <c r="O59" s="344">
        <v>2.0769223041159601</v>
      </c>
      <c r="P59" s="344">
        <v>2.31554207165465</v>
      </c>
      <c r="Q59" s="344">
        <v>2.6347613288793599</v>
      </c>
      <c r="R59" s="344">
        <v>2.9675756282842101</v>
      </c>
      <c r="S59" s="344">
        <v>3.3424299245093598</v>
      </c>
      <c r="T59" s="344">
        <v>3.7138019901048298</v>
      </c>
      <c r="U59" s="344">
        <v>4.1404845702896003</v>
      </c>
      <c r="V59" s="344">
        <v>4.6793731406980497</v>
      </c>
      <c r="W59" s="344">
        <v>5.3064037360798197</v>
      </c>
      <c r="X59" s="344">
        <v>5.8560479863541897</v>
      </c>
      <c r="Y59" s="344">
        <v>6.6633592899835996</v>
      </c>
      <c r="Z59" s="21">
        <v>7.4542123753105303</v>
      </c>
      <c r="AA59" s="21">
        <v>8.42438840828145</v>
      </c>
      <c r="AB59" s="21">
        <v>9.3286505214771491</v>
      </c>
      <c r="AC59" s="21">
        <v>10.542781799870401</v>
      </c>
      <c r="AD59" s="21">
        <v>11.754052985754701</v>
      </c>
      <c r="AE59" s="21">
        <v>13.419994977144899</v>
      </c>
      <c r="AF59" s="21">
        <v>15.3220486591533</v>
      </c>
      <c r="AG59" s="21">
        <v>16.8517611267464</v>
      </c>
      <c r="AH59" s="21">
        <v>18.9804196172372</v>
      </c>
      <c r="AI59" s="21">
        <v>21.377963177665698</v>
      </c>
      <c r="AJ59" s="21">
        <v>24.0783564769342</v>
      </c>
      <c r="AK59" s="21">
        <v>27.119854488103002</v>
      </c>
      <c r="AL59" s="21">
        <v>30.338624430131301</v>
      </c>
      <c r="AM59" s="21">
        <v>34.170898694956499</v>
      </c>
      <c r="AN59" s="21">
        <v>38.487253115579897</v>
      </c>
      <c r="AO59" s="21">
        <v>43.793083012851199</v>
      </c>
      <c r="AP59" s="21">
        <v>49.157516169684001</v>
      </c>
      <c r="AQ59" s="21">
        <v>55.366930329961797</v>
      </c>
      <c r="AR59" s="21">
        <v>63.645417461403902</v>
      </c>
      <c r="AS59" s="211">
        <v>68.820099754706305</v>
      </c>
    </row>
    <row r="60" spans="1:45" ht="15.75" customHeight="1">
      <c r="A60" s="204">
        <v>13</v>
      </c>
      <c r="B60" s="201">
        <v>5</v>
      </c>
      <c r="C60" s="343">
        <v>0.51553025672583197</v>
      </c>
      <c r="D60" s="343">
        <v>0.574760139586875</v>
      </c>
      <c r="E60" s="343">
        <v>0.64736193128836494</v>
      </c>
      <c r="F60" s="343">
        <v>0.72913454016248402</v>
      </c>
      <c r="G60" s="343">
        <v>0.81567321766900003</v>
      </c>
      <c r="H60" s="343">
        <v>0.91248266109909704</v>
      </c>
      <c r="I60" s="343">
        <v>1.03475428361372</v>
      </c>
      <c r="J60" s="343">
        <v>1.16546100766585</v>
      </c>
      <c r="K60" s="343">
        <v>1.29495352405761</v>
      </c>
      <c r="L60" s="343">
        <v>1.46349313372846</v>
      </c>
      <c r="M60" s="343">
        <v>1.6539683569177099</v>
      </c>
      <c r="N60" s="343">
        <v>1.83150301570848</v>
      </c>
      <c r="O60" s="343">
        <v>2.0769223041159601</v>
      </c>
      <c r="P60" s="343">
        <v>2.31554207165465</v>
      </c>
      <c r="Q60" s="343">
        <v>2.6347613288793599</v>
      </c>
      <c r="R60" s="343">
        <v>2.9675756282842101</v>
      </c>
      <c r="S60" s="343">
        <v>3.3424299245093598</v>
      </c>
      <c r="T60" s="343">
        <v>3.7138019901048298</v>
      </c>
      <c r="U60" s="343">
        <v>4.1404845702896003</v>
      </c>
      <c r="V60" s="343">
        <v>4.6793731406980497</v>
      </c>
      <c r="W60" s="343">
        <v>5.3064037360798197</v>
      </c>
      <c r="X60" s="343">
        <v>5.8560479863541897</v>
      </c>
      <c r="Y60" s="343">
        <v>6.6633592899835996</v>
      </c>
      <c r="Z60" s="21">
        <v>7.4542123753105303</v>
      </c>
      <c r="AA60" s="21">
        <v>8.42438840828145</v>
      </c>
      <c r="AB60" s="21">
        <v>9.3286505214771491</v>
      </c>
      <c r="AC60" s="21">
        <v>10.542781799870401</v>
      </c>
      <c r="AD60" s="21">
        <v>11.754052985754701</v>
      </c>
      <c r="AE60" s="21">
        <v>13.419994977144899</v>
      </c>
      <c r="AF60" s="21">
        <v>15.3220486591533</v>
      </c>
      <c r="AG60" s="21">
        <v>16.8517611267464</v>
      </c>
      <c r="AH60" s="21">
        <v>18.9804196172372</v>
      </c>
      <c r="AI60" s="21">
        <v>21.377963177665698</v>
      </c>
      <c r="AJ60" s="21">
        <v>24.0783564769342</v>
      </c>
      <c r="AK60" s="21">
        <v>27.119854488103002</v>
      </c>
      <c r="AL60" s="21">
        <v>30.338624430131301</v>
      </c>
      <c r="AM60" s="21">
        <v>34.170898694956499</v>
      </c>
      <c r="AN60" s="21">
        <v>38.487253115579897</v>
      </c>
      <c r="AO60" s="21">
        <v>43.793083012851199</v>
      </c>
      <c r="AP60" s="21">
        <v>49.157516169684001</v>
      </c>
      <c r="AQ60" s="21">
        <v>55.366930329961797</v>
      </c>
      <c r="AR60" s="21">
        <v>63.645417461403902</v>
      </c>
      <c r="AS60" s="211">
        <v>68.820099754706305</v>
      </c>
    </row>
    <row r="61" spans="1:45" ht="15.75" customHeight="1">
      <c r="A61" s="204">
        <v>13</v>
      </c>
      <c r="B61" s="201">
        <v>6</v>
      </c>
      <c r="C61" s="344">
        <v>0.51553025672583197</v>
      </c>
      <c r="D61" s="344">
        <v>0.574760139586875</v>
      </c>
      <c r="E61" s="344">
        <v>0.64736193128836494</v>
      </c>
      <c r="F61" s="344">
        <v>0.72913454016248402</v>
      </c>
      <c r="G61" s="344">
        <v>0.81567321766900003</v>
      </c>
      <c r="H61" s="344">
        <v>0.91248266109909704</v>
      </c>
      <c r="I61" s="344">
        <v>1.03475428361372</v>
      </c>
      <c r="J61" s="344">
        <v>1.16546100766585</v>
      </c>
      <c r="K61" s="344">
        <v>1.29495352405761</v>
      </c>
      <c r="L61" s="344">
        <v>1.46349313372846</v>
      </c>
      <c r="M61" s="344">
        <v>1.6539683569177099</v>
      </c>
      <c r="N61" s="344">
        <v>1.83150301570848</v>
      </c>
      <c r="O61" s="344">
        <v>2.0769223041159601</v>
      </c>
      <c r="P61" s="344">
        <v>2.31554207165465</v>
      </c>
      <c r="Q61" s="344">
        <v>2.6347613288793599</v>
      </c>
      <c r="R61" s="344">
        <v>2.9675756282842101</v>
      </c>
      <c r="S61" s="344">
        <v>3.3424299245093598</v>
      </c>
      <c r="T61" s="344">
        <v>3.7138019901048298</v>
      </c>
      <c r="U61" s="344">
        <v>4.1404845702896003</v>
      </c>
      <c r="V61" s="344">
        <v>4.6793731406980497</v>
      </c>
      <c r="W61" s="344">
        <v>5.3064037360798197</v>
      </c>
      <c r="X61" s="344">
        <v>5.8560479863541897</v>
      </c>
      <c r="Y61" s="344">
        <v>6.6633592899835996</v>
      </c>
      <c r="Z61" s="21">
        <v>7.4542123753105303</v>
      </c>
      <c r="AA61" s="21">
        <v>8.42438840828145</v>
      </c>
      <c r="AB61" s="21">
        <v>9.3286505214771491</v>
      </c>
      <c r="AC61" s="21">
        <v>10.542781799870401</v>
      </c>
      <c r="AD61" s="21">
        <v>11.754052985754701</v>
      </c>
      <c r="AE61" s="21">
        <v>13.419994977144899</v>
      </c>
      <c r="AF61" s="21">
        <v>15.3220486591533</v>
      </c>
      <c r="AG61" s="21">
        <v>16.8517611267464</v>
      </c>
      <c r="AH61" s="21">
        <v>18.9804196172372</v>
      </c>
      <c r="AI61" s="21">
        <v>21.377963177665698</v>
      </c>
      <c r="AJ61" s="21">
        <v>24.0783564769342</v>
      </c>
      <c r="AK61" s="21">
        <v>27.119854488103002</v>
      </c>
      <c r="AL61" s="21">
        <v>30.338624430131301</v>
      </c>
      <c r="AM61" s="21">
        <v>34.170898694956499</v>
      </c>
      <c r="AN61" s="21">
        <v>38.487253115579897</v>
      </c>
      <c r="AO61" s="21">
        <v>43.793083012851199</v>
      </c>
      <c r="AP61" s="21">
        <v>49.157516169684001</v>
      </c>
      <c r="AQ61" s="21">
        <v>55.366930329961797</v>
      </c>
      <c r="AR61" s="21">
        <v>63.645417461403902</v>
      </c>
      <c r="AS61" s="211">
        <v>68.820099754706305</v>
      </c>
    </row>
    <row r="62" spans="1:45" ht="15.75" customHeight="1">
      <c r="A62" s="204">
        <v>13</v>
      </c>
      <c r="B62" s="201">
        <v>7</v>
      </c>
      <c r="C62" s="343">
        <v>0.51553025672583197</v>
      </c>
      <c r="D62" s="343">
        <v>0.574760139586875</v>
      </c>
      <c r="E62" s="343">
        <v>0.64736193128836494</v>
      </c>
      <c r="F62" s="343">
        <v>0.72913454016248402</v>
      </c>
      <c r="G62" s="343">
        <v>0.81567321766900003</v>
      </c>
      <c r="H62" s="343">
        <v>0.91248266109909704</v>
      </c>
      <c r="I62" s="343">
        <v>1.03475428361372</v>
      </c>
      <c r="J62" s="343">
        <v>1.16546100766585</v>
      </c>
      <c r="K62" s="343">
        <v>1.29495352405761</v>
      </c>
      <c r="L62" s="343">
        <v>1.46349313372846</v>
      </c>
      <c r="M62" s="343">
        <v>1.6539683569177099</v>
      </c>
      <c r="N62" s="343">
        <v>1.83150301570848</v>
      </c>
      <c r="O62" s="343">
        <v>2.0769223041159601</v>
      </c>
      <c r="P62" s="343">
        <v>2.31554207165465</v>
      </c>
      <c r="Q62" s="343">
        <v>2.6347613288793599</v>
      </c>
      <c r="R62" s="343">
        <v>2.9675756282842101</v>
      </c>
      <c r="S62" s="343">
        <v>3.3424299245093598</v>
      </c>
      <c r="T62" s="343">
        <v>3.7138019901048298</v>
      </c>
      <c r="U62" s="343">
        <v>4.1404845702896003</v>
      </c>
      <c r="V62" s="343">
        <v>4.6793731406980497</v>
      </c>
      <c r="W62" s="343">
        <v>5.3064037360798197</v>
      </c>
      <c r="X62" s="343">
        <v>5.8560479863541897</v>
      </c>
      <c r="Y62" s="343">
        <v>6.6633592899835996</v>
      </c>
      <c r="Z62" s="21">
        <v>7.4542123753105303</v>
      </c>
      <c r="AA62" s="21">
        <v>8.42438840828145</v>
      </c>
      <c r="AB62" s="21">
        <v>9.3286505214771491</v>
      </c>
      <c r="AC62" s="21">
        <v>10.542781799870401</v>
      </c>
      <c r="AD62" s="21">
        <v>11.754052985754701</v>
      </c>
      <c r="AE62" s="21">
        <v>13.419994977144899</v>
      </c>
      <c r="AF62" s="21">
        <v>15.3220486591533</v>
      </c>
      <c r="AG62" s="21">
        <v>16.8517611267464</v>
      </c>
      <c r="AH62" s="21">
        <v>18.9804196172372</v>
      </c>
      <c r="AI62" s="21">
        <v>21.377963177665698</v>
      </c>
      <c r="AJ62" s="21">
        <v>24.0783564769342</v>
      </c>
      <c r="AK62" s="21">
        <v>27.119854488103002</v>
      </c>
      <c r="AL62" s="21">
        <v>30.338624430131301</v>
      </c>
      <c r="AM62" s="21">
        <v>34.170898694956499</v>
      </c>
      <c r="AN62" s="21">
        <v>38.487253115579897</v>
      </c>
      <c r="AO62" s="21">
        <v>43.793083012851199</v>
      </c>
      <c r="AP62" s="21">
        <v>49.157516169684001</v>
      </c>
      <c r="AQ62" s="21">
        <v>55.366930329961797</v>
      </c>
      <c r="AR62" s="21">
        <v>63.645417461403902</v>
      </c>
      <c r="AS62" s="211">
        <v>68.820099754706305</v>
      </c>
    </row>
    <row r="63" spans="1:45" ht="15.75" customHeight="1">
      <c r="A63" s="204">
        <v>13</v>
      </c>
      <c r="B63" s="201">
        <v>8</v>
      </c>
      <c r="C63" s="344">
        <v>0.51553025672583197</v>
      </c>
      <c r="D63" s="344">
        <v>0.574760139586875</v>
      </c>
      <c r="E63" s="344">
        <v>0.64736193128836494</v>
      </c>
      <c r="F63" s="344">
        <v>0.72913454016248402</v>
      </c>
      <c r="G63" s="344">
        <v>0.81567321766900003</v>
      </c>
      <c r="H63" s="344">
        <v>0.91248266109909704</v>
      </c>
      <c r="I63" s="344">
        <v>1.03475428361372</v>
      </c>
      <c r="J63" s="344">
        <v>1.16546100766585</v>
      </c>
      <c r="K63" s="344">
        <v>1.29495352405761</v>
      </c>
      <c r="L63" s="344">
        <v>1.46349313372846</v>
      </c>
      <c r="M63" s="344">
        <v>1.6539683569177099</v>
      </c>
      <c r="N63" s="344">
        <v>1.83150301570848</v>
      </c>
      <c r="O63" s="344">
        <v>2.0769223041159601</v>
      </c>
      <c r="P63" s="344">
        <v>2.31554207165465</v>
      </c>
      <c r="Q63" s="344">
        <v>2.6347613288793599</v>
      </c>
      <c r="R63" s="344">
        <v>2.9675756282842101</v>
      </c>
      <c r="S63" s="344">
        <v>3.3424299245093598</v>
      </c>
      <c r="T63" s="344">
        <v>3.7138019901048298</v>
      </c>
      <c r="U63" s="344">
        <v>4.1404845702896003</v>
      </c>
      <c r="V63" s="344">
        <v>4.6793731406980497</v>
      </c>
      <c r="W63" s="344">
        <v>5.3064037360798197</v>
      </c>
      <c r="X63" s="344">
        <v>5.8560479863541897</v>
      </c>
      <c r="Y63" s="344">
        <v>6.6633592899835996</v>
      </c>
      <c r="Z63" s="23">
        <v>7.4542123753105303</v>
      </c>
      <c r="AA63" s="23">
        <v>8.42438840828145</v>
      </c>
      <c r="AB63" s="23">
        <v>9.3286505214771491</v>
      </c>
      <c r="AC63" s="23">
        <v>10.542781799870401</v>
      </c>
      <c r="AD63" s="23">
        <v>11.754052985754701</v>
      </c>
      <c r="AE63" s="23">
        <v>13.419994977144899</v>
      </c>
      <c r="AF63" s="23">
        <v>15.3220486591533</v>
      </c>
      <c r="AG63" s="23">
        <v>16.8517611267464</v>
      </c>
      <c r="AH63" s="23">
        <v>18.9804196172372</v>
      </c>
      <c r="AI63" s="23">
        <v>21.377963177665698</v>
      </c>
      <c r="AJ63" s="23">
        <v>24.0783564769342</v>
      </c>
      <c r="AK63" s="23">
        <v>27.119854488103002</v>
      </c>
      <c r="AL63" s="23">
        <v>30.338624430131301</v>
      </c>
      <c r="AM63" s="23">
        <v>34.170898694956499</v>
      </c>
      <c r="AN63" s="23">
        <v>38.487253115579897</v>
      </c>
      <c r="AO63" s="23">
        <v>43.793083012851199</v>
      </c>
      <c r="AP63" s="23">
        <v>49.157516169684001</v>
      </c>
      <c r="AQ63" s="23">
        <v>55.366930329961797</v>
      </c>
      <c r="AR63" s="23">
        <v>63.645417461403902</v>
      </c>
      <c r="AS63" s="212">
        <v>68.820099754706305</v>
      </c>
    </row>
    <row r="64" spans="1:45" ht="15.75" customHeight="1">
      <c r="A64" s="199">
        <v>14</v>
      </c>
      <c r="B64" s="200">
        <v>1</v>
      </c>
      <c r="C64" s="349">
        <v>1.4660177833749599</v>
      </c>
      <c r="D64" s="349">
        <v>2.42378322217687</v>
      </c>
      <c r="E64" s="349">
        <v>3.79414525395867</v>
      </c>
      <c r="F64" s="349">
        <v>5.9392845351937398</v>
      </c>
      <c r="G64" s="349">
        <v>9.3994282086104697</v>
      </c>
      <c r="H64" s="349">
        <v>14.7136903999174</v>
      </c>
      <c r="I64" s="349">
        <v>24.061860570751801</v>
      </c>
      <c r="J64" s="349">
        <v>38.0799305136442</v>
      </c>
      <c r="K64" s="349">
        <v>60.927058832994803</v>
      </c>
      <c r="L64" s="349">
        <v>95.374086673168307</v>
      </c>
      <c r="M64" s="349">
        <v>150.93756289699201</v>
      </c>
      <c r="N64" s="349">
        <v>236.275055550628</v>
      </c>
      <c r="O64" s="349">
        <v>357.92942381455799</v>
      </c>
      <c r="P64" s="351"/>
      <c r="Q64" s="244"/>
      <c r="R64" s="244"/>
      <c r="S64" s="244"/>
      <c r="T64" s="244"/>
      <c r="U64" s="244"/>
      <c r="V64" s="244"/>
      <c r="W64" s="244"/>
      <c r="X64" s="244"/>
      <c r="Y64" s="244"/>
    </row>
    <row r="65" spans="1:25" ht="15.75" customHeight="1">
      <c r="A65" s="196">
        <v>14</v>
      </c>
      <c r="B65" s="201">
        <v>2</v>
      </c>
      <c r="C65" s="344">
        <v>1.4660177833749599</v>
      </c>
      <c r="D65" s="344">
        <v>2.42378322217687</v>
      </c>
      <c r="E65" s="344">
        <v>3.79414525395867</v>
      </c>
      <c r="F65" s="344">
        <v>5.9392845351937398</v>
      </c>
      <c r="G65" s="344">
        <v>9.3994282086104697</v>
      </c>
      <c r="H65" s="344">
        <v>14.7136903999174</v>
      </c>
      <c r="I65" s="344">
        <v>24.061860570751801</v>
      </c>
      <c r="J65" s="344">
        <v>38.0799305136442</v>
      </c>
      <c r="K65" s="344">
        <v>60.927058832994803</v>
      </c>
      <c r="L65" s="344">
        <v>95.374086673168307</v>
      </c>
      <c r="M65" s="344">
        <v>150.93756289699201</v>
      </c>
      <c r="N65" s="344">
        <v>236.275055550628</v>
      </c>
      <c r="O65" s="344">
        <v>357.92942381455799</v>
      </c>
      <c r="P65" s="338"/>
      <c r="Q65" s="326"/>
      <c r="R65" s="326"/>
      <c r="S65" s="326"/>
      <c r="T65" s="326"/>
      <c r="U65" s="326"/>
      <c r="V65" s="326"/>
      <c r="W65" s="326"/>
      <c r="X65" s="326"/>
      <c r="Y65" s="326"/>
    </row>
    <row r="66" spans="1:25" ht="15.75" customHeight="1">
      <c r="A66" s="196">
        <v>14</v>
      </c>
      <c r="B66" s="201">
        <v>3</v>
      </c>
      <c r="C66" s="343">
        <v>1.4660177833749599</v>
      </c>
      <c r="D66" s="343">
        <v>2.42378322217687</v>
      </c>
      <c r="E66" s="343">
        <v>3.79414525395867</v>
      </c>
      <c r="F66" s="343">
        <v>5.9392845351937398</v>
      </c>
      <c r="G66" s="343">
        <v>9.3994282086104697</v>
      </c>
      <c r="H66" s="343">
        <v>14.7136903999174</v>
      </c>
      <c r="I66" s="343">
        <v>24.061860570751801</v>
      </c>
      <c r="J66" s="343">
        <v>38.0799305136442</v>
      </c>
      <c r="K66" s="343">
        <v>60.927058832994803</v>
      </c>
      <c r="L66" s="343">
        <v>95.374086673168307</v>
      </c>
      <c r="M66" s="343">
        <v>150.93756289699201</v>
      </c>
      <c r="N66" s="343">
        <v>236.275055550628</v>
      </c>
      <c r="O66" s="343">
        <v>357.92942381455799</v>
      </c>
      <c r="P66" s="340"/>
      <c r="Q66" s="274"/>
      <c r="R66" s="274"/>
      <c r="S66" s="274"/>
      <c r="T66" s="274"/>
      <c r="U66" s="274"/>
      <c r="V66" s="274"/>
      <c r="W66" s="274"/>
      <c r="X66" s="274"/>
      <c r="Y66" s="274"/>
    </row>
    <row r="67" spans="1:25" ht="15.75" customHeight="1">
      <c r="A67" s="196">
        <v>14</v>
      </c>
      <c r="B67" s="201">
        <v>4</v>
      </c>
      <c r="C67" s="344">
        <v>1.4660177833749599</v>
      </c>
      <c r="D67" s="344">
        <v>2.42378322217687</v>
      </c>
      <c r="E67" s="344">
        <v>3.79414525395867</v>
      </c>
      <c r="F67" s="344">
        <v>5.9392845351937398</v>
      </c>
      <c r="G67" s="344">
        <v>9.3994282086104697</v>
      </c>
      <c r="H67" s="344">
        <v>14.7136903999174</v>
      </c>
      <c r="I67" s="344">
        <v>24.061860570751801</v>
      </c>
      <c r="J67" s="344">
        <v>38.0799305136442</v>
      </c>
      <c r="K67" s="344">
        <v>60.927058832994803</v>
      </c>
      <c r="L67" s="344">
        <v>95.374086673168307</v>
      </c>
      <c r="M67" s="344">
        <v>150.93756289699201</v>
      </c>
      <c r="N67" s="344">
        <v>236.275055550628</v>
      </c>
      <c r="O67" s="344">
        <v>357.92942381455799</v>
      </c>
      <c r="P67" s="338"/>
      <c r="Q67" s="326"/>
      <c r="R67" s="326"/>
      <c r="S67" s="326"/>
      <c r="T67" s="326"/>
      <c r="U67" s="326"/>
      <c r="V67" s="326"/>
      <c r="W67" s="326"/>
      <c r="X67" s="326"/>
      <c r="Y67" s="326"/>
    </row>
    <row r="68" spans="1:25" ht="15.75" customHeight="1">
      <c r="A68" s="196">
        <v>14</v>
      </c>
      <c r="B68" s="201">
        <v>5</v>
      </c>
      <c r="C68" s="343">
        <v>1.4660177833749599</v>
      </c>
      <c r="D68" s="343">
        <v>2.42378322217687</v>
      </c>
      <c r="E68" s="343">
        <v>3.79414525395867</v>
      </c>
      <c r="F68" s="343">
        <v>5.9392845351937398</v>
      </c>
      <c r="G68" s="343">
        <v>9.3994282086104697</v>
      </c>
      <c r="H68" s="343">
        <v>14.7136903999174</v>
      </c>
      <c r="I68" s="343">
        <v>24.061860570751801</v>
      </c>
      <c r="J68" s="343">
        <v>38.0799305136442</v>
      </c>
      <c r="K68" s="343">
        <v>60.927058832994803</v>
      </c>
      <c r="L68" s="343">
        <v>95.374086673168307</v>
      </c>
      <c r="M68" s="343">
        <v>150.93756289699201</v>
      </c>
      <c r="N68" s="343">
        <v>236.275055550628</v>
      </c>
      <c r="O68" s="343">
        <v>357.92942381455799</v>
      </c>
      <c r="P68" s="340"/>
      <c r="Q68" s="274"/>
      <c r="R68" s="274"/>
      <c r="S68" s="274"/>
      <c r="T68" s="274"/>
      <c r="U68" s="274"/>
      <c r="V68" s="274"/>
      <c r="W68" s="274"/>
      <c r="X68" s="274"/>
      <c r="Y68" s="274"/>
    </row>
    <row r="69" spans="1:25" ht="15.75" customHeight="1">
      <c r="A69" s="196">
        <v>14</v>
      </c>
      <c r="B69" s="201">
        <v>6</v>
      </c>
      <c r="C69" s="344">
        <v>1.4660177833749599</v>
      </c>
      <c r="D69" s="344">
        <v>2.42378322217687</v>
      </c>
      <c r="E69" s="344">
        <v>3.79414525395867</v>
      </c>
      <c r="F69" s="344">
        <v>5.9392845351937398</v>
      </c>
      <c r="G69" s="344">
        <v>9.3994282086104697</v>
      </c>
      <c r="H69" s="344">
        <v>14.7136903999174</v>
      </c>
      <c r="I69" s="344">
        <v>24.061860570751801</v>
      </c>
      <c r="J69" s="344">
        <v>38.0799305136442</v>
      </c>
      <c r="K69" s="344">
        <v>60.927058832994803</v>
      </c>
      <c r="L69" s="344">
        <v>95.374086673168307</v>
      </c>
      <c r="M69" s="344">
        <v>150.93756289699201</v>
      </c>
      <c r="N69" s="344">
        <v>236.275055550628</v>
      </c>
      <c r="O69" s="344">
        <v>357.92942381455799</v>
      </c>
      <c r="P69" s="338"/>
      <c r="Q69" s="326"/>
      <c r="R69" s="326"/>
      <c r="S69" s="326"/>
      <c r="T69" s="326"/>
      <c r="U69" s="326"/>
      <c r="V69" s="326"/>
      <c r="W69" s="326"/>
      <c r="X69" s="326"/>
      <c r="Y69" s="326"/>
    </row>
    <row r="70" spans="1:25" ht="15.75" customHeight="1">
      <c r="A70" s="196">
        <v>14</v>
      </c>
      <c r="B70" s="201">
        <v>7</v>
      </c>
      <c r="C70" s="343">
        <v>1.4660177833749599</v>
      </c>
      <c r="D70" s="343">
        <v>2.42378322217687</v>
      </c>
      <c r="E70" s="343">
        <v>3.79414525395867</v>
      </c>
      <c r="F70" s="343">
        <v>5.9392845351937398</v>
      </c>
      <c r="G70" s="343">
        <v>9.3994282086104697</v>
      </c>
      <c r="H70" s="343">
        <v>14.7136903999174</v>
      </c>
      <c r="I70" s="343">
        <v>24.061860570751801</v>
      </c>
      <c r="J70" s="343">
        <v>38.0799305136442</v>
      </c>
      <c r="K70" s="343">
        <v>60.927058832994803</v>
      </c>
      <c r="L70" s="343">
        <v>95.374086673168307</v>
      </c>
      <c r="M70" s="343">
        <v>150.93756289699201</v>
      </c>
      <c r="N70" s="343">
        <v>236.275055550628</v>
      </c>
      <c r="O70" s="343">
        <v>357.92942381455799</v>
      </c>
      <c r="P70" s="340"/>
      <c r="Q70" s="274"/>
      <c r="R70" s="274"/>
      <c r="S70" s="274"/>
      <c r="T70" s="274"/>
      <c r="U70" s="274"/>
      <c r="V70" s="274"/>
      <c r="W70" s="274"/>
      <c r="X70" s="274"/>
      <c r="Y70" s="274"/>
    </row>
    <row r="71" spans="1:25" ht="15.75" customHeight="1">
      <c r="A71" s="196">
        <v>14</v>
      </c>
      <c r="B71" s="201">
        <v>8</v>
      </c>
      <c r="C71" s="344">
        <v>1.4660177833749599</v>
      </c>
      <c r="D71" s="344">
        <v>2.42378322217687</v>
      </c>
      <c r="E71" s="344">
        <v>3.79414525395867</v>
      </c>
      <c r="F71" s="344">
        <v>5.9392845351937398</v>
      </c>
      <c r="G71" s="344">
        <v>9.3994282086104697</v>
      </c>
      <c r="H71" s="344">
        <v>14.7136903999174</v>
      </c>
      <c r="I71" s="344">
        <v>24.061860570751801</v>
      </c>
      <c r="J71" s="344">
        <v>38.0799305136442</v>
      </c>
      <c r="K71" s="344">
        <v>60.927058832994803</v>
      </c>
      <c r="L71" s="344">
        <v>95.374086673168307</v>
      </c>
      <c r="M71" s="344">
        <v>150.93756289699201</v>
      </c>
      <c r="N71" s="344">
        <v>236.275055550628</v>
      </c>
      <c r="O71" s="344">
        <v>357.92942381455799</v>
      </c>
      <c r="P71" s="338"/>
      <c r="Q71" s="326"/>
      <c r="R71" s="326"/>
      <c r="S71" s="326"/>
      <c r="T71" s="326"/>
      <c r="U71" s="326"/>
      <c r="V71" s="326"/>
      <c r="W71" s="326"/>
      <c r="X71" s="326"/>
      <c r="Y71" s="326"/>
    </row>
    <row r="72" spans="1:25" ht="15.75" customHeight="1">
      <c r="A72" s="196">
        <v>14</v>
      </c>
      <c r="B72" s="201">
        <v>9</v>
      </c>
      <c r="C72" s="343">
        <v>1.4660177833749599</v>
      </c>
      <c r="D72" s="343">
        <v>2.42378322217687</v>
      </c>
      <c r="E72" s="343">
        <v>3.79414525395867</v>
      </c>
      <c r="F72" s="343">
        <v>5.9392845351937398</v>
      </c>
      <c r="G72" s="343">
        <v>9.3994282086104697</v>
      </c>
      <c r="H72" s="343">
        <v>14.7136903999174</v>
      </c>
      <c r="I72" s="343">
        <v>24.061860570751801</v>
      </c>
      <c r="J72" s="343">
        <v>38.0799305136442</v>
      </c>
      <c r="K72" s="343">
        <v>60.927058832994803</v>
      </c>
      <c r="L72" s="343">
        <v>95.374086673168307</v>
      </c>
      <c r="M72" s="343">
        <v>150.93756289699201</v>
      </c>
      <c r="N72" s="343">
        <v>236.275055550628</v>
      </c>
      <c r="O72" s="343">
        <v>357.92942381455799</v>
      </c>
      <c r="P72" s="340"/>
      <c r="Q72" s="274"/>
      <c r="R72" s="274"/>
      <c r="S72" s="274"/>
      <c r="T72" s="274"/>
      <c r="U72" s="274"/>
      <c r="V72" s="274"/>
      <c r="W72" s="274"/>
      <c r="X72" s="274"/>
      <c r="Y72" s="274"/>
    </row>
    <row r="73" spans="1:25" ht="15.75" customHeight="1">
      <c r="A73" s="196">
        <v>14</v>
      </c>
      <c r="B73" s="201">
        <v>10</v>
      </c>
      <c r="C73" s="344">
        <v>1.4660177833749599</v>
      </c>
      <c r="D73" s="344">
        <v>2.42378322217687</v>
      </c>
      <c r="E73" s="344">
        <v>3.79414525395867</v>
      </c>
      <c r="F73" s="344">
        <v>5.9392845351937398</v>
      </c>
      <c r="G73" s="344">
        <v>9.3994282086104697</v>
      </c>
      <c r="H73" s="344">
        <v>14.7136903999174</v>
      </c>
      <c r="I73" s="344">
        <v>24.061860570751801</v>
      </c>
      <c r="J73" s="344">
        <v>38.0799305136442</v>
      </c>
      <c r="K73" s="344">
        <v>60.927058832994803</v>
      </c>
      <c r="L73" s="344">
        <v>95.374086673168307</v>
      </c>
      <c r="M73" s="344">
        <v>150.93756289699201</v>
      </c>
      <c r="N73" s="344">
        <v>236.275055550628</v>
      </c>
      <c r="O73" s="344">
        <v>357.92942381455799</v>
      </c>
      <c r="P73" s="338"/>
      <c r="Q73" s="326"/>
      <c r="R73" s="326"/>
      <c r="S73" s="326"/>
      <c r="T73" s="326"/>
      <c r="U73" s="326"/>
      <c r="V73" s="326"/>
      <c r="W73" s="326"/>
      <c r="X73" s="326"/>
      <c r="Y73" s="326"/>
    </row>
    <row r="74" spans="1:25" ht="15.75" customHeight="1">
      <c r="A74" s="199">
        <v>15</v>
      </c>
      <c r="B74" s="200">
        <v>1</v>
      </c>
      <c r="C74" s="349">
        <v>1.4797715552584101</v>
      </c>
      <c r="D74" s="349">
        <v>2.3352421822689502</v>
      </c>
      <c r="E74" s="349">
        <v>3.7505047782463801</v>
      </c>
      <c r="F74" s="349">
        <v>5.7818398167551699</v>
      </c>
      <c r="G74" s="349">
        <v>9.3403689883800798</v>
      </c>
      <c r="H74" s="349">
        <v>14.913571066174701</v>
      </c>
      <c r="I74" s="349">
        <v>22.8569349813184</v>
      </c>
      <c r="J74" s="349">
        <v>38.920445002713699</v>
      </c>
      <c r="K74" s="349">
        <v>62.874678136849099</v>
      </c>
      <c r="L74" s="349">
        <v>88.786921572692407</v>
      </c>
      <c r="M74" s="349">
        <v>140.11552239504201</v>
      </c>
      <c r="N74" s="349">
        <v>234.43654725803901</v>
      </c>
      <c r="O74" s="349">
        <v>376.51588761529399</v>
      </c>
      <c r="P74" s="340"/>
      <c r="Q74" s="274"/>
      <c r="R74" s="274"/>
      <c r="S74" s="274"/>
      <c r="T74" s="274"/>
      <c r="U74" s="274"/>
      <c r="V74" s="274"/>
      <c r="W74" s="274"/>
      <c r="X74" s="274"/>
      <c r="Y74" s="274"/>
    </row>
    <row r="75" spans="1:25" ht="15.75" customHeight="1">
      <c r="A75" s="196">
        <v>15</v>
      </c>
      <c r="B75" s="201">
        <v>2</v>
      </c>
      <c r="C75" s="344">
        <v>1.4797715552584101</v>
      </c>
      <c r="D75" s="344">
        <v>2.3352421822689502</v>
      </c>
      <c r="E75" s="344">
        <v>3.7505047782463801</v>
      </c>
      <c r="F75" s="344">
        <v>5.7818398167551699</v>
      </c>
      <c r="G75" s="344">
        <v>9.3403689883800798</v>
      </c>
      <c r="H75" s="344">
        <v>14.913571066174701</v>
      </c>
      <c r="I75" s="344">
        <v>22.8569349813184</v>
      </c>
      <c r="J75" s="344">
        <v>38.920445002713699</v>
      </c>
      <c r="K75" s="344">
        <v>62.874678136849099</v>
      </c>
      <c r="L75" s="344">
        <v>88.786921572692407</v>
      </c>
      <c r="M75" s="344">
        <v>140.11552239504201</v>
      </c>
      <c r="N75" s="344">
        <v>234.43654725803901</v>
      </c>
      <c r="O75" s="344">
        <v>376.51588761529399</v>
      </c>
      <c r="P75" s="338"/>
      <c r="Q75" s="326"/>
      <c r="R75" s="326"/>
      <c r="S75" s="326"/>
      <c r="T75" s="326"/>
      <c r="U75" s="326"/>
      <c r="V75" s="326"/>
      <c r="W75" s="326"/>
      <c r="X75" s="326"/>
      <c r="Y75" s="326"/>
    </row>
    <row r="76" spans="1:25" ht="15.75" customHeight="1">
      <c r="A76" s="196">
        <v>15</v>
      </c>
      <c r="B76" s="201">
        <v>3</v>
      </c>
      <c r="C76" s="343">
        <v>1.4797715552584101</v>
      </c>
      <c r="D76" s="343">
        <v>2.3352421822689502</v>
      </c>
      <c r="E76" s="343">
        <v>3.7505047782463801</v>
      </c>
      <c r="F76" s="343">
        <v>5.7818398167551699</v>
      </c>
      <c r="G76" s="343">
        <v>9.3403689883800798</v>
      </c>
      <c r="H76" s="343">
        <v>14.913571066174701</v>
      </c>
      <c r="I76" s="343">
        <v>22.8569349813184</v>
      </c>
      <c r="J76" s="343">
        <v>38.920445002713699</v>
      </c>
      <c r="K76" s="343">
        <v>62.874678136849099</v>
      </c>
      <c r="L76" s="343">
        <v>88.786921572692407</v>
      </c>
      <c r="M76" s="343">
        <v>140.11552239504201</v>
      </c>
      <c r="N76" s="343">
        <v>234.43654725803901</v>
      </c>
      <c r="O76" s="343">
        <v>376.51588761529399</v>
      </c>
      <c r="P76" s="340"/>
      <c r="Q76" s="274"/>
      <c r="R76" s="274"/>
      <c r="S76" s="244"/>
      <c r="T76" s="274"/>
      <c r="U76" s="274"/>
      <c r="V76" s="274"/>
      <c r="W76" s="274"/>
      <c r="X76" s="274"/>
      <c r="Y76" s="274"/>
    </row>
    <row r="77" spans="1:25" ht="15.75" customHeight="1">
      <c r="A77" s="196">
        <v>15</v>
      </c>
      <c r="B77" s="201">
        <v>4</v>
      </c>
      <c r="C77" s="344">
        <v>1.4797715552584101</v>
      </c>
      <c r="D77" s="344">
        <v>2.3352421822689502</v>
      </c>
      <c r="E77" s="344">
        <v>3.7505047782463801</v>
      </c>
      <c r="F77" s="344">
        <v>5.7818398167551699</v>
      </c>
      <c r="G77" s="344">
        <v>9.3403689883800798</v>
      </c>
      <c r="H77" s="344">
        <v>14.913571066174701</v>
      </c>
      <c r="I77" s="344">
        <v>22.8569349813184</v>
      </c>
      <c r="J77" s="344">
        <v>38.920445002713699</v>
      </c>
      <c r="K77" s="344">
        <v>62.874678136849099</v>
      </c>
      <c r="L77" s="344">
        <v>88.786921572692407</v>
      </c>
      <c r="M77" s="344">
        <v>140.11552239504201</v>
      </c>
      <c r="N77" s="344">
        <v>234.43654725803901</v>
      </c>
      <c r="O77" s="344">
        <v>376.51588761529399</v>
      </c>
      <c r="P77" s="338"/>
      <c r="Q77" s="326"/>
      <c r="R77" s="326"/>
      <c r="S77" s="250"/>
      <c r="T77" s="326"/>
      <c r="U77" s="326"/>
      <c r="V77" s="326"/>
      <c r="W77" s="326"/>
      <c r="X77" s="326"/>
      <c r="Y77" s="326"/>
    </row>
    <row r="78" spans="1:25" ht="15.75" customHeight="1">
      <c r="A78" s="196">
        <v>15</v>
      </c>
      <c r="B78" s="201">
        <v>5</v>
      </c>
      <c r="C78" s="343">
        <v>1.4797715552584101</v>
      </c>
      <c r="D78" s="343">
        <v>2.3352421822689502</v>
      </c>
      <c r="E78" s="343">
        <v>3.7505047782463801</v>
      </c>
      <c r="F78" s="343">
        <v>5.7818398167551699</v>
      </c>
      <c r="G78" s="343">
        <v>9.3403689883800798</v>
      </c>
      <c r="H78" s="343">
        <v>14.913571066174701</v>
      </c>
      <c r="I78" s="343">
        <v>22.8569349813184</v>
      </c>
      <c r="J78" s="343">
        <v>38.920445002713699</v>
      </c>
      <c r="K78" s="343">
        <v>62.874678136849099</v>
      </c>
      <c r="L78" s="343">
        <v>88.786921572692407</v>
      </c>
      <c r="M78" s="343">
        <v>140.11552239504201</v>
      </c>
      <c r="N78" s="343">
        <v>234.43654725803901</v>
      </c>
      <c r="O78" s="343">
        <v>376.51588761529399</v>
      </c>
      <c r="P78" s="340"/>
      <c r="Q78" s="274"/>
      <c r="R78" s="274"/>
      <c r="S78" s="274"/>
      <c r="T78" s="274"/>
      <c r="U78" s="274"/>
      <c r="V78" s="274"/>
      <c r="W78" s="274"/>
      <c r="X78" s="274"/>
      <c r="Y78" s="274"/>
    </row>
    <row r="79" spans="1:25" ht="15.75" customHeight="1">
      <c r="A79" s="196">
        <v>15</v>
      </c>
      <c r="B79" s="201">
        <v>6</v>
      </c>
      <c r="C79" s="344">
        <v>1.4797715552584101</v>
      </c>
      <c r="D79" s="344">
        <v>2.3352421822689502</v>
      </c>
      <c r="E79" s="344">
        <v>3.7505047782463801</v>
      </c>
      <c r="F79" s="344">
        <v>5.7818398167551699</v>
      </c>
      <c r="G79" s="344">
        <v>9.3403689883800798</v>
      </c>
      <c r="H79" s="344">
        <v>14.913571066174701</v>
      </c>
      <c r="I79" s="344">
        <v>22.8569349813184</v>
      </c>
      <c r="J79" s="344">
        <v>38.920445002713699</v>
      </c>
      <c r="K79" s="344">
        <v>62.874678136849099</v>
      </c>
      <c r="L79" s="344">
        <v>88.786921572692407</v>
      </c>
      <c r="M79" s="344">
        <v>140.11552239504201</v>
      </c>
      <c r="N79" s="344">
        <v>234.43654725803901</v>
      </c>
      <c r="O79" s="344">
        <v>376.51588761529399</v>
      </c>
      <c r="P79" s="338"/>
      <c r="Q79" s="326"/>
      <c r="R79" s="326"/>
      <c r="S79" s="326"/>
      <c r="T79" s="326"/>
      <c r="U79" s="326"/>
      <c r="V79" s="326"/>
      <c r="W79" s="326"/>
      <c r="X79" s="326"/>
      <c r="Y79" s="326"/>
    </row>
    <row r="80" spans="1:25" ht="15.75" customHeight="1">
      <c r="A80" s="272">
        <v>16</v>
      </c>
      <c r="B80" s="74">
        <v>1</v>
      </c>
      <c r="C80" s="257"/>
      <c r="D80" s="257"/>
      <c r="E80" s="353"/>
      <c r="F80" s="353"/>
      <c r="G80" s="257"/>
      <c r="H80" s="257"/>
      <c r="I80" s="257"/>
      <c r="J80" s="257"/>
      <c r="K80" s="257"/>
      <c r="L80" s="257"/>
      <c r="M80" s="257"/>
      <c r="N80" s="257"/>
      <c r="O80" s="257"/>
      <c r="P80" s="259"/>
      <c r="Q80" s="259"/>
      <c r="R80" s="259"/>
      <c r="S80" s="259"/>
      <c r="T80" s="259"/>
      <c r="U80" s="259"/>
      <c r="V80" s="259"/>
      <c r="W80" s="259"/>
      <c r="X80" s="259"/>
      <c r="Y80" s="259"/>
    </row>
    <row r="81" spans="1:28" ht="15.75" customHeight="1">
      <c r="A81" s="233">
        <v>16</v>
      </c>
      <c r="B81" s="75">
        <v>2</v>
      </c>
      <c r="C81" s="369"/>
      <c r="D81" s="369"/>
      <c r="E81" s="355"/>
      <c r="F81" s="355"/>
      <c r="G81" s="369"/>
      <c r="H81" s="369"/>
      <c r="I81" s="369"/>
      <c r="J81" s="369"/>
      <c r="K81" s="369"/>
      <c r="L81" s="369"/>
      <c r="M81" s="369"/>
      <c r="N81" s="369"/>
      <c r="O81" s="369"/>
      <c r="P81" s="369"/>
      <c r="Q81" s="369"/>
      <c r="R81" s="369"/>
      <c r="S81" s="369"/>
      <c r="T81" s="369"/>
      <c r="U81" s="369"/>
      <c r="V81" s="369"/>
      <c r="W81" s="369"/>
      <c r="X81" s="369"/>
      <c r="Y81" s="369"/>
    </row>
    <row r="82" spans="1:28" ht="15.75" customHeight="1">
      <c r="A82" s="233">
        <v>16</v>
      </c>
      <c r="B82" s="75">
        <v>3</v>
      </c>
      <c r="C82" s="259"/>
      <c r="D82" s="259"/>
      <c r="E82" s="357"/>
      <c r="F82" s="357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</row>
    <row r="83" spans="1:28" ht="15.75" customHeight="1">
      <c r="A83" s="229">
        <v>17</v>
      </c>
      <c r="B83" s="74">
        <v>1</v>
      </c>
      <c r="C83" s="250">
        <v>0.16</v>
      </c>
      <c r="D83" s="250">
        <v>0.25</v>
      </c>
      <c r="E83" s="250">
        <v>0.41</v>
      </c>
      <c r="F83" s="250">
        <v>0.66</v>
      </c>
      <c r="G83" s="250">
        <v>1.02</v>
      </c>
      <c r="H83" s="250">
        <v>1.6</v>
      </c>
      <c r="I83" s="250">
        <v>2.52</v>
      </c>
      <c r="J83" s="250">
        <v>3.97</v>
      </c>
      <c r="K83" s="250">
        <v>6.4</v>
      </c>
      <c r="L83" s="250">
        <v>10</v>
      </c>
      <c r="M83" s="137">
        <v>16</v>
      </c>
      <c r="N83" s="326"/>
      <c r="O83" s="326"/>
      <c r="P83" s="326"/>
      <c r="Q83" s="326"/>
      <c r="R83" s="326"/>
      <c r="S83" s="326"/>
      <c r="T83" s="326"/>
      <c r="U83" s="326"/>
      <c r="V83" s="326"/>
      <c r="W83" s="369"/>
      <c r="X83" s="369"/>
      <c r="Y83" s="369"/>
    </row>
    <row r="84" spans="1:28" ht="15.75" customHeight="1">
      <c r="A84" s="228">
        <v>17</v>
      </c>
      <c r="B84" s="75">
        <v>2</v>
      </c>
      <c r="C84" s="274">
        <v>0.16</v>
      </c>
      <c r="D84" s="274">
        <v>0.25</v>
      </c>
      <c r="E84" s="274">
        <v>0.41</v>
      </c>
      <c r="F84" s="274">
        <v>0.66</v>
      </c>
      <c r="G84" s="274">
        <v>1.02</v>
      </c>
      <c r="H84" s="274">
        <v>1.6</v>
      </c>
      <c r="I84" s="274">
        <v>2.5299999999999998</v>
      </c>
      <c r="J84" s="274">
        <v>3.97</v>
      </c>
      <c r="K84" s="274">
        <v>6.4</v>
      </c>
      <c r="L84" s="274">
        <v>10</v>
      </c>
      <c r="M84" s="138">
        <v>16</v>
      </c>
      <c r="N84" s="274"/>
      <c r="O84" s="274"/>
      <c r="P84" s="274"/>
      <c r="Q84" s="274"/>
      <c r="R84" s="274"/>
      <c r="S84" s="274"/>
      <c r="T84" s="274"/>
      <c r="U84" s="274"/>
      <c r="V84" s="274"/>
      <c r="W84" s="259"/>
      <c r="X84" s="259"/>
      <c r="Y84" s="259"/>
    </row>
    <row r="85" spans="1:28" ht="15.75" customHeight="1">
      <c r="A85" s="228">
        <v>17</v>
      </c>
      <c r="B85" s="75">
        <v>3</v>
      </c>
      <c r="C85" s="326">
        <v>0.16</v>
      </c>
      <c r="D85" s="326">
        <v>0.25</v>
      </c>
      <c r="E85" s="326">
        <v>0.41</v>
      </c>
      <c r="F85" s="326">
        <v>0.66</v>
      </c>
      <c r="G85" s="326">
        <v>1.02</v>
      </c>
      <c r="H85" s="326">
        <v>1.6</v>
      </c>
      <c r="I85" s="326">
        <v>2.54</v>
      </c>
      <c r="J85" s="326">
        <v>3.97</v>
      </c>
      <c r="K85" s="326">
        <v>6.4</v>
      </c>
      <c r="L85" s="326">
        <v>10</v>
      </c>
      <c r="M85" s="139">
        <v>16</v>
      </c>
      <c r="N85" s="326"/>
      <c r="O85" s="326"/>
      <c r="P85" s="326"/>
      <c r="Q85" s="326"/>
      <c r="R85" s="326"/>
      <c r="S85" s="326"/>
      <c r="T85" s="326"/>
      <c r="U85" s="326"/>
      <c r="V85" s="326"/>
      <c r="W85" s="369"/>
      <c r="X85" s="369"/>
      <c r="Y85" s="369"/>
    </row>
    <row r="86" spans="1:28" ht="15.75" customHeight="1">
      <c r="A86" s="230">
        <v>17</v>
      </c>
      <c r="B86" s="231">
        <v>4</v>
      </c>
      <c r="C86" s="275">
        <v>0.16</v>
      </c>
      <c r="D86" s="275">
        <v>0.25</v>
      </c>
      <c r="E86" s="275">
        <v>0.41</v>
      </c>
      <c r="F86" s="275">
        <v>0.66</v>
      </c>
      <c r="G86" s="275">
        <v>1.02</v>
      </c>
      <c r="H86" s="275">
        <v>1.6</v>
      </c>
      <c r="I86" s="275">
        <v>2.5499999999999998</v>
      </c>
      <c r="J86" s="275">
        <v>3.97</v>
      </c>
      <c r="K86" s="275">
        <v>6.4</v>
      </c>
      <c r="L86" s="275">
        <v>10</v>
      </c>
      <c r="M86" s="140">
        <v>16</v>
      </c>
      <c r="N86" s="274"/>
      <c r="O86" s="274"/>
      <c r="P86" s="274"/>
      <c r="Q86" s="274"/>
      <c r="R86" s="274"/>
      <c r="S86" s="274"/>
      <c r="T86" s="274"/>
      <c r="U86" s="274"/>
      <c r="V86" s="274"/>
      <c r="W86" s="259"/>
      <c r="X86" s="259"/>
      <c r="Y86" s="259"/>
    </row>
    <row r="87" spans="1:28" ht="15.75" customHeight="1">
      <c r="A87" s="228">
        <v>18</v>
      </c>
      <c r="B87" s="75">
        <v>1</v>
      </c>
      <c r="C87" s="326">
        <v>0.19</v>
      </c>
      <c r="D87" s="326">
        <v>0.28999999999999998</v>
      </c>
      <c r="E87" s="326">
        <v>0.41</v>
      </c>
      <c r="F87" s="326">
        <v>0.6</v>
      </c>
      <c r="G87" s="326">
        <v>0.83</v>
      </c>
      <c r="H87" s="326">
        <v>1.21</v>
      </c>
      <c r="I87" s="326">
        <v>1.82</v>
      </c>
      <c r="J87" s="326">
        <v>2.4900000000000002</v>
      </c>
      <c r="K87" s="326">
        <v>3.57</v>
      </c>
      <c r="L87" s="326">
        <v>5.1100000000000003</v>
      </c>
      <c r="M87" s="326">
        <v>7.5</v>
      </c>
      <c r="N87" s="250">
        <v>10.49</v>
      </c>
      <c r="O87" s="250">
        <v>15.77</v>
      </c>
      <c r="P87" s="250">
        <v>22.6</v>
      </c>
      <c r="Q87" s="250">
        <v>31.62</v>
      </c>
      <c r="R87" s="250">
        <v>46.42</v>
      </c>
      <c r="S87" s="250">
        <v>68.13</v>
      </c>
      <c r="T87" s="250">
        <v>100</v>
      </c>
      <c r="U87" s="250">
        <v>143.30000000000001</v>
      </c>
      <c r="V87" s="250">
        <v>205.35</v>
      </c>
      <c r="W87" s="370"/>
      <c r="X87" s="369"/>
      <c r="Y87" s="369"/>
    </row>
    <row r="88" spans="1:28" ht="15.75" customHeight="1">
      <c r="A88" s="228">
        <v>18</v>
      </c>
      <c r="B88" s="75">
        <v>2</v>
      </c>
      <c r="C88" s="274">
        <v>1.24</v>
      </c>
      <c r="D88" s="274">
        <v>1.78</v>
      </c>
      <c r="E88" s="274">
        <v>2.4900000000000002</v>
      </c>
      <c r="F88" s="274">
        <v>3.48</v>
      </c>
      <c r="G88" s="274">
        <v>4.87</v>
      </c>
      <c r="H88" s="274">
        <v>6.49</v>
      </c>
      <c r="I88" s="274">
        <v>9.5299999999999994</v>
      </c>
      <c r="J88" s="274">
        <v>13.02</v>
      </c>
      <c r="K88" s="274">
        <v>17.78</v>
      </c>
      <c r="L88" s="274">
        <v>26.1</v>
      </c>
      <c r="M88" s="274">
        <v>35.65</v>
      </c>
      <c r="N88" s="274">
        <v>51.09</v>
      </c>
      <c r="O88" s="274">
        <v>69.78</v>
      </c>
      <c r="P88" s="274">
        <v>100</v>
      </c>
      <c r="Q88" s="274">
        <v>133.35</v>
      </c>
      <c r="R88" s="274">
        <v>191.1</v>
      </c>
      <c r="S88" s="274">
        <v>273.83999999999997</v>
      </c>
      <c r="T88" s="274"/>
      <c r="U88" s="274"/>
      <c r="V88" s="274"/>
      <c r="W88" s="371"/>
      <c r="X88" s="259"/>
      <c r="Y88" s="259"/>
    </row>
    <row r="89" spans="1:28" ht="15.75" customHeight="1">
      <c r="A89" s="229">
        <v>19</v>
      </c>
      <c r="B89" s="74">
        <v>1</v>
      </c>
      <c r="C89" s="250"/>
      <c r="D89" s="250"/>
      <c r="E89" s="372"/>
      <c r="F89" s="372"/>
      <c r="G89" s="250"/>
      <c r="H89" s="250"/>
      <c r="I89" s="250"/>
      <c r="J89" s="250"/>
      <c r="K89" s="250"/>
      <c r="L89" s="250"/>
      <c r="M89" s="250"/>
      <c r="N89" s="250"/>
      <c r="O89" s="373"/>
      <c r="P89" s="374"/>
      <c r="Q89" s="374"/>
      <c r="R89" s="374"/>
      <c r="S89" s="374"/>
      <c r="T89" s="374"/>
      <c r="U89" s="374"/>
      <c r="V89" s="374"/>
      <c r="W89" s="369"/>
      <c r="X89" s="369"/>
      <c r="Y89" s="369"/>
    </row>
    <row r="90" spans="1:28" ht="15.75" customHeight="1">
      <c r="A90" s="228">
        <v>19</v>
      </c>
      <c r="B90" s="75">
        <v>2</v>
      </c>
      <c r="C90" s="274"/>
      <c r="D90" s="274"/>
      <c r="E90" s="366"/>
      <c r="F90" s="366"/>
      <c r="G90" s="274"/>
      <c r="H90" s="274"/>
      <c r="I90" s="274"/>
      <c r="J90" s="274"/>
      <c r="K90" s="274"/>
      <c r="L90" s="274"/>
      <c r="M90" s="274"/>
      <c r="N90" s="274"/>
      <c r="O90" s="371"/>
      <c r="P90" s="259"/>
      <c r="Q90" s="259"/>
      <c r="R90" s="259"/>
      <c r="S90" s="259"/>
      <c r="T90" s="259"/>
      <c r="U90" s="259"/>
      <c r="V90" s="259"/>
      <c r="W90" s="259"/>
      <c r="X90" s="259"/>
      <c r="Y90" s="259"/>
    </row>
    <row r="91" spans="1:28" ht="15.75" customHeight="1">
      <c r="A91" s="228">
        <v>19</v>
      </c>
      <c r="B91" s="75">
        <v>3</v>
      </c>
      <c r="C91" s="326"/>
      <c r="D91" s="326"/>
      <c r="E91" s="375"/>
      <c r="F91" s="375"/>
      <c r="G91" s="326"/>
      <c r="H91" s="326"/>
      <c r="I91" s="326"/>
      <c r="J91" s="326"/>
      <c r="K91" s="326"/>
      <c r="L91" s="326"/>
      <c r="M91" s="326"/>
      <c r="N91" s="326"/>
      <c r="O91" s="370"/>
      <c r="P91" s="369"/>
      <c r="Q91" s="369"/>
      <c r="R91" s="369"/>
      <c r="S91" s="369"/>
      <c r="T91" s="369"/>
      <c r="U91" s="369"/>
      <c r="V91" s="369"/>
      <c r="W91" s="369"/>
      <c r="X91" s="369"/>
      <c r="Y91" s="369"/>
    </row>
    <row r="92" spans="1:28" ht="15.75" customHeight="1">
      <c r="A92" s="228">
        <v>19</v>
      </c>
      <c r="B92" s="75">
        <v>4</v>
      </c>
      <c r="C92" s="274"/>
      <c r="D92" s="274"/>
      <c r="E92" s="366"/>
      <c r="F92" s="366"/>
      <c r="G92" s="274"/>
      <c r="H92" s="274"/>
      <c r="I92" s="274"/>
      <c r="J92" s="274"/>
      <c r="K92" s="274"/>
      <c r="L92" s="274"/>
      <c r="M92" s="274"/>
      <c r="N92" s="274"/>
      <c r="O92" s="371"/>
      <c r="P92" s="259"/>
      <c r="Q92" s="259"/>
      <c r="R92" s="259"/>
      <c r="S92" s="259"/>
      <c r="T92" s="259"/>
      <c r="U92" s="259"/>
      <c r="V92" s="259"/>
      <c r="W92" s="259"/>
      <c r="X92" s="259"/>
      <c r="Y92" s="259"/>
    </row>
    <row r="93" spans="1:28" ht="15.75" customHeight="1">
      <c r="A93" s="230">
        <v>19</v>
      </c>
      <c r="B93" s="75">
        <v>5</v>
      </c>
      <c r="C93" s="326"/>
      <c r="D93" s="326"/>
      <c r="E93" s="375"/>
      <c r="F93" s="375"/>
      <c r="G93" s="326"/>
      <c r="H93" s="326"/>
      <c r="I93" s="326"/>
      <c r="J93" s="326"/>
      <c r="K93" s="326"/>
      <c r="L93" s="326"/>
      <c r="M93" s="326"/>
      <c r="N93" s="326"/>
      <c r="O93" s="370"/>
      <c r="P93" s="369"/>
      <c r="Q93" s="369"/>
      <c r="R93" s="369"/>
      <c r="S93" s="369"/>
      <c r="T93" s="369"/>
      <c r="U93" s="369"/>
      <c r="V93" s="369"/>
      <c r="W93" s="369"/>
      <c r="X93" s="369"/>
      <c r="Y93" s="369"/>
      <c r="Z93" s="2"/>
      <c r="AA93" s="2"/>
    </row>
    <row r="94" spans="1:28" ht="15.75" customHeight="1">
      <c r="A94" s="272">
        <v>20</v>
      </c>
      <c r="B94" s="200" t="s">
        <v>221</v>
      </c>
      <c r="C94" s="307">
        <v>0.1</v>
      </c>
      <c r="D94" s="307">
        <v>0.24556039520355999</v>
      </c>
      <c r="E94" s="307">
        <v>0.61781862824222999</v>
      </c>
      <c r="F94" s="307">
        <v>1.55440468444548</v>
      </c>
      <c r="G94" s="307">
        <v>3.91081429496607</v>
      </c>
      <c r="H94" s="223">
        <v>9.8394379550954696</v>
      </c>
      <c r="I94" s="223">
        <v>25.057939345604101</v>
      </c>
      <c r="J94" s="223">
        <v>98.793231355898996</v>
      </c>
      <c r="K94" s="376"/>
      <c r="L94" s="234"/>
      <c r="M94" s="234"/>
      <c r="N94" s="234"/>
      <c r="O94" s="376"/>
      <c r="P94" s="376"/>
      <c r="Q94" s="234"/>
      <c r="R94" s="234"/>
      <c r="S94" s="234"/>
      <c r="T94" s="376"/>
      <c r="U94" s="376"/>
      <c r="V94" s="234"/>
      <c r="W94" s="234"/>
      <c r="X94" s="234"/>
      <c r="Y94" s="376"/>
      <c r="Z94" s="234"/>
      <c r="AA94" s="235"/>
      <c r="AB94" s="2"/>
    </row>
    <row r="95" spans="1:28" ht="15.75" customHeight="1">
      <c r="A95" s="233">
        <v>20</v>
      </c>
      <c r="B95" s="201" t="s">
        <v>222</v>
      </c>
      <c r="C95" s="21">
        <v>0.1</v>
      </c>
      <c r="D95" s="21">
        <v>0.156703667858656</v>
      </c>
      <c r="E95" s="21">
        <v>0.99193892886254598</v>
      </c>
      <c r="F95" s="21">
        <v>2.4655603947361699</v>
      </c>
      <c r="G95" s="21">
        <v>6.2790032424797699</v>
      </c>
      <c r="H95" s="96">
        <v>15.7976979126181</v>
      </c>
      <c r="I95" s="96">
        <v>61.5323748869342</v>
      </c>
      <c r="J95" s="96">
        <v>96.423582143358601</v>
      </c>
      <c r="K95" s="97"/>
      <c r="L95" s="2"/>
      <c r="M95" s="2"/>
      <c r="N95" s="2"/>
      <c r="O95" s="97"/>
      <c r="P95" s="97"/>
      <c r="Q95" s="2"/>
      <c r="R95" s="2"/>
      <c r="S95" s="2"/>
      <c r="T95" s="97"/>
      <c r="U95" s="97"/>
      <c r="V95" s="2"/>
      <c r="W95" s="2"/>
      <c r="X95" s="2"/>
      <c r="Y95" s="97"/>
      <c r="Z95" s="2"/>
      <c r="AA95" s="236"/>
      <c r="AB95" s="2"/>
    </row>
    <row r="96" spans="1:28" ht="15.75" customHeight="1">
      <c r="A96" s="233">
        <v>20</v>
      </c>
      <c r="B96" s="201" t="s">
        <v>223</v>
      </c>
      <c r="C96" s="96">
        <v>9.7601215457868901E-2</v>
      </c>
      <c r="D96" s="96">
        <v>0.31304479344083602</v>
      </c>
      <c r="E96" s="96">
        <v>0.74122016431039695</v>
      </c>
      <c r="F96" s="96">
        <v>3.1431405860308699</v>
      </c>
      <c r="G96" s="96">
        <v>7.4422622455649998</v>
      </c>
      <c r="H96" s="96">
        <v>23.2975918162848</v>
      </c>
      <c r="I96" s="96">
        <v>41.220536589744803</v>
      </c>
      <c r="J96" s="96">
        <v>97.601200000000006</v>
      </c>
      <c r="K96" s="97"/>
      <c r="L96" s="2"/>
      <c r="M96" s="2"/>
      <c r="N96" s="2"/>
      <c r="O96" s="97"/>
      <c r="P96" s="97"/>
      <c r="Q96" s="2"/>
      <c r="R96" s="2"/>
      <c r="S96" s="2"/>
      <c r="T96" s="97"/>
      <c r="U96" s="97"/>
      <c r="V96" s="2"/>
      <c r="W96" s="2"/>
      <c r="X96" s="2"/>
      <c r="Y96" s="97"/>
      <c r="Z96" s="2"/>
      <c r="AA96" s="236"/>
      <c r="AB96" s="2"/>
    </row>
    <row r="97" spans="1:28" ht="15.75" customHeight="1">
      <c r="A97" s="233">
        <v>20</v>
      </c>
      <c r="B97" s="201" t="s">
        <v>224</v>
      </c>
      <c r="C97" s="21">
        <v>0.1</v>
      </c>
      <c r="D97" s="21">
        <v>0.156703667858656</v>
      </c>
      <c r="E97" s="21">
        <v>0.99193892886254598</v>
      </c>
      <c r="F97" s="21">
        <v>2.4655603947361699</v>
      </c>
      <c r="G97" s="21">
        <v>6.2790032424797699</v>
      </c>
      <c r="H97" s="96">
        <v>15.7976979126181</v>
      </c>
      <c r="I97" s="96">
        <v>61.5323748869342</v>
      </c>
      <c r="J97" s="96">
        <v>96.423582143358601</v>
      </c>
      <c r="K97" s="97"/>
      <c r="L97" s="2"/>
      <c r="M97" s="2"/>
      <c r="N97" s="2"/>
      <c r="O97" s="97"/>
      <c r="P97" s="97"/>
      <c r="Q97" s="2"/>
      <c r="R97" s="2"/>
      <c r="S97" s="2"/>
      <c r="T97" s="97"/>
      <c r="U97" s="97"/>
      <c r="V97" s="2"/>
      <c r="W97" s="2"/>
      <c r="X97" s="2"/>
      <c r="Y97" s="97"/>
      <c r="Z97" s="2"/>
      <c r="AA97" s="236"/>
      <c r="AB97" s="2"/>
    </row>
    <row r="98" spans="1:28" ht="15.75" customHeight="1">
      <c r="A98" s="233">
        <v>20</v>
      </c>
      <c r="B98" s="201" t="s">
        <v>225</v>
      </c>
      <c r="C98" s="96">
        <v>9.7269999999999995E-2</v>
      </c>
      <c r="D98" s="96">
        <v>0.12937526846038699</v>
      </c>
      <c r="E98" s="96">
        <v>0.173652329579458</v>
      </c>
      <c r="F98" s="96">
        <v>0.23094865758781999</v>
      </c>
      <c r="G98" s="96">
        <v>0.30714982385082601</v>
      </c>
      <c r="H98" s="96">
        <v>0.40849345164831602</v>
      </c>
      <c r="I98" s="96">
        <v>0.548295552485765</v>
      </c>
      <c r="J98" s="96">
        <v>0.72920485498018195</v>
      </c>
      <c r="K98" s="96">
        <v>0.97876667844574705</v>
      </c>
      <c r="L98" s="96">
        <v>1.3137381139100499</v>
      </c>
      <c r="M98" s="96">
        <v>1.7153572610085099</v>
      </c>
      <c r="N98" s="96">
        <v>2.3024152903961701</v>
      </c>
      <c r="O98" s="96">
        <v>3.0903899648954098</v>
      </c>
      <c r="P98" s="96">
        <v>4.1100595399089501</v>
      </c>
      <c r="Q98" s="96">
        <v>5.4661744801146597</v>
      </c>
      <c r="R98" s="96">
        <v>7.3368994255983502</v>
      </c>
      <c r="S98" s="96">
        <v>9.7577108102580095</v>
      </c>
      <c r="T98" s="96">
        <v>12.8584309009932</v>
      </c>
      <c r="U98" s="96">
        <v>17.418565873262899</v>
      </c>
      <c r="V98" s="96">
        <v>23.1657957902279</v>
      </c>
      <c r="W98" s="21">
        <v>31.094018154569302</v>
      </c>
      <c r="X98" s="21">
        <v>40.974855341396101</v>
      </c>
      <c r="Y98" s="21">
        <v>54.997950342038699</v>
      </c>
      <c r="Z98" s="21">
        <v>73.144534695700401</v>
      </c>
      <c r="AA98" s="211">
        <v>97.278342309736303</v>
      </c>
      <c r="AB98" s="2"/>
    </row>
    <row r="99" spans="1:28" ht="15.75" customHeight="1">
      <c r="A99" s="233">
        <v>20</v>
      </c>
      <c r="B99" s="201" t="s">
        <v>226</v>
      </c>
      <c r="C99" s="32">
        <v>9.7278342309736504E-2</v>
      </c>
      <c r="D99" s="32">
        <v>0.152670593281933</v>
      </c>
      <c r="E99" s="32">
        <v>0.24630781387886</v>
      </c>
      <c r="F99" s="32">
        <v>0.38656020890200798</v>
      </c>
      <c r="G99" s="32">
        <v>0.60667500861282597</v>
      </c>
      <c r="H99" s="32">
        <v>0.96980491290866999</v>
      </c>
      <c r="I99" s="32">
        <v>1.5360952043218301</v>
      </c>
      <c r="J99" s="32">
        <v>2.4330547776496401</v>
      </c>
      <c r="K99" s="32">
        <v>3.8184828500034702</v>
      </c>
      <c r="L99" s="32">
        <v>6.16047485592411</v>
      </c>
      <c r="M99" s="32">
        <v>9.6683674372296302</v>
      </c>
      <c r="N99" s="32">
        <v>15.455431961653</v>
      </c>
      <c r="O99" s="32">
        <v>24.480196584911901</v>
      </c>
      <c r="P99" s="32">
        <v>38.774767558228397</v>
      </c>
      <c r="Q99" s="32">
        <v>60.853787292089301</v>
      </c>
      <c r="R99" s="32">
        <v>99.084506991156204</v>
      </c>
      <c r="S99" s="2"/>
      <c r="T99" s="2"/>
      <c r="U99" s="2"/>
      <c r="V99" s="2"/>
      <c r="W99" s="2"/>
      <c r="X99" s="2"/>
      <c r="Y99" s="2"/>
      <c r="Z99" s="2"/>
      <c r="AA99" s="236"/>
      <c r="AB99" s="2"/>
    </row>
    <row r="100" spans="1:28" ht="15.75" customHeight="1">
      <c r="A100" s="233">
        <v>20</v>
      </c>
      <c r="B100" s="201" t="s">
        <v>227</v>
      </c>
      <c r="C100" s="96">
        <v>9.6387644133333797E-2</v>
      </c>
      <c r="D100" s="96">
        <v>0.12937526846038699</v>
      </c>
      <c r="E100" s="96">
        <v>0.17048701095409499</v>
      </c>
      <c r="F100" s="96">
        <v>0.233082658897869</v>
      </c>
      <c r="G100" s="96">
        <v>0.31285246977541098</v>
      </c>
      <c r="H100" s="96">
        <v>0.41226825469207901</v>
      </c>
      <c r="I100" s="96">
        <v>0.54327560191187296</v>
      </c>
      <c r="J100" s="96">
        <v>0.74274398427981103</v>
      </c>
      <c r="K100" s="21">
        <v>1.2546869171799599</v>
      </c>
      <c r="L100" s="21">
        <v>1.69965113826852</v>
      </c>
      <c r="M100" s="21">
        <v>2.2813368393780502</v>
      </c>
      <c r="N100" s="21">
        <v>3.0340605382948298</v>
      </c>
      <c r="O100" s="21">
        <v>4.0724322321617796</v>
      </c>
      <c r="P100" s="21">
        <v>5.3665341671306797</v>
      </c>
      <c r="Q100" s="21">
        <v>7.4046981875412303</v>
      </c>
      <c r="R100" s="21">
        <v>9.6683674372296302</v>
      </c>
      <c r="S100" s="96">
        <v>12.8584309009932</v>
      </c>
      <c r="T100" s="96">
        <v>17.259078319399499</v>
      </c>
      <c r="U100" s="96">
        <v>22.7435174397183</v>
      </c>
      <c r="V100" s="96">
        <v>30.809315674965799</v>
      </c>
      <c r="W100" s="96">
        <v>40.974855341396101</v>
      </c>
      <c r="X100" s="96">
        <v>54.494379116291803</v>
      </c>
      <c r="Y100" s="96">
        <v>72.474718499129906</v>
      </c>
      <c r="Z100" s="96">
        <v>98.177271242773799</v>
      </c>
      <c r="AA100" s="236"/>
      <c r="AB100" s="2"/>
    </row>
    <row r="101" spans="1:28" ht="15.75" customHeight="1">
      <c r="A101" s="233">
        <v>20</v>
      </c>
      <c r="B101" s="201" t="s">
        <v>228</v>
      </c>
      <c r="C101" s="96">
        <v>9.7841180949089002E-2</v>
      </c>
      <c r="D101" s="96">
        <v>0.15335214006051601</v>
      </c>
      <c r="E101" s="96">
        <v>0.24417799921022301</v>
      </c>
      <c r="F101" s="96">
        <v>0.376726958756473</v>
      </c>
      <c r="G101" s="96">
        <v>0.60459855965556197</v>
      </c>
      <c r="H101" s="96">
        <v>1.5328500236423499</v>
      </c>
      <c r="I101" s="96">
        <v>2.4600281315711201</v>
      </c>
      <c r="J101" s="21">
        <v>3.8862633022462498</v>
      </c>
      <c r="K101" s="21">
        <v>6.1879762345611997</v>
      </c>
      <c r="L101" s="21">
        <v>9.5470474308631808</v>
      </c>
      <c r="M101" s="21">
        <v>15.565309093814699</v>
      </c>
      <c r="N101" s="21">
        <v>24.589511291799301</v>
      </c>
      <c r="O101" s="21">
        <v>38.540587150162999</v>
      </c>
      <c r="P101" s="21">
        <v>60.885023047701402</v>
      </c>
      <c r="Q101" s="21">
        <v>97.712732345747497</v>
      </c>
      <c r="R101" s="2"/>
      <c r="S101" s="2"/>
      <c r="T101" s="2"/>
      <c r="U101" s="2"/>
      <c r="V101" s="2"/>
      <c r="W101" s="2"/>
      <c r="X101" s="2"/>
      <c r="Y101" s="2"/>
      <c r="Z101" s="2"/>
      <c r="AA101" s="236"/>
      <c r="AB101" s="2"/>
    </row>
    <row r="102" spans="1:28" ht="15.75" customHeight="1">
      <c r="A102" s="233">
        <v>20</v>
      </c>
      <c r="B102" s="201" t="s">
        <v>231</v>
      </c>
      <c r="C102" s="96">
        <v>0.101775190930399</v>
      </c>
      <c r="D102" s="96">
        <v>0.13517797972835599</v>
      </c>
      <c r="E102" s="96">
        <v>0.23847043918164099</v>
      </c>
      <c r="F102" s="96">
        <v>0.31673683830819799</v>
      </c>
      <c r="G102" s="96">
        <v>0.55876205121047695</v>
      </c>
      <c r="H102" s="96">
        <v>1.0013905511180601</v>
      </c>
      <c r="I102" s="96">
        <v>1.31960369156694</v>
      </c>
      <c r="J102" s="96">
        <v>1.76657392109554</v>
      </c>
      <c r="K102" s="96">
        <v>3.16598170653198</v>
      </c>
      <c r="L102" s="96">
        <v>5.6293819976902002</v>
      </c>
      <c r="M102" s="96">
        <v>9.8529221778055902</v>
      </c>
      <c r="N102" s="96">
        <v>17.381756138725201</v>
      </c>
      <c r="O102" s="96">
        <v>23.2692411268632</v>
      </c>
      <c r="P102" s="96">
        <v>31.150874189559602</v>
      </c>
      <c r="Q102" s="96">
        <v>41.049778685089798</v>
      </c>
      <c r="R102" s="96">
        <v>73.567645632033305</v>
      </c>
      <c r="S102" s="96">
        <v>97.712732345747497</v>
      </c>
      <c r="T102" s="2"/>
      <c r="U102" s="2"/>
      <c r="V102" s="2"/>
      <c r="W102" s="2"/>
      <c r="X102" s="2"/>
      <c r="Y102" s="2"/>
      <c r="Z102" s="2"/>
      <c r="AA102" s="236"/>
      <c r="AB102" s="2"/>
    </row>
    <row r="103" spans="1:28" ht="15.75" customHeight="1">
      <c r="A103" s="233">
        <v>20</v>
      </c>
      <c r="B103" s="201" t="s">
        <v>232</v>
      </c>
      <c r="C103" s="96">
        <v>0.101775190930399</v>
      </c>
      <c r="D103" s="96">
        <v>0.157022574843277</v>
      </c>
      <c r="E103" s="96">
        <v>0.25200097953550099</v>
      </c>
      <c r="F103" s="96">
        <v>0.63388586387008095</v>
      </c>
      <c r="G103" s="96">
        <v>1.5819615060449701</v>
      </c>
      <c r="H103" s="96">
        <v>3.9480328387967001</v>
      </c>
      <c r="I103" s="96">
        <v>9.8529221778055902</v>
      </c>
      <c r="J103" s="96">
        <v>24.589511291799301</v>
      </c>
      <c r="K103" s="96">
        <v>60.885023047701402</v>
      </c>
      <c r="L103" s="96">
        <v>99.265684996793198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36"/>
      <c r="AB103" s="2"/>
    </row>
    <row r="104" spans="1:28" ht="15.75" customHeight="1">
      <c r="A104" s="233">
        <v>20</v>
      </c>
      <c r="B104" s="201" t="s">
        <v>233</v>
      </c>
      <c r="C104" s="96">
        <v>0.101775190930399</v>
      </c>
      <c r="D104" s="96">
        <v>0.17813365711203899</v>
      </c>
      <c r="E104" s="96">
        <v>0.31673683830819799</v>
      </c>
      <c r="F104" s="21">
        <v>0.73053868205783301</v>
      </c>
      <c r="G104" s="21">
        <v>1.31960369156694</v>
      </c>
      <c r="H104" s="21">
        <v>3.16598170653198</v>
      </c>
      <c r="I104" s="21">
        <v>5.4978009874522797</v>
      </c>
      <c r="J104" s="21">
        <v>9.7755529799156999</v>
      </c>
      <c r="K104" s="21">
        <v>17.519347215572001</v>
      </c>
      <c r="L104" s="21">
        <v>41.374669610129899</v>
      </c>
      <c r="M104" s="21">
        <v>100.051329189195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36"/>
      <c r="AB104" s="2"/>
    </row>
    <row r="105" spans="1:28" ht="15.75" customHeight="1">
      <c r="A105" s="233">
        <v>20</v>
      </c>
      <c r="B105" s="201" t="s">
        <v>234</v>
      </c>
      <c r="C105" s="96">
        <v>0.159518141367955</v>
      </c>
      <c r="D105" s="96">
        <v>0.25200097953550099</v>
      </c>
      <c r="E105" s="96">
        <v>0.39810226755753703</v>
      </c>
      <c r="F105" s="96">
        <v>0.62890793411430201</v>
      </c>
      <c r="G105" s="96">
        <v>1.0013905511180601</v>
      </c>
      <c r="H105" s="96">
        <v>1.5572116748900799</v>
      </c>
      <c r="I105" s="96">
        <v>3.91702631309502</v>
      </c>
      <c r="J105" s="96">
        <v>9.93091626319673</v>
      </c>
      <c r="K105" s="96">
        <v>15.6885016622526</v>
      </c>
      <c r="L105" s="96">
        <v>39.153163813527897</v>
      </c>
      <c r="M105" s="96">
        <v>61.852671333457401</v>
      </c>
      <c r="N105" s="96">
        <v>98.486210005760199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36"/>
      <c r="AB105" s="2"/>
    </row>
    <row r="106" spans="1:28" ht="15.75" customHeight="1">
      <c r="A106" s="228">
        <v>20</v>
      </c>
      <c r="B106" s="75" t="s">
        <v>235</v>
      </c>
      <c r="C106" s="96"/>
      <c r="D106" s="96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36"/>
      <c r="AB106" s="2"/>
    </row>
    <row r="107" spans="1:28" ht="15.75" customHeight="1">
      <c r="A107" s="228">
        <v>20</v>
      </c>
      <c r="B107" s="75" t="s">
        <v>236</v>
      </c>
      <c r="C107" s="96"/>
      <c r="D107" s="96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36"/>
      <c r="AB107" s="2"/>
    </row>
    <row r="108" spans="1:28" ht="15.75" customHeight="1">
      <c r="A108" s="228">
        <v>20</v>
      </c>
      <c r="B108" s="75" t="s">
        <v>237</v>
      </c>
      <c r="C108" s="96"/>
      <c r="D108" s="96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36"/>
      <c r="AB108" s="2"/>
    </row>
    <row r="109" spans="1:28" ht="15.75" customHeight="1">
      <c r="A109" s="228">
        <v>20</v>
      </c>
      <c r="B109" s="75" t="s">
        <v>238</v>
      </c>
      <c r="C109" s="96"/>
      <c r="D109" s="96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36"/>
      <c r="AB109" s="2"/>
    </row>
    <row r="110" spans="1:28" ht="15.75" customHeight="1">
      <c r="A110" s="228">
        <v>20</v>
      </c>
      <c r="B110" s="75" t="s">
        <v>239</v>
      </c>
      <c r="C110" s="96"/>
      <c r="D110" s="96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36"/>
      <c r="AB110" s="2"/>
    </row>
    <row r="111" spans="1:28" ht="15.75" customHeight="1">
      <c r="A111" s="228">
        <v>20</v>
      </c>
      <c r="B111" s="75" t="s">
        <v>240</v>
      </c>
      <c r="C111" s="96"/>
      <c r="D111" s="96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36"/>
      <c r="AB111" s="2"/>
    </row>
    <row r="112" spans="1:28" ht="15.75" customHeight="1">
      <c r="A112" s="228">
        <v>20</v>
      </c>
      <c r="B112" s="75" t="s">
        <v>241</v>
      </c>
      <c r="C112" s="96"/>
      <c r="D112" s="96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36"/>
      <c r="AB112" s="2"/>
    </row>
    <row r="113" spans="1:28" ht="15.75" customHeight="1">
      <c r="A113" s="228">
        <v>20</v>
      </c>
      <c r="B113" s="75" t="s">
        <v>242</v>
      </c>
      <c r="C113" s="96"/>
      <c r="D113" s="96"/>
      <c r="E113" s="96"/>
      <c r="F113" s="96"/>
      <c r="G113" s="96"/>
      <c r="H113" s="96"/>
      <c r="I113" s="96"/>
      <c r="J113" s="96"/>
      <c r="K113" s="96"/>
      <c r="L113" s="96"/>
      <c r="M113" s="96"/>
      <c r="N113" s="96"/>
      <c r="O113" s="2"/>
      <c r="P113" s="2"/>
      <c r="Q113" s="2"/>
      <c r="R113" s="2"/>
      <c r="S113" s="2"/>
      <c r="T113" s="2"/>
      <c r="U113" s="2"/>
      <c r="V113" s="34"/>
      <c r="W113" s="34"/>
      <c r="X113" s="34"/>
      <c r="Y113" s="34"/>
      <c r="Z113" s="34"/>
      <c r="AA113" s="237"/>
      <c r="AB113" s="2"/>
    </row>
    <row r="114" spans="1:28" ht="15.75" customHeight="1">
      <c r="A114" s="229">
        <v>21</v>
      </c>
      <c r="B114" s="74" t="s">
        <v>221</v>
      </c>
      <c r="C114" s="234"/>
      <c r="D114" s="234"/>
      <c r="E114" s="376"/>
      <c r="F114" s="376"/>
      <c r="G114" s="234"/>
      <c r="H114" s="234"/>
      <c r="I114" s="234"/>
      <c r="J114" s="234"/>
      <c r="K114" s="234"/>
      <c r="L114" s="234"/>
      <c r="M114" s="234"/>
      <c r="N114" s="234"/>
      <c r="O114" s="234"/>
      <c r="P114" s="234"/>
      <c r="Q114" s="234"/>
      <c r="R114" s="234"/>
      <c r="S114" s="234"/>
      <c r="T114" s="234"/>
      <c r="U114" s="235"/>
      <c r="V114" s="2"/>
      <c r="W114" s="2"/>
      <c r="X114" s="2"/>
      <c r="Y114" s="2"/>
      <c r="Z114" s="2"/>
      <c r="AA114" s="2"/>
    </row>
    <row r="115" spans="1:28" ht="15.75" customHeight="1">
      <c r="A115" s="228">
        <v>21</v>
      </c>
      <c r="B115" s="75" t="s">
        <v>222</v>
      </c>
      <c r="C115" s="2"/>
      <c r="D115" s="2"/>
      <c r="E115" s="97"/>
      <c r="F115" s="97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36"/>
      <c r="V115" s="2"/>
    </row>
    <row r="116" spans="1:28" ht="15.75" customHeight="1">
      <c r="A116" s="228">
        <v>21</v>
      </c>
      <c r="B116" s="75" t="s">
        <v>223</v>
      </c>
      <c r="C116" s="2"/>
      <c r="D116" s="2"/>
      <c r="E116" s="97"/>
      <c r="F116" s="97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36"/>
      <c r="V116" s="2"/>
    </row>
    <row r="117" spans="1:28" ht="15.75" customHeight="1">
      <c r="A117" s="228">
        <v>21</v>
      </c>
      <c r="B117" s="75" t="s">
        <v>224</v>
      </c>
      <c r="C117" s="2"/>
      <c r="D117" s="2"/>
      <c r="E117" s="97"/>
      <c r="F117" s="97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36"/>
      <c r="V117" s="2"/>
    </row>
    <row r="118" spans="1:28" ht="15.75" customHeight="1">
      <c r="A118" s="228">
        <v>21</v>
      </c>
      <c r="B118" s="75" t="s">
        <v>229</v>
      </c>
      <c r="C118" s="2"/>
      <c r="D118" s="2"/>
      <c r="E118" s="97"/>
      <c r="F118" s="97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36"/>
      <c r="V118" s="2"/>
    </row>
    <row r="119" spans="1:28" ht="15.75" customHeight="1">
      <c r="A119" s="228">
        <v>21</v>
      </c>
      <c r="B119" s="75" t="s">
        <v>243</v>
      </c>
      <c r="C119" s="2"/>
      <c r="D119" s="2"/>
      <c r="E119" s="97"/>
      <c r="F119" s="97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36"/>
      <c r="V119" s="2"/>
    </row>
    <row r="120" spans="1:28" ht="15.75" customHeight="1">
      <c r="A120" s="228">
        <v>21</v>
      </c>
      <c r="B120" s="75" t="s">
        <v>244</v>
      </c>
      <c r="C120" s="2"/>
      <c r="D120" s="2"/>
      <c r="E120" s="97"/>
      <c r="F120" s="97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36"/>
      <c r="V120" s="2"/>
    </row>
    <row r="121" spans="1:28" ht="15.75" customHeight="1">
      <c r="A121" s="228">
        <v>21</v>
      </c>
      <c r="B121" s="75" t="s">
        <v>245</v>
      </c>
      <c r="C121" s="2"/>
      <c r="D121" s="2"/>
      <c r="E121" s="97"/>
      <c r="F121" s="97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36"/>
      <c r="V121" s="2"/>
    </row>
    <row r="122" spans="1:28" ht="15.75" customHeight="1">
      <c r="A122" s="229">
        <v>21</v>
      </c>
      <c r="B122" s="74" t="s">
        <v>225</v>
      </c>
      <c r="C122" s="2">
        <v>0.98</v>
      </c>
      <c r="D122" s="2">
        <v>1.32</v>
      </c>
      <c r="E122" s="2">
        <v>1.79</v>
      </c>
      <c r="F122" s="2">
        <v>2.44</v>
      </c>
      <c r="G122" s="2">
        <v>3.32</v>
      </c>
      <c r="H122" s="2">
        <v>4.42</v>
      </c>
      <c r="I122" s="2">
        <v>6.27</v>
      </c>
      <c r="J122" s="2">
        <v>8.36</v>
      </c>
      <c r="K122" s="2">
        <v>11.49</v>
      </c>
      <c r="L122" s="2">
        <v>15.31</v>
      </c>
      <c r="M122" s="2">
        <v>21.25</v>
      </c>
      <c r="N122" s="2">
        <v>28.32</v>
      </c>
      <c r="O122" s="2">
        <v>38.130000000000003</v>
      </c>
      <c r="P122" s="2">
        <v>52.41</v>
      </c>
      <c r="Q122" s="2">
        <v>70.56</v>
      </c>
      <c r="R122" s="2">
        <v>95</v>
      </c>
      <c r="S122" s="2">
        <v>130.56</v>
      </c>
      <c r="T122" s="2">
        <v>181.28</v>
      </c>
      <c r="U122" s="236">
        <v>249</v>
      </c>
      <c r="V122" s="2"/>
    </row>
    <row r="123" spans="1:28" ht="15.75" customHeight="1">
      <c r="A123" s="228">
        <v>21</v>
      </c>
      <c r="B123" s="75" t="s">
        <v>226</v>
      </c>
      <c r="C123" s="2">
        <v>0.98</v>
      </c>
      <c r="D123" s="2">
        <v>1.32</v>
      </c>
      <c r="E123" s="2">
        <v>1.79</v>
      </c>
      <c r="F123" s="2">
        <v>2.44</v>
      </c>
      <c r="G123" s="2">
        <v>3.32</v>
      </c>
      <c r="H123" s="2">
        <v>4.42</v>
      </c>
      <c r="I123" s="2">
        <v>6.27</v>
      </c>
      <c r="J123" s="2">
        <v>8.36</v>
      </c>
      <c r="K123" s="2">
        <v>11.49</v>
      </c>
      <c r="L123" s="2">
        <v>15.31</v>
      </c>
      <c r="M123" s="2">
        <v>21.25</v>
      </c>
      <c r="N123" s="2">
        <v>28.32</v>
      </c>
      <c r="O123" s="2">
        <v>38.130000000000003</v>
      </c>
      <c r="P123" s="2">
        <v>52.41</v>
      </c>
      <c r="Q123" s="2">
        <v>70.56</v>
      </c>
      <c r="R123" s="2">
        <v>95</v>
      </c>
      <c r="S123" s="2">
        <v>130.56</v>
      </c>
      <c r="T123" s="2">
        <v>181.28</v>
      </c>
      <c r="U123" s="236">
        <v>249</v>
      </c>
      <c r="V123" s="2"/>
    </row>
    <row r="124" spans="1:28" ht="15.75" customHeight="1">
      <c r="A124" s="228">
        <v>21</v>
      </c>
      <c r="B124" s="75" t="s">
        <v>227</v>
      </c>
      <c r="C124" s="2">
        <v>0.98</v>
      </c>
      <c r="D124" s="2">
        <v>1.32</v>
      </c>
      <c r="E124" s="2">
        <v>1.79</v>
      </c>
      <c r="F124" s="2">
        <v>2.44</v>
      </c>
      <c r="G124" s="2">
        <v>3.32</v>
      </c>
      <c r="H124" s="2">
        <v>4.42</v>
      </c>
      <c r="I124" s="2">
        <v>6.27</v>
      </c>
      <c r="J124" s="2">
        <v>8.36</v>
      </c>
      <c r="K124" s="2">
        <v>11.49</v>
      </c>
      <c r="L124" s="2">
        <v>15.31</v>
      </c>
      <c r="M124" s="2">
        <v>21.25</v>
      </c>
      <c r="N124" s="2">
        <v>28.32</v>
      </c>
      <c r="O124" s="2">
        <v>38.130000000000003</v>
      </c>
      <c r="P124" s="2">
        <v>52.41</v>
      </c>
      <c r="Q124" s="2">
        <v>70.56</v>
      </c>
      <c r="R124" s="2">
        <v>95</v>
      </c>
      <c r="S124" s="2">
        <v>130.56</v>
      </c>
      <c r="T124" s="2">
        <v>181.28</v>
      </c>
      <c r="U124" s="236">
        <v>249</v>
      </c>
      <c r="V124" s="2"/>
    </row>
    <row r="125" spans="1:28" ht="15.75" customHeight="1">
      <c r="A125" s="228">
        <v>21</v>
      </c>
      <c r="B125" s="75" t="s">
        <v>228</v>
      </c>
      <c r="C125" s="2">
        <v>0.98</v>
      </c>
      <c r="D125" s="2">
        <v>1.32</v>
      </c>
      <c r="E125" s="2">
        <v>1.79</v>
      </c>
      <c r="F125" s="2">
        <v>2.44</v>
      </c>
      <c r="G125" s="2">
        <v>3.32</v>
      </c>
      <c r="H125" s="2">
        <v>4.42</v>
      </c>
      <c r="I125" s="2">
        <v>6.27</v>
      </c>
      <c r="J125" s="2">
        <v>8.36</v>
      </c>
      <c r="K125" s="2">
        <v>11.49</v>
      </c>
      <c r="L125" s="2">
        <v>15.31</v>
      </c>
      <c r="M125" s="2">
        <v>21.25</v>
      </c>
      <c r="N125" s="2">
        <v>28.32</v>
      </c>
      <c r="O125" s="2">
        <v>38.130000000000003</v>
      </c>
      <c r="P125" s="2">
        <v>52.41</v>
      </c>
      <c r="Q125" s="2">
        <v>70.56</v>
      </c>
      <c r="R125" s="2">
        <v>95</v>
      </c>
      <c r="S125" s="2">
        <v>130.56</v>
      </c>
      <c r="T125" s="2">
        <v>181.28</v>
      </c>
      <c r="U125" s="236">
        <v>249</v>
      </c>
      <c r="V125" s="2"/>
    </row>
    <row r="126" spans="1:28" ht="15.75" customHeight="1">
      <c r="A126" s="228">
        <v>21</v>
      </c>
      <c r="B126" s="75" t="s">
        <v>230</v>
      </c>
      <c r="C126" s="2">
        <v>0.98</v>
      </c>
      <c r="D126" s="2">
        <v>1.32</v>
      </c>
      <c r="E126" s="2">
        <v>1.79</v>
      </c>
      <c r="F126" s="2">
        <v>2.44</v>
      </c>
      <c r="G126" s="2">
        <v>3.32</v>
      </c>
      <c r="H126" s="2">
        <v>4.42</v>
      </c>
      <c r="I126" s="2">
        <v>6.27</v>
      </c>
      <c r="J126" s="2">
        <v>8.36</v>
      </c>
      <c r="K126" s="2">
        <v>11.49</v>
      </c>
      <c r="L126" s="2">
        <v>15.31</v>
      </c>
      <c r="M126" s="2">
        <v>21.25</v>
      </c>
      <c r="N126" s="2">
        <v>28.32</v>
      </c>
      <c r="O126" s="2">
        <v>38.130000000000003</v>
      </c>
      <c r="P126" s="2">
        <v>52.41</v>
      </c>
      <c r="Q126" s="2">
        <v>70.56</v>
      </c>
      <c r="R126" s="2">
        <v>95</v>
      </c>
      <c r="S126" s="2">
        <v>130.56</v>
      </c>
      <c r="T126" s="2">
        <v>181.28</v>
      </c>
      <c r="U126" s="236">
        <v>249</v>
      </c>
      <c r="V126" s="2"/>
    </row>
    <row r="127" spans="1:28" ht="15.75" customHeight="1">
      <c r="A127" s="228">
        <v>21</v>
      </c>
      <c r="B127" s="75" t="s">
        <v>246</v>
      </c>
      <c r="C127" s="2">
        <v>0.98</v>
      </c>
      <c r="D127" s="2">
        <v>1.32</v>
      </c>
      <c r="E127" s="2">
        <v>1.79</v>
      </c>
      <c r="F127" s="2">
        <v>2.44</v>
      </c>
      <c r="G127" s="2">
        <v>3.32</v>
      </c>
      <c r="H127" s="2">
        <v>4.42</v>
      </c>
      <c r="I127" s="2">
        <v>6.27</v>
      </c>
      <c r="J127" s="2">
        <v>8.36</v>
      </c>
      <c r="K127" s="2">
        <v>11.49</v>
      </c>
      <c r="L127" s="2">
        <v>15.31</v>
      </c>
      <c r="M127" s="2">
        <v>21.25</v>
      </c>
      <c r="N127" s="2">
        <v>28.32</v>
      </c>
      <c r="O127" s="2">
        <v>38.130000000000003</v>
      </c>
      <c r="P127" s="2">
        <v>52.41</v>
      </c>
      <c r="Q127" s="2">
        <v>70.56</v>
      </c>
      <c r="R127" s="2">
        <v>95</v>
      </c>
      <c r="S127" s="2">
        <v>130.56</v>
      </c>
      <c r="T127" s="2">
        <v>181.28</v>
      </c>
      <c r="U127" s="236">
        <v>249</v>
      </c>
      <c r="V127" s="2"/>
    </row>
    <row r="128" spans="1:28" ht="15.75" customHeight="1">
      <c r="A128" s="228">
        <v>21</v>
      </c>
      <c r="B128" s="75" t="s">
        <v>247</v>
      </c>
      <c r="C128" s="2">
        <v>0.98</v>
      </c>
      <c r="D128" s="2">
        <v>1.32</v>
      </c>
      <c r="E128" s="2">
        <v>1.79</v>
      </c>
      <c r="F128" s="2">
        <v>2.44</v>
      </c>
      <c r="G128" s="2">
        <v>3.32</v>
      </c>
      <c r="H128" s="2">
        <v>4.42</v>
      </c>
      <c r="I128" s="2">
        <v>6.27</v>
      </c>
      <c r="J128" s="2">
        <v>8.36</v>
      </c>
      <c r="K128" s="2">
        <v>11.49</v>
      </c>
      <c r="L128" s="2">
        <v>15.31</v>
      </c>
      <c r="M128" s="2">
        <v>21.25</v>
      </c>
      <c r="N128" s="2">
        <v>28.32</v>
      </c>
      <c r="O128" s="2">
        <v>38.130000000000003</v>
      </c>
      <c r="P128" s="2">
        <v>52.41</v>
      </c>
      <c r="Q128" s="2">
        <v>70.56</v>
      </c>
      <c r="R128" s="2">
        <v>95</v>
      </c>
      <c r="S128" s="2">
        <v>130.56</v>
      </c>
      <c r="T128" s="2">
        <v>181.28</v>
      </c>
      <c r="U128" s="236">
        <v>249</v>
      </c>
      <c r="V128" s="2"/>
    </row>
    <row r="129" spans="1:37" ht="15.75" customHeight="1">
      <c r="A129" s="230">
        <v>21</v>
      </c>
      <c r="B129" s="231" t="s">
        <v>248</v>
      </c>
      <c r="C129" s="34">
        <v>0.98</v>
      </c>
      <c r="D129" s="34">
        <v>1.32</v>
      </c>
      <c r="E129" s="34">
        <v>1.79</v>
      </c>
      <c r="F129" s="34">
        <v>2.44</v>
      </c>
      <c r="G129" s="34">
        <v>3.32</v>
      </c>
      <c r="H129" s="34">
        <v>4.42</v>
      </c>
      <c r="I129" s="34">
        <v>6.27</v>
      </c>
      <c r="J129" s="34">
        <v>8.36</v>
      </c>
      <c r="K129" s="34">
        <v>11.49</v>
      </c>
      <c r="L129" s="34">
        <v>15.31</v>
      </c>
      <c r="M129" s="34">
        <v>21.25</v>
      </c>
      <c r="N129" s="34">
        <v>28.32</v>
      </c>
      <c r="O129" s="34">
        <v>38.130000000000003</v>
      </c>
      <c r="P129" s="34">
        <v>52.41</v>
      </c>
      <c r="Q129" s="34">
        <v>70.56</v>
      </c>
      <c r="R129" s="34">
        <v>95</v>
      </c>
      <c r="S129" s="34">
        <v>130.56</v>
      </c>
      <c r="T129" s="34">
        <v>181.28</v>
      </c>
      <c r="U129" s="237">
        <v>249</v>
      </c>
      <c r="V129" s="2"/>
    </row>
    <row r="130" spans="1:37" ht="15.75" customHeight="1">
      <c r="A130" s="228">
        <v>22</v>
      </c>
      <c r="B130" s="75">
        <v>1</v>
      </c>
      <c r="C130" s="2">
        <v>0.1</v>
      </c>
      <c r="D130" s="2">
        <v>0.14000000000000001</v>
      </c>
      <c r="E130" s="2">
        <v>0.21</v>
      </c>
      <c r="F130" s="2">
        <v>0.3</v>
      </c>
      <c r="G130" s="2">
        <v>0.45</v>
      </c>
      <c r="H130" s="2">
        <v>0.61</v>
      </c>
      <c r="I130" s="2">
        <v>0.87</v>
      </c>
      <c r="J130" s="2">
        <v>1.29</v>
      </c>
      <c r="K130" s="2">
        <v>1.85</v>
      </c>
      <c r="L130" s="2">
        <v>2.62</v>
      </c>
      <c r="M130" s="2">
        <v>3.78</v>
      </c>
      <c r="N130" s="2">
        <v>5.28</v>
      </c>
      <c r="O130" s="2">
        <v>7.7</v>
      </c>
      <c r="P130" s="2">
        <v>11.1</v>
      </c>
      <c r="Q130" s="2">
        <v>16.18</v>
      </c>
      <c r="R130" s="2">
        <v>22.86</v>
      </c>
      <c r="S130" s="2">
        <v>34.75</v>
      </c>
      <c r="T130" s="2">
        <v>49.6</v>
      </c>
      <c r="U130" s="2">
        <v>70.790000000000006</v>
      </c>
      <c r="V130" s="235">
        <v>98.96</v>
      </c>
      <c r="W130" s="2"/>
    </row>
    <row r="131" spans="1:37" ht="15.75" customHeight="1">
      <c r="A131" s="228">
        <v>22</v>
      </c>
      <c r="B131" s="75">
        <v>2</v>
      </c>
      <c r="C131" s="2">
        <v>0.1</v>
      </c>
      <c r="D131" s="2">
        <v>0.14000000000000001</v>
      </c>
      <c r="E131" s="2">
        <v>0.21</v>
      </c>
      <c r="F131" s="2">
        <v>0.3</v>
      </c>
      <c r="G131" s="2">
        <v>0.45</v>
      </c>
      <c r="H131" s="2">
        <v>0.61</v>
      </c>
      <c r="I131" s="2">
        <v>0.87</v>
      </c>
      <c r="J131" s="2">
        <v>1.29</v>
      </c>
      <c r="K131" s="2">
        <v>1.85</v>
      </c>
      <c r="L131" s="2">
        <v>2.62</v>
      </c>
      <c r="M131" s="2">
        <v>3.78</v>
      </c>
      <c r="N131" s="2">
        <v>5.28</v>
      </c>
      <c r="O131" s="2">
        <v>7.7</v>
      </c>
      <c r="P131" s="2">
        <v>11.1</v>
      </c>
      <c r="Q131" s="2">
        <v>16.18</v>
      </c>
      <c r="R131" s="2">
        <v>22.86</v>
      </c>
      <c r="S131" s="2">
        <v>34.75</v>
      </c>
      <c r="T131" s="2">
        <v>49.6</v>
      </c>
      <c r="U131" s="2">
        <v>70.790000000000006</v>
      </c>
      <c r="V131" s="236">
        <v>98.96</v>
      </c>
      <c r="W131" s="2"/>
    </row>
    <row r="132" spans="1:37" ht="15.75" customHeight="1">
      <c r="A132" s="228">
        <v>22</v>
      </c>
      <c r="B132" s="75">
        <v>3</v>
      </c>
      <c r="C132" s="2">
        <v>0.1</v>
      </c>
      <c r="D132" s="2">
        <v>0.14000000000000001</v>
      </c>
      <c r="E132" s="2">
        <v>0.21</v>
      </c>
      <c r="F132" s="2">
        <v>0.3</v>
      </c>
      <c r="G132" s="2">
        <v>0.45</v>
      </c>
      <c r="H132" s="2">
        <v>0.61</v>
      </c>
      <c r="I132" s="2">
        <v>0.87</v>
      </c>
      <c r="J132" s="2">
        <v>1.29</v>
      </c>
      <c r="K132" s="2">
        <v>1.85</v>
      </c>
      <c r="L132" s="2">
        <v>2.62</v>
      </c>
      <c r="M132" s="2">
        <v>3.78</v>
      </c>
      <c r="N132" s="2">
        <v>5.28</v>
      </c>
      <c r="O132" s="2">
        <v>7.7</v>
      </c>
      <c r="P132" s="2">
        <v>11.1</v>
      </c>
      <c r="Q132" s="2">
        <v>16.18</v>
      </c>
      <c r="R132" s="2">
        <v>22.86</v>
      </c>
      <c r="S132" s="2">
        <v>34.75</v>
      </c>
      <c r="T132" s="2">
        <v>49.6</v>
      </c>
      <c r="U132" s="2">
        <v>70.790000000000006</v>
      </c>
      <c r="V132" s="236">
        <v>98.96</v>
      </c>
      <c r="W132" s="2"/>
    </row>
    <row r="133" spans="1:37" ht="15.75" customHeight="1">
      <c r="A133" s="228">
        <v>22</v>
      </c>
      <c r="B133" s="75">
        <v>4</v>
      </c>
      <c r="C133" s="2">
        <v>0.1</v>
      </c>
      <c r="D133" s="2">
        <v>0.14000000000000001</v>
      </c>
      <c r="E133" s="2">
        <v>0.21</v>
      </c>
      <c r="F133" s="2">
        <v>0.3</v>
      </c>
      <c r="G133" s="2">
        <v>0.45</v>
      </c>
      <c r="H133" s="2">
        <v>0.61</v>
      </c>
      <c r="I133" s="2">
        <v>0.87</v>
      </c>
      <c r="J133" s="2">
        <v>1.29</v>
      </c>
      <c r="K133" s="2">
        <v>1.85</v>
      </c>
      <c r="L133" s="2">
        <v>2.62</v>
      </c>
      <c r="M133" s="2">
        <v>3.78</v>
      </c>
      <c r="N133" s="2">
        <v>5.28</v>
      </c>
      <c r="O133" s="2">
        <v>7.7</v>
      </c>
      <c r="P133" s="2">
        <v>11.1</v>
      </c>
      <c r="Q133" s="2">
        <v>16.18</v>
      </c>
      <c r="R133" s="2">
        <v>22.86</v>
      </c>
      <c r="S133" s="2">
        <v>34.75</v>
      </c>
      <c r="T133" s="2">
        <v>49.6</v>
      </c>
      <c r="U133" s="2">
        <v>70.790000000000006</v>
      </c>
      <c r="V133" s="236">
        <v>98.96</v>
      </c>
      <c r="W133" s="2"/>
    </row>
    <row r="134" spans="1:37" ht="15.75" customHeight="1">
      <c r="A134" s="228">
        <v>22</v>
      </c>
      <c r="B134" s="75">
        <v>5</v>
      </c>
      <c r="C134" s="2">
        <v>0.1</v>
      </c>
      <c r="D134" s="2">
        <v>0.14000000000000001</v>
      </c>
      <c r="E134" s="2">
        <v>0.21</v>
      </c>
      <c r="F134" s="2">
        <v>0.3</v>
      </c>
      <c r="G134" s="2">
        <v>0.45</v>
      </c>
      <c r="H134" s="2">
        <v>0.61</v>
      </c>
      <c r="I134" s="2">
        <v>0.87</v>
      </c>
      <c r="J134" s="2">
        <v>1.29</v>
      </c>
      <c r="K134" s="2">
        <v>1.85</v>
      </c>
      <c r="L134" s="2">
        <v>2.62</v>
      </c>
      <c r="M134" s="2">
        <v>3.78</v>
      </c>
      <c r="N134" s="2">
        <v>5.28</v>
      </c>
      <c r="O134" s="2">
        <v>7.7</v>
      </c>
      <c r="P134" s="2">
        <v>11.1</v>
      </c>
      <c r="Q134" s="2">
        <v>16.18</v>
      </c>
      <c r="R134" s="2">
        <v>22.86</v>
      </c>
      <c r="S134" s="2">
        <v>34.75</v>
      </c>
      <c r="T134" s="2">
        <v>49.6</v>
      </c>
      <c r="U134" s="2">
        <v>70.790000000000006</v>
      </c>
      <c r="V134" s="236">
        <v>98.96</v>
      </c>
      <c r="W134" s="2"/>
    </row>
    <row r="135" spans="1:37" ht="15.75" customHeight="1">
      <c r="A135" s="228">
        <v>22</v>
      </c>
      <c r="B135" s="75">
        <v>6</v>
      </c>
      <c r="C135" s="2">
        <v>0.1</v>
      </c>
      <c r="D135" s="2">
        <v>0.14000000000000001</v>
      </c>
      <c r="E135" s="2">
        <v>0.21</v>
      </c>
      <c r="F135" s="2">
        <v>0.3</v>
      </c>
      <c r="G135" s="2">
        <v>0.45</v>
      </c>
      <c r="H135" s="2">
        <v>0.61</v>
      </c>
      <c r="I135" s="2">
        <v>0.87</v>
      </c>
      <c r="J135" s="2">
        <v>1.29</v>
      </c>
      <c r="K135" s="2">
        <v>1.85</v>
      </c>
      <c r="L135" s="2">
        <v>2.62</v>
      </c>
      <c r="M135" s="2">
        <v>3.78</v>
      </c>
      <c r="N135" s="2">
        <v>5.28</v>
      </c>
      <c r="O135" s="2">
        <v>7.7</v>
      </c>
      <c r="P135" s="2">
        <v>11.1</v>
      </c>
      <c r="Q135" s="2">
        <v>16.18</v>
      </c>
      <c r="R135" s="2">
        <v>22.86</v>
      </c>
      <c r="S135" s="2">
        <v>34.75</v>
      </c>
      <c r="T135" s="2">
        <v>49.6</v>
      </c>
      <c r="U135" s="2">
        <v>70.790000000000006</v>
      </c>
      <c r="V135" s="236">
        <v>98.96</v>
      </c>
      <c r="W135" s="2"/>
    </row>
    <row r="136" spans="1:37" ht="15.75" customHeight="1">
      <c r="A136" s="228">
        <v>22</v>
      </c>
      <c r="B136" s="75">
        <v>7</v>
      </c>
      <c r="C136" s="2">
        <v>0.1</v>
      </c>
      <c r="D136" s="2">
        <v>0.14000000000000001</v>
      </c>
      <c r="E136" s="2">
        <v>0.21</v>
      </c>
      <c r="F136" s="2">
        <v>0.3</v>
      </c>
      <c r="G136" s="2">
        <v>0.45</v>
      </c>
      <c r="H136" s="2">
        <v>0.61</v>
      </c>
      <c r="I136" s="2">
        <v>0.87</v>
      </c>
      <c r="J136" s="2">
        <v>1.29</v>
      </c>
      <c r="K136" s="2">
        <v>1.85</v>
      </c>
      <c r="L136" s="2">
        <v>2.62</v>
      </c>
      <c r="M136" s="2">
        <v>3.78</v>
      </c>
      <c r="N136" s="2">
        <v>5.28</v>
      </c>
      <c r="O136" s="2">
        <v>7.7</v>
      </c>
      <c r="P136" s="2">
        <v>11.1</v>
      </c>
      <c r="Q136" s="2">
        <v>16.18</v>
      </c>
      <c r="R136" s="2">
        <v>22.86</v>
      </c>
      <c r="S136" s="2">
        <v>34.75</v>
      </c>
      <c r="T136" s="2">
        <v>49.6</v>
      </c>
      <c r="U136" s="2">
        <v>70.790000000000006</v>
      </c>
      <c r="V136" s="236">
        <v>98.96</v>
      </c>
      <c r="W136" s="2"/>
    </row>
    <row r="137" spans="1:37" ht="15.75" customHeight="1">
      <c r="A137" s="230">
        <v>22</v>
      </c>
      <c r="B137" s="231">
        <v>8</v>
      </c>
      <c r="C137" s="34">
        <v>0.1</v>
      </c>
      <c r="D137" s="34">
        <v>0.14000000000000001</v>
      </c>
      <c r="E137" s="34">
        <v>0.21</v>
      </c>
      <c r="F137" s="34">
        <v>0.3</v>
      </c>
      <c r="G137" s="34">
        <v>0.45</v>
      </c>
      <c r="H137" s="34">
        <v>0.61</v>
      </c>
      <c r="I137" s="34">
        <v>0.87</v>
      </c>
      <c r="J137" s="34">
        <v>1.29</v>
      </c>
      <c r="K137" s="34">
        <v>1.85</v>
      </c>
      <c r="L137" s="34">
        <v>2.62</v>
      </c>
      <c r="M137" s="34">
        <v>3.78</v>
      </c>
      <c r="N137" s="34">
        <v>5.28</v>
      </c>
      <c r="O137" s="34">
        <v>7.7</v>
      </c>
      <c r="P137" s="34">
        <v>11.1</v>
      </c>
      <c r="Q137" s="34">
        <v>16.18</v>
      </c>
      <c r="R137" s="34">
        <v>22.86</v>
      </c>
      <c r="S137" s="34">
        <v>34.75</v>
      </c>
      <c r="T137" s="34">
        <v>49.6</v>
      </c>
      <c r="U137" s="34">
        <v>70.790000000000006</v>
      </c>
      <c r="V137" s="237">
        <v>98.96</v>
      </c>
      <c r="W137" s="2"/>
    </row>
    <row r="138" spans="1:37" ht="15.75" customHeight="1">
      <c r="A138" s="228">
        <v>23</v>
      </c>
      <c r="B138" s="75">
        <v>1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37" ht="15.75" customHeight="1">
      <c r="A139" s="228">
        <v>23</v>
      </c>
      <c r="B139" s="75">
        <v>2</v>
      </c>
    </row>
    <row r="140" spans="1:37" ht="15.75" customHeight="1">
      <c r="A140" s="228">
        <v>23</v>
      </c>
      <c r="B140" s="75">
        <v>3</v>
      </c>
    </row>
    <row r="141" spans="1:37" ht="15.75" customHeight="1">
      <c r="A141" s="228">
        <v>23</v>
      </c>
      <c r="B141" s="75">
        <v>4</v>
      </c>
    </row>
    <row r="142" spans="1:37" ht="15.75" customHeight="1">
      <c r="A142" s="228">
        <v>23</v>
      </c>
      <c r="B142" s="75">
        <v>5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7" ht="15.75" customHeight="1">
      <c r="A143" s="309">
        <v>24</v>
      </c>
      <c r="B143" s="310">
        <v>1</v>
      </c>
      <c r="C143" s="234">
        <v>0.1</v>
      </c>
      <c r="D143" s="234">
        <v>0.12</v>
      </c>
      <c r="E143" s="234">
        <v>0.15</v>
      </c>
      <c r="F143" s="234">
        <v>0.19</v>
      </c>
      <c r="G143" s="234">
        <v>0.23</v>
      </c>
      <c r="H143" s="234">
        <v>0.28000000000000003</v>
      </c>
      <c r="I143" s="234">
        <v>0.35</v>
      </c>
      <c r="J143" s="234">
        <v>0.43</v>
      </c>
      <c r="K143" s="234">
        <v>0.52</v>
      </c>
      <c r="L143" s="234">
        <v>0.67</v>
      </c>
      <c r="M143" s="234">
        <v>0.82</v>
      </c>
      <c r="N143" s="234">
        <v>1</v>
      </c>
      <c r="O143" s="234">
        <v>1.22</v>
      </c>
      <c r="P143" s="234">
        <v>1.53</v>
      </c>
      <c r="Q143" s="234">
        <v>1.87</v>
      </c>
      <c r="R143" s="234">
        <v>2.2799999999999998</v>
      </c>
      <c r="S143" s="234">
        <v>2.82</v>
      </c>
      <c r="T143" s="234">
        <v>3.55</v>
      </c>
      <c r="U143" s="234">
        <v>4.32</v>
      </c>
      <c r="V143" s="234">
        <v>5.27</v>
      </c>
      <c r="W143" s="234">
        <v>6.74</v>
      </c>
      <c r="X143" s="234">
        <v>8.2100000000000009</v>
      </c>
      <c r="Y143" s="234">
        <v>10.17</v>
      </c>
      <c r="Z143" s="234">
        <v>12.18</v>
      </c>
      <c r="AA143" s="234">
        <v>15.09</v>
      </c>
      <c r="AB143" s="234">
        <v>18.68</v>
      </c>
      <c r="AC143" s="234">
        <v>22.76</v>
      </c>
      <c r="AD143" s="234">
        <v>28.65</v>
      </c>
      <c r="AE143" s="234">
        <v>35.479999999999997</v>
      </c>
      <c r="AF143" s="234">
        <v>42.52</v>
      </c>
      <c r="AG143" s="234">
        <v>52.65</v>
      </c>
      <c r="AH143" s="234">
        <v>64.14</v>
      </c>
      <c r="AI143" s="234">
        <v>82.09</v>
      </c>
      <c r="AJ143" s="235">
        <v>96.76</v>
      </c>
      <c r="AK143" s="2"/>
    </row>
    <row r="144" spans="1:37" ht="15.75" customHeight="1">
      <c r="A144" s="238">
        <v>24</v>
      </c>
      <c r="B144" s="239">
        <v>2</v>
      </c>
      <c r="C144" s="2">
        <v>0.1</v>
      </c>
      <c r="D144" s="2">
        <v>0.12</v>
      </c>
      <c r="E144" s="2">
        <v>0.15</v>
      </c>
      <c r="F144" s="2">
        <v>0.19</v>
      </c>
      <c r="G144" s="2">
        <v>0.23</v>
      </c>
      <c r="H144" s="2">
        <v>0.28000000000000003</v>
      </c>
      <c r="I144" s="2">
        <v>0.35</v>
      </c>
      <c r="J144" s="2">
        <v>0.43</v>
      </c>
      <c r="K144" s="2">
        <v>0.52</v>
      </c>
      <c r="L144" s="2">
        <v>0.67</v>
      </c>
      <c r="M144" s="2">
        <v>0.82</v>
      </c>
      <c r="N144" s="2">
        <v>1</v>
      </c>
      <c r="O144" s="2">
        <v>1.22</v>
      </c>
      <c r="P144" s="2">
        <v>1.53</v>
      </c>
      <c r="Q144" s="2">
        <v>1.87</v>
      </c>
      <c r="R144" s="2">
        <v>2.2799999999999998</v>
      </c>
      <c r="S144" s="2">
        <v>2.82</v>
      </c>
      <c r="T144" s="2">
        <v>3.55</v>
      </c>
      <c r="U144" s="2">
        <v>4.32</v>
      </c>
      <c r="V144" s="2">
        <v>5.27</v>
      </c>
      <c r="W144" s="2">
        <v>6.74</v>
      </c>
      <c r="X144" s="2">
        <v>8.2100000000000009</v>
      </c>
      <c r="Y144" s="2">
        <v>10.17</v>
      </c>
      <c r="Z144" s="2">
        <v>12.18</v>
      </c>
      <c r="AA144" s="2">
        <v>15.09</v>
      </c>
      <c r="AB144" s="2">
        <v>18.68</v>
      </c>
      <c r="AC144" s="2">
        <v>22.76</v>
      </c>
      <c r="AD144" s="2">
        <v>28.65</v>
      </c>
      <c r="AE144" s="2">
        <v>35.479999999999997</v>
      </c>
      <c r="AF144" s="2">
        <v>42.52</v>
      </c>
      <c r="AG144" s="2">
        <v>52.65</v>
      </c>
      <c r="AH144" s="2">
        <v>64.14</v>
      </c>
      <c r="AI144" s="2">
        <v>82.09</v>
      </c>
      <c r="AJ144" s="236">
        <v>96.76</v>
      </c>
      <c r="AK144" s="2"/>
    </row>
    <row r="145" spans="1:37" ht="15.75" customHeight="1">
      <c r="A145" s="238">
        <v>24</v>
      </c>
      <c r="B145" s="239">
        <v>3</v>
      </c>
      <c r="C145" s="2">
        <v>0.1</v>
      </c>
      <c r="D145" s="2">
        <v>0.12</v>
      </c>
      <c r="E145" s="2">
        <v>0.15</v>
      </c>
      <c r="F145" s="2">
        <v>0.19</v>
      </c>
      <c r="G145" s="2">
        <v>0.23</v>
      </c>
      <c r="H145" s="2">
        <v>0.28000000000000003</v>
      </c>
      <c r="I145" s="2">
        <v>0.35</v>
      </c>
      <c r="J145" s="2">
        <v>0.43</v>
      </c>
      <c r="K145" s="2">
        <v>0.52</v>
      </c>
      <c r="L145" s="2">
        <v>0.67</v>
      </c>
      <c r="M145" s="2">
        <v>0.82</v>
      </c>
      <c r="N145" s="2">
        <v>1</v>
      </c>
      <c r="O145" s="2">
        <v>1.22</v>
      </c>
      <c r="P145" s="2">
        <v>1.53</v>
      </c>
      <c r="Q145" s="2">
        <v>1.87</v>
      </c>
      <c r="R145" s="2">
        <v>2.2799999999999998</v>
      </c>
      <c r="S145" s="2">
        <v>2.82</v>
      </c>
      <c r="T145" s="2">
        <v>3.55</v>
      </c>
      <c r="U145" s="2">
        <v>4.32</v>
      </c>
      <c r="V145" s="2">
        <v>5.27</v>
      </c>
      <c r="W145" s="2">
        <v>6.74</v>
      </c>
      <c r="X145" s="2">
        <v>8.2100000000000009</v>
      </c>
      <c r="Y145" s="2">
        <v>10.17</v>
      </c>
      <c r="Z145" s="2">
        <v>12.18</v>
      </c>
      <c r="AA145" s="2">
        <v>15.09</v>
      </c>
      <c r="AB145" s="2">
        <v>18.68</v>
      </c>
      <c r="AC145" s="2">
        <v>22.76</v>
      </c>
      <c r="AD145" s="2">
        <v>28.65</v>
      </c>
      <c r="AE145" s="2">
        <v>35.479999999999997</v>
      </c>
      <c r="AF145" s="2">
        <v>42.52</v>
      </c>
      <c r="AG145" s="2">
        <v>52.65</v>
      </c>
      <c r="AH145" s="2">
        <v>64.14</v>
      </c>
      <c r="AI145" s="2">
        <v>82.09</v>
      </c>
      <c r="AJ145" s="236">
        <v>96.76</v>
      </c>
      <c r="AK145" s="2"/>
    </row>
    <row r="146" spans="1:37" ht="15.75" customHeight="1">
      <c r="A146" s="238">
        <v>24</v>
      </c>
      <c r="B146" s="239">
        <v>4</v>
      </c>
      <c r="C146" s="2">
        <v>0.1</v>
      </c>
      <c r="D146" s="2">
        <v>0.12</v>
      </c>
      <c r="E146" s="2">
        <v>0.15</v>
      </c>
      <c r="F146" s="2">
        <v>0.19</v>
      </c>
      <c r="G146" s="2">
        <v>0.23</v>
      </c>
      <c r="H146" s="2">
        <v>0.28000000000000003</v>
      </c>
      <c r="I146" s="2">
        <v>0.35</v>
      </c>
      <c r="J146" s="2">
        <v>0.43</v>
      </c>
      <c r="K146" s="2">
        <v>0.52</v>
      </c>
      <c r="L146" s="2">
        <v>0.67</v>
      </c>
      <c r="M146" s="2">
        <v>0.82</v>
      </c>
      <c r="N146" s="2">
        <v>1</v>
      </c>
      <c r="O146" s="2">
        <v>1.22</v>
      </c>
      <c r="P146" s="2">
        <v>1.53</v>
      </c>
      <c r="Q146" s="2">
        <v>1.87</v>
      </c>
      <c r="R146" s="2">
        <v>2.2799999999999998</v>
      </c>
      <c r="S146" s="2">
        <v>2.82</v>
      </c>
      <c r="T146" s="2">
        <v>3.55</v>
      </c>
      <c r="U146" s="2">
        <v>4.32</v>
      </c>
      <c r="V146" s="2">
        <v>5.27</v>
      </c>
      <c r="W146" s="2">
        <v>6.74</v>
      </c>
      <c r="X146" s="2">
        <v>8.2100000000000009</v>
      </c>
      <c r="Y146" s="2">
        <v>10.17</v>
      </c>
      <c r="Z146" s="2">
        <v>12.18</v>
      </c>
      <c r="AA146" s="2">
        <v>15.09</v>
      </c>
      <c r="AB146" s="2">
        <v>18.68</v>
      </c>
      <c r="AC146" s="2">
        <v>22.76</v>
      </c>
      <c r="AD146" s="2">
        <v>28.65</v>
      </c>
      <c r="AE146" s="2">
        <v>35.479999999999997</v>
      </c>
      <c r="AF146" s="2">
        <v>42.52</v>
      </c>
      <c r="AG146" s="2">
        <v>52.65</v>
      </c>
      <c r="AH146" s="2">
        <v>64.14</v>
      </c>
      <c r="AI146" s="2">
        <v>82.09</v>
      </c>
      <c r="AJ146" s="236">
        <v>96.76</v>
      </c>
      <c r="AK146" s="2"/>
    </row>
    <row r="147" spans="1:37" ht="15.75" customHeight="1">
      <c r="A147" s="238">
        <v>24</v>
      </c>
      <c r="B147" s="239">
        <v>5</v>
      </c>
      <c r="C147" s="2">
        <v>0.1</v>
      </c>
      <c r="D147" s="2">
        <v>0.12</v>
      </c>
      <c r="E147" s="2">
        <v>0.15</v>
      </c>
      <c r="F147" s="2">
        <v>0.19</v>
      </c>
      <c r="G147" s="2">
        <v>0.23</v>
      </c>
      <c r="H147" s="2">
        <v>0.28000000000000003</v>
      </c>
      <c r="I147" s="2">
        <v>0.35</v>
      </c>
      <c r="J147" s="2">
        <v>0.43</v>
      </c>
      <c r="K147" s="2">
        <v>0.52</v>
      </c>
      <c r="L147" s="2">
        <v>0.67</v>
      </c>
      <c r="M147" s="2">
        <v>0.82</v>
      </c>
      <c r="N147" s="2">
        <v>1</v>
      </c>
      <c r="O147" s="2">
        <v>1.22</v>
      </c>
      <c r="P147" s="2">
        <v>1.53</v>
      </c>
      <c r="Q147" s="2">
        <v>1.87</v>
      </c>
      <c r="R147" s="2">
        <v>2.2799999999999998</v>
      </c>
      <c r="S147" s="2">
        <v>2.82</v>
      </c>
      <c r="T147" s="2">
        <v>3.55</v>
      </c>
      <c r="U147" s="2">
        <v>4.32</v>
      </c>
      <c r="V147" s="2">
        <v>5.27</v>
      </c>
      <c r="W147" s="2">
        <v>6.74</v>
      </c>
      <c r="X147" s="2">
        <v>8.2100000000000009</v>
      </c>
      <c r="Y147" s="2">
        <v>10.17</v>
      </c>
      <c r="Z147" s="2">
        <v>12.18</v>
      </c>
      <c r="AA147" s="2">
        <v>15.09</v>
      </c>
      <c r="AB147" s="2">
        <v>18.68</v>
      </c>
      <c r="AC147" s="2">
        <v>22.76</v>
      </c>
      <c r="AD147" s="2">
        <v>28.65</v>
      </c>
      <c r="AE147" s="2">
        <v>35.479999999999997</v>
      </c>
      <c r="AF147" s="2">
        <v>42.52</v>
      </c>
      <c r="AG147" s="2">
        <v>52.65</v>
      </c>
      <c r="AH147" s="2">
        <v>64.14</v>
      </c>
      <c r="AI147" s="2">
        <v>82.09</v>
      </c>
      <c r="AJ147" s="236">
        <v>96.76</v>
      </c>
      <c r="AK147" s="2"/>
    </row>
    <row r="148" spans="1:37" ht="15.75" customHeight="1">
      <c r="A148" s="238">
        <v>24</v>
      </c>
      <c r="B148" s="239">
        <v>6</v>
      </c>
      <c r="C148" s="2">
        <v>0.1</v>
      </c>
      <c r="D148" s="2">
        <v>0.12</v>
      </c>
      <c r="E148" s="2">
        <v>0.15</v>
      </c>
      <c r="F148" s="2">
        <v>0.19</v>
      </c>
      <c r="G148" s="2">
        <v>0.23</v>
      </c>
      <c r="H148" s="2">
        <v>0.28000000000000003</v>
      </c>
      <c r="I148" s="2">
        <v>0.35</v>
      </c>
      <c r="J148" s="2">
        <v>0.43</v>
      </c>
      <c r="K148" s="2">
        <v>0.52</v>
      </c>
      <c r="L148" s="2">
        <v>0.67</v>
      </c>
      <c r="M148" s="2">
        <v>0.82</v>
      </c>
      <c r="N148" s="2">
        <v>1</v>
      </c>
      <c r="O148" s="2">
        <v>1.22</v>
      </c>
      <c r="P148" s="2">
        <v>1.53</v>
      </c>
      <c r="Q148" s="2">
        <v>1.87</v>
      </c>
      <c r="R148" s="2">
        <v>2.2799999999999998</v>
      </c>
      <c r="S148" s="2">
        <v>2.82</v>
      </c>
      <c r="T148" s="2">
        <v>3.55</v>
      </c>
      <c r="U148" s="2">
        <v>4.32</v>
      </c>
      <c r="V148" s="2">
        <v>5.27</v>
      </c>
      <c r="W148" s="2">
        <v>6.74</v>
      </c>
      <c r="X148" s="2">
        <v>8.2100000000000009</v>
      </c>
      <c r="Y148" s="2">
        <v>10.17</v>
      </c>
      <c r="Z148" s="2">
        <v>12.18</v>
      </c>
      <c r="AA148" s="2">
        <v>15.09</v>
      </c>
      <c r="AB148" s="2">
        <v>18.68</v>
      </c>
      <c r="AC148" s="2">
        <v>22.76</v>
      </c>
      <c r="AD148" s="2">
        <v>28.65</v>
      </c>
      <c r="AE148" s="2">
        <v>35.479999999999997</v>
      </c>
      <c r="AF148" s="2">
        <v>42.52</v>
      </c>
      <c r="AG148" s="2">
        <v>52.65</v>
      </c>
      <c r="AH148" s="2">
        <v>64.14</v>
      </c>
      <c r="AI148" s="2">
        <v>82.09</v>
      </c>
      <c r="AJ148" s="236">
        <v>96.76</v>
      </c>
      <c r="AK148" s="2"/>
    </row>
    <row r="149" spans="1:37" ht="15.75" customHeight="1">
      <c r="A149" s="311">
        <v>24</v>
      </c>
      <c r="B149" s="312">
        <v>7</v>
      </c>
      <c r="C149" s="34">
        <v>0.1</v>
      </c>
      <c r="D149" s="34">
        <v>0.12</v>
      </c>
      <c r="E149" s="34">
        <v>0.15</v>
      </c>
      <c r="F149" s="34">
        <v>0.19</v>
      </c>
      <c r="G149" s="34">
        <v>0.23</v>
      </c>
      <c r="H149" s="34">
        <v>0.28000000000000003</v>
      </c>
      <c r="I149" s="34">
        <v>0.35</v>
      </c>
      <c r="J149" s="34">
        <v>0.43</v>
      </c>
      <c r="K149" s="34">
        <v>0.52</v>
      </c>
      <c r="L149" s="34">
        <v>0.67</v>
      </c>
      <c r="M149" s="34">
        <v>0.82</v>
      </c>
      <c r="N149" s="34">
        <v>1</v>
      </c>
      <c r="O149" s="34">
        <v>1.22</v>
      </c>
      <c r="P149" s="34">
        <v>1.53</v>
      </c>
      <c r="Q149" s="34">
        <v>1.87</v>
      </c>
      <c r="R149" s="34">
        <v>2.2799999999999998</v>
      </c>
      <c r="S149" s="34">
        <v>2.82</v>
      </c>
      <c r="T149" s="34">
        <v>3.55</v>
      </c>
      <c r="U149" s="34">
        <v>4.32</v>
      </c>
      <c r="V149" s="34">
        <v>5.27</v>
      </c>
      <c r="W149" s="34">
        <v>6.74</v>
      </c>
      <c r="X149" s="34">
        <v>8.2100000000000009</v>
      </c>
      <c r="Y149" s="34">
        <v>10.17</v>
      </c>
      <c r="Z149" s="34">
        <v>12.18</v>
      </c>
      <c r="AA149" s="34">
        <v>15.09</v>
      </c>
      <c r="AB149" s="34">
        <v>18.68</v>
      </c>
      <c r="AC149" s="34">
        <v>22.76</v>
      </c>
      <c r="AD149" s="34">
        <v>28.65</v>
      </c>
      <c r="AE149" s="34">
        <v>35.479999999999997</v>
      </c>
      <c r="AF149" s="34">
        <v>42.52</v>
      </c>
      <c r="AG149" s="34">
        <v>52.65</v>
      </c>
      <c r="AH149" s="34">
        <v>64.14</v>
      </c>
      <c r="AI149" s="34">
        <v>82.09</v>
      </c>
      <c r="AJ149" s="237">
        <v>96.76</v>
      </c>
      <c r="AK149" s="2"/>
    </row>
    <row r="150" spans="1:37" ht="15.75" customHeight="1">
      <c r="A150" s="228">
        <v>25</v>
      </c>
      <c r="B150" s="75">
        <v>1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7" ht="15.75" customHeight="1">
      <c r="A151" s="228">
        <v>25</v>
      </c>
      <c r="B151" s="75">
        <v>2</v>
      </c>
    </row>
    <row r="152" spans="1:37" ht="15.75" customHeight="1">
      <c r="A152" s="228">
        <v>25</v>
      </c>
      <c r="B152" s="75">
        <v>3</v>
      </c>
    </row>
    <row r="153" spans="1:37" ht="15.75" customHeight="1">
      <c r="A153" s="228">
        <v>25</v>
      </c>
      <c r="B153" s="75">
        <v>4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37" ht="15.75" customHeight="1">
      <c r="A154" s="229">
        <v>26</v>
      </c>
      <c r="B154" s="200" t="s">
        <v>221</v>
      </c>
      <c r="C154" s="234">
        <v>0.10199999999999999</v>
      </c>
      <c r="D154" s="234">
        <v>0.14899999999999999</v>
      </c>
      <c r="E154" s="234">
        <v>0.219</v>
      </c>
      <c r="F154" s="234">
        <v>0.318</v>
      </c>
      <c r="G154" s="234">
        <v>0.46800000000000003</v>
      </c>
      <c r="H154" s="234">
        <v>0.68799999999999994</v>
      </c>
      <c r="I154" s="234">
        <v>1</v>
      </c>
      <c r="J154" s="234">
        <v>1.4710000000000001</v>
      </c>
      <c r="K154" s="234">
        <v>2.1120000000000001</v>
      </c>
      <c r="L154" s="234">
        <v>3.181</v>
      </c>
      <c r="M154" s="234">
        <v>4.6790000000000003</v>
      </c>
      <c r="N154" s="234">
        <v>6.7990000000000004</v>
      </c>
      <c r="O154" s="234">
        <v>10</v>
      </c>
      <c r="P154" s="234">
        <v>15.066000000000001</v>
      </c>
      <c r="Q154" s="234">
        <v>22.428000000000001</v>
      </c>
      <c r="R154" s="234">
        <v>31.433</v>
      </c>
      <c r="S154" s="234">
        <v>46.79</v>
      </c>
      <c r="T154" s="234">
        <v>67.992000000000004</v>
      </c>
      <c r="U154" s="235">
        <v>100</v>
      </c>
      <c r="V154" s="2"/>
    </row>
    <row r="155" spans="1:37" ht="15.75" customHeight="1">
      <c r="A155" s="228">
        <v>26</v>
      </c>
      <c r="B155" s="201" t="s">
        <v>222</v>
      </c>
      <c r="C155" s="2">
        <v>0.10199999999999999</v>
      </c>
      <c r="D155" s="2">
        <v>0.14899999999999999</v>
      </c>
      <c r="E155" s="2">
        <v>0.219</v>
      </c>
      <c r="F155" s="2">
        <v>0.318</v>
      </c>
      <c r="G155" s="2">
        <v>0.46800000000000003</v>
      </c>
      <c r="H155" s="2">
        <v>0.68799999999999994</v>
      </c>
      <c r="I155" s="2">
        <v>1</v>
      </c>
      <c r="J155" s="2">
        <v>1.4710000000000001</v>
      </c>
      <c r="K155" s="2">
        <v>2.1120000000000001</v>
      </c>
      <c r="L155" s="2">
        <v>3.181</v>
      </c>
      <c r="M155" s="2">
        <v>4.6790000000000003</v>
      </c>
      <c r="N155" s="2">
        <v>6.7990000000000004</v>
      </c>
      <c r="O155" s="2">
        <v>10</v>
      </c>
      <c r="P155" s="2">
        <v>15.066000000000001</v>
      </c>
      <c r="Q155" s="2">
        <v>22.428000000000001</v>
      </c>
      <c r="R155" s="2">
        <v>31.433</v>
      </c>
      <c r="S155" s="2">
        <v>46.79</v>
      </c>
      <c r="T155" s="2">
        <v>67.992000000000004</v>
      </c>
      <c r="U155" s="236">
        <v>100</v>
      </c>
      <c r="V155" s="2"/>
    </row>
    <row r="156" spans="1:37" ht="15.75" customHeight="1">
      <c r="A156" s="228">
        <v>26</v>
      </c>
      <c r="B156" s="201" t="s">
        <v>223</v>
      </c>
      <c r="C156" s="2">
        <v>0.10199999999999999</v>
      </c>
      <c r="D156" s="2">
        <v>0.14899999999999999</v>
      </c>
      <c r="E156" s="2">
        <v>0.219</v>
      </c>
      <c r="F156" s="2">
        <v>0.318</v>
      </c>
      <c r="G156" s="2">
        <v>0.46800000000000003</v>
      </c>
      <c r="H156" s="2">
        <v>0.68799999999999994</v>
      </c>
      <c r="I156" s="2">
        <v>1</v>
      </c>
      <c r="J156" s="2">
        <v>1.4710000000000001</v>
      </c>
      <c r="K156" s="2">
        <v>2.1120000000000001</v>
      </c>
      <c r="L156" s="2">
        <v>3.181</v>
      </c>
      <c r="M156" s="2">
        <v>4.6790000000000003</v>
      </c>
      <c r="N156" s="2">
        <v>6.7990000000000004</v>
      </c>
      <c r="O156" s="2">
        <v>10</v>
      </c>
      <c r="P156" s="2">
        <v>15.066000000000001</v>
      </c>
      <c r="Q156" s="2">
        <v>22.428000000000001</v>
      </c>
      <c r="R156" s="2">
        <v>31.433</v>
      </c>
      <c r="S156" s="2">
        <v>46.79</v>
      </c>
      <c r="T156" s="2">
        <v>67.992000000000004</v>
      </c>
      <c r="U156" s="236">
        <v>100</v>
      </c>
      <c r="V156" s="2"/>
    </row>
    <row r="157" spans="1:37" ht="15.75" customHeight="1">
      <c r="A157" s="228">
        <v>26</v>
      </c>
      <c r="B157" s="201" t="s">
        <v>224</v>
      </c>
      <c r="C157" s="2">
        <v>0.10199999999999999</v>
      </c>
      <c r="D157" s="2">
        <v>0.14899999999999999</v>
      </c>
      <c r="E157" s="2">
        <v>0.219</v>
      </c>
      <c r="F157" s="2">
        <v>0.318</v>
      </c>
      <c r="G157" s="2">
        <v>0.46800000000000003</v>
      </c>
      <c r="H157" s="2">
        <v>0.68799999999999994</v>
      </c>
      <c r="I157" s="2">
        <v>1</v>
      </c>
      <c r="J157" s="2">
        <v>1.4710000000000001</v>
      </c>
      <c r="K157" s="2">
        <v>2.1120000000000001</v>
      </c>
      <c r="L157" s="2">
        <v>3.181</v>
      </c>
      <c r="M157" s="2">
        <v>4.6790000000000003</v>
      </c>
      <c r="N157" s="2">
        <v>6.7990000000000004</v>
      </c>
      <c r="O157" s="2">
        <v>10</v>
      </c>
      <c r="P157" s="2">
        <v>15.066000000000001</v>
      </c>
      <c r="Q157" s="2">
        <v>22.428000000000001</v>
      </c>
      <c r="R157" s="2">
        <v>31.433</v>
      </c>
      <c r="S157" s="2">
        <v>46.79</v>
      </c>
      <c r="T157" s="2">
        <v>67.992000000000004</v>
      </c>
      <c r="U157" s="236">
        <v>100</v>
      </c>
      <c r="V157" s="2"/>
    </row>
    <row r="158" spans="1:37" ht="15.75" customHeight="1">
      <c r="A158" s="228">
        <v>26</v>
      </c>
      <c r="B158" s="201" t="s">
        <v>229</v>
      </c>
      <c r="C158" s="2">
        <v>0.10199999999999999</v>
      </c>
      <c r="D158" s="2">
        <v>0.14899999999999999</v>
      </c>
      <c r="E158" s="2">
        <v>0.219</v>
      </c>
      <c r="F158" s="2">
        <v>0.318</v>
      </c>
      <c r="G158" s="2">
        <v>0.46800000000000003</v>
      </c>
      <c r="H158" s="2">
        <v>0.68799999999999994</v>
      </c>
      <c r="I158" s="2">
        <v>1</v>
      </c>
      <c r="J158" s="2">
        <v>1.4710000000000001</v>
      </c>
      <c r="K158" s="2">
        <v>2.1120000000000001</v>
      </c>
      <c r="L158" s="2">
        <v>3.181</v>
      </c>
      <c r="M158" s="2">
        <v>4.6790000000000003</v>
      </c>
      <c r="N158" s="2">
        <v>6.7990000000000004</v>
      </c>
      <c r="O158" s="2">
        <v>10</v>
      </c>
      <c r="P158" s="2">
        <v>15.066000000000001</v>
      </c>
      <c r="Q158" s="2">
        <v>22.428000000000001</v>
      </c>
      <c r="R158" s="2">
        <v>31.433</v>
      </c>
      <c r="S158" s="2">
        <v>46.79</v>
      </c>
      <c r="T158" s="2">
        <v>67.992000000000004</v>
      </c>
      <c r="U158" s="236">
        <v>100</v>
      </c>
      <c r="V158" s="2"/>
    </row>
    <row r="159" spans="1:37" ht="15.75" customHeight="1">
      <c r="A159" s="228">
        <v>26</v>
      </c>
      <c r="B159" s="201" t="s">
        <v>225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36"/>
      <c r="V159" s="2"/>
    </row>
    <row r="160" spans="1:37" ht="15.75" customHeight="1">
      <c r="A160" s="228">
        <v>26</v>
      </c>
      <c r="B160" s="201" t="s">
        <v>226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36"/>
      <c r="V160" s="2"/>
    </row>
    <row r="161" spans="1:22" ht="15.75" customHeight="1">
      <c r="A161" s="228">
        <v>26</v>
      </c>
      <c r="B161" s="201" t="s">
        <v>227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36"/>
      <c r="V161" s="2"/>
    </row>
    <row r="162" spans="1:22" ht="15.75" customHeight="1">
      <c r="A162" s="228">
        <v>26</v>
      </c>
      <c r="B162" s="201" t="s">
        <v>228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36"/>
      <c r="V162" s="2"/>
    </row>
    <row r="163" spans="1:22" ht="15.75" customHeight="1">
      <c r="A163" s="230">
        <v>26</v>
      </c>
      <c r="B163" s="231" t="s">
        <v>230</v>
      </c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237"/>
      <c r="V163" s="2"/>
    </row>
    <row r="164" spans="1:22" ht="15.75" customHeight="1">
      <c r="A164" s="199">
        <v>27</v>
      </c>
      <c r="B164" s="200">
        <v>1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2" ht="15.75" customHeight="1">
      <c r="A165" s="196">
        <v>27</v>
      </c>
      <c r="B165" s="201">
        <v>2</v>
      </c>
    </row>
    <row r="166" spans="1:22" ht="15.75" customHeight="1">
      <c r="A166" s="196">
        <v>27</v>
      </c>
      <c r="B166" s="201">
        <v>3</v>
      </c>
    </row>
    <row r="167" spans="1:22" ht="15.75" customHeight="1">
      <c r="A167" s="196">
        <v>27</v>
      </c>
      <c r="B167" s="201">
        <v>4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2" ht="15.75" customHeight="1">
      <c r="A168" s="229">
        <v>28</v>
      </c>
      <c r="B168" s="74">
        <v>1</v>
      </c>
      <c r="C168" s="234">
        <v>0.1</v>
      </c>
      <c r="D168" s="234">
        <v>0.15</v>
      </c>
      <c r="E168" s="234">
        <v>0.22</v>
      </c>
      <c r="F168" s="234">
        <v>0.32</v>
      </c>
      <c r="G168" s="234">
        <v>0.47</v>
      </c>
      <c r="H168" s="234">
        <v>0.71</v>
      </c>
      <c r="I168" s="234">
        <v>1.01</v>
      </c>
      <c r="J168" s="234">
        <v>1.53</v>
      </c>
      <c r="K168" s="234">
        <v>2.17</v>
      </c>
      <c r="L168" s="234">
        <v>3.24</v>
      </c>
      <c r="M168" s="234">
        <v>4.71</v>
      </c>
      <c r="N168" s="234">
        <v>6.95</v>
      </c>
      <c r="O168" s="234">
        <v>10.17</v>
      </c>
      <c r="P168" s="234">
        <v>14.89</v>
      </c>
      <c r="Q168" s="234">
        <v>21.95</v>
      </c>
      <c r="R168" s="234">
        <v>31.66</v>
      </c>
      <c r="S168" s="234">
        <v>48.42</v>
      </c>
      <c r="T168" s="234">
        <v>70.36</v>
      </c>
      <c r="U168" s="235">
        <v>99.27</v>
      </c>
      <c r="V168" s="2"/>
    </row>
    <row r="169" spans="1:22" ht="15.75" customHeight="1">
      <c r="A169" s="228">
        <v>28</v>
      </c>
      <c r="B169" s="75">
        <v>2</v>
      </c>
      <c r="C169" s="2">
        <v>0.1</v>
      </c>
      <c r="D169" s="2">
        <v>0.15</v>
      </c>
      <c r="E169" s="2">
        <v>0.22</v>
      </c>
      <c r="F169" s="2">
        <v>0.32</v>
      </c>
      <c r="G169" s="2">
        <v>0.47</v>
      </c>
      <c r="H169" s="2">
        <v>0.71</v>
      </c>
      <c r="I169" s="2">
        <v>1.01</v>
      </c>
      <c r="J169" s="2">
        <v>1.53</v>
      </c>
      <c r="K169" s="2">
        <v>2.17</v>
      </c>
      <c r="L169" s="2">
        <v>3.24</v>
      </c>
      <c r="M169" s="2">
        <v>4.71</v>
      </c>
      <c r="N169" s="2">
        <v>6.95</v>
      </c>
      <c r="O169" s="32">
        <v>10.17</v>
      </c>
      <c r="P169" s="2">
        <v>14.89</v>
      </c>
      <c r="Q169" s="2">
        <v>21.95</v>
      </c>
      <c r="R169" s="2">
        <v>31.66</v>
      </c>
      <c r="S169" s="2">
        <v>48.42</v>
      </c>
      <c r="T169" s="2">
        <v>70.36</v>
      </c>
      <c r="U169" s="236">
        <v>99.27</v>
      </c>
      <c r="V169" s="2"/>
    </row>
    <row r="170" spans="1:22" ht="15.75" customHeight="1">
      <c r="A170" s="228">
        <v>28</v>
      </c>
      <c r="B170" s="75">
        <v>3</v>
      </c>
      <c r="C170" s="2">
        <v>0.1</v>
      </c>
      <c r="D170" s="2">
        <v>0.15</v>
      </c>
      <c r="E170" s="2">
        <v>0.22</v>
      </c>
      <c r="F170" s="2">
        <v>0.32</v>
      </c>
      <c r="G170" s="2">
        <v>0.47</v>
      </c>
      <c r="H170" s="2">
        <v>0.71</v>
      </c>
      <c r="I170" s="2">
        <v>1.01</v>
      </c>
      <c r="J170" s="2">
        <v>1.53</v>
      </c>
      <c r="K170" s="2">
        <v>2.17</v>
      </c>
      <c r="L170" s="2">
        <v>3.24</v>
      </c>
      <c r="M170" s="2">
        <v>4.71</v>
      </c>
      <c r="N170" s="2">
        <v>6.95</v>
      </c>
      <c r="O170" s="2">
        <v>10.17</v>
      </c>
      <c r="P170" s="2">
        <v>14.89</v>
      </c>
      <c r="Q170" s="2">
        <v>21.95</v>
      </c>
      <c r="R170" s="2">
        <v>31.66</v>
      </c>
      <c r="S170" s="2">
        <v>48.42</v>
      </c>
      <c r="T170" s="2">
        <v>70.36</v>
      </c>
      <c r="U170" s="236">
        <v>99.27</v>
      </c>
      <c r="V170" s="2"/>
    </row>
    <row r="171" spans="1:22" ht="15.75" customHeight="1">
      <c r="A171" s="228">
        <v>28</v>
      </c>
      <c r="B171" s="75">
        <v>4</v>
      </c>
      <c r="C171" s="2">
        <v>0.1</v>
      </c>
      <c r="D171" s="2">
        <v>0.15</v>
      </c>
      <c r="E171" s="2">
        <v>0.22</v>
      </c>
      <c r="F171" s="2">
        <v>0.32</v>
      </c>
      <c r="G171" s="2">
        <v>0.47</v>
      </c>
      <c r="H171" s="2">
        <v>0.71</v>
      </c>
      <c r="I171" s="2">
        <v>1.01</v>
      </c>
      <c r="J171" s="2">
        <v>1.53</v>
      </c>
      <c r="K171" s="2">
        <v>2.17</v>
      </c>
      <c r="L171" s="2">
        <v>3.24</v>
      </c>
      <c r="M171" s="2">
        <v>4.71</v>
      </c>
      <c r="N171" s="2">
        <v>6.95</v>
      </c>
      <c r="O171" s="2">
        <v>10.17</v>
      </c>
      <c r="P171" s="2">
        <v>14.89</v>
      </c>
      <c r="Q171" s="2">
        <v>21.95</v>
      </c>
      <c r="R171" s="2">
        <v>31.66</v>
      </c>
      <c r="S171" s="2">
        <v>48.42</v>
      </c>
      <c r="T171" s="2">
        <v>70.36</v>
      </c>
      <c r="U171" s="236">
        <v>99.27</v>
      </c>
      <c r="V171" s="2"/>
    </row>
    <row r="172" spans="1:22" ht="15.75" customHeight="1">
      <c r="A172" s="228">
        <v>28</v>
      </c>
      <c r="B172" s="75">
        <v>5</v>
      </c>
      <c r="C172" s="2">
        <v>0.1</v>
      </c>
      <c r="D172" s="2">
        <v>0.15</v>
      </c>
      <c r="E172" s="2">
        <v>0.22</v>
      </c>
      <c r="F172" s="2">
        <v>0.32</v>
      </c>
      <c r="G172" s="2">
        <v>0.47</v>
      </c>
      <c r="H172" s="2">
        <v>0.71</v>
      </c>
      <c r="I172" s="2">
        <v>1.01</v>
      </c>
      <c r="J172" s="2">
        <v>1.53</v>
      </c>
      <c r="K172" s="2">
        <v>2.17</v>
      </c>
      <c r="L172" s="2">
        <v>3.24</v>
      </c>
      <c r="M172" s="2">
        <v>4.71</v>
      </c>
      <c r="N172" s="2">
        <v>6.95</v>
      </c>
      <c r="O172" s="2">
        <v>10.17</v>
      </c>
      <c r="P172" s="2">
        <v>14.89</v>
      </c>
      <c r="Q172" s="2">
        <v>21.95</v>
      </c>
      <c r="R172" s="2">
        <v>31.66</v>
      </c>
      <c r="S172" s="2">
        <v>48.42</v>
      </c>
      <c r="T172" s="2">
        <v>70.36</v>
      </c>
      <c r="U172" s="236">
        <v>99.27</v>
      </c>
      <c r="V172" s="2"/>
    </row>
    <row r="173" spans="1:22" ht="15.75" customHeight="1">
      <c r="A173" s="230">
        <v>28</v>
      </c>
      <c r="B173" s="231">
        <v>6</v>
      </c>
      <c r="C173" s="34">
        <v>0.1</v>
      </c>
      <c r="D173" s="34">
        <v>0.15</v>
      </c>
      <c r="E173" s="34">
        <v>0.22</v>
      </c>
      <c r="F173" s="34">
        <v>0.32</v>
      </c>
      <c r="G173" s="34">
        <v>0.47</v>
      </c>
      <c r="H173" s="34">
        <v>0.71</v>
      </c>
      <c r="I173" s="34">
        <v>1.01</v>
      </c>
      <c r="J173" s="34">
        <v>1.53</v>
      </c>
      <c r="K173" s="34">
        <v>2.17</v>
      </c>
      <c r="L173" s="34">
        <v>3.24</v>
      </c>
      <c r="M173" s="34">
        <v>4.71</v>
      </c>
      <c r="N173" s="34">
        <v>6.95</v>
      </c>
      <c r="O173" s="34">
        <v>10.17</v>
      </c>
      <c r="P173" s="34">
        <v>14.89</v>
      </c>
      <c r="Q173" s="34">
        <v>21.95</v>
      </c>
      <c r="R173" s="34">
        <v>31.66</v>
      </c>
      <c r="S173" s="34">
        <v>48.42</v>
      </c>
      <c r="T173" s="34">
        <v>70.36</v>
      </c>
      <c r="U173" s="237">
        <v>99.27</v>
      </c>
      <c r="V173" s="2"/>
    </row>
    <row r="174" spans="1:22" ht="15.75" customHeight="1">
      <c r="A174" s="228">
        <v>29</v>
      </c>
      <c r="B174" s="75">
        <v>1</v>
      </c>
      <c r="C174" s="2">
        <v>0.03</v>
      </c>
      <c r="D174" s="2">
        <v>0.06</v>
      </c>
      <c r="E174" s="2">
        <v>0.1</v>
      </c>
      <c r="F174" s="2">
        <v>0.18</v>
      </c>
      <c r="G174" s="2">
        <v>0.3</v>
      </c>
      <c r="H174" s="2">
        <v>0.56999999999999995</v>
      </c>
      <c r="I174" s="2">
        <v>0.99</v>
      </c>
      <c r="J174" s="2">
        <v>1.71</v>
      </c>
      <c r="K174" s="2">
        <v>2.99</v>
      </c>
      <c r="L174" s="2">
        <v>5.24</v>
      </c>
      <c r="M174" s="2">
        <v>9.56</v>
      </c>
      <c r="N174" s="2">
        <v>16.32</v>
      </c>
      <c r="O174" s="2">
        <v>30.18</v>
      </c>
      <c r="P174" s="2">
        <v>49.48</v>
      </c>
      <c r="Q174" s="2">
        <v>93.96</v>
      </c>
      <c r="R174" s="2">
        <v>160.34</v>
      </c>
      <c r="S174" s="2">
        <v>259.37</v>
      </c>
      <c r="T174" s="236">
        <v>486.02</v>
      </c>
      <c r="U174" s="2"/>
    </row>
    <row r="175" spans="1:22" ht="15.75" customHeight="1">
      <c r="A175" s="228">
        <v>29</v>
      </c>
      <c r="B175" s="75">
        <v>2</v>
      </c>
      <c r="C175" s="2">
        <v>0.03</v>
      </c>
      <c r="D175" s="2">
        <v>0.06</v>
      </c>
      <c r="E175" s="2">
        <v>0.1</v>
      </c>
      <c r="F175" s="2">
        <v>0.18</v>
      </c>
      <c r="G175" s="2">
        <v>0.3</v>
      </c>
      <c r="H175" s="2">
        <v>0.56999999999999995</v>
      </c>
      <c r="I175" s="2">
        <v>0.99</v>
      </c>
      <c r="J175" s="2">
        <v>1.71</v>
      </c>
      <c r="K175" s="2">
        <v>2.99</v>
      </c>
      <c r="L175" s="2">
        <v>5.24</v>
      </c>
      <c r="M175" s="2">
        <v>9.56</v>
      </c>
      <c r="N175" s="2">
        <v>16.32</v>
      </c>
      <c r="O175" s="2">
        <v>30.18</v>
      </c>
      <c r="P175" s="2">
        <v>49.48</v>
      </c>
      <c r="Q175" s="2">
        <v>93.96</v>
      </c>
      <c r="R175" s="2">
        <v>160.34</v>
      </c>
      <c r="S175" s="2">
        <v>259.37</v>
      </c>
      <c r="T175" s="236">
        <v>486.02</v>
      </c>
      <c r="U175" s="2"/>
    </row>
    <row r="176" spans="1:22" ht="15.75" customHeight="1">
      <c r="A176" s="228">
        <v>29</v>
      </c>
      <c r="B176" s="75">
        <v>3</v>
      </c>
      <c r="C176" s="2">
        <v>0.03</v>
      </c>
      <c r="D176" s="2">
        <v>0.06</v>
      </c>
      <c r="E176" s="2">
        <v>0.1</v>
      </c>
      <c r="F176" s="2">
        <v>0.18</v>
      </c>
      <c r="G176" s="2">
        <v>0.3</v>
      </c>
      <c r="H176" s="2">
        <v>0.56999999999999995</v>
      </c>
      <c r="I176" s="2">
        <v>0.99</v>
      </c>
      <c r="J176" s="2">
        <v>1.71</v>
      </c>
      <c r="K176" s="2">
        <v>2.99</v>
      </c>
      <c r="L176" s="2">
        <v>5.24</v>
      </c>
      <c r="M176" s="2">
        <v>9.56</v>
      </c>
      <c r="N176" s="2">
        <v>16.32</v>
      </c>
      <c r="O176" s="2">
        <v>30.18</v>
      </c>
      <c r="P176" s="2">
        <v>49.48</v>
      </c>
      <c r="Q176" s="2">
        <v>93.96</v>
      </c>
      <c r="R176" s="2">
        <v>160.34</v>
      </c>
      <c r="S176" s="2">
        <v>259.37</v>
      </c>
      <c r="T176" s="236">
        <v>486.02</v>
      </c>
      <c r="U176" s="2"/>
    </row>
    <row r="177" spans="1:47" ht="15.75" customHeight="1">
      <c r="A177" s="228">
        <v>29</v>
      </c>
      <c r="B177" s="75">
        <v>4</v>
      </c>
      <c r="C177" s="2">
        <v>0.03</v>
      </c>
      <c r="D177" s="2">
        <v>0.06</v>
      </c>
      <c r="E177" s="2">
        <v>0.1</v>
      </c>
      <c r="F177" s="2">
        <v>0.18</v>
      </c>
      <c r="G177" s="2">
        <v>0.3</v>
      </c>
      <c r="H177" s="2">
        <v>0.56999999999999995</v>
      </c>
      <c r="I177" s="2">
        <v>0.99</v>
      </c>
      <c r="J177" s="2">
        <v>1.71</v>
      </c>
      <c r="K177" s="2">
        <v>2.99</v>
      </c>
      <c r="L177" s="2">
        <v>5.24</v>
      </c>
      <c r="M177" s="2">
        <v>9.56</v>
      </c>
      <c r="N177" s="2">
        <v>16.32</v>
      </c>
      <c r="O177" s="2">
        <v>30.18</v>
      </c>
      <c r="P177" s="2">
        <v>49.48</v>
      </c>
      <c r="Q177" s="2">
        <v>93.96</v>
      </c>
      <c r="R177" s="2">
        <v>160.34</v>
      </c>
      <c r="S177" s="2">
        <v>259.37</v>
      </c>
      <c r="T177" s="236">
        <v>486.02</v>
      </c>
      <c r="U177" s="2"/>
    </row>
    <row r="178" spans="1:47" ht="15.75" customHeight="1">
      <c r="A178" s="230">
        <v>29</v>
      </c>
      <c r="B178" s="231">
        <v>5</v>
      </c>
      <c r="C178" s="34">
        <v>0.03</v>
      </c>
      <c r="D178" s="34">
        <v>0.06</v>
      </c>
      <c r="E178" s="34">
        <v>0.1</v>
      </c>
      <c r="F178" s="34">
        <v>0.18</v>
      </c>
      <c r="G178" s="34">
        <v>0.3</v>
      </c>
      <c r="H178" s="34">
        <v>0.56999999999999995</v>
      </c>
      <c r="I178" s="34">
        <v>0.99</v>
      </c>
      <c r="J178" s="34">
        <v>1.71</v>
      </c>
      <c r="K178" s="34">
        <v>2.99</v>
      </c>
      <c r="L178" s="34">
        <v>5.24</v>
      </c>
      <c r="M178" s="34">
        <v>9.56</v>
      </c>
      <c r="N178" s="34">
        <v>16.32</v>
      </c>
      <c r="O178" s="34">
        <v>30.18</v>
      </c>
      <c r="P178" s="34">
        <v>49.48</v>
      </c>
      <c r="Q178" s="34">
        <v>93.96</v>
      </c>
      <c r="R178" s="34">
        <v>160.34</v>
      </c>
      <c r="S178" s="34">
        <v>259.37</v>
      </c>
      <c r="T178" s="237">
        <v>486.02</v>
      </c>
      <c r="U178" s="2"/>
    </row>
    <row r="179" spans="1:47" ht="15.75" customHeight="1">
      <c r="A179" s="228">
        <v>30</v>
      </c>
      <c r="B179" s="75">
        <v>1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47" ht="15.75" customHeight="1">
      <c r="A180" s="228">
        <v>30</v>
      </c>
      <c r="B180" s="75">
        <v>2</v>
      </c>
    </row>
    <row r="181" spans="1:47" ht="15.75" customHeight="1">
      <c r="A181" s="228">
        <v>30</v>
      </c>
      <c r="B181" s="75">
        <v>3</v>
      </c>
    </row>
    <row r="182" spans="1:47" ht="15.75" customHeight="1">
      <c r="A182" s="229">
        <v>31</v>
      </c>
      <c r="B182" s="74">
        <v>1</v>
      </c>
    </row>
    <row r="183" spans="1:47" ht="15.75" customHeight="1">
      <c r="A183" s="228">
        <v>31</v>
      </c>
      <c r="B183" s="75">
        <v>2</v>
      </c>
    </row>
    <row r="184" spans="1:47" ht="15.75" customHeight="1">
      <c r="A184" s="228">
        <v>31</v>
      </c>
      <c r="B184" s="75">
        <v>3</v>
      </c>
    </row>
    <row r="185" spans="1:47" ht="15.75" customHeight="1">
      <c r="A185" s="228">
        <v>31</v>
      </c>
      <c r="B185" s="75">
        <v>4</v>
      </c>
    </row>
    <row r="186" spans="1:47" ht="15.75" customHeight="1">
      <c r="A186" s="230">
        <v>31</v>
      </c>
      <c r="B186" s="231">
        <v>5</v>
      </c>
    </row>
    <row r="187" spans="1:47" ht="15.75" customHeight="1">
      <c r="A187" s="199">
        <v>32</v>
      </c>
      <c r="B187" s="200">
        <v>1</v>
      </c>
    </row>
    <row r="188" spans="1:47" ht="15.75" customHeight="1">
      <c r="A188" s="196">
        <v>32</v>
      </c>
      <c r="B188" s="201">
        <v>2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47" ht="15.75" customHeight="1">
      <c r="A189" s="229">
        <v>33</v>
      </c>
      <c r="B189" s="200">
        <v>1</v>
      </c>
      <c r="C189" s="234">
        <f>6.283185*Angular_frequency!C189</f>
        <v>6.2831849999999995E-2</v>
      </c>
      <c r="D189" s="234">
        <f>6.283185*Angular_frequency!D189</f>
        <v>9.4247774999999992E-2</v>
      </c>
      <c r="E189" s="234">
        <f>6.283185*Angular_frequency!E189</f>
        <v>0.13823006999999998</v>
      </c>
      <c r="F189" s="234">
        <f>6.283185*Angular_frequency!F189</f>
        <v>0.20106191999999998</v>
      </c>
      <c r="G189" s="234">
        <f>6.283185*Angular_frequency!G189</f>
        <v>0.28902650999999996</v>
      </c>
      <c r="H189" s="234">
        <f>6.283185*Angular_frequency!H189</f>
        <v>0.43353976500000002</v>
      </c>
      <c r="I189" s="234">
        <f>6.283185*Angular_frequency!I189</f>
        <v>0.64088486999999994</v>
      </c>
      <c r="J189" s="234">
        <f>6.283185*Angular_frequency!J189</f>
        <v>0.93619456499999987</v>
      </c>
      <c r="K189" s="234">
        <f>6.283185*Angular_frequency!K189</f>
        <v>1.3760175149999998</v>
      </c>
      <c r="L189" s="234">
        <f>6.283185*Angular_frequency!L189</f>
        <v>1.98548646</v>
      </c>
      <c r="M189" s="234">
        <f>6.283185*Angular_frequency!M189</f>
        <v>2.9153978399999998</v>
      </c>
      <c r="N189" s="234">
        <f>6.283185*Angular_frequency!N189</f>
        <v>4.3479640199999992</v>
      </c>
      <c r="O189" s="234">
        <f>6.283185*Angular_frequency!O189</f>
        <v>6.1889372249999992</v>
      </c>
      <c r="P189" s="234">
        <f>6.283185*Angular_frequency!P189</f>
        <v>9.368228835</v>
      </c>
      <c r="Q189" s="234">
        <f>6.283185*Angular_frequency!Q189</f>
        <v>13.533980489999999</v>
      </c>
      <c r="R189" s="234">
        <f>6.283185*Angular_frequency!R189</f>
        <v>19.867430969999997</v>
      </c>
      <c r="S189" s="234">
        <f>6.283185*Angular_frequency!S189</f>
        <v>28.720438634999997</v>
      </c>
      <c r="T189" s="234">
        <f>6.283185*Angular_frequency!T189</f>
        <v>42.153888164999998</v>
      </c>
      <c r="U189" s="234">
        <f>6.283185*Angular_frequency!U189</f>
        <v>62.831849999999996</v>
      </c>
      <c r="V189" s="234">
        <f>6.283185*Angular_frequency!V189</f>
        <v>90.817155990000003</v>
      </c>
      <c r="W189" s="234">
        <f>6.283185*Angular_frequency!W189</f>
        <v>135.36493763999999</v>
      </c>
      <c r="X189" s="234">
        <f>6.283185*Angular_frequency!X189</f>
        <v>195.66466408499997</v>
      </c>
      <c r="Y189" s="234">
        <f>6.283185*Angular_frequency!Y189</f>
        <v>291.64031495999996</v>
      </c>
      <c r="Z189" s="234">
        <f>6.283185*Angular_frequency!Z189</f>
        <v>428.06711086500002</v>
      </c>
      <c r="AA189" s="235">
        <f>6.283185*Angular_frequency!AA189</f>
        <v>628.31849999999997</v>
      </c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2"/>
      <c r="AU189" s="2"/>
    </row>
    <row r="190" spans="1:47" ht="15.75" customHeight="1">
      <c r="A190" s="228">
        <v>33</v>
      </c>
      <c r="B190" s="201">
        <v>2</v>
      </c>
      <c r="C190" s="2">
        <f>6.283185*Angular_frequency!C190</f>
        <v>6.2831849999999995E-2</v>
      </c>
      <c r="D190" s="2">
        <f>6.283185*Angular_frequency!D190</f>
        <v>9.4247774999999992E-2</v>
      </c>
      <c r="E190" s="2">
        <f>6.283185*Angular_frequency!E190</f>
        <v>0.13823006999999998</v>
      </c>
      <c r="F190" s="2">
        <f>6.283185*Angular_frequency!F190</f>
        <v>0.20106191999999998</v>
      </c>
      <c r="G190" s="2">
        <f>6.283185*Angular_frequency!G190</f>
        <v>0.28902650999999996</v>
      </c>
      <c r="H190" s="2">
        <f>6.283185*Angular_frequency!H190</f>
        <v>0.43353976500000002</v>
      </c>
      <c r="I190" s="2">
        <f>6.283185*Angular_frequency!I190</f>
        <v>0.64088486999999994</v>
      </c>
      <c r="J190" s="2">
        <f>6.283185*Angular_frequency!J190</f>
        <v>0.93619456499999987</v>
      </c>
      <c r="K190" s="2">
        <f>6.283185*Angular_frequency!K190</f>
        <v>1.3760175149999998</v>
      </c>
      <c r="L190" s="2">
        <f>6.283185*Angular_frequency!L190</f>
        <v>1.98548646</v>
      </c>
      <c r="M190" s="2">
        <f>6.283185*Angular_frequency!M190</f>
        <v>2.9153978399999998</v>
      </c>
      <c r="N190" s="2">
        <f>6.283185*Angular_frequency!N190</f>
        <v>4.3479640199999992</v>
      </c>
      <c r="O190" s="2">
        <f>6.283185*Angular_frequency!O190</f>
        <v>6.1889372249999992</v>
      </c>
      <c r="P190" s="2">
        <f>6.283185*Angular_frequency!P190</f>
        <v>9.368228835</v>
      </c>
      <c r="Q190" s="2">
        <f>6.283185*Angular_frequency!Q190</f>
        <v>13.533980489999999</v>
      </c>
      <c r="R190" s="2">
        <f>6.283185*Angular_frequency!R190</f>
        <v>19.867430969999997</v>
      </c>
      <c r="S190" s="2">
        <f>6.283185*Angular_frequency!S190</f>
        <v>28.720438634999997</v>
      </c>
      <c r="T190" s="2">
        <f>6.283185*Angular_frequency!T190</f>
        <v>42.153888164999998</v>
      </c>
      <c r="U190" s="2">
        <f>6.283185*Angular_frequency!U190</f>
        <v>62.831849999999996</v>
      </c>
      <c r="V190" s="2">
        <f>6.283185*Angular_frequency!V190</f>
        <v>90.817155990000003</v>
      </c>
      <c r="W190" s="2">
        <f>6.283185*Angular_frequency!W190</f>
        <v>135.36493763999999</v>
      </c>
      <c r="X190" s="2">
        <f>6.283185*Angular_frequency!X190</f>
        <v>195.66466408499997</v>
      </c>
      <c r="Y190" s="2">
        <f>6.283185*Angular_frequency!Y190</f>
        <v>291.64031495999996</v>
      </c>
      <c r="Z190" s="2">
        <f>6.283185*Angular_frequency!Z190</f>
        <v>428.06711086500002</v>
      </c>
      <c r="AA190" s="236">
        <f>6.283185*Angular_frequency!AA190</f>
        <v>628.31849999999997</v>
      </c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2"/>
      <c r="AU190" s="2"/>
    </row>
    <row r="191" spans="1:47" ht="15.75" customHeight="1">
      <c r="A191" s="228">
        <v>33</v>
      </c>
      <c r="B191" s="201">
        <v>3</v>
      </c>
      <c r="C191" s="2">
        <f>6.283185*Angular_frequency!C191</f>
        <v>6.2831849999999995E-2</v>
      </c>
      <c r="D191" s="2">
        <f>6.283185*Angular_frequency!D191</f>
        <v>9.4247774999999992E-2</v>
      </c>
      <c r="E191" s="2">
        <f>6.283185*Angular_frequency!E191</f>
        <v>0.13823006999999998</v>
      </c>
      <c r="F191" s="2">
        <f>6.283185*Angular_frequency!F191</f>
        <v>0.20106191999999998</v>
      </c>
      <c r="G191" s="2">
        <f>6.283185*Angular_frequency!G191</f>
        <v>0.28902650999999996</v>
      </c>
      <c r="H191" s="2">
        <f>6.283185*Angular_frequency!H191</f>
        <v>0.43353976500000002</v>
      </c>
      <c r="I191" s="2">
        <f>6.283185*Angular_frequency!I191</f>
        <v>0.64088486999999994</v>
      </c>
      <c r="J191" s="2">
        <f>6.283185*Angular_frequency!J191</f>
        <v>0.93619456499999987</v>
      </c>
      <c r="K191" s="2">
        <f>6.283185*Angular_frequency!K191</f>
        <v>1.3760175149999998</v>
      </c>
      <c r="L191" s="2">
        <f>6.283185*Angular_frequency!L191</f>
        <v>1.98548646</v>
      </c>
      <c r="M191" s="2">
        <f>6.283185*Angular_frequency!M191</f>
        <v>2.9153978399999998</v>
      </c>
      <c r="N191" s="2">
        <f>6.283185*Angular_frequency!N191</f>
        <v>4.3479640199999992</v>
      </c>
      <c r="O191" s="2">
        <f>6.283185*Angular_frequency!O191</f>
        <v>6.1889372249999992</v>
      </c>
      <c r="P191" s="2">
        <f>6.283185*Angular_frequency!P191</f>
        <v>9.368228835</v>
      </c>
      <c r="Q191" s="2">
        <f>6.283185*Angular_frequency!Q191</f>
        <v>13.533980489999999</v>
      </c>
      <c r="R191" s="2">
        <f>6.283185*Angular_frequency!R191</f>
        <v>19.867430969999997</v>
      </c>
      <c r="S191" s="2">
        <f>6.283185*Angular_frequency!S191</f>
        <v>28.720438634999997</v>
      </c>
      <c r="T191" s="2">
        <f>6.283185*Angular_frequency!T191</f>
        <v>42.153888164999998</v>
      </c>
      <c r="U191" s="2">
        <f>6.283185*Angular_frequency!U191</f>
        <v>62.831849999999996</v>
      </c>
      <c r="V191" s="2">
        <f>6.283185*Angular_frequency!V191</f>
        <v>90.817155990000003</v>
      </c>
      <c r="W191" s="2">
        <f>6.283185*Angular_frequency!W191</f>
        <v>135.36493763999999</v>
      </c>
      <c r="X191" s="2">
        <f>6.283185*Angular_frequency!X191</f>
        <v>195.66466408499997</v>
      </c>
      <c r="Y191" s="2">
        <f>6.283185*Angular_frequency!Y191</f>
        <v>291.64031495999996</v>
      </c>
      <c r="Z191" s="2">
        <f>6.283185*Angular_frequency!Z191</f>
        <v>428.06711086500002</v>
      </c>
      <c r="AA191" s="236">
        <f>6.283185*Angular_frequency!AA191</f>
        <v>628.31849999999997</v>
      </c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2"/>
      <c r="AU191" s="2"/>
    </row>
    <row r="192" spans="1:47" ht="15.75" customHeight="1">
      <c r="A192" s="228">
        <v>33</v>
      </c>
      <c r="B192" s="201">
        <v>4</v>
      </c>
      <c r="C192" s="2">
        <f>6.283185*Angular_frequency!C192</f>
        <v>6.2831849999999995E-2</v>
      </c>
      <c r="D192" s="2">
        <f>6.283185*Angular_frequency!D192</f>
        <v>9.4247774999999992E-2</v>
      </c>
      <c r="E192" s="2">
        <f>6.283185*Angular_frequency!E192</f>
        <v>0.13823006999999998</v>
      </c>
      <c r="F192" s="2">
        <f>6.283185*Angular_frequency!F192</f>
        <v>0.20106191999999998</v>
      </c>
      <c r="G192" s="2">
        <f>6.283185*Angular_frequency!G192</f>
        <v>0.28902650999999996</v>
      </c>
      <c r="H192" s="2">
        <f>6.283185*Angular_frequency!H192</f>
        <v>0.43353976500000002</v>
      </c>
      <c r="I192" s="2">
        <f>6.283185*Angular_frequency!I192</f>
        <v>0.64088486999999994</v>
      </c>
      <c r="J192" s="2">
        <f>6.283185*Angular_frequency!J192</f>
        <v>0.93619456499999987</v>
      </c>
      <c r="K192" s="2">
        <f>6.283185*Angular_frequency!K192</f>
        <v>1.3760175149999998</v>
      </c>
      <c r="L192" s="2">
        <f>6.283185*Angular_frequency!L192</f>
        <v>1.98548646</v>
      </c>
      <c r="M192" s="2">
        <f>6.283185*Angular_frequency!M192</f>
        <v>2.9153978399999998</v>
      </c>
      <c r="N192" s="2">
        <f>6.283185*Angular_frequency!N192</f>
        <v>4.3479640199999992</v>
      </c>
      <c r="O192" s="2">
        <f>6.283185*Angular_frequency!O192</f>
        <v>6.1889372249999992</v>
      </c>
      <c r="P192" s="2">
        <f>6.283185*Angular_frequency!P192</f>
        <v>9.368228835</v>
      </c>
      <c r="Q192" s="2">
        <f>6.283185*Angular_frequency!Q192</f>
        <v>13.533980489999999</v>
      </c>
      <c r="R192" s="2">
        <f>6.283185*Angular_frequency!R192</f>
        <v>19.867430969999997</v>
      </c>
      <c r="S192" s="2">
        <f>6.283185*Angular_frequency!S192</f>
        <v>28.720438634999997</v>
      </c>
      <c r="T192" s="2">
        <f>6.283185*Angular_frequency!T192</f>
        <v>42.153888164999998</v>
      </c>
      <c r="U192" s="2">
        <f>6.283185*Angular_frequency!U192</f>
        <v>62.831849999999996</v>
      </c>
      <c r="V192" s="2">
        <f>6.283185*Angular_frequency!V192</f>
        <v>90.817155990000003</v>
      </c>
      <c r="W192" s="34">
        <f>6.283185*Angular_frequency!W192</f>
        <v>135.36493763999999</v>
      </c>
      <c r="X192" s="34">
        <f>6.283185*Angular_frequency!X192</f>
        <v>195.66466408499997</v>
      </c>
      <c r="Y192" s="34">
        <f>6.283185*Angular_frequency!Y192</f>
        <v>291.64031495999996</v>
      </c>
      <c r="Z192" s="34">
        <f>6.283185*Angular_frequency!Z192</f>
        <v>428.06711086500002</v>
      </c>
      <c r="AA192" s="237">
        <f>6.283185*Angular_frequency!AA192</f>
        <v>628.31849999999997</v>
      </c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2"/>
      <c r="AU192" s="2"/>
    </row>
    <row r="193" spans="1:47" ht="15.75" customHeight="1">
      <c r="A193" s="199">
        <v>34</v>
      </c>
      <c r="B193" s="200">
        <v>1</v>
      </c>
      <c r="C193" s="234">
        <f>6.283185*Angular_frequency!C193</f>
        <v>0.6283185</v>
      </c>
      <c r="D193" s="234">
        <f>6.283185*Angular_frequency!D193</f>
        <v>0.98646004499999995</v>
      </c>
      <c r="E193" s="234">
        <f>6.283185*Angular_frequency!E193</f>
        <v>1.5707962499999999</v>
      </c>
      <c r="F193" s="234">
        <f>6.283185*Angular_frequency!F193</f>
        <v>2.513274</v>
      </c>
      <c r="G193" s="234">
        <f>6.283185*Angular_frequency!G193</f>
        <v>3.8955746999999996</v>
      </c>
      <c r="H193" s="234">
        <f>6.283185*Angular_frequency!H193</f>
        <v>6.2203531499999993</v>
      </c>
      <c r="I193" s="234">
        <f>6.283185*Angular_frequency!I193</f>
        <v>9.8457508949999983</v>
      </c>
      <c r="J193" s="234">
        <f>6.283185*Angular_frequency!J193</f>
        <v>15.871325309999998</v>
      </c>
      <c r="K193" s="234">
        <f>6.283185*Angular_frequency!K193</f>
        <v>24.868846229999999</v>
      </c>
      <c r="L193" s="234">
        <f>6.283185*Angular_frequency!L193</f>
        <v>39.72229557</v>
      </c>
      <c r="M193" s="234">
        <f>6.283185*Angular_frequency!M193</f>
        <v>62.234947424999994</v>
      </c>
      <c r="N193" s="234">
        <f>6.283185*Angular_frequency!N193</f>
        <v>100.348747635</v>
      </c>
      <c r="O193" s="234">
        <f>6.283185*Angular_frequency!O193</f>
        <v>154.24590856499998</v>
      </c>
      <c r="P193" s="234">
        <f>6.283185*Angular_frequency!P193</f>
        <v>246.344834295</v>
      </c>
      <c r="Q193" s="234">
        <f>6.283185*Angular_frequency!Q193</f>
        <v>393.42162877499999</v>
      </c>
      <c r="R193" s="234">
        <f>6.283185*Angular_frequency!R193</f>
        <v>616.42443079499992</v>
      </c>
      <c r="S193" s="234">
        <f>6.283185*Angular_frequency!S193</f>
        <v>984.46827535499983</v>
      </c>
      <c r="T193" s="234">
        <f>6.283185*Angular_frequency!T193</f>
        <v>1542.4842183899998</v>
      </c>
      <c r="U193" s="234">
        <f>6.283185*Angular_frequency!U193</f>
        <v>2440.0120628999998</v>
      </c>
      <c r="V193" s="235">
        <f>6.283185*Angular_frequency!V193</f>
        <v>3972.0033623399995</v>
      </c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2"/>
      <c r="AU193" s="2"/>
    </row>
    <row r="194" spans="1:47" ht="15.75" customHeight="1">
      <c r="A194" s="196">
        <v>34</v>
      </c>
      <c r="B194" s="201">
        <v>2</v>
      </c>
      <c r="C194" s="2">
        <f>6.283185*Angular_frequency!C194</f>
        <v>0.6283185</v>
      </c>
      <c r="D194" s="2">
        <f>6.283185*Angular_frequency!D194</f>
        <v>0.98646004499999995</v>
      </c>
      <c r="E194" s="2">
        <f>6.283185*Angular_frequency!E194</f>
        <v>1.5707962499999999</v>
      </c>
      <c r="F194" s="2">
        <f>6.283185*Angular_frequency!F194</f>
        <v>2.513274</v>
      </c>
      <c r="G194" s="2">
        <f>6.283185*Angular_frequency!G194</f>
        <v>3.8955746999999996</v>
      </c>
      <c r="H194" s="2">
        <f>6.283185*Angular_frequency!H194</f>
        <v>6.2203531499999993</v>
      </c>
      <c r="I194" s="2">
        <f>6.283185*Angular_frequency!I194</f>
        <v>9.8457508949999983</v>
      </c>
      <c r="J194" s="2">
        <f>6.283185*Angular_frequency!J194</f>
        <v>15.871325309999998</v>
      </c>
      <c r="K194" s="2">
        <f>6.283185*Angular_frequency!K194</f>
        <v>24.868846229999999</v>
      </c>
      <c r="L194" s="2">
        <f>6.283185*Angular_frequency!L194</f>
        <v>39.72229557</v>
      </c>
      <c r="M194" s="2">
        <f>6.283185*Angular_frequency!M194</f>
        <v>62.234947424999994</v>
      </c>
      <c r="N194" s="2">
        <f>6.283185*Angular_frequency!N194</f>
        <v>100.348747635</v>
      </c>
      <c r="O194" s="2">
        <f>6.283185*Angular_frequency!O194</f>
        <v>154.24590856499998</v>
      </c>
      <c r="P194" s="2">
        <f>6.283185*Angular_frequency!P194</f>
        <v>246.344834295</v>
      </c>
      <c r="Q194" s="2">
        <f>6.283185*Angular_frequency!Q194</f>
        <v>393.42162877499999</v>
      </c>
      <c r="R194" s="2">
        <f>6.283185*Angular_frequency!R194</f>
        <v>616.42443079499992</v>
      </c>
      <c r="S194" s="2">
        <f>6.283185*Angular_frequency!S194</f>
        <v>984.46827535499983</v>
      </c>
      <c r="T194" s="2">
        <f>6.283185*Angular_frequency!T194</f>
        <v>1542.4842183899998</v>
      </c>
      <c r="U194" s="2">
        <f>6.283185*Angular_frequency!U194</f>
        <v>2440.0120628999998</v>
      </c>
      <c r="V194" s="236">
        <f>6.283185*Angular_frequency!V194</f>
        <v>3972.0033623399995</v>
      </c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2"/>
      <c r="AU194" s="2"/>
    </row>
    <row r="195" spans="1:47" ht="15.75" customHeight="1">
      <c r="A195" s="196">
        <v>34</v>
      </c>
      <c r="B195" s="201">
        <v>3</v>
      </c>
      <c r="C195" s="2">
        <f>6.283185*Angular_frequency!C195</f>
        <v>0.6283185</v>
      </c>
      <c r="D195" s="2">
        <f>6.283185*Angular_frequency!D195</f>
        <v>0.98646004499999995</v>
      </c>
      <c r="E195" s="2">
        <f>6.283185*Angular_frequency!E195</f>
        <v>1.5707962499999999</v>
      </c>
      <c r="F195" s="2">
        <f>6.283185*Angular_frequency!F195</f>
        <v>2.513274</v>
      </c>
      <c r="G195" s="2">
        <f>6.283185*Angular_frequency!G195</f>
        <v>3.8955746999999996</v>
      </c>
      <c r="H195" s="2">
        <f>6.283185*Angular_frequency!H195</f>
        <v>6.2203531499999993</v>
      </c>
      <c r="I195" s="2">
        <f>6.283185*Angular_frequency!I195</f>
        <v>9.8457508949999983</v>
      </c>
      <c r="J195" s="2">
        <f>6.283185*Angular_frequency!J195</f>
        <v>15.871325309999998</v>
      </c>
      <c r="K195" s="2">
        <f>6.283185*Angular_frequency!K195</f>
        <v>24.868846229999999</v>
      </c>
      <c r="L195" s="2">
        <f>6.283185*Angular_frequency!L195</f>
        <v>39.72229557</v>
      </c>
      <c r="M195" s="2">
        <f>6.283185*Angular_frequency!M195</f>
        <v>62.234947424999994</v>
      </c>
      <c r="N195" s="2">
        <f>6.283185*Angular_frequency!N195</f>
        <v>100.348747635</v>
      </c>
      <c r="O195" s="2">
        <f>6.283185*Angular_frequency!O195</f>
        <v>154.24590856499998</v>
      </c>
      <c r="P195" s="2">
        <f>6.283185*Angular_frequency!P195</f>
        <v>246.344834295</v>
      </c>
      <c r="Q195" s="2">
        <f>6.283185*Angular_frequency!Q195</f>
        <v>393.42162877499999</v>
      </c>
      <c r="R195" s="2">
        <f>6.283185*Angular_frequency!R195</f>
        <v>616.42443079499992</v>
      </c>
      <c r="S195" s="2">
        <f>6.283185*Angular_frequency!S195</f>
        <v>984.46827535499983</v>
      </c>
      <c r="T195" s="2">
        <f>6.283185*Angular_frequency!T195</f>
        <v>1542.4842183899998</v>
      </c>
      <c r="U195" s="2">
        <f>6.283185*Angular_frequency!U195</f>
        <v>2440.0120628999998</v>
      </c>
      <c r="V195" s="236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2"/>
      <c r="AU195" s="2"/>
    </row>
    <row r="196" spans="1:47" ht="15.75" customHeight="1">
      <c r="A196" s="197">
        <v>34</v>
      </c>
      <c r="B196" s="202">
        <v>4</v>
      </c>
      <c r="C196" s="34">
        <f>6.283185*Angular_frequency!C196</f>
        <v>0.6283185</v>
      </c>
      <c r="D196" s="34">
        <f>6.283185*Angular_frequency!D196</f>
        <v>0.98646004499999995</v>
      </c>
      <c r="E196" s="34">
        <f>6.283185*Angular_frequency!E196</f>
        <v>1.5707962499999999</v>
      </c>
      <c r="F196" s="34">
        <f>6.283185*Angular_frequency!F196</f>
        <v>2.513274</v>
      </c>
      <c r="G196" s="34">
        <f>6.283185*Angular_frequency!G196</f>
        <v>3.8955746999999996</v>
      </c>
      <c r="H196" s="34">
        <f>6.283185*Angular_frequency!H196</f>
        <v>6.2203531499999993</v>
      </c>
      <c r="I196" s="34">
        <f>6.283185*Angular_frequency!I196</f>
        <v>9.8457508949999983</v>
      </c>
      <c r="J196" s="34">
        <f>6.283185*Angular_frequency!J196</f>
        <v>15.871325309999998</v>
      </c>
      <c r="K196" s="34">
        <f>6.283185*Angular_frequency!K196</f>
        <v>24.868846229999999</v>
      </c>
      <c r="L196" s="34">
        <f>6.283185*Angular_frequency!L196</f>
        <v>39.72229557</v>
      </c>
      <c r="M196" s="34">
        <f>6.283185*Angular_frequency!M196</f>
        <v>62.234947424999994</v>
      </c>
      <c r="N196" s="34">
        <f>6.283185*Angular_frequency!N196</f>
        <v>100.348747635</v>
      </c>
      <c r="O196" s="34">
        <f>6.283185*Angular_frequency!O196</f>
        <v>154.24590856499998</v>
      </c>
      <c r="P196" s="34">
        <f>6.283185*Angular_frequency!P196</f>
        <v>246.344834295</v>
      </c>
      <c r="Q196" s="34">
        <f>6.283185*Angular_frequency!Q196</f>
        <v>393.42162877499999</v>
      </c>
      <c r="R196" s="34">
        <f>6.283185*Angular_frequency!R196</f>
        <v>616.42443079499992</v>
      </c>
      <c r="S196" s="34">
        <f>6.283185*Angular_frequency!S196</f>
        <v>984.46827535499983</v>
      </c>
      <c r="T196" s="34">
        <f>6.283185*Angular_frequency!T196</f>
        <v>1542.4842183899998</v>
      </c>
      <c r="U196" s="34">
        <f>6.283185*Angular_frequency!U196</f>
        <v>2440.0120628999998</v>
      </c>
      <c r="V196" s="237">
        <f>6.283185*Angular_frequency!V196</f>
        <v>3972.0033623399995</v>
      </c>
      <c r="W196" s="456"/>
      <c r="X196" s="456"/>
      <c r="Y196" s="456"/>
      <c r="Z196" s="456"/>
      <c r="AA196" s="456"/>
      <c r="AB196" s="456"/>
      <c r="AC196" s="456"/>
      <c r="AD196" s="456"/>
      <c r="AE196" s="456"/>
      <c r="AF196" s="456"/>
      <c r="AG196" s="456"/>
      <c r="AH196" s="456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2"/>
      <c r="AU196" s="2"/>
    </row>
    <row r="197" spans="1:47" ht="15.75" customHeight="1">
      <c r="A197" s="228">
        <v>35</v>
      </c>
      <c r="B197" s="75">
        <v>1</v>
      </c>
      <c r="C197" s="2">
        <v>1.0999999999999999E-2</v>
      </c>
      <c r="D197" s="2">
        <v>1.4E-2</v>
      </c>
      <c r="E197" s="2">
        <v>1.7999999999999999E-2</v>
      </c>
      <c r="F197" s="2">
        <v>2.4E-2</v>
      </c>
      <c r="G197" s="2">
        <v>3.3000000000000002E-2</v>
      </c>
      <c r="H197" s="2">
        <v>4.2000000000000003E-2</v>
      </c>
      <c r="I197" s="2">
        <v>0.06</v>
      </c>
      <c r="J197" s="2">
        <v>7.5999999999999998E-2</v>
      </c>
      <c r="K197" s="2">
        <v>9.9000000000000005E-2</v>
      </c>
      <c r="L197" s="2">
        <v>0.129</v>
      </c>
      <c r="M197" s="2">
        <v>0.17699999999999999</v>
      </c>
      <c r="N197" s="2">
        <v>0.23799999999999999</v>
      </c>
      <c r="O197" s="2">
        <v>0.32600000000000001</v>
      </c>
      <c r="P197" s="2">
        <v>0.40600000000000003</v>
      </c>
      <c r="Q197" s="2">
        <v>0.56999999999999995</v>
      </c>
      <c r="R197" s="2">
        <v>0.74</v>
      </c>
      <c r="S197" s="458">
        <v>1.0169999999999999</v>
      </c>
      <c r="T197" s="456">
        <v>1.35</v>
      </c>
      <c r="U197" s="458">
        <v>1.794</v>
      </c>
      <c r="V197" s="458">
        <v>2.3319999999999999</v>
      </c>
      <c r="W197" s="457">
        <v>3.2719999999999998</v>
      </c>
      <c r="X197" s="457">
        <v>4.1609999999999996</v>
      </c>
      <c r="Y197" s="457">
        <v>5.5279999999999996</v>
      </c>
      <c r="Z197" s="457">
        <v>7.2649999999999997</v>
      </c>
      <c r="AA197" s="457">
        <v>9.9730000000000008</v>
      </c>
      <c r="AB197" s="457">
        <v>13.395</v>
      </c>
      <c r="AC197" s="457">
        <v>17.41</v>
      </c>
      <c r="AD197" s="457">
        <v>24.163</v>
      </c>
      <c r="AE197" s="457">
        <v>30.728999999999999</v>
      </c>
      <c r="AF197" s="457">
        <v>40.380000000000003</v>
      </c>
      <c r="AG197" s="457">
        <v>56.658000000000001</v>
      </c>
      <c r="AH197" s="457">
        <v>76.099000000000004</v>
      </c>
      <c r="AI197" s="377">
        <v>100</v>
      </c>
      <c r="AJ197" s="2"/>
    </row>
    <row r="198" spans="1:47" ht="15.75" customHeight="1">
      <c r="A198" s="228">
        <v>35</v>
      </c>
      <c r="B198" s="75">
        <v>2</v>
      </c>
      <c r="C198" s="2">
        <v>1.0999999999999999E-2</v>
      </c>
      <c r="D198" s="2">
        <v>1.4E-2</v>
      </c>
      <c r="E198" s="2">
        <v>1.7999999999999999E-2</v>
      </c>
      <c r="F198" s="2">
        <v>2.4E-2</v>
      </c>
      <c r="G198" s="2">
        <v>3.3000000000000002E-2</v>
      </c>
      <c r="H198" s="2">
        <v>4.2000000000000003E-2</v>
      </c>
      <c r="I198" s="2">
        <v>0.06</v>
      </c>
      <c r="J198" s="2">
        <v>7.5999999999999998E-2</v>
      </c>
      <c r="K198" s="2">
        <v>9.9000000000000005E-2</v>
      </c>
      <c r="L198" s="2">
        <v>0.129</v>
      </c>
      <c r="M198" s="2">
        <v>0.17699999999999999</v>
      </c>
      <c r="N198" s="2">
        <v>0.23799999999999999</v>
      </c>
      <c r="O198" s="2">
        <v>0.32600000000000001</v>
      </c>
      <c r="P198" s="2">
        <v>0.40600000000000003</v>
      </c>
      <c r="Q198" s="2">
        <v>0.56999999999999995</v>
      </c>
      <c r="R198" s="2">
        <v>0.74</v>
      </c>
      <c r="S198" s="458">
        <v>1.0169999999999999</v>
      </c>
      <c r="T198" s="456">
        <v>1.35</v>
      </c>
      <c r="U198" s="458">
        <v>1.794</v>
      </c>
      <c r="V198" s="458">
        <v>2.3319999999999999</v>
      </c>
      <c r="W198" s="458">
        <v>3.2719999999999998</v>
      </c>
      <c r="X198" s="458">
        <v>4.1609999999999996</v>
      </c>
      <c r="Y198" s="458">
        <v>5.5279999999999996</v>
      </c>
      <c r="Z198" s="458">
        <v>7.2649999999999997</v>
      </c>
      <c r="AA198" s="458">
        <v>9.9730000000000008</v>
      </c>
      <c r="AB198" s="458">
        <v>13.395</v>
      </c>
      <c r="AC198" s="458">
        <v>17.41</v>
      </c>
      <c r="AD198" s="458">
        <v>24.163</v>
      </c>
      <c r="AE198" s="458">
        <v>30.728999999999999</v>
      </c>
      <c r="AF198" s="458">
        <v>40.380000000000003</v>
      </c>
      <c r="AG198" s="458">
        <v>56.658000000000001</v>
      </c>
      <c r="AH198" s="458">
        <v>76.099000000000004</v>
      </c>
      <c r="AI198" s="378">
        <v>100</v>
      </c>
      <c r="AJ198" s="2"/>
    </row>
    <row r="199" spans="1:47" ht="15.75" customHeight="1">
      <c r="A199" s="228">
        <v>35</v>
      </c>
      <c r="B199" s="75">
        <v>3</v>
      </c>
      <c r="C199" s="2">
        <v>1.0999999999999999E-2</v>
      </c>
      <c r="D199" s="2">
        <v>1.4E-2</v>
      </c>
      <c r="E199" s="2">
        <v>1.7999999999999999E-2</v>
      </c>
      <c r="F199" s="2">
        <v>2.4E-2</v>
      </c>
      <c r="G199" s="2">
        <v>3.3000000000000002E-2</v>
      </c>
      <c r="H199" s="2">
        <v>4.2000000000000003E-2</v>
      </c>
      <c r="I199" s="2">
        <v>0.06</v>
      </c>
      <c r="J199" s="2">
        <v>7.5999999999999998E-2</v>
      </c>
      <c r="K199" s="2">
        <v>9.9000000000000005E-2</v>
      </c>
      <c r="L199" s="2">
        <v>0.129</v>
      </c>
      <c r="M199" s="2">
        <v>0.17699999999999999</v>
      </c>
      <c r="N199" s="2">
        <v>0.23799999999999999</v>
      </c>
      <c r="O199" s="2">
        <v>0.32600000000000001</v>
      </c>
      <c r="P199" s="2">
        <v>0.40600000000000003</v>
      </c>
      <c r="Q199" s="2">
        <v>0.56999999999999995</v>
      </c>
      <c r="R199" s="2">
        <v>0.74</v>
      </c>
      <c r="S199" s="458">
        <v>1.0169999999999999</v>
      </c>
      <c r="T199" s="456">
        <v>1.35</v>
      </c>
      <c r="U199" s="458">
        <v>1.794</v>
      </c>
      <c r="V199" s="458">
        <v>2.3319999999999999</v>
      </c>
      <c r="W199" s="458">
        <v>3.2719999999999998</v>
      </c>
      <c r="X199" s="458">
        <v>4.1609999999999996</v>
      </c>
      <c r="Y199" s="458">
        <v>5.5279999999999996</v>
      </c>
      <c r="Z199" s="458">
        <v>7.2649999999999997</v>
      </c>
      <c r="AA199" s="458">
        <v>9.9730000000000008</v>
      </c>
      <c r="AB199" s="458">
        <v>13.395</v>
      </c>
      <c r="AC199" s="458">
        <v>17.41</v>
      </c>
      <c r="AD199" s="458">
        <v>24.163</v>
      </c>
      <c r="AE199" s="458">
        <v>30.728999999999999</v>
      </c>
      <c r="AF199" s="458">
        <v>40.380000000000003</v>
      </c>
      <c r="AG199" s="458">
        <v>56.658000000000001</v>
      </c>
      <c r="AH199" s="458">
        <v>76.099000000000004</v>
      </c>
      <c r="AI199" s="378">
        <v>100</v>
      </c>
      <c r="AJ199" s="2"/>
    </row>
    <row r="200" spans="1:47" ht="15.75" customHeight="1">
      <c r="A200" s="230">
        <v>35</v>
      </c>
      <c r="B200" s="231">
        <v>4</v>
      </c>
      <c r="C200" s="34">
        <v>1.0999999999999999E-2</v>
      </c>
      <c r="D200" s="34">
        <v>1.4E-2</v>
      </c>
      <c r="E200" s="34">
        <v>1.7999999999999999E-2</v>
      </c>
      <c r="F200" s="34">
        <v>2.4E-2</v>
      </c>
      <c r="G200" s="34">
        <v>3.3000000000000002E-2</v>
      </c>
      <c r="H200" s="34">
        <v>4.2000000000000003E-2</v>
      </c>
      <c r="I200" s="34">
        <v>0.06</v>
      </c>
      <c r="J200" s="34">
        <v>7.5999999999999998E-2</v>
      </c>
      <c r="K200" s="34">
        <v>9.9000000000000005E-2</v>
      </c>
      <c r="L200" s="34">
        <v>0.129</v>
      </c>
      <c r="M200" s="34">
        <v>0.17699999999999999</v>
      </c>
      <c r="N200" s="34">
        <v>0.23799999999999999</v>
      </c>
      <c r="O200" s="34">
        <v>0.32600000000000001</v>
      </c>
      <c r="P200" s="34">
        <v>0.40600000000000003</v>
      </c>
      <c r="Q200" s="34">
        <v>0.56999999999999995</v>
      </c>
      <c r="R200" s="34">
        <v>0.74</v>
      </c>
      <c r="S200" s="119">
        <v>1.0169999999999999</v>
      </c>
      <c r="T200" s="34">
        <v>1.35</v>
      </c>
      <c r="U200" s="119">
        <v>1.794</v>
      </c>
      <c r="V200" s="119">
        <v>2.3319999999999999</v>
      </c>
      <c r="W200" s="119">
        <v>3.2719999999999998</v>
      </c>
      <c r="X200" s="119">
        <v>4.1609999999999996</v>
      </c>
      <c r="Y200" s="119">
        <v>5.5279999999999996</v>
      </c>
      <c r="Z200" s="119">
        <v>7.2649999999999997</v>
      </c>
      <c r="AA200" s="119">
        <v>9.9730000000000008</v>
      </c>
      <c r="AB200" s="119">
        <v>13.395</v>
      </c>
      <c r="AC200" s="119">
        <v>17.41</v>
      </c>
      <c r="AD200" s="119">
        <v>24.163</v>
      </c>
      <c r="AE200" s="119">
        <v>30.728999999999999</v>
      </c>
      <c r="AF200" s="119">
        <v>40.380000000000003</v>
      </c>
      <c r="AG200" s="119">
        <v>56.658000000000001</v>
      </c>
      <c r="AH200" s="119">
        <v>76.099000000000004</v>
      </c>
      <c r="AI200" s="379">
        <v>100</v>
      </c>
      <c r="AJ200" s="2"/>
    </row>
    <row r="201" spans="1:47" ht="15.75" customHeight="1">
      <c r="A201" s="233">
        <v>36</v>
      </c>
      <c r="B201" s="75">
        <v>1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456"/>
      <c r="T201" s="456"/>
      <c r="U201" s="456"/>
      <c r="V201" s="456"/>
      <c r="W201" s="456"/>
      <c r="X201" s="456"/>
      <c r="Y201" s="456"/>
      <c r="Z201" s="456"/>
      <c r="AA201" s="456"/>
      <c r="AB201" s="456"/>
      <c r="AC201" s="456"/>
      <c r="AD201" s="456"/>
      <c r="AE201" s="456"/>
      <c r="AF201" s="456"/>
      <c r="AG201" s="456"/>
      <c r="AH201" s="456"/>
      <c r="AI201" s="456"/>
    </row>
    <row r="202" spans="1:47" ht="15.75" customHeight="1">
      <c r="A202" s="233">
        <v>36</v>
      </c>
      <c r="B202" s="75">
        <v>2</v>
      </c>
    </row>
    <row r="203" spans="1:47" ht="15.75" customHeight="1">
      <c r="A203" s="233">
        <v>36</v>
      </c>
      <c r="B203" s="75">
        <v>3</v>
      </c>
    </row>
    <row r="204" spans="1:47" ht="15.75" customHeight="1">
      <c r="A204" s="241">
        <v>36</v>
      </c>
      <c r="B204" s="75">
        <v>4</v>
      </c>
    </row>
    <row r="205" spans="1:47" ht="15.75" customHeight="1">
      <c r="A205" s="233">
        <v>37</v>
      </c>
      <c r="B205" s="200">
        <v>1</v>
      </c>
    </row>
    <row r="206" spans="1:47" ht="15.75" customHeight="1">
      <c r="A206" s="233">
        <v>37</v>
      </c>
      <c r="B206" s="201">
        <v>2</v>
      </c>
    </row>
    <row r="207" spans="1:47" ht="15.75" customHeight="1">
      <c r="A207" s="233">
        <v>37</v>
      </c>
      <c r="B207" s="201">
        <v>3</v>
      </c>
    </row>
    <row r="208" spans="1:47" ht="15.75" customHeight="1">
      <c r="A208" s="233">
        <v>37</v>
      </c>
      <c r="B208" s="201">
        <v>4</v>
      </c>
    </row>
    <row r="209" spans="1:47" ht="15.75" customHeight="1">
      <c r="A209" s="233">
        <v>37</v>
      </c>
      <c r="B209" s="201">
        <v>5</v>
      </c>
    </row>
    <row r="210" spans="1:47" ht="15.75" customHeight="1">
      <c r="A210" s="233">
        <v>37</v>
      </c>
      <c r="B210" s="201">
        <v>6</v>
      </c>
    </row>
    <row r="211" spans="1:47" ht="15.75" customHeight="1">
      <c r="A211" s="233">
        <v>37</v>
      </c>
      <c r="B211" s="201">
        <v>7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47" ht="15.75" customHeight="1">
      <c r="A212" s="229">
        <v>38</v>
      </c>
      <c r="B212" s="74">
        <v>1</v>
      </c>
      <c r="C212" s="234">
        <f>6.283185*Angular_frequency!C212</f>
        <v>0.62203531499999998</v>
      </c>
      <c r="D212" s="234">
        <f>6.283185*Angular_frequency!D212</f>
        <v>0.78539812499999995</v>
      </c>
      <c r="E212" s="234">
        <f>6.283185*Angular_frequency!E212</f>
        <v>0.98017685999999993</v>
      </c>
      <c r="F212" s="234">
        <f>6.283185*Angular_frequency!F212</f>
        <v>1.2377874449999999</v>
      </c>
      <c r="G212" s="234">
        <f>6.283185*Angular_frequency!G212</f>
        <v>1.6084953599999998</v>
      </c>
      <c r="H212" s="234">
        <f>6.283185*Angular_frequency!H212</f>
        <v>1.9792032749999999</v>
      </c>
      <c r="I212" s="234">
        <f>6.283185*Angular_frequency!I212</f>
        <v>2.506990815</v>
      </c>
      <c r="J212" s="234">
        <f>6.283185*Angular_frequency!J212</f>
        <v>3.1415924999999998</v>
      </c>
      <c r="K212" s="234">
        <f>6.283185*Angular_frequency!K212</f>
        <v>3.9081410699999997</v>
      </c>
      <c r="L212" s="234">
        <f>6.283185*Angular_frequency!L212</f>
        <v>4.9888488899999999</v>
      </c>
      <c r="M212" s="234">
        <f>6.283185*Angular_frequency!M212</f>
        <v>6.3146009249999988</v>
      </c>
      <c r="N212" s="234">
        <f>6.283185*Angular_frequency!N212</f>
        <v>7.9859281349999991</v>
      </c>
      <c r="O212" s="234">
        <f>6.283185*Angular_frequency!O212</f>
        <v>10.203892440000001</v>
      </c>
      <c r="P212" s="234">
        <f>6.283185*Angular_frequency!P212</f>
        <v>12.553803629999999</v>
      </c>
      <c r="Q212" s="234">
        <f>6.283185*Angular_frequency!Q212</f>
        <v>15.739378424999998</v>
      </c>
      <c r="R212" s="234">
        <f>6.283185*Angular_frequency!R212</f>
        <v>20.294687549999999</v>
      </c>
      <c r="S212" s="234">
        <f>6.283185*Angular_frequency!S212</f>
        <v>25.201855034999998</v>
      </c>
      <c r="T212" s="234">
        <f>6.283185*Angular_frequency!T212</f>
        <v>31.591854179999995</v>
      </c>
      <c r="U212" s="234">
        <f>6.283185*Angular_frequency!U212</f>
        <v>40.356897255</v>
      </c>
      <c r="V212" s="234">
        <f>6.283185*Angular_frequency!V212</f>
        <v>51.559816109999993</v>
      </c>
      <c r="W212" s="235">
        <f>6.283185*Angular_frequency!W212</f>
        <v>64.025655149999992</v>
      </c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2"/>
      <c r="AU212" s="2"/>
    </row>
    <row r="213" spans="1:47" ht="15.75" customHeight="1">
      <c r="A213" s="228">
        <v>38</v>
      </c>
      <c r="B213" s="75">
        <v>2</v>
      </c>
      <c r="C213" s="2">
        <f>6.283185*Angular_frequency!C213</f>
        <v>0.62203531499999998</v>
      </c>
      <c r="D213" s="2">
        <f>6.283185*Angular_frequency!D213</f>
        <v>0.78539812499999995</v>
      </c>
      <c r="E213" s="2">
        <f>6.283185*Angular_frequency!E213</f>
        <v>0.98017685999999993</v>
      </c>
      <c r="F213" s="2">
        <f>6.283185*Angular_frequency!F213</f>
        <v>1.2377874449999999</v>
      </c>
      <c r="G213" s="2">
        <f>6.283185*Angular_frequency!G213</f>
        <v>1.6084953599999998</v>
      </c>
      <c r="H213" s="2">
        <f>6.283185*Angular_frequency!H213</f>
        <v>1.9792032749999999</v>
      </c>
      <c r="I213" s="2">
        <f>6.283185*Angular_frequency!I213</f>
        <v>2.506990815</v>
      </c>
      <c r="J213" s="2">
        <f>6.283185*Angular_frequency!J213</f>
        <v>3.1415924999999998</v>
      </c>
      <c r="K213" s="2">
        <f>6.283185*Angular_frequency!K213</f>
        <v>3.9081410699999997</v>
      </c>
      <c r="L213" s="2">
        <f>6.283185*Angular_frequency!L213</f>
        <v>4.9888488899999999</v>
      </c>
      <c r="M213" s="2">
        <f>6.283185*Angular_frequency!M213</f>
        <v>6.3146009249999988</v>
      </c>
      <c r="N213" s="2">
        <f>6.283185*Angular_frequency!N213</f>
        <v>7.9859281349999991</v>
      </c>
      <c r="O213" s="2">
        <f>6.283185*Angular_frequency!O213</f>
        <v>10.203892440000001</v>
      </c>
      <c r="P213" s="2">
        <f>6.283185*Angular_frequency!P213</f>
        <v>12.553803629999999</v>
      </c>
      <c r="Q213" s="2">
        <f>6.283185*Angular_frequency!Q213</f>
        <v>15.739378424999998</v>
      </c>
      <c r="R213" s="2">
        <f>6.283185*Angular_frequency!R213</f>
        <v>20.294687549999999</v>
      </c>
      <c r="S213" s="2">
        <f>6.283185*Angular_frequency!S213</f>
        <v>25.201855034999998</v>
      </c>
      <c r="T213" s="2">
        <f>6.283185*Angular_frequency!T213</f>
        <v>31.591854179999995</v>
      </c>
      <c r="U213" s="2">
        <f>6.283185*Angular_frequency!U213</f>
        <v>40.356897255</v>
      </c>
      <c r="V213" s="2">
        <f>6.283185*Angular_frequency!V213</f>
        <v>51.559816109999993</v>
      </c>
      <c r="W213" s="236">
        <f>6.283185*Angular_frequency!W213</f>
        <v>64.025655149999992</v>
      </c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2"/>
      <c r="AU213" s="2"/>
    </row>
    <row r="214" spans="1:47" ht="15.75" customHeight="1">
      <c r="A214" s="228">
        <v>38</v>
      </c>
      <c r="B214" s="75">
        <v>3</v>
      </c>
      <c r="C214" s="2">
        <f>6.283185*Angular_frequency!C214</f>
        <v>0.62203531499999998</v>
      </c>
      <c r="D214" s="2">
        <f>6.283185*Angular_frequency!D214</f>
        <v>0.78539812499999995</v>
      </c>
      <c r="E214" s="2">
        <f>6.283185*Angular_frequency!E214</f>
        <v>0.98017685999999993</v>
      </c>
      <c r="F214" s="2">
        <f>6.283185*Angular_frequency!F214</f>
        <v>1.2377874449999999</v>
      </c>
      <c r="G214" s="2">
        <f>6.283185*Angular_frequency!G214</f>
        <v>1.6084953599999998</v>
      </c>
      <c r="H214" s="2">
        <f>6.283185*Angular_frequency!H214</f>
        <v>1.9792032749999999</v>
      </c>
      <c r="I214" s="2">
        <f>6.283185*Angular_frequency!I214</f>
        <v>2.506990815</v>
      </c>
      <c r="J214" s="2">
        <f>6.283185*Angular_frequency!J214</f>
        <v>3.1415924999999998</v>
      </c>
      <c r="K214" s="2">
        <f>6.283185*Angular_frequency!K214</f>
        <v>3.9081410699999997</v>
      </c>
      <c r="L214" s="2">
        <f>6.283185*Angular_frequency!L214</f>
        <v>4.9888488899999999</v>
      </c>
      <c r="M214" s="2">
        <f>6.283185*Angular_frequency!M214</f>
        <v>6.3146009249999988</v>
      </c>
      <c r="N214" s="2">
        <f>6.283185*Angular_frequency!N214</f>
        <v>7.9859281349999991</v>
      </c>
      <c r="O214" s="2">
        <f>6.283185*Angular_frequency!O214</f>
        <v>10.203892440000001</v>
      </c>
      <c r="P214" s="2">
        <f>6.283185*Angular_frequency!P214</f>
        <v>12.553803629999999</v>
      </c>
      <c r="Q214" s="2">
        <f>6.283185*Angular_frequency!Q214</f>
        <v>15.739378424999998</v>
      </c>
      <c r="R214" s="2">
        <f>6.283185*Angular_frequency!R214</f>
        <v>20.294687549999999</v>
      </c>
      <c r="S214" s="2">
        <f>6.283185*Angular_frequency!S214</f>
        <v>25.201855034999998</v>
      </c>
      <c r="T214" s="2">
        <f>6.283185*Angular_frequency!T214</f>
        <v>31.591854179999995</v>
      </c>
      <c r="U214" s="2">
        <f>6.283185*Angular_frequency!U214</f>
        <v>40.356897255</v>
      </c>
      <c r="V214" s="2">
        <f>6.283185*Angular_frequency!V214</f>
        <v>51.559816109999993</v>
      </c>
      <c r="W214" s="236">
        <f>6.283185*Angular_frequency!W214</f>
        <v>64.025655149999992</v>
      </c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2"/>
      <c r="AU214" s="2"/>
    </row>
    <row r="215" spans="1:47" ht="15.75" customHeight="1">
      <c r="A215" s="228">
        <v>38</v>
      </c>
      <c r="B215" s="75">
        <v>4</v>
      </c>
      <c r="C215" s="2">
        <f>6.283185*Angular_frequency!C215</f>
        <v>0.62203531499999998</v>
      </c>
      <c r="D215" s="2">
        <f>6.283185*Angular_frequency!D215</f>
        <v>0.78539812499999995</v>
      </c>
      <c r="E215" s="2">
        <f>6.283185*Angular_frequency!E215</f>
        <v>0.98017685999999993</v>
      </c>
      <c r="F215" s="2">
        <f>6.283185*Angular_frequency!F215</f>
        <v>1.2377874449999999</v>
      </c>
      <c r="G215" s="2">
        <f>6.283185*Angular_frequency!G215</f>
        <v>1.6084953599999998</v>
      </c>
      <c r="H215" s="2">
        <f>6.283185*Angular_frequency!H215</f>
        <v>1.9792032749999999</v>
      </c>
      <c r="I215" s="2">
        <f>6.283185*Angular_frequency!I215</f>
        <v>2.506990815</v>
      </c>
      <c r="J215" s="2">
        <f>6.283185*Angular_frequency!J215</f>
        <v>3.1415924999999998</v>
      </c>
      <c r="K215" s="2">
        <f>6.283185*Angular_frequency!K215</f>
        <v>3.9081410699999997</v>
      </c>
      <c r="L215" s="2">
        <f>6.283185*Angular_frequency!L215</f>
        <v>4.9888488899999999</v>
      </c>
      <c r="M215" s="2">
        <f>6.283185*Angular_frequency!M215</f>
        <v>6.3146009249999988</v>
      </c>
      <c r="N215" s="2">
        <f>6.283185*Angular_frequency!N215</f>
        <v>7.9859281349999991</v>
      </c>
      <c r="O215" s="2">
        <f>6.283185*Angular_frequency!O215</f>
        <v>10.203892440000001</v>
      </c>
      <c r="P215" s="2">
        <f>6.283185*Angular_frequency!P215</f>
        <v>12.553803629999999</v>
      </c>
      <c r="Q215" s="2">
        <f>6.283185*Angular_frequency!Q215</f>
        <v>15.739378424999998</v>
      </c>
      <c r="R215" s="2">
        <f>6.283185*Angular_frequency!R215</f>
        <v>20.294687549999999</v>
      </c>
      <c r="S215" s="2">
        <f>6.283185*Angular_frequency!S215</f>
        <v>25.201855034999998</v>
      </c>
      <c r="T215" s="2">
        <f>6.283185*Angular_frequency!T215</f>
        <v>31.591854179999995</v>
      </c>
      <c r="U215" s="2">
        <f>6.283185*Angular_frequency!U215</f>
        <v>40.356897255</v>
      </c>
      <c r="V215" s="2">
        <f>6.283185*Angular_frequency!V215</f>
        <v>51.559816109999993</v>
      </c>
      <c r="W215" s="236">
        <f>6.283185*Angular_frequency!W215</f>
        <v>64.025655149999992</v>
      </c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2"/>
      <c r="AU215" s="2"/>
    </row>
    <row r="216" spans="1:47" ht="15.75" customHeight="1">
      <c r="A216" s="228">
        <v>38</v>
      </c>
      <c r="B216" s="75">
        <v>5</v>
      </c>
      <c r="C216" s="2">
        <f>6.283185*Angular_frequency!C216</f>
        <v>0.62203531499999998</v>
      </c>
      <c r="D216" s="2">
        <f>6.283185*Angular_frequency!D216</f>
        <v>0.78539812499999995</v>
      </c>
      <c r="E216" s="2">
        <f>6.283185*Angular_frequency!E216</f>
        <v>0.98017685999999993</v>
      </c>
      <c r="F216" s="2">
        <f>6.283185*Angular_frequency!F216</f>
        <v>1.2377874449999999</v>
      </c>
      <c r="G216" s="2">
        <f>6.283185*Angular_frequency!G216</f>
        <v>1.6084953599999998</v>
      </c>
      <c r="H216" s="2">
        <f>6.283185*Angular_frequency!H216</f>
        <v>1.9792032749999999</v>
      </c>
      <c r="I216" s="2">
        <f>6.283185*Angular_frequency!I216</f>
        <v>2.506990815</v>
      </c>
      <c r="J216" s="2">
        <f>6.283185*Angular_frequency!J216</f>
        <v>3.1415924999999998</v>
      </c>
      <c r="K216" s="2">
        <f>6.283185*Angular_frequency!K216</f>
        <v>3.9081410699999997</v>
      </c>
      <c r="L216" s="2">
        <f>6.283185*Angular_frequency!L216</f>
        <v>4.9888488899999999</v>
      </c>
      <c r="M216" s="2">
        <f>6.283185*Angular_frequency!M216</f>
        <v>6.3146009249999988</v>
      </c>
      <c r="N216" s="2">
        <f>6.283185*Angular_frequency!N216</f>
        <v>7.9859281349999991</v>
      </c>
      <c r="O216" s="2">
        <f>6.283185*Angular_frequency!O216</f>
        <v>10.203892440000001</v>
      </c>
      <c r="P216" s="2">
        <f>6.283185*Angular_frequency!P216</f>
        <v>12.553803629999999</v>
      </c>
      <c r="Q216" s="2">
        <f>6.283185*Angular_frequency!Q216</f>
        <v>15.739378424999998</v>
      </c>
      <c r="R216" s="2">
        <f>6.283185*Angular_frequency!R216</f>
        <v>20.294687549999999</v>
      </c>
      <c r="S216" s="2">
        <f>6.283185*Angular_frequency!S216</f>
        <v>25.201855034999998</v>
      </c>
      <c r="T216" s="2">
        <f>6.283185*Angular_frequency!T216</f>
        <v>31.591854179999995</v>
      </c>
      <c r="U216" s="2">
        <f>6.283185*Angular_frequency!U216</f>
        <v>40.356897255</v>
      </c>
      <c r="V216" s="2">
        <f>6.283185*Angular_frequency!V216</f>
        <v>51.559816109999993</v>
      </c>
      <c r="W216" s="236">
        <f>6.283185*Angular_frequency!W216</f>
        <v>64.025655149999992</v>
      </c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2"/>
      <c r="AU216" s="2"/>
    </row>
    <row r="217" spans="1:47" ht="15.75" customHeight="1">
      <c r="A217" s="230">
        <v>38</v>
      </c>
      <c r="B217" s="231">
        <v>6</v>
      </c>
      <c r="C217" s="34">
        <f>6.283185*Angular_frequency!C217</f>
        <v>0.62203531499999998</v>
      </c>
      <c r="D217" s="34">
        <f>6.283185*Angular_frequency!D217</f>
        <v>0.78539812499999995</v>
      </c>
      <c r="E217" s="34">
        <f>6.283185*Angular_frequency!E217</f>
        <v>0.98017685999999993</v>
      </c>
      <c r="F217" s="34">
        <f>6.283185*Angular_frequency!F217</f>
        <v>1.2377874449999999</v>
      </c>
      <c r="G217" s="34">
        <f>6.283185*Angular_frequency!G217</f>
        <v>1.6084953599999998</v>
      </c>
      <c r="H217" s="34">
        <f>6.283185*Angular_frequency!H217</f>
        <v>1.9792032749999999</v>
      </c>
      <c r="I217" s="34">
        <f>6.283185*Angular_frequency!I217</f>
        <v>2.506990815</v>
      </c>
      <c r="J217" s="34">
        <f>6.283185*Angular_frequency!J217</f>
        <v>3.1415924999999998</v>
      </c>
      <c r="K217" s="34">
        <f>6.283185*Angular_frequency!K217</f>
        <v>3.9081410699999997</v>
      </c>
      <c r="L217" s="34">
        <f>6.283185*Angular_frequency!L217</f>
        <v>4.9888488899999999</v>
      </c>
      <c r="M217" s="34">
        <f>6.283185*Angular_frequency!M217</f>
        <v>6.3146009249999988</v>
      </c>
      <c r="N217" s="34">
        <f>6.283185*Angular_frequency!N217</f>
        <v>7.9859281349999991</v>
      </c>
      <c r="O217" s="34">
        <f>6.283185*Angular_frequency!O217</f>
        <v>10.203892440000001</v>
      </c>
      <c r="P217" s="34">
        <f>6.283185*Angular_frequency!P217</f>
        <v>12.553803629999999</v>
      </c>
      <c r="Q217" s="34">
        <f>6.283185*Angular_frequency!Q217</f>
        <v>15.739378424999998</v>
      </c>
      <c r="R217" s="34">
        <f>6.283185*Angular_frequency!R217</f>
        <v>20.294687549999999</v>
      </c>
      <c r="S217" s="34">
        <f>6.283185*Angular_frequency!S217</f>
        <v>25.201855034999998</v>
      </c>
      <c r="T217" s="34">
        <f>6.283185*Angular_frequency!T217</f>
        <v>31.591854179999995</v>
      </c>
      <c r="U217" s="34">
        <f>6.283185*Angular_frequency!U217</f>
        <v>40.356897255</v>
      </c>
      <c r="V217" s="34">
        <f>6.283185*Angular_frequency!V217</f>
        <v>51.559816109999993</v>
      </c>
      <c r="W217" s="237">
        <f>6.283185*Angular_frequency!W217</f>
        <v>64.025655149999992</v>
      </c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2"/>
      <c r="AU217" s="2"/>
    </row>
    <row r="218" spans="1:47" ht="15.75" customHeight="1">
      <c r="A218" s="229">
        <v>39</v>
      </c>
      <c r="B218" s="74">
        <v>1</v>
      </c>
      <c r="C218" s="141">
        <v>0.104</v>
      </c>
      <c r="D218" s="224">
        <v>0.161</v>
      </c>
      <c r="E218" s="224">
        <v>0.29099999999999998</v>
      </c>
      <c r="F218" s="224">
        <v>0.57699999999999996</v>
      </c>
      <c r="G218" s="224">
        <v>1.458</v>
      </c>
      <c r="H218" s="224">
        <v>3.5739999999999998</v>
      </c>
      <c r="I218" s="224">
        <v>7.8310000000000004</v>
      </c>
      <c r="J218" s="224">
        <v>17.513000000000002</v>
      </c>
      <c r="K218" s="224">
        <v>35.734999999999999</v>
      </c>
      <c r="L218" s="224">
        <v>84.957999999999998</v>
      </c>
      <c r="M218" s="24">
        <v>206.13900000000001</v>
      </c>
      <c r="N218" s="302">
        <v>339.60500000000002</v>
      </c>
      <c r="O218" s="2"/>
      <c r="P218" s="2"/>
      <c r="Q218" s="2"/>
      <c r="R218" s="2"/>
      <c r="S218" s="2"/>
      <c r="T218" s="2"/>
      <c r="U218" s="2"/>
      <c r="V218" s="2"/>
      <c r="W218" s="2"/>
    </row>
    <row r="219" spans="1:47" ht="15.75" customHeight="1">
      <c r="A219" s="228">
        <v>39</v>
      </c>
      <c r="B219" s="75">
        <v>2</v>
      </c>
      <c r="C219" s="142">
        <v>0.104</v>
      </c>
      <c r="D219" s="24">
        <v>0.161</v>
      </c>
      <c r="E219" s="24">
        <v>0.29099999999999998</v>
      </c>
      <c r="F219" s="24">
        <v>0.57699999999999996</v>
      </c>
      <c r="G219" s="24">
        <v>1.458</v>
      </c>
      <c r="H219" s="24">
        <v>3.5739999999999998</v>
      </c>
      <c r="I219" s="24">
        <v>7.8310000000000004</v>
      </c>
      <c r="J219" s="24">
        <v>17.513000000000002</v>
      </c>
      <c r="K219" s="24">
        <v>35.734999999999999</v>
      </c>
      <c r="L219" s="24">
        <v>84.957999999999998</v>
      </c>
      <c r="M219" s="24">
        <v>206.13900000000001</v>
      </c>
      <c r="N219" s="302">
        <v>339.60500000000002</v>
      </c>
      <c r="O219" s="2"/>
    </row>
    <row r="220" spans="1:47" ht="15.75" customHeight="1">
      <c r="A220" s="228">
        <v>39</v>
      </c>
      <c r="B220" s="75">
        <v>3</v>
      </c>
      <c r="C220" s="142">
        <v>0.104</v>
      </c>
      <c r="D220" s="24">
        <v>0.161</v>
      </c>
      <c r="E220" s="24">
        <v>0.29099999999999998</v>
      </c>
      <c r="F220" s="24">
        <v>0.57699999999999996</v>
      </c>
      <c r="G220" s="24">
        <v>1.458</v>
      </c>
      <c r="H220" s="24">
        <v>3.5739999999999998</v>
      </c>
      <c r="I220" s="24">
        <v>7.8310000000000004</v>
      </c>
      <c r="J220" s="24">
        <v>17.513000000000002</v>
      </c>
      <c r="K220" s="24">
        <v>35.734999999999999</v>
      </c>
      <c r="L220" s="24">
        <v>84.957999999999998</v>
      </c>
      <c r="M220" s="24">
        <v>206.13900000000001</v>
      </c>
      <c r="N220" s="302">
        <v>339.60500000000002</v>
      </c>
      <c r="O220" s="2"/>
    </row>
    <row r="221" spans="1:47" ht="15.75" customHeight="1">
      <c r="A221" s="228">
        <v>39</v>
      </c>
      <c r="B221" s="75">
        <v>4</v>
      </c>
      <c r="C221" s="142">
        <v>0.104</v>
      </c>
      <c r="D221" s="24">
        <v>0.161</v>
      </c>
      <c r="E221" s="24">
        <v>0.29099999999999998</v>
      </c>
      <c r="F221" s="24">
        <v>0.57699999999999996</v>
      </c>
      <c r="G221" s="24">
        <v>1.458</v>
      </c>
      <c r="H221" s="24">
        <v>3.5739999999999998</v>
      </c>
      <c r="I221" s="24">
        <v>7.8310000000000004</v>
      </c>
      <c r="J221" s="24">
        <v>17.513000000000002</v>
      </c>
      <c r="K221" s="24">
        <v>35.734999999999999</v>
      </c>
      <c r="L221" s="24">
        <v>84.957999999999998</v>
      </c>
      <c r="M221" s="24">
        <v>206.13900000000001</v>
      </c>
      <c r="N221" s="302">
        <v>339.60500000000002</v>
      </c>
      <c r="O221" s="2"/>
    </row>
    <row r="222" spans="1:47" ht="15.75" customHeight="1">
      <c r="A222" s="228">
        <v>39</v>
      </c>
      <c r="B222" s="75">
        <v>5</v>
      </c>
      <c r="C222" s="142">
        <v>9.5000000000000001E-2</v>
      </c>
      <c r="D222" s="24">
        <v>0.152</v>
      </c>
      <c r="E222" s="24">
        <v>0.41199999999999998</v>
      </c>
      <c r="F222" s="24">
        <v>1.839</v>
      </c>
      <c r="G222" s="24">
        <v>7.8079999999999998</v>
      </c>
      <c r="H222" s="24">
        <v>39.484000000000002</v>
      </c>
      <c r="I222" s="24">
        <v>134.12299999999999</v>
      </c>
      <c r="J222" s="24">
        <v>353.99599999999998</v>
      </c>
      <c r="K222" s="24"/>
      <c r="L222" s="24"/>
      <c r="M222" s="24"/>
      <c r="N222" s="302"/>
      <c r="O222" s="2"/>
    </row>
    <row r="223" spans="1:47" ht="15.75" customHeight="1">
      <c r="A223" s="228">
        <v>39</v>
      </c>
      <c r="B223" s="75">
        <v>6</v>
      </c>
      <c r="C223" s="142">
        <v>9.5000000000000001E-2</v>
      </c>
      <c r="D223" s="24">
        <v>0.152</v>
      </c>
      <c r="E223" s="24">
        <v>0.41199999999999998</v>
      </c>
      <c r="F223" s="24">
        <v>1.839</v>
      </c>
      <c r="G223" s="24">
        <v>7.8079999999999998</v>
      </c>
      <c r="H223" s="24">
        <v>39.484000000000002</v>
      </c>
      <c r="I223" s="24">
        <v>134.12299999999999</v>
      </c>
      <c r="J223" s="24">
        <v>353.99599999999998</v>
      </c>
      <c r="K223" s="24"/>
      <c r="L223" s="24"/>
      <c r="M223" s="24"/>
      <c r="N223" s="302"/>
      <c r="O223" s="2"/>
    </row>
    <row r="224" spans="1:47" ht="15.75" customHeight="1">
      <c r="A224" s="228">
        <v>39</v>
      </c>
      <c r="B224" s="75">
        <v>7</v>
      </c>
      <c r="C224" s="142">
        <v>9.5000000000000001E-2</v>
      </c>
      <c r="D224" s="24">
        <v>0.152</v>
      </c>
      <c r="E224" s="24">
        <v>0.41199999999999998</v>
      </c>
      <c r="F224" s="24">
        <v>1.839</v>
      </c>
      <c r="G224" s="24">
        <v>7.8079999999999998</v>
      </c>
      <c r="H224" s="24">
        <v>39.484000000000002</v>
      </c>
      <c r="I224" s="24">
        <v>134.12299999999999</v>
      </c>
      <c r="J224" s="24">
        <v>353.99599999999998</v>
      </c>
      <c r="K224" s="24"/>
      <c r="L224" s="24"/>
      <c r="M224" s="24"/>
      <c r="N224" s="302"/>
      <c r="O224" s="2"/>
    </row>
    <row r="225" spans="1:47" ht="15.75" customHeight="1">
      <c r="A225" s="230">
        <v>39</v>
      </c>
      <c r="B225" s="231">
        <v>8</v>
      </c>
      <c r="C225" s="143">
        <v>9.5000000000000001E-2</v>
      </c>
      <c r="D225" s="31">
        <v>0.152</v>
      </c>
      <c r="E225" s="31">
        <v>0.41199999999999998</v>
      </c>
      <c r="F225" s="31">
        <v>1.839</v>
      </c>
      <c r="G225" s="31">
        <v>7.8079999999999998</v>
      </c>
      <c r="H225" s="31">
        <v>39.484000000000002</v>
      </c>
      <c r="I225" s="31">
        <v>134.12299999999999</v>
      </c>
      <c r="J225" s="31">
        <v>353.99599999999998</v>
      </c>
      <c r="K225" s="31"/>
      <c r="L225" s="31"/>
      <c r="M225" s="31"/>
      <c r="N225" s="305"/>
      <c r="O225" s="2"/>
    </row>
    <row r="226" spans="1:47" ht="15.75" customHeight="1">
      <c r="A226" s="228">
        <v>40</v>
      </c>
      <c r="B226" s="75">
        <v>1</v>
      </c>
      <c r="C226" s="2"/>
      <c r="D226" s="116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47" ht="15.75" customHeight="1">
      <c r="A227" s="228">
        <v>40</v>
      </c>
      <c r="B227" s="75">
        <v>2</v>
      </c>
    </row>
    <row r="228" spans="1:47" ht="15.75" customHeight="1">
      <c r="A228" s="228">
        <v>40</v>
      </c>
      <c r="B228" s="75">
        <v>3</v>
      </c>
    </row>
    <row r="229" spans="1:47" ht="15.75" customHeight="1">
      <c r="A229" s="228">
        <v>40</v>
      </c>
      <c r="B229" s="75">
        <v>4</v>
      </c>
    </row>
    <row r="230" spans="1:47" ht="15.75" customHeight="1">
      <c r="A230" s="228">
        <v>40</v>
      </c>
      <c r="B230" s="75">
        <v>5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47" ht="15.75" customHeight="1">
      <c r="A231" s="199">
        <v>41</v>
      </c>
      <c r="B231" s="200">
        <v>1</v>
      </c>
      <c r="C231" s="234">
        <v>0.1</v>
      </c>
      <c r="D231" s="234">
        <v>0.13800000000000001</v>
      </c>
      <c r="E231" s="234">
        <v>0.187</v>
      </c>
      <c r="F231" s="234">
        <v>0.249</v>
      </c>
      <c r="G231" s="234">
        <v>0.34399999999999997</v>
      </c>
      <c r="H231" s="234">
        <v>0.46800000000000003</v>
      </c>
      <c r="I231" s="234">
        <v>0.628</v>
      </c>
      <c r="J231" s="234">
        <v>0.86099999999999999</v>
      </c>
      <c r="K231" s="234">
        <v>1.181</v>
      </c>
      <c r="L231" s="234">
        <v>1.607</v>
      </c>
      <c r="M231" s="234">
        <v>2.1880000000000002</v>
      </c>
      <c r="N231" s="234">
        <v>2.9580000000000002</v>
      </c>
      <c r="O231" s="234">
        <v>3.944</v>
      </c>
      <c r="P231" s="234">
        <v>5.407</v>
      </c>
      <c r="Q231" s="234">
        <v>7.26</v>
      </c>
      <c r="R231" s="234">
        <v>10.023</v>
      </c>
      <c r="S231" s="234">
        <v>13.457000000000001</v>
      </c>
      <c r="T231" s="234">
        <v>18.45</v>
      </c>
      <c r="U231" s="234">
        <v>24.943000000000001</v>
      </c>
      <c r="V231" s="234">
        <v>34.198999999999998</v>
      </c>
      <c r="W231" s="234">
        <v>45.911999999999999</v>
      </c>
      <c r="X231" s="234">
        <v>62.948</v>
      </c>
      <c r="Y231" s="234">
        <v>85.103999999999999</v>
      </c>
      <c r="Z231" s="235">
        <v>100</v>
      </c>
      <c r="AA231" s="2"/>
    </row>
    <row r="232" spans="1:47" ht="15.75" customHeight="1">
      <c r="A232" s="196">
        <v>41</v>
      </c>
      <c r="B232" s="201">
        <v>2</v>
      </c>
      <c r="C232" s="2">
        <v>0.1</v>
      </c>
      <c r="D232" s="2">
        <v>0.13800000000000001</v>
      </c>
      <c r="E232" s="2">
        <v>0.187</v>
      </c>
      <c r="F232" s="2">
        <v>0.249</v>
      </c>
      <c r="G232" s="2">
        <v>0.34399999999999997</v>
      </c>
      <c r="H232" s="2">
        <v>0.46800000000000003</v>
      </c>
      <c r="I232" s="2">
        <v>0.628</v>
      </c>
      <c r="J232" s="2">
        <v>0.86099999999999999</v>
      </c>
      <c r="K232" s="2">
        <v>1.181</v>
      </c>
      <c r="L232" s="2">
        <v>1.607</v>
      </c>
      <c r="M232" s="2">
        <v>2.1880000000000002</v>
      </c>
      <c r="N232" s="2">
        <v>2.9580000000000002</v>
      </c>
      <c r="O232" s="2">
        <v>3.944</v>
      </c>
      <c r="P232" s="2">
        <v>5.407</v>
      </c>
      <c r="Q232" s="2">
        <v>7.26</v>
      </c>
      <c r="R232" s="2">
        <v>10.023</v>
      </c>
      <c r="S232" s="2">
        <v>13.457000000000001</v>
      </c>
      <c r="T232" s="2">
        <v>18.45</v>
      </c>
      <c r="U232" s="2">
        <v>24.943000000000001</v>
      </c>
      <c r="V232" s="2">
        <v>34.198999999999998</v>
      </c>
      <c r="W232" s="2">
        <v>45.911999999999999</v>
      </c>
      <c r="X232" s="2">
        <v>62.948</v>
      </c>
      <c r="Y232" s="2">
        <v>85.103999999999999</v>
      </c>
      <c r="Z232" s="236">
        <v>100</v>
      </c>
      <c r="AA232" s="2"/>
    </row>
    <row r="233" spans="1:47" ht="15.75" customHeight="1">
      <c r="A233" s="196">
        <v>41</v>
      </c>
      <c r="B233" s="201">
        <v>3</v>
      </c>
      <c r="C233" s="2">
        <v>0.1</v>
      </c>
      <c r="D233" s="2">
        <v>0.13800000000000001</v>
      </c>
      <c r="E233" s="2">
        <v>0.187</v>
      </c>
      <c r="F233" s="2">
        <v>0.249</v>
      </c>
      <c r="G233" s="2">
        <v>0.34399999999999997</v>
      </c>
      <c r="H233" s="2">
        <v>0.46800000000000003</v>
      </c>
      <c r="I233" s="2">
        <v>0.628</v>
      </c>
      <c r="J233" s="2">
        <v>0.86099999999999999</v>
      </c>
      <c r="K233" s="2">
        <v>1.181</v>
      </c>
      <c r="L233" s="2">
        <v>1.607</v>
      </c>
      <c r="M233" s="2">
        <v>2.1880000000000002</v>
      </c>
      <c r="N233" s="2">
        <v>2.9580000000000002</v>
      </c>
      <c r="O233" s="2">
        <v>3.944</v>
      </c>
      <c r="P233" s="2">
        <v>5.407</v>
      </c>
      <c r="Q233" s="2">
        <v>7.26</v>
      </c>
      <c r="R233" s="2">
        <v>10.023</v>
      </c>
      <c r="S233" s="2">
        <v>13.457000000000001</v>
      </c>
      <c r="T233" s="2">
        <v>18.45</v>
      </c>
      <c r="U233" s="2">
        <v>24.943000000000001</v>
      </c>
      <c r="V233" s="2">
        <v>34.198999999999998</v>
      </c>
      <c r="W233" s="2">
        <v>45.911999999999999</v>
      </c>
      <c r="X233" s="2">
        <v>62.948</v>
      </c>
      <c r="Y233" s="2">
        <v>85.103999999999999</v>
      </c>
      <c r="Z233" s="236">
        <v>100</v>
      </c>
      <c r="AA233" s="2"/>
    </row>
    <row r="234" spans="1:47" ht="15.75" customHeight="1">
      <c r="A234" s="196">
        <v>41</v>
      </c>
      <c r="B234" s="201">
        <v>4</v>
      </c>
      <c r="C234" s="2">
        <v>0.1</v>
      </c>
      <c r="D234" s="2">
        <v>0.13800000000000001</v>
      </c>
      <c r="E234" s="2">
        <v>0.187</v>
      </c>
      <c r="F234" s="2">
        <v>0.249</v>
      </c>
      <c r="G234" s="2">
        <v>0.34399999999999997</v>
      </c>
      <c r="H234" s="2">
        <v>0.46800000000000003</v>
      </c>
      <c r="I234" s="2">
        <v>0.628</v>
      </c>
      <c r="J234" s="2">
        <v>0.86099999999999999</v>
      </c>
      <c r="K234" s="2">
        <v>1.181</v>
      </c>
      <c r="L234" s="2">
        <v>1.607</v>
      </c>
      <c r="M234" s="2">
        <v>2.1880000000000002</v>
      </c>
      <c r="N234" s="2">
        <v>2.9580000000000002</v>
      </c>
      <c r="O234" s="2">
        <v>3.944</v>
      </c>
      <c r="P234" s="2">
        <v>5.407</v>
      </c>
      <c r="Q234" s="2">
        <v>7.26</v>
      </c>
      <c r="R234" s="2">
        <v>10.023</v>
      </c>
      <c r="S234" s="2">
        <v>13.457000000000001</v>
      </c>
      <c r="T234" s="2">
        <v>18.45</v>
      </c>
      <c r="U234" s="2">
        <v>24.943000000000001</v>
      </c>
      <c r="V234" s="2">
        <v>34.198999999999998</v>
      </c>
      <c r="W234" s="2">
        <v>45.911999999999999</v>
      </c>
      <c r="X234" s="2">
        <v>62.948</v>
      </c>
      <c r="Y234" s="2">
        <v>85.103999999999999</v>
      </c>
      <c r="Z234" s="236">
        <v>100</v>
      </c>
      <c r="AA234" s="2"/>
    </row>
    <row r="235" spans="1:47" ht="15.75" customHeight="1">
      <c r="A235" s="196">
        <v>41</v>
      </c>
      <c r="B235" s="201">
        <v>5</v>
      </c>
      <c r="C235" s="2">
        <v>0.1</v>
      </c>
      <c r="D235" s="2">
        <v>0.13800000000000001</v>
      </c>
      <c r="E235" s="2">
        <v>0.187</v>
      </c>
      <c r="F235" s="2">
        <v>0.249</v>
      </c>
      <c r="G235" s="2">
        <v>0.34399999999999997</v>
      </c>
      <c r="H235" s="2">
        <v>0.46800000000000003</v>
      </c>
      <c r="I235" s="2">
        <v>0.628</v>
      </c>
      <c r="J235" s="2">
        <v>0.86099999999999999</v>
      </c>
      <c r="K235" s="2">
        <v>1.181</v>
      </c>
      <c r="L235" s="2">
        <v>1.607</v>
      </c>
      <c r="M235" s="2">
        <v>2.1880000000000002</v>
      </c>
      <c r="N235" s="2">
        <v>2.9580000000000002</v>
      </c>
      <c r="O235" s="2">
        <v>3.944</v>
      </c>
      <c r="P235" s="2">
        <v>5.407</v>
      </c>
      <c r="Q235" s="2">
        <v>7.26</v>
      </c>
      <c r="R235" s="2">
        <v>10.023</v>
      </c>
      <c r="S235" s="2">
        <v>13.457000000000001</v>
      </c>
      <c r="T235" s="2">
        <v>18.45</v>
      </c>
      <c r="U235" s="2">
        <v>24.943000000000001</v>
      </c>
      <c r="V235" s="2">
        <v>34.198999999999998</v>
      </c>
      <c r="W235" s="2">
        <v>45.911999999999999</v>
      </c>
      <c r="X235" s="2">
        <v>62.948</v>
      </c>
      <c r="Y235" s="2">
        <v>85.103999999999999</v>
      </c>
      <c r="Z235" s="236">
        <v>100</v>
      </c>
      <c r="AA235" s="2"/>
    </row>
    <row r="236" spans="1:47" ht="15.75" customHeight="1">
      <c r="A236" s="196">
        <v>41</v>
      </c>
      <c r="B236" s="201">
        <v>6</v>
      </c>
      <c r="C236" s="2">
        <v>0.1</v>
      </c>
      <c r="D236" s="2">
        <v>0.13800000000000001</v>
      </c>
      <c r="E236" s="2">
        <v>0.187</v>
      </c>
      <c r="F236" s="2">
        <v>0.249</v>
      </c>
      <c r="G236" s="2">
        <v>0.34399999999999997</v>
      </c>
      <c r="H236" s="2">
        <v>0.46800000000000003</v>
      </c>
      <c r="I236" s="2">
        <v>0.628</v>
      </c>
      <c r="J236" s="2">
        <v>0.86099999999999999</v>
      </c>
      <c r="K236" s="2">
        <v>1.181</v>
      </c>
      <c r="L236" s="2">
        <v>1.607</v>
      </c>
      <c r="M236" s="2">
        <v>2.1880000000000002</v>
      </c>
      <c r="N236" s="2">
        <v>2.9580000000000002</v>
      </c>
      <c r="O236" s="2">
        <v>3.944</v>
      </c>
      <c r="P236" s="2">
        <v>5.407</v>
      </c>
      <c r="Q236" s="2">
        <v>7.26</v>
      </c>
      <c r="R236" s="2">
        <v>10.023</v>
      </c>
      <c r="S236" s="2">
        <v>13.457000000000001</v>
      </c>
      <c r="T236" s="2">
        <v>18.45</v>
      </c>
      <c r="U236" s="2">
        <v>24.943000000000001</v>
      </c>
      <c r="V236" s="2">
        <v>34.198999999999998</v>
      </c>
      <c r="W236" s="2">
        <v>45.911999999999999</v>
      </c>
      <c r="X236" s="34">
        <v>62.948</v>
      </c>
      <c r="Y236" s="34">
        <v>85.103999999999999</v>
      </c>
      <c r="Z236" s="237">
        <v>100</v>
      </c>
      <c r="AA236" s="2"/>
    </row>
    <row r="237" spans="1:47" ht="15.75" customHeight="1">
      <c r="A237" s="199">
        <v>42</v>
      </c>
      <c r="B237" s="200" t="s">
        <v>221</v>
      </c>
      <c r="C237" s="234">
        <f>6.283185*Angular_frequency!C237</f>
        <v>6.2831849999999995E-2</v>
      </c>
      <c r="D237" s="234">
        <f>6.283185*Angular_frequency!D237</f>
        <v>0.10053095999999999</v>
      </c>
      <c r="E237" s="234">
        <f>6.283185*Angular_frequency!E237</f>
        <v>0.157079625</v>
      </c>
      <c r="F237" s="234">
        <f>6.283185*Angular_frequency!F237</f>
        <v>0.25132739999999998</v>
      </c>
      <c r="G237" s="234">
        <f>6.283185*Angular_frequency!G237</f>
        <v>0.39584065499999999</v>
      </c>
      <c r="H237" s="234">
        <f>6.283185*Angular_frequency!H237</f>
        <v>0.6283185</v>
      </c>
      <c r="I237" s="234">
        <f>6.283185*Angular_frequency!I237</f>
        <v>0.98646004499999995</v>
      </c>
      <c r="J237" s="234">
        <f>6.283185*Angular_frequency!J237</f>
        <v>1.589645805</v>
      </c>
      <c r="K237" s="234">
        <f>6.283185*Angular_frequency!K237</f>
        <v>2.4630085199999998</v>
      </c>
      <c r="L237" s="234">
        <f>6.283185*Angular_frequency!L237</f>
        <v>3.9332738099999998</v>
      </c>
      <c r="M237" s="234">
        <f>6.283185*Angular_frequency!M237</f>
        <v>6.2266363349999994</v>
      </c>
      <c r="N237" s="234">
        <f>6.283185*Angular_frequency!N237</f>
        <v>9.9399986699999996</v>
      </c>
      <c r="O237" s="234">
        <f>6.283185*Angular_frequency!O237</f>
        <v>15.576015614999999</v>
      </c>
      <c r="P237" s="234">
        <f>6.283185*Angular_frequency!P237</f>
        <v>24.642651569999998</v>
      </c>
      <c r="Q237" s="234">
        <f>6.283185*Angular_frequency!Q237</f>
        <v>39.351587654999996</v>
      </c>
      <c r="R237" s="234">
        <f>6.283185*Angular_frequency!R237</f>
        <v>62.247513794999996</v>
      </c>
      <c r="S237" s="234">
        <f>6.283185*Angular_frequency!S237</f>
        <v>99.393703514999999</v>
      </c>
      <c r="T237" s="234">
        <f>6.283185*Angular_frequency!T237</f>
        <v>157.23670462499999</v>
      </c>
      <c r="U237" s="234">
        <f>6.283185*Angular_frequency!U237</f>
        <v>244.12686998999999</v>
      </c>
      <c r="V237" s="234">
        <f>6.283185*Angular_frequency!V237</f>
        <v>393.484460625</v>
      </c>
      <c r="W237" s="235">
        <f>6.283185*Angular_frequency!W237</f>
        <v>628.31849999999997</v>
      </c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2"/>
      <c r="AU237" s="2"/>
    </row>
    <row r="238" spans="1:47" ht="15.75" customHeight="1">
      <c r="A238" s="196">
        <v>42</v>
      </c>
      <c r="B238" s="201" t="s">
        <v>222</v>
      </c>
      <c r="C238" s="2">
        <f>6.283185*Angular_frequency!C238</f>
        <v>6.2831849999999995E-2</v>
      </c>
      <c r="D238" s="2">
        <f>6.283185*Angular_frequency!D238</f>
        <v>0.10053095999999999</v>
      </c>
      <c r="E238" s="2">
        <f>6.283185*Angular_frequency!E238</f>
        <v>0.157079625</v>
      </c>
      <c r="F238" s="2">
        <f>6.283185*Angular_frequency!F238</f>
        <v>0.25132739999999998</v>
      </c>
      <c r="G238" s="2">
        <f>6.283185*Angular_frequency!G238</f>
        <v>0.39584065499999999</v>
      </c>
      <c r="H238" s="2">
        <f>6.283185*Angular_frequency!H238</f>
        <v>0.6283185</v>
      </c>
      <c r="I238" s="2">
        <f>6.283185*Angular_frequency!I238</f>
        <v>0.98646004499999995</v>
      </c>
      <c r="J238" s="2">
        <f>6.283185*Angular_frequency!J238</f>
        <v>1.589645805</v>
      </c>
      <c r="K238" s="2">
        <f>6.283185*Angular_frequency!K238</f>
        <v>2.4630085199999998</v>
      </c>
      <c r="L238" s="2">
        <f>6.283185*Angular_frequency!L238</f>
        <v>3.9332738099999998</v>
      </c>
      <c r="M238" s="2">
        <f>6.283185*Angular_frequency!M238</f>
        <v>6.2266363349999994</v>
      </c>
      <c r="N238" s="2">
        <f>6.283185*Angular_frequency!N238</f>
        <v>9.9399986699999996</v>
      </c>
      <c r="O238" s="2">
        <f>6.283185*Angular_frequency!O238</f>
        <v>15.576015614999999</v>
      </c>
      <c r="P238" s="2">
        <f>6.283185*Angular_frequency!P238</f>
        <v>24.642651569999998</v>
      </c>
      <c r="Q238" s="2">
        <f>6.283185*Angular_frequency!Q238</f>
        <v>39.351587654999996</v>
      </c>
      <c r="R238" s="2">
        <f>6.283185*Angular_frequency!R238</f>
        <v>62.247513794999996</v>
      </c>
      <c r="S238" s="2">
        <f>6.283185*Angular_frequency!S238</f>
        <v>99.393703514999999</v>
      </c>
      <c r="T238" s="2">
        <f>6.283185*Angular_frequency!T238</f>
        <v>157.23670462499999</v>
      </c>
      <c r="U238" s="2">
        <f>6.283185*Angular_frequency!U238</f>
        <v>244.12686998999999</v>
      </c>
      <c r="V238" s="2">
        <f>6.283185*Angular_frequency!V238</f>
        <v>393.484460625</v>
      </c>
      <c r="W238" s="236">
        <f>6.283185*Angular_frequency!W238</f>
        <v>628.31849999999997</v>
      </c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2"/>
      <c r="AU238" s="2"/>
    </row>
    <row r="239" spans="1:47" ht="15.75" customHeight="1">
      <c r="A239" s="196">
        <v>42</v>
      </c>
      <c r="B239" s="201" t="s">
        <v>223</v>
      </c>
      <c r="C239" s="2">
        <f>6.283185*Angular_frequency!C239</f>
        <v>6.2831849999999995E-2</v>
      </c>
      <c r="D239" s="2">
        <f>6.283185*Angular_frequency!D239</f>
        <v>0.10053095999999999</v>
      </c>
      <c r="E239" s="2">
        <f>6.283185*Angular_frequency!E239</f>
        <v>0.157079625</v>
      </c>
      <c r="F239" s="2">
        <f>6.283185*Angular_frequency!F239</f>
        <v>0.25132739999999998</v>
      </c>
      <c r="G239" s="2">
        <f>6.283185*Angular_frequency!G239</f>
        <v>0.39584065499999999</v>
      </c>
      <c r="H239" s="2">
        <f>6.283185*Angular_frequency!H239</f>
        <v>0.6283185</v>
      </c>
      <c r="I239" s="2">
        <f>6.283185*Angular_frequency!I239</f>
        <v>0.98646004499999995</v>
      </c>
      <c r="J239" s="2">
        <f>6.283185*Angular_frequency!J239</f>
        <v>1.589645805</v>
      </c>
      <c r="K239" s="2">
        <f>6.283185*Angular_frequency!K239</f>
        <v>2.4630085199999998</v>
      </c>
      <c r="L239" s="2">
        <f>6.283185*Angular_frequency!L239</f>
        <v>3.9332738099999998</v>
      </c>
      <c r="M239" s="2">
        <f>6.283185*Angular_frequency!M239</f>
        <v>6.2266363349999994</v>
      </c>
      <c r="N239" s="2">
        <f>6.283185*Angular_frequency!N239</f>
        <v>9.9399986699999996</v>
      </c>
      <c r="O239" s="2">
        <f>6.283185*Angular_frequency!O239</f>
        <v>15.576015614999999</v>
      </c>
      <c r="P239" s="2">
        <f>6.283185*Angular_frequency!P239</f>
        <v>24.642651569999998</v>
      </c>
      <c r="Q239" s="2">
        <f>6.283185*Angular_frequency!Q239</f>
        <v>39.351587654999996</v>
      </c>
      <c r="R239" s="2">
        <f>6.283185*Angular_frequency!R239</f>
        <v>62.247513794999996</v>
      </c>
      <c r="S239" s="2">
        <f>6.283185*Angular_frequency!S239</f>
        <v>99.393703514999999</v>
      </c>
      <c r="T239" s="2">
        <f>6.283185*Angular_frequency!T239</f>
        <v>157.23670462499999</v>
      </c>
      <c r="U239" s="2">
        <f>6.283185*Angular_frequency!U239</f>
        <v>244.12686998999999</v>
      </c>
      <c r="V239" s="2">
        <f>6.283185*Angular_frequency!V239</f>
        <v>393.484460625</v>
      </c>
      <c r="W239" s="236">
        <f>6.283185*Angular_frequency!W239</f>
        <v>628.31849999999997</v>
      </c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2"/>
      <c r="AU239" s="2"/>
    </row>
    <row r="240" spans="1:47" ht="15.75" customHeight="1">
      <c r="A240" s="196">
        <v>42</v>
      </c>
      <c r="B240" s="201" t="s">
        <v>225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36"/>
      <c r="X240" s="2"/>
    </row>
    <row r="241" spans="1:24" ht="15.75" customHeight="1">
      <c r="A241" s="196">
        <v>42</v>
      </c>
      <c r="B241" s="201" t="s">
        <v>226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36"/>
      <c r="X241" s="2"/>
    </row>
    <row r="242" spans="1:24" ht="15.75" customHeight="1">
      <c r="A242" s="197">
        <v>42</v>
      </c>
      <c r="B242" s="202" t="s">
        <v>227</v>
      </c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237"/>
      <c r="X242" s="2"/>
    </row>
    <row r="243" spans="1:24" ht="15.75" customHeight="1">
      <c r="A243" s="228">
        <v>43</v>
      </c>
      <c r="B243" s="75">
        <v>1</v>
      </c>
      <c r="C243" s="2">
        <v>0.10100000000000001</v>
      </c>
      <c r="D243" s="2">
        <v>0.158</v>
      </c>
      <c r="E243" s="2">
        <v>0.255</v>
      </c>
      <c r="F243" s="2">
        <v>0.39900000000000002</v>
      </c>
      <c r="G243" s="2">
        <v>0.63900000000000001</v>
      </c>
      <c r="H243" s="2">
        <v>1.002</v>
      </c>
      <c r="I243" s="2">
        <v>1.583</v>
      </c>
      <c r="J243" s="2">
        <v>2.4990000000000001</v>
      </c>
      <c r="K243" s="2">
        <v>3.9740000000000002</v>
      </c>
      <c r="L243" s="2">
        <v>6.319</v>
      </c>
      <c r="M243" s="2">
        <v>9.9760000000000009</v>
      </c>
      <c r="N243" s="2">
        <v>15.864000000000001</v>
      </c>
      <c r="O243" s="2">
        <v>24.692</v>
      </c>
      <c r="P243" s="2">
        <v>39.545999999999999</v>
      </c>
      <c r="Q243" s="2">
        <v>63.335999999999999</v>
      </c>
      <c r="R243" s="236">
        <v>100</v>
      </c>
      <c r="S243" s="2"/>
      <c r="T243" s="2"/>
      <c r="U243" s="2"/>
      <c r="V243" s="2"/>
      <c r="W243" s="2"/>
    </row>
    <row r="244" spans="1:24" ht="15.75" customHeight="1">
      <c r="A244" s="228">
        <v>43</v>
      </c>
      <c r="B244" s="75">
        <v>2</v>
      </c>
      <c r="C244" s="2">
        <v>0.10100000000000001</v>
      </c>
      <c r="D244" s="2">
        <v>0.158</v>
      </c>
      <c r="E244" s="2">
        <v>0.255</v>
      </c>
      <c r="F244" s="2">
        <v>0.39900000000000002</v>
      </c>
      <c r="G244" s="2">
        <v>0.63900000000000001</v>
      </c>
      <c r="H244" s="2">
        <v>1.002</v>
      </c>
      <c r="I244" s="2">
        <v>1.583</v>
      </c>
      <c r="J244" s="2">
        <v>2.4990000000000001</v>
      </c>
      <c r="K244" s="2">
        <v>3.9740000000000002</v>
      </c>
      <c r="L244" s="2">
        <v>6.319</v>
      </c>
      <c r="M244" s="2">
        <v>9.9760000000000009</v>
      </c>
      <c r="N244" s="2">
        <v>15.864000000000001</v>
      </c>
      <c r="O244" s="2">
        <v>24.692</v>
      </c>
      <c r="P244" s="2">
        <v>39.545999999999999</v>
      </c>
      <c r="Q244" s="2">
        <v>63.335999999999999</v>
      </c>
      <c r="R244" s="236">
        <v>100</v>
      </c>
      <c r="S244" s="2"/>
    </row>
    <row r="245" spans="1:24" ht="15.75" customHeight="1">
      <c r="A245" s="228">
        <v>43</v>
      </c>
      <c r="B245" s="75">
        <v>3</v>
      </c>
      <c r="C245" s="2">
        <v>0.10100000000000001</v>
      </c>
      <c r="D245" s="2">
        <v>0.158</v>
      </c>
      <c r="E245" s="2">
        <v>0.255</v>
      </c>
      <c r="F245" s="2">
        <v>0.39900000000000002</v>
      </c>
      <c r="G245" s="2">
        <v>0.63900000000000001</v>
      </c>
      <c r="H245" s="2">
        <v>1.002</v>
      </c>
      <c r="I245" s="2">
        <v>1.583</v>
      </c>
      <c r="J245" s="2">
        <v>2.4990000000000001</v>
      </c>
      <c r="K245" s="2">
        <v>3.9740000000000002</v>
      </c>
      <c r="L245" s="2">
        <v>6.319</v>
      </c>
      <c r="M245" s="2">
        <v>9.9760000000000009</v>
      </c>
      <c r="N245" s="34">
        <v>15.864000000000001</v>
      </c>
      <c r="O245" s="34">
        <v>24.692</v>
      </c>
      <c r="P245" s="34">
        <v>39.545999999999999</v>
      </c>
      <c r="Q245" s="34">
        <v>63.335999999999999</v>
      </c>
      <c r="R245" s="237">
        <v>100</v>
      </c>
      <c r="S245" s="2"/>
    </row>
    <row r="246" spans="1:24" ht="15.75" customHeight="1">
      <c r="A246" s="229">
        <v>44</v>
      </c>
      <c r="B246" s="74" t="s">
        <v>221</v>
      </c>
      <c r="C246" s="234">
        <v>1</v>
      </c>
      <c r="D246" s="234">
        <v>1.5880000000000001</v>
      </c>
      <c r="E246" s="234">
        <v>2.5230000000000001</v>
      </c>
      <c r="F246" s="234">
        <v>4.03</v>
      </c>
      <c r="G246" s="234">
        <v>6.2960000000000003</v>
      </c>
      <c r="H246" s="234">
        <v>9.89</v>
      </c>
      <c r="I246" s="234">
        <v>16.059999999999999</v>
      </c>
      <c r="J246" s="234">
        <v>25.369</v>
      </c>
      <c r="K246" s="234">
        <v>40.075000000000003</v>
      </c>
      <c r="L246" s="234">
        <v>62.957000000000001</v>
      </c>
      <c r="M246" s="235">
        <v>100</v>
      </c>
      <c r="N246" s="2"/>
      <c r="O246" s="2"/>
      <c r="P246" s="2"/>
      <c r="Q246" s="2"/>
      <c r="R246" s="2"/>
    </row>
    <row r="247" spans="1:24" ht="15.75" customHeight="1">
      <c r="A247" s="228">
        <v>44</v>
      </c>
      <c r="B247" s="75" t="s">
        <v>222</v>
      </c>
      <c r="C247" s="2">
        <v>1</v>
      </c>
      <c r="D247" s="2">
        <v>1.5880000000000001</v>
      </c>
      <c r="E247" s="2">
        <v>2.5230000000000001</v>
      </c>
      <c r="F247" s="2">
        <v>4.03</v>
      </c>
      <c r="G247" s="2">
        <v>6.2960000000000003</v>
      </c>
      <c r="H247" s="2">
        <v>9.89</v>
      </c>
      <c r="I247" s="2">
        <v>16.059999999999999</v>
      </c>
      <c r="J247" s="2">
        <v>25.369</v>
      </c>
      <c r="K247" s="2">
        <v>40.075000000000003</v>
      </c>
      <c r="L247" s="2">
        <v>62.957000000000001</v>
      </c>
      <c r="M247" s="236">
        <v>100</v>
      </c>
      <c r="N247" s="2"/>
    </row>
    <row r="248" spans="1:24" ht="15.75" customHeight="1">
      <c r="A248" s="228">
        <v>44</v>
      </c>
      <c r="B248" s="75" t="s">
        <v>223</v>
      </c>
      <c r="C248" s="2">
        <v>1</v>
      </c>
      <c r="D248" s="2">
        <v>1.5880000000000001</v>
      </c>
      <c r="E248" s="2">
        <v>2.5230000000000001</v>
      </c>
      <c r="F248" s="2">
        <v>4.03</v>
      </c>
      <c r="G248" s="2">
        <v>6.2960000000000003</v>
      </c>
      <c r="H248" s="2">
        <v>9.89</v>
      </c>
      <c r="I248" s="2">
        <v>16.059999999999999</v>
      </c>
      <c r="J248" s="2">
        <v>25.369</v>
      </c>
      <c r="K248" s="2">
        <v>40.075000000000003</v>
      </c>
      <c r="L248" s="2">
        <v>62.957000000000001</v>
      </c>
      <c r="M248" s="236">
        <v>100</v>
      </c>
      <c r="N248" s="2"/>
    </row>
    <row r="249" spans="1:24" ht="15.75" customHeight="1">
      <c r="A249" s="228">
        <v>44</v>
      </c>
      <c r="B249" s="75" t="s">
        <v>224</v>
      </c>
      <c r="C249" s="2">
        <v>1</v>
      </c>
      <c r="D249" s="2">
        <v>1.5880000000000001</v>
      </c>
      <c r="E249" s="2">
        <v>2.5230000000000001</v>
      </c>
      <c r="F249" s="2">
        <v>4.03</v>
      </c>
      <c r="G249" s="2">
        <v>6.2960000000000003</v>
      </c>
      <c r="H249" s="2">
        <v>9.89</v>
      </c>
      <c r="I249" s="2">
        <v>16.059999999999999</v>
      </c>
      <c r="J249" s="2">
        <v>25.369</v>
      </c>
      <c r="K249" s="2">
        <v>40.075000000000003</v>
      </c>
      <c r="L249" s="2">
        <v>62.957000000000001</v>
      </c>
      <c r="M249" s="236">
        <v>100</v>
      </c>
      <c r="N249" s="2"/>
    </row>
    <row r="250" spans="1:24" ht="15.75" customHeight="1">
      <c r="A250" s="228">
        <v>44</v>
      </c>
      <c r="B250" s="75" t="s">
        <v>229</v>
      </c>
      <c r="C250" s="2">
        <v>1</v>
      </c>
      <c r="D250" s="2">
        <v>1.5880000000000001</v>
      </c>
      <c r="E250" s="2">
        <v>2.5230000000000001</v>
      </c>
      <c r="F250" s="2">
        <v>4.03</v>
      </c>
      <c r="G250" s="2">
        <v>6.2960000000000003</v>
      </c>
      <c r="H250" s="2">
        <v>9.89</v>
      </c>
      <c r="I250" s="2">
        <v>16.059999999999999</v>
      </c>
      <c r="J250" s="2">
        <v>25.369</v>
      </c>
      <c r="K250" s="2">
        <v>40.075000000000003</v>
      </c>
      <c r="L250" s="2">
        <v>62.957000000000001</v>
      </c>
      <c r="M250" s="236">
        <v>100</v>
      </c>
      <c r="N250" s="2"/>
    </row>
    <row r="251" spans="1:24" ht="15.75" customHeight="1">
      <c r="A251" s="228">
        <v>44</v>
      </c>
      <c r="B251" s="75" t="s">
        <v>225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36"/>
      <c r="N251" s="2"/>
    </row>
    <row r="252" spans="1:24" ht="15.75" customHeight="1">
      <c r="A252" s="228">
        <v>44</v>
      </c>
      <c r="B252" s="75" t="s">
        <v>226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36"/>
      <c r="N252" s="2"/>
    </row>
    <row r="253" spans="1:24" ht="15.75" customHeight="1">
      <c r="A253" s="228">
        <v>44</v>
      </c>
      <c r="B253" s="75" t="s">
        <v>227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36"/>
      <c r="N253" s="2"/>
    </row>
    <row r="254" spans="1:24" ht="15.75" customHeight="1">
      <c r="A254" s="228">
        <v>44</v>
      </c>
      <c r="B254" s="75" t="s">
        <v>228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36"/>
      <c r="N254" s="2"/>
    </row>
    <row r="255" spans="1:24" ht="15.75" customHeight="1">
      <c r="A255" s="230">
        <v>44</v>
      </c>
      <c r="B255" s="231" t="s">
        <v>230</v>
      </c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237"/>
      <c r="N255" s="2"/>
    </row>
    <row r="256" spans="1:24" ht="15.75" customHeight="1">
      <c r="A256" s="196">
        <v>45</v>
      </c>
      <c r="B256" s="201" t="s">
        <v>221</v>
      </c>
      <c r="C256" s="2">
        <v>6.4000000000000001E-2</v>
      </c>
      <c r="D256" s="2">
        <v>0.16300000000000001</v>
      </c>
      <c r="E256" s="2">
        <v>0.40500000000000003</v>
      </c>
      <c r="F256" s="2">
        <v>1.026</v>
      </c>
      <c r="G256" s="2">
        <v>2.573</v>
      </c>
      <c r="H256" s="2">
        <v>6.5270000000000001</v>
      </c>
      <c r="I256" s="2">
        <v>16.754999999999999</v>
      </c>
      <c r="J256" s="2">
        <v>43.01</v>
      </c>
      <c r="K256" s="2">
        <v>111.714</v>
      </c>
      <c r="L256" s="236">
        <v>315.11200000000002</v>
      </c>
      <c r="M256" s="2"/>
    </row>
    <row r="257" spans="1:47" ht="15.75" customHeight="1">
      <c r="A257" s="196">
        <v>45</v>
      </c>
      <c r="B257" s="201" t="s">
        <v>222</v>
      </c>
      <c r="C257" s="2">
        <v>6.4000000000000001E-2</v>
      </c>
      <c r="D257" s="2">
        <v>0.16300000000000001</v>
      </c>
      <c r="E257" s="2">
        <v>0.40500000000000003</v>
      </c>
      <c r="F257" s="2">
        <v>1.026</v>
      </c>
      <c r="G257" s="2">
        <v>2.573</v>
      </c>
      <c r="H257" s="2">
        <v>6.5270000000000001</v>
      </c>
      <c r="I257" s="2">
        <v>16.754999999999999</v>
      </c>
      <c r="J257" s="2">
        <v>43.01</v>
      </c>
      <c r="K257" s="2">
        <v>111.714</v>
      </c>
      <c r="L257" s="236">
        <v>315.11200000000002</v>
      </c>
      <c r="M257" s="2"/>
    </row>
    <row r="258" spans="1:47" ht="15.75" customHeight="1">
      <c r="A258" s="196">
        <v>45</v>
      </c>
      <c r="B258" s="201" t="s">
        <v>223</v>
      </c>
      <c r="C258" s="2">
        <v>6.4000000000000001E-2</v>
      </c>
      <c r="D258" s="2">
        <v>0.16300000000000001</v>
      </c>
      <c r="E258" s="2">
        <v>0.40500000000000003</v>
      </c>
      <c r="F258" s="2">
        <v>1.026</v>
      </c>
      <c r="G258" s="2">
        <v>2.573</v>
      </c>
      <c r="H258" s="2">
        <v>6.5270000000000001</v>
      </c>
      <c r="I258" s="2">
        <v>16.754999999999999</v>
      </c>
      <c r="J258" s="2">
        <v>43.01</v>
      </c>
      <c r="K258" s="2">
        <v>111.714</v>
      </c>
      <c r="L258" s="236">
        <v>315.11200000000002</v>
      </c>
      <c r="M258" s="2"/>
    </row>
    <row r="259" spans="1:47" ht="15.75" customHeight="1">
      <c r="A259" s="196">
        <v>45</v>
      </c>
      <c r="B259" s="201" t="s">
        <v>224</v>
      </c>
      <c r="C259" s="2">
        <v>6.4000000000000001E-2</v>
      </c>
      <c r="D259" s="2">
        <v>0.16300000000000001</v>
      </c>
      <c r="E259" s="2">
        <v>0.40500000000000003</v>
      </c>
      <c r="F259" s="2">
        <v>1.026</v>
      </c>
      <c r="G259" s="2">
        <v>2.573</v>
      </c>
      <c r="H259" s="2">
        <v>6.5270000000000001</v>
      </c>
      <c r="I259" s="2">
        <v>16.754999999999999</v>
      </c>
      <c r="J259" s="2">
        <v>43.01</v>
      </c>
      <c r="K259" s="2">
        <v>111.714</v>
      </c>
      <c r="L259" s="236">
        <v>315.11200000000002</v>
      </c>
      <c r="M259" s="2"/>
    </row>
    <row r="260" spans="1:47" ht="15.75" customHeight="1">
      <c r="A260" s="196">
        <v>45</v>
      </c>
      <c r="B260" s="201" t="s">
        <v>225</v>
      </c>
      <c r="C260" s="2"/>
      <c r="D260" s="2"/>
      <c r="E260" s="2"/>
      <c r="F260" s="2"/>
      <c r="G260" s="2"/>
      <c r="H260" s="2"/>
      <c r="I260" s="2"/>
      <c r="J260" s="2"/>
      <c r="K260" s="2"/>
      <c r="L260" s="236"/>
      <c r="M260" s="2"/>
    </row>
    <row r="261" spans="1:47" ht="15.75" customHeight="1">
      <c r="A261" s="196">
        <v>45</v>
      </c>
      <c r="B261" s="201" t="s">
        <v>226</v>
      </c>
      <c r="C261" s="2"/>
      <c r="D261" s="2"/>
      <c r="E261" s="2"/>
      <c r="F261" s="2"/>
      <c r="G261" s="2"/>
      <c r="H261" s="2"/>
      <c r="I261" s="2"/>
      <c r="J261" s="2"/>
      <c r="K261" s="2"/>
      <c r="L261" s="236"/>
      <c r="M261" s="2"/>
    </row>
    <row r="262" spans="1:47" ht="15.75" customHeight="1">
      <c r="A262" s="196">
        <v>45</v>
      </c>
      <c r="B262" s="201" t="s">
        <v>227</v>
      </c>
      <c r="C262" s="2"/>
      <c r="D262" s="2"/>
      <c r="E262" s="2"/>
      <c r="F262" s="2"/>
      <c r="G262" s="2"/>
      <c r="H262" s="2"/>
      <c r="I262" s="2"/>
      <c r="J262" s="2"/>
      <c r="K262" s="2"/>
      <c r="L262" s="236"/>
      <c r="M262" s="2"/>
    </row>
    <row r="263" spans="1:47" ht="15.75" customHeight="1">
      <c r="A263" s="196">
        <v>45</v>
      </c>
      <c r="B263" s="201" t="s">
        <v>228</v>
      </c>
      <c r="C263" s="2"/>
      <c r="D263" s="2"/>
      <c r="E263" s="2"/>
      <c r="F263" s="2"/>
      <c r="G263" s="2"/>
      <c r="H263" s="2"/>
      <c r="I263" s="2"/>
      <c r="J263" s="2"/>
      <c r="K263" s="2"/>
      <c r="L263" s="236"/>
      <c r="M263" s="2"/>
      <c r="N263" s="2"/>
      <c r="O263" s="2"/>
      <c r="P263" s="2"/>
      <c r="Q263" s="2"/>
      <c r="R263" s="2"/>
      <c r="S263" s="2"/>
      <c r="T263" s="2"/>
      <c r="U263" s="2"/>
    </row>
    <row r="264" spans="1:47" ht="15.75" customHeight="1">
      <c r="A264" s="199">
        <v>46</v>
      </c>
      <c r="B264" s="200">
        <v>1</v>
      </c>
      <c r="C264" s="234">
        <v>0.1</v>
      </c>
      <c r="D264" s="234">
        <v>0.14499999999999999</v>
      </c>
      <c r="E264" s="234">
        <v>0.216</v>
      </c>
      <c r="F264" s="234">
        <v>0.31900000000000001</v>
      </c>
      <c r="G264" s="234">
        <v>0.46700000000000003</v>
      </c>
      <c r="H264" s="234">
        <v>0.68300000000000005</v>
      </c>
      <c r="I264" s="234">
        <v>1.016</v>
      </c>
      <c r="J264" s="234">
        <v>1.464</v>
      </c>
      <c r="K264" s="234">
        <v>2.1960000000000002</v>
      </c>
      <c r="L264" s="234">
        <v>3.1619999999999999</v>
      </c>
      <c r="M264" s="234">
        <v>4.7050000000000001</v>
      </c>
      <c r="N264" s="234">
        <v>6.8869999999999996</v>
      </c>
      <c r="O264" s="234">
        <v>10.246</v>
      </c>
      <c r="P264" s="234">
        <v>14.757999999999999</v>
      </c>
      <c r="Q264" s="234">
        <v>21.779</v>
      </c>
      <c r="R264" s="234">
        <v>31.88</v>
      </c>
      <c r="S264" s="234">
        <v>46.290999999999997</v>
      </c>
      <c r="T264" s="234">
        <v>68.313999999999993</v>
      </c>
      <c r="U264" s="235">
        <v>100</v>
      </c>
      <c r="V264" s="2"/>
    </row>
    <row r="265" spans="1:47" ht="15.75" customHeight="1">
      <c r="A265" s="196">
        <v>46</v>
      </c>
      <c r="B265" s="201">
        <v>2</v>
      </c>
      <c r="C265" s="2">
        <v>0.1</v>
      </c>
      <c r="D265" s="2">
        <v>0.14499999999999999</v>
      </c>
      <c r="E265" s="2">
        <v>0.216</v>
      </c>
      <c r="F265" s="2">
        <v>0.31900000000000001</v>
      </c>
      <c r="G265" s="2">
        <v>0.46700000000000003</v>
      </c>
      <c r="H265" s="2">
        <v>0.68300000000000005</v>
      </c>
      <c r="I265" s="2">
        <v>1.016</v>
      </c>
      <c r="J265" s="2">
        <v>1.464</v>
      </c>
      <c r="K265" s="2">
        <v>2.1960000000000002</v>
      </c>
      <c r="L265" s="2">
        <v>3.1619999999999999</v>
      </c>
      <c r="M265" s="2">
        <v>4.7050000000000001</v>
      </c>
      <c r="N265" s="2">
        <v>6.8869999999999996</v>
      </c>
      <c r="O265" s="2">
        <v>10.246</v>
      </c>
      <c r="P265" s="2">
        <v>14.757999999999999</v>
      </c>
      <c r="Q265" s="2">
        <v>21.779</v>
      </c>
      <c r="R265" s="2">
        <v>31.88</v>
      </c>
      <c r="S265" s="2">
        <v>46.290999999999997</v>
      </c>
      <c r="T265" s="2">
        <v>68.313999999999993</v>
      </c>
      <c r="U265" s="236">
        <v>100</v>
      </c>
      <c r="V265" s="2"/>
    </row>
    <row r="266" spans="1:47" ht="15.75" customHeight="1">
      <c r="A266" s="196">
        <v>46</v>
      </c>
      <c r="B266" s="201">
        <v>3</v>
      </c>
      <c r="C266" s="2">
        <v>0.1</v>
      </c>
      <c r="D266" s="2">
        <v>0.14499999999999999</v>
      </c>
      <c r="E266" s="2">
        <v>0.216</v>
      </c>
      <c r="F266" s="2">
        <v>0.31900000000000001</v>
      </c>
      <c r="G266" s="2">
        <v>0.46700000000000003</v>
      </c>
      <c r="H266" s="2">
        <v>0.68300000000000005</v>
      </c>
      <c r="I266" s="2">
        <v>1.016</v>
      </c>
      <c r="J266" s="2">
        <v>1.464</v>
      </c>
      <c r="K266" s="2">
        <v>2.1960000000000002</v>
      </c>
      <c r="L266" s="2">
        <v>3.1619999999999999</v>
      </c>
      <c r="M266" s="2">
        <v>4.7050000000000001</v>
      </c>
      <c r="N266" s="2">
        <v>6.8869999999999996</v>
      </c>
      <c r="O266" s="2">
        <v>10.246</v>
      </c>
      <c r="P266" s="2">
        <v>14.757999999999999</v>
      </c>
      <c r="Q266" s="2">
        <v>21.779</v>
      </c>
      <c r="R266" s="2">
        <v>31.88</v>
      </c>
      <c r="S266" s="2">
        <v>46.290999999999997</v>
      </c>
      <c r="T266" s="2">
        <v>68.313999999999993</v>
      </c>
      <c r="U266" s="236">
        <v>100</v>
      </c>
      <c r="V266" s="2"/>
    </row>
    <row r="267" spans="1:47" ht="15.75" customHeight="1">
      <c r="A267" s="196">
        <v>46</v>
      </c>
      <c r="B267" s="201">
        <v>4</v>
      </c>
      <c r="C267" s="2">
        <v>0.1</v>
      </c>
      <c r="D267" s="2">
        <v>0.14499999999999999</v>
      </c>
      <c r="E267" s="2">
        <v>0.216</v>
      </c>
      <c r="F267" s="2">
        <v>0.31900000000000001</v>
      </c>
      <c r="G267" s="2">
        <v>0.46700000000000003</v>
      </c>
      <c r="H267" s="2">
        <v>0.68300000000000005</v>
      </c>
      <c r="I267" s="2">
        <v>1.016</v>
      </c>
      <c r="J267" s="2">
        <v>1.464</v>
      </c>
      <c r="K267" s="2">
        <v>2.1960000000000002</v>
      </c>
      <c r="L267" s="2">
        <v>3.1619999999999999</v>
      </c>
      <c r="M267" s="2">
        <v>4.7050000000000001</v>
      </c>
      <c r="N267" s="2">
        <v>6.8869999999999996</v>
      </c>
      <c r="O267" s="2">
        <v>10.246</v>
      </c>
      <c r="P267" s="2">
        <v>14.757999999999999</v>
      </c>
      <c r="Q267" s="2">
        <v>21.779</v>
      </c>
      <c r="R267" s="2">
        <v>31.88</v>
      </c>
      <c r="S267" s="2">
        <v>46.290999999999997</v>
      </c>
      <c r="T267" s="2">
        <v>68.313999999999993</v>
      </c>
      <c r="U267" s="236">
        <v>100</v>
      </c>
      <c r="V267" s="2"/>
    </row>
    <row r="268" spans="1:47" ht="15.75" customHeight="1">
      <c r="A268" s="196">
        <v>46</v>
      </c>
      <c r="B268" s="201">
        <v>5</v>
      </c>
      <c r="C268" s="2">
        <v>0.1</v>
      </c>
      <c r="D268" s="2">
        <v>0.14499999999999999</v>
      </c>
      <c r="E268" s="2">
        <v>0.216</v>
      </c>
      <c r="F268" s="2">
        <v>0.31900000000000001</v>
      </c>
      <c r="G268" s="2">
        <v>0.46700000000000003</v>
      </c>
      <c r="H268" s="2">
        <v>0.68300000000000005</v>
      </c>
      <c r="I268" s="2">
        <v>1.016</v>
      </c>
      <c r="J268" s="2">
        <v>1.464</v>
      </c>
      <c r="K268" s="2">
        <v>2.1960000000000002</v>
      </c>
      <c r="L268" s="2">
        <v>3.1619999999999999</v>
      </c>
      <c r="M268" s="2">
        <v>4.7050000000000001</v>
      </c>
      <c r="N268" s="2">
        <v>6.8869999999999996</v>
      </c>
      <c r="O268" s="2">
        <v>10.246</v>
      </c>
      <c r="P268" s="2">
        <v>14.757999999999999</v>
      </c>
      <c r="Q268" s="2">
        <v>21.779</v>
      </c>
      <c r="R268" s="2">
        <v>31.88</v>
      </c>
      <c r="S268" s="2">
        <v>46.290999999999997</v>
      </c>
      <c r="T268" s="2">
        <v>68.313999999999993</v>
      </c>
      <c r="U268" s="236">
        <v>100</v>
      </c>
      <c r="V268" s="2"/>
    </row>
    <row r="269" spans="1:47" ht="15.75" customHeight="1">
      <c r="A269" s="196">
        <v>46</v>
      </c>
      <c r="B269" s="201">
        <v>6</v>
      </c>
      <c r="C269" s="2">
        <v>0.1</v>
      </c>
      <c r="D269" s="2">
        <v>0.14499999999999999</v>
      </c>
      <c r="E269" s="2">
        <v>0.216</v>
      </c>
      <c r="F269" s="2">
        <v>0.31900000000000001</v>
      </c>
      <c r="G269" s="2">
        <v>0.46700000000000003</v>
      </c>
      <c r="H269" s="2">
        <v>0.68300000000000005</v>
      </c>
      <c r="I269" s="2">
        <v>1.016</v>
      </c>
      <c r="J269" s="2">
        <v>1.464</v>
      </c>
      <c r="K269" s="2">
        <v>2.1960000000000002</v>
      </c>
      <c r="L269" s="2">
        <v>3.1619999999999999</v>
      </c>
      <c r="M269" s="2">
        <v>4.7050000000000001</v>
      </c>
      <c r="N269" s="2">
        <v>6.8869999999999996</v>
      </c>
      <c r="O269" s="2">
        <v>10.246</v>
      </c>
      <c r="P269" s="2">
        <v>14.757999999999999</v>
      </c>
      <c r="Q269" s="2">
        <v>21.779</v>
      </c>
      <c r="R269" s="2">
        <v>31.88</v>
      </c>
      <c r="S269" s="2">
        <v>46.290999999999997</v>
      </c>
      <c r="T269" s="2">
        <v>68.313999999999993</v>
      </c>
      <c r="U269" s="236">
        <v>100</v>
      </c>
      <c r="V269" s="2"/>
      <c r="W269" s="2"/>
      <c r="X269" s="2"/>
      <c r="Y269" s="2"/>
      <c r="Z269" s="2"/>
      <c r="AA269" s="2"/>
    </row>
    <row r="270" spans="1:47" ht="15.75" customHeight="1">
      <c r="A270" s="199">
        <v>47</v>
      </c>
      <c r="B270" s="200" t="s">
        <v>221</v>
      </c>
      <c r="C270" s="234">
        <f>6.283185*Angular_frequency!C270</f>
        <v>0.6283185</v>
      </c>
      <c r="D270" s="234">
        <f>6.283185*Angular_frequency!D270</f>
        <v>0.84822997499999997</v>
      </c>
      <c r="E270" s="234">
        <f>6.283185*Angular_frequency!E270</f>
        <v>1.137256485</v>
      </c>
      <c r="F270" s="234">
        <f>6.283185*Angular_frequency!F270</f>
        <v>1.5268139549999999</v>
      </c>
      <c r="G270" s="234">
        <f>6.283185*Angular_frequency!G270</f>
        <v>1.99805283</v>
      </c>
      <c r="H270" s="234">
        <f>6.283185*Angular_frequency!H270</f>
        <v>2.6200881449999995</v>
      </c>
      <c r="I270" s="234">
        <f>6.283185*Angular_frequency!I270</f>
        <v>3.5688490799999992</v>
      </c>
      <c r="J270" s="234">
        <f>6.283185*Angular_frequency!J270</f>
        <v>4.78778697</v>
      </c>
      <c r="K270" s="234">
        <f>6.283185*Angular_frequency!K270</f>
        <v>6.5282292149999988</v>
      </c>
      <c r="L270" s="234">
        <f>6.283185*Angular_frequency!L270</f>
        <v>8.6142466349999989</v>
      </c>
      <c r="M270" s="234">
        <f>6.283185*Angular_frequency!M270</f>
        <v>11.177786114999998</v>
      </c>
      <c r="N270" s="234">
        <f>6.283185*Angular_frequency!N270</f>
        <v>15.11734311</v>
      </c>
      <c r="O270" s="234">
        <f>6.283185*Angular_frequency!O270</f>
        <v>19.628669939999998</v>
      </c>
      <c r="P270" s="234">
        <f>6.283185*Angular_frequency!P270</f>
        <v>26.54017344</v>
      </c>
      <c r="Q270" s="234">
        <f>6.283185*Angular_frequency!Q270</f>
        <v>35.311499699999999</v>
      </c>
      <c r="R270" s="234">
        <f>6.283185*Angular_frequency!R270</f>
        <v>47.745922815</v>
      </c>
      <c r="S270" s="234">
        <f>6.283185*Angular_frequency!S270</f>
        <v>64.566009059999999</v>
      </c>
      <c r="T270" s="234">
        <f>6.283185*Angular_frequency!T270</f>
        <v>84.502555064999996</v>
      </c>
      <c r="U270" s="234">
        <f>6.283185*Angular_frequency!U270</f>
        <v>112.41874601999999</v>
      </c>
      <c r="V270" s="234">
        <f>6.283185*Angular_frequency!V270</f>
        <v>150.77759044499999</v>
      </c>
      <c r="W270" s="234">
        <f>6.283185*Angular_frequency!W270</f>
        <v>200.590681125</v>
      </c>
      <c r="X270" s="234">
        <f>6.283185*Angular_frequency!X270</f>
        <v>271.24509645000001</v>
      </c>
      <c r="Y270" s="234"/>
      <c r="Z270" s="234"/>
      <c r="AA270" s="235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12"/>
      <c r="AU270" s="2"/>
    </row>
    <row r="271" spans="1:47" ht="15.75" customHeight="1">
      <c r="A271" s="196">
        <v>47</v>
      </c>
      <c r="B271" s="201">
        <v>2</v>
      </c>
      <c r="C271" s="2">
        <f>6.283185*Angular_frequency!C271</f>
        <v>0.6283185</v>
      </c>
      <c r="D271" s="2">
        <f>6.283185*Angular_frequency!D271</f>
        <v>0.84822997499999997</v>
      </c>
      <c r="E271" s="2">
        <f>6.283185*Angular_frequency!E271</f>
        <v>1.137256485</v>
      </c>
      <c r="F271" s="2">
        <f>6.283185*Angular_frequency!F271</f>
        <v>1.5268139549999999</v>
      </c>
      <c r="G271" s="2">
        <f>6.283185*Angular_frequency!G271</f>
        <v>1.99805283</v>
      </c>
      <c r="H271" s="2">
        <f>6.283185*Angular_frequency!H271</f>
        <v>2.6200881449999995</v>
      </c>
      <c r="I271" s="2">
        <f>6.283185*Angular_frequency!I271</f>
        <v>3.5688490799999992</v>
      </c>
      <c r="J271" s="2">
        <f>6.283185*Angular_frequency!J271</f>
        <v>4.78778697</v>
      </c>
      <c r="K271" s="2">
        <f>6.283185*Angular_frequency!K271</f>
        <v>6.5282292149999988</v>
      </c>
      <c r="L271" s="2">
        <f>6.283185*Angular_frequency!L271</f>
        <v>8.6142466349999989</v>
      </c>
      <c r="M271" s="2">
        <f>6.283185*Angular_frequency!M271</f>
        <v>11.177786114999998</v>
      </c>
      <c r="N271" s="2">
        <f>6.283185*Angular_frequency!N271</f>
        <v>15.11734311</v>
      </c>
      <c r="O271" s="2">
        <f>6.283185*Angular_frequency!O271</f>
        <v>19.628669939999998</v>
      </c>
      <c r="P271" s="2">
        <f>6.283185*Angular_frequency!P271</f>
        <v>26.54017344</v>
      </c>
      <c r="Q271" s="2">
        <f>6.283185*Angular_frequency!Q271</f>
        <v>35.311499699999999</v>
      </c>
      <c r="R271" s="2">
        <f>6.283185*Angular_frequency!R271</f>
        <v>47.745922815</v>
      </c>
      <c r="S271" s="2">
        <f>6.283185*Angular_frequency!S271</f>
        <v>64.566009059999999</v>
      </c>
      <c r="T271" s="2">
        <f>6.283185*Angular_frequency!T271</f>
        <v>84.502555064999996</v>
      </c>
      <c r="U271" s="2">
        <f>6.283185*Angular_frequency!U271</f>
        <v>112.41874601999999</v>
      </c>
      <c r="V271" s="2">
        <f>6.283185*Angular_frequency!V271</f>
        <v>150.77759044499999</v>
      </c>
      <c r="W271" s="2">
        <f>6.283185*Angular_frequency!W271</f>
        <v>200.590681125</v>
      </c>
      <c r="X271" s="2">
        <f>6.283185*Angular_frequency!X271</f>
        <v>271.24509645000001</v>
      </c>
      <c r="Y271" s="2">
        <f>6.283185*Angular_frequency!Y271</f>
        <v>363.80897786999998</v>
      </c>
      <c r="Z271" s="2">
        <f>6.283185*Angular_frequency!Z271</f>
        <v>480.06046673999992</v>
      </c>
      <c r="AA271" s="236">
        <f>6.283185*Angular_frequency!AA271</f>
        <v>628.31849999999997</v>
      </c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12"/>
      <c r="AU271" s="2"/>
    </row>
    <row r="272" spans="1:47" ht="15.75" customHeight="1">
      <c r="A272" s="196">
        <v>47</v>
      </c>
      <c r="B272" s="201">
        <v>3</v>
      </c>
      <c r="C272" s="2">
        <f>6.283185*Angular_frequency!C272</f>
        <v>0.6283185</v>
      </c>
      <c r="D272" s="2">
        <f>6.283185*Angular_frequency!D272</f>
        <v>0.84822997499999997</v>
      </c>
      <c r="E272" s="2">
        <f>6.283185*Angular_frequency!E272</f>
        <v>1.137256485</v>
      </c>
      <c r="F272" s="2">
        <f>6.283185*Angular_frequency!F272</f>
        <v>1.5268139549999999</v>
      </c>
      <c r="G272" s="2">
        <f>6.283185*Angular_frequency!G272</f>
        <v>1.99805283</v>
      </c>
      <c r="H272" s="2">
        <f>6.283185*Angular_frequency!H272</f>
        <v>2.6200881449999995</v>
      </c>
      <c r="I272" s="2">
        <f>6.283185*Angular_frequency!I272</f>
        <v>3.5688490799999992</v>
      </c>
      <c r="J272" s="2">
        <f>6.283185*Angular_frequency!J272</f>
        <v>4.78778697</v>
      </c>
      <c r="K272" s="2">
        <f>6.283185*Angular_frequency!K272</f>
        <v>6.5282292149999988</v>
      </c>
      <c r="L272" s="2">
        <f>6.283185*Angular_frequency!L272</f>
        <v>8.6142466349999989</v>
      </c>
      <c r="M272" s="2">
        <f>6.283185*Angular_frequency!M272</f>
        <v>11.177786114999998</v>
      </c>
      <c r="N272" s="2">
        <f>6.283185*Angular_frequency!N272</f>
        <v>15.11734311</v>
      </c>
      <c r="O272" s="2">
        <f>6.283185*Angular_frequency!O272</f>
        <v>19.628669939999998</v>
      </c>
      <c r="P272" s="2">
        <f>6.283185*Angular_frequency!P272</f>
        <v>26.54017344</v>
      </c>
      <c r="Q272" s="2">
        <f>6.283185*Angular_frequency!Q272</f>
        <v>35.311499699999999</v>
      </c>
      <c r="R272" s="2">
        <f>6.283185*Angular_frequency!R272</f>
        <v>47.745922815</v>
      </c>
      <c r="S272" s="2">
        <f>6.283185*Angular_frequency!S272</f>
        <v>64.566009059999999</v>
      </c>
      <c r="T272" s="2">
        <f>6.283185*Angular_frequency!T272</f>
        <v>84.502555064999996</v>
      </c>
      <c r="U272" s="2">
        <f>6.283185*Angular_frequency!U272</f>
        <v>112.41874601999999</v>
      </c>
      <c r="V272" s="2">
        <f>6.283185*Angular_frequency!V272</f>
        <v>150.77759044499999</v>
      </c>
      <c r="W272" s="2">
        <f>6.283185*Angular_frequency!W272</f>
        <v>200.590681125</v>
      </c>
      <c r="X272" s="2">
        <f>6.283185*Angular_frequency!X272</f>
        <v>271.24509645000001</v>
      </c>
      <c r="Y272" s="2">
        <f>6.283185*Angular_frequency!Y272</f>
        <v>363.80897786999998</v>
      </c>
      <c r="Z272" s="2">
        <f>6.283185*Angular_frequency!Z272</f>
        <v>480.06046673999992</v>
      </c>
      <c r="AA272" s="236">
        <f>6.283185*Angular_frequency!AA272</f>
        <v>628.31849999999997</v>
      </c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12"/>
      <c r="AU272" s="2"/>
    </row>
    <row r="273" spans="1:47" ht="15.75" customHeight="1">
      <c r="A273" s="196">
        <v>47</v>
      </c>
      <c r="B273" s="201" t="s">
        <v>224</v>
      </c>
      <c r="C273" s="2">
        <f>6.283185*Angular_frequency!C273</f>
        <v>0.6283185</v>
      </c>
      <c r="D273" s="2">
        <f>6.283185*Angular_frequency!D273</f>
        <v>0.84822997499999997</v>
      </c>
      <c r="E273" s="2">
        <f>6.283185*Angular_frequency!E273</f>
        <v>1.137256485</v>
      </c>
      <c r="F273" s="2">
        <f>6.283185*Angular_frequency!F273</f>
        <v>1.5268139549999999</v>
      </c>
      <c r="G273" s="2">
        <f>6.283185*Angular_frequency!G273</f>
        <v>1.99805283</v>
      </c>
      <c r="H273" s="2">
        <f>6.283185*Angular_frequency!H273</f>
        <v>2.6200881449999995</v>
      </c>
      <c r="I273" s="2">
        <f>6.283185*Angular_frequency!I273</f>
        <v>3.5688490799999992</v>
      </c>
      <c r="J273" s="2">
        <f>6.283185*Angular_frequency!J273</f>
        <v>4.78778697</v>
      </c>
      <c r="K273" s="2">
        <f>6.283185*Angular_frequency!K273</f>
        <v>6.5282292149999988</v>
      </c>
      <c r="L273" s="2">
        <f>6.283185*Angular_frequency!L273</f>
        <v>8.6142466349999989</v>
      </c>
      <c r="M273" s="2">
        <f>6.283185*Angular_frequency!M273</f>
        <v>11.177786114999998</v>
      </c>
      <c r="N273" s="2">
        <f>6.283185*Angular_frequency!N273</f>
        <v>15.11734311</v>
      </c>
      <c r="O273" s="2">
        <f>6.283185*Angular_frequency!O273</f>
        <v>19.628669939999998</v>
      </c>
      <c r="P273" s="2">
        <f>6.283185*Angular_frequency!P273</f>
        <v>26.54017344</v>
      </c>
      <c r="Q273" s="2">
        <f>6.283185*Angular_frequency!Q273</f>
        <v>35.311499699999999</v>
      </c>
      <c r="R273" s="2">
        <f>6.283185*Angular_frequency!R273</f>
        <v>47.745922815</v>
      </c>
      <c r="S273" s="2">
        <f>6.283185*Angular_frequency!S273</f>
        <v>64.566009059999999</v>
      </c>
      <c r="T273" s="2">
        <f>6.283185*Angular_frequency!T273</f>
        <v>84.502555064999996</v>
      </c>
      <c r="U273" s="2">
        <f>6.283185*Angular_frequency!U273</f>
        <v>112.41874601999999</v>
      </c>
      <c r="V273" s="2">
        <f>6.283185*Angular_frequency!V273</f>
        <v>150.77759044499999</v>
      </c>
      <c r="W273" s="2">
        <f>6.283185*Angular_frequency!W273</f>
        <v>200.590681125</v>
      </c>
      <c r="X273" s="2">
        <f>6.283185*Angular_frequency!X273</f>
        <v>271.24509645000001</v>
      </c>
      <c r="Y273" s="2"/>
      <c r="Z273" s="2"/>
      <c r="AA273" s="236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12"/>
      <c r="AU273" s="2"/>
    </row>
    <row r="274" spans="1:47" ht="15.75" customHeight="1">
      <c r="A274" s="196">
        <v>47</v>
      </c>
      <c r="B274" s="201">
        <v>5</v>
      </c>
      <c r="C274" s="2">
        <f>6.283185*Angular_frequency!C274</f>
        <v>0.6283185</v>
      </c>
      <c r="D274" s="2">
        <f>6.283185*Angular_frequency!D274</f>
        <v>0.84822997499999997</v>
      </c>
      <c r="E274" s="2">
        <f>6.283185*Angular_frequency!E274</f>
        <v>1.137256485</v>
      </c>
      <c r="F274" s="2">
        <f>6.283185*Angular_frequency!F274</f>
        <v>1.5268139549999999</v>
      </c>
      <c r="G274" s="2">
        <f>6.283185*Angular_frequency!G274</f>
        <v>1.99805283</v>
      </c>
      <c r="H274" s="2">
        <f>6.283185*Angular_frequency!H274</f>
        <v>2.6200881449999995</v>
      </c>
      <c r="I274" s="2">
        <f>6.283185*Angular_frequency!I274</f>
        <v>3.5688490799999992</v>
      </c>
      <c r="J274" s="2">
        <f>6.283185*Angular_frequency!J274</f>
        <v>4.78778697</v>
      </c>
      <c r="K274" s="2">
        <f>6.283185*Angular_frequency!K274</f>
        <v>6.5282292149999988</v>
      </c>
      <c r="L274" s="2">
        <f>6.283185*Angular_frequency!L274</f>
        <v>8.6142466349999989</v>
      </c>
      <c r="M274" s="2">
        <f>6.283185*Angular_frequency!M274</f>
        <v>11.177786114999998</v>
      </c>
      <c r="N274" s="2">
        <f>6.283185*Angular_frequency!N274</f>
        <v>15.11734311</v>
      </c>
      <c r="O274" s="2">
        <f>6.283185*Angular_frequency!O274</f>
        <v>19.628669939999998</v>
      </c>
      <c r="P274" s="2">
        <f>6.283185*Angular_frequency!P274</f>
        <v>26.54017344</v>
      </c>
      <c r="Q274" s="2">
        <f>6.283185*Angular_frequency!Q274</f>
        <v>35.311499699999999</v>
      </c>
      <c r="R274" s="2">
        <f>6.283185*Angular_frequency!R274</f>
        <v>47.745922815</v>
      </c>
      <c r="S274" s="2">
        <f>6.283185*Angular_frequency!S274</f>
        <v>64.566009059999999</v>
      </c>
      <c r="T274" s="2">
        <f>6.283185*Angular_frequency!T274</f>
        <v>84.502555064999996</v>
      </c>
      <c r="U274" s="2">
        <f>6.283185*Angular_frequency!U274</f>
        <v>112.41874601999999</v>
      </c>
      <c r="V274" s="2">
        <f>6.283185*Angular_frequency!V274</f>
        <v>150.77759044499999</v>
      </c>
      <c r="W274" s="2">
        <f>6.283185*Angular_frequency!W274</f>
        <v>200.590681125</v>
      </c>
      <c r="X274" s="2">
        <f>6.283185*Angular_frequency!X274</f>
        <v>271.24509645000001</v>
      </c>
      <c r="Y274" s="2">
        <f>6.283185*Angular_frequency!Y274</f>
        <v>363.80897786999998</v>
      </c>
      <c r="Z274" s="2">
        <f>6.283185*Angular_frequency!Z274</f>
        <v>480.06046673999992</v>
      </c>
      <c r="AA274" s="236">
        <f>6.283185*Angular_frequency!AA274</f>
        <v>628.31849999999997</v>
      </c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12"/>
      <c r="AU274" s="2"/>
    </row>
    <row r="275" spans="1:47" ht="15.75" customHeight="1">
      <c r="A275" s="196">
        <v>47</v>
      </c>
      <c r="B275" s="201" t="s">
        <v>225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36"/>
      <c r="AB275" s="2"/>
    </row>
    <row r="276" spans="1:47" ht="15.75" customHeight="1">
      <c r="A276" s="196">
        <v>47</v>
      </c>
      <c r="B276" s="201" t="s">
        <v>228</v>
      </c>
      <c r="C276" s="2"/>
      <c r="D276" s="2"/>
      <c r="E276" s="2"/>
      <c r="F276" s="2"/>
      <c r="G276" s="2"/>
      <c r="H276" s="2"/>
      <c r="I276" s="2"/>
      <c r="J276" s="2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237"/>
      <c r="AB276" s="2"/>
    </row>
    <row r="277" spans="1:47" ht="15.75" customHeight="1">
      <c r="A277" s="199">
        <v>48</v>
      </c>
      <c r="B277" s="200">
        <v>1</v>
      </c>
      <c r="C277" s="234">
        <v>0.1</v>
      </c>
      <c r="D277" s="234">
        <v>0.251</v>
      </c>
      <c r="E277" s="234">
        <v>0.35899999999999999</v>
      </c>
      <c r="F277" s="234">
        <v>0.95399999999999996</v>
      </c>
      <c r="G277" s="234">
        <v>3.569</v>
      </c>
      <c r="H277" s="234">
        <v>12.494999999999999</v>
      </c>
      <c r="I277" s="234">
        <v>38.911999999999999</v>
      </c>
      <c r="J277" s="235">
        <v>100</v>
      </c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47" ht="15.75" customHeight="1">
      <c r="A278" s="196">
        <v>48</v>
      </c>
      <c r="B278" s="201">
        <v>2</v>
      </c>
      <c r="C278" s="2">
        <v>0.1</v>
      </c>
      <c r="D278" s="2">
        <v>0.251</v>
      </c>
      <c r="E278" s="2">
        <v>0.35899999999999999</v>
      </c>
      <c r="F278" s="2">
        <v>0.95399999999999996</v>
      </c>
      <c r="G278" s="2">
        <v>3.569</v>
      </c>
      <c r="H278" s="2">
        <v>12.494999999999999</v>
      </c>
      <c r="I278" s="2">
        <v>38.911999999999999</v>
      </c>
      <c r="J278" s="236">
        <v>100</v>
      </c>
      <c r="K278" s="2"/>
    </row>
    <row r="279" spans="1:47" ht="15.75" customHeight="1">
      <c r="A279" s="196">
        <v>48</v>
      </c>
      <c r="B279" s="201">
        <v>3</v>
      </c>
      <c r="C279" s="2">
        <v>0.1</v>
      </c>
      <c r="D279" s="2">
        <v>0.251</v>
      </c>
      <c r="E279" s="2">
        <v>0.35899999999999999</v>
      </c>
      <c r="F279" s="2">
        <v>0.95399999999999996</v>
      </c>
      <c r="G279" s="2">
        <v>3.569</v>
      </c>
      <c r="H279" s="2">
        <v>12.494999999999999</v>
      </c>
      <c r="I279" s="2">
        <v>38.911999999999999</v>
      </c>
      <c r="J279" s="236">
        <v>100</v>
      </c>
      <c r="K279" s="2"/>
    </row>
    <row r="280" spans="1:47" ht="15.75" customHeight="1">
      <c r="A280" s="196">
        <v>48</v>
      </c>
      <c r="B280" s="201">
        <v>4</v>
      </c>
      <c r="C280" s="2">
        <v>0.1</v>
      </c>
      <c r="D280" s="2">
        <v>0.27500000000000002</v>
      </c>
      <c r="E280" s="2">
        <v>0.85499999999999998</v>
      </c>
      <c r="F280" s="2">
        <v>2.57</v>
      </c>
      <c r="G280" s="2">
        <v>9.8940000000000001</v>
      </c>
      <c r="H280" s="2">
        <v>24.369</v>
      </c>
      <c r="I280" s="2">
        <v>51.991999999999997</v>
      </c>
      <c r="J280" s="236">
        <v>100</v>
      </c>
      <c r="K280" s="2"/>
    </row>
    <row r="281" spans="1:47" ht="15.75" customHeight="1">
      <c r="A281" s="196">
        <v>48</v>
      </c>
      <c r="B281" s="201">
        <v>5</v>
      </c>
      <c r="C281" s="2">
        <v>0.1</v>
      </c>
      <c r="D281" s="2">
        <v>0.27500000000000002</v>
      </c>
      <c r="E281" s="2">
        <v>0.85499999999999998</v>
      </c>
      <c r="F281" s="2">
        <v>2.57</v>
      </c>
      <c r="G281" s="2">
        <v>9.8940000000000001</v>
      </c>
      <c r="H281" s="2">
        <v>24.369</v>
      </c>
      <c r="I281" s="2">
        <v>51.991999999999997</v>
      </c>
      <c r="J281" s="236">
        <v>100</v>
      </c>
      <c r="K281" s="2"/>
    </row>
    <row r="282" spans="1:47" ht="15.75" customHeight="1">
      <c r="A282" s="196">
        <v>48</v>
      </c>
      <c r="B282" s="201">
        <v>6</v>
      </c>
      <c r="C282" s="2">
        <v>0.1</v>
      </c>
      <c r="D282" s="2">
        <v>0.27500000000000002</v>
      </c>
      <c r="E282" s="2">
        <v>0.85499999999999998</v>
      </c>
      <c r="F282" s="2">
        <v>2.57</v>
      </c>
      <c r="G282" s="2">
        <v>9.8940000000000001</v>
      </c>
      <c r="H282" s="2">
        <v>24.369</v>
      </c>
      <c r="I282" s="2">
        <v>51.991999999999997</v>
      </c>
      <c r="J282" s="236">
        <v>100</v>
      </c>
      <c r="K282" s="2"/>
    </row>
    <row r="283" spans="1:47" ht="15.75" customHeight="1">
      <c r="A283" s="196">
        <v>48</v>
      </c>
      <c r="B283" s="201">
        <v>7</v>
      </c>
      <c r="C283" s="2">
        <v>0.1</v>
      </c>
      <c r="D283" s="2">
        <v>0.27500000000000002</v>
      </c>
      <c r="E283" s="2">
        <v>0.85499999999999998</v>
      </c>
      <c r="F283" s="2">
        <v>2.57</v>
      </c>
      <c r="G283" s="2">
        <v>9.8940000000000001</v>
      </c>
      <c r="H283" s="2">
        <v>24.369</v>
      </c>
      <c r="I283" s="2">
        <v>51.991999999999997</v>
      </c>
      <c r="J283" s="236">
        <v>100</v>
      </c>
      <c r="K283" s="2"/>
    </row>
    <row r="284" spans="1:47" ht="15.75" customHeight="1">
      <c r="A284" s="196">
        <v>48</v>
      </c>
      <c r="B284" s="201">
        <v>8</v>
      </c>
      <c r="C284" s="2">
        <v>0.1</v>
      </c>
      <c r="D284" s="2">
        <v>0.31</v>
      </c>
      <c r="E284" s="2">
        <v>0.80600000000000005</v>
      </c>
      <c r="F284" s="2">
        <v>2.625</v>
      </c>
      <c r="G284" s="2">
        <v>9.6560000000000006</v>
      </c>
      <c r="H284" s="2">
        <v>29.244</v>
      </c>
      <c r="I284" s="2">
        <v>65.664000000000001</v>
      </c>
      <c r="J284" s="236">
        <v>100</v>
      </c>
      <c r="K284" s="2"/>
    </row>
    <row r="285" spans="1:47" ht="15.75" customHeight="1">
      <c r="A285" s="196">
        <v>48</v>
      </c>
      <c r="B285" s="201">
        <v>9</v>
      </c>
      <c r="C285" s="2">
        <v>0.1</v>
      </c>
      <c r="D285" s="2">
        <v>0.31</v>
      </c>
      <c r="E285" s="2">
        <v>0.80600000000000005</v>
      </c>
      <c r="F285" s="2">
        <v>2.625</v>
      </c>
      <c r="G285" s="2">
        <v>9.6560000000000006</v>
      </c>
      <c r="H285" s="2">
        <v>29.244</v>
      </c>
      <c r="I285" s="2">
        <v>65.664000000000001</v>
      </c>
      <c r="J285" s="236">
        <v>100</v>
      </c>
      <c r="K285" s="2"/>
    </row>
    <row r="286" spans="1:47" ht="15.75" customHeight="1">
      <c r="A286" s="196">
        <v>48</v>
      </c>
      <c r="B286" s="201">
        <v>10</v>
      </c>
      <c r="C286" s="2">
        <v>0.1</v>
      </c>
      <c r="D286" s="2">
        <v>0.31</v>
      </c>
      <c r="E286" s="2">
        <v>0.80600000000000005</v>
      </c>
      <c r="F286" s="2">
        <v>2.625</v>
      </c>
      <c r="G286" s="2">
        <v>9.6560000000000006</v>
      </c>
      <c r="H286" s="2">
        <v>29.244</v>
      </c>
      <c r="I286" s="2">
        <v>65.664000000000001</v>
      </c>
      <c r="J286" s="236">
        <v>100</v>
      </c>
      <c r="K286" s="2"/>
    </row>
    <row r="287" spans="1:47" ht="15.75" customHeight="1">
      <c r="A287" s="196">
        <v>48</v>
      </c>
      <c r="B287" s="201">
        <v>11</v>
      </c>
      <c r="C287" s="2">
        <v>0.1</v>
      </c>
      <c r="D287" s="2">
        <v>0.31</v>
      </c>
      <c r="E287" s="2">
        <v>0.80600000000000005</v>
      </c>
      <c r="F287" s="2">
        <v>2.625</v>
      </c>
      <c r="G287" s="2">
        <v>9.6560000000000006</v>
      </c>
      <c r="H287" s="2">
        <v>29.244</v>
      </c>
      <c r="I287" s="2">
        <v>65.664000000000001</v>
      </c>
      <c r="J287" s="236">
        <v>100</v>
      </c>
      <c r="K287" s="2"/>
    </row>
    <row r="288" spans="1:47" ht="15.75" customHeight="1">
      <c r="A288" s="196">
        <v>48</v>
      </c>
      <c r="B288" s="201">
        <v>12</v>
      </c>
      <c r="C288" s="2">
        <v>0.1</v>
      </c>
      <c r="D288" s="2">
        <v>0.31</v>
      </c>
      <c r="E288" s="2">
        <v>0.80600000000000005</v>
      </c>
      <c r="F288" s="2">
        <v>2.625</v>
      </c>
      <c r="G288" s="2">
        <v>9.6560000000000006</v>
      </c>
      <c r="H288" s="2">
        <v>29.244</v>
      </c>
      <c r="I288" s="2">
        <v>65.664000000000001</v>
      </c>
      <c r="J288" s="236">
        <v>100</v>
      </c>
      <c r="K288" s="2"/>
      <c r="L288" s="2"/>
      <c r="M288" s="2"/>
      <c r="N288" s="2"/>
      <c r="O288" s="2"/>
      <c r="P288" s="2"/>
      <c r="Q288" s="2"/>
      <c r="R288" s="2"/>
    </row>
    <row r="289" spans="1:47" ht="15.75" customHeight="1">
      <c r="A289" s="309">
        <v>49</v>
      </c>
      <c r="B289" s="74">
        <v>1</v>
      </c>
      <c r="C289" s="234">
        <f>6.283185*Angular_frequency!C289</f>
        <v>6.2831849999999995E-2</v>
      </c>
      <c r="D289" s="234">
        <f>6.283185*Angular_frequency!D289</f>
        <v>0.11309732999999998</v>
      </c>
      <c r="E289" s="234">
        <f>6.283185*Angular_frequency!E289</f>
        <v>0.19477873499999998</v>
      </c>
      <c r="F289" s="234">
        <f>6.283185*Angular_frequency!F289</f>
        <v>0.34557517499999996</v>
      </c>
      <c r="G289" s="234">
        <f>6.283185*Angular_frequency!G289</f>
        <v>0.60946894499999993</v>
      </c>
      <c r="H289" s="234">
        <f>6.283185*Angular_frequency!H289</f>
        <v>1.0869910049999998</v>
      </c>
      <c r="I289" s="234">
        <f>6.283185*Angular_frequency!I289</f>
        <v>1.9540705349999998</v>
      </c>
      <c r="J289" s="234">
        <f>6.283185*Angular_frequency!J289</f>
        <v>3.4620349350000001</v>
      </c>
      <c r="K289" s="234">
        <f>6.283185*Angular_frequency!K289</f>
        <v>6.1952204099999992</v>
      </c>
      <c r="L289" s="234">
        <f>6.283185*Angular_frequency!L289</f>
        <v>10.976724194999999</v>
      </c>
      <c r="M289" s="234">
        <f>6.283185*Angular_frequency!M289</f>
        <v>19.27681158</v>
      </c>
      <c r="N289" s="234">
        <f>6.283185*Angular_frequency!N289</f>
        <v>34.846544010000002</v>
      </c>
      <c r="O289" s="234">
        <f>6.283185*Angular_frequency!O289</f>
        <v>61.179372344999997</v>
      </c>
      <c r="P289" s="234">
        <f>6.283185*Angular_frequency!P289</f>
        <v>109.51591454999999</v>
      </c>
      <c r="Q289" s="234">
        <f>6.283185*Angular_frequency!Q289</f>
        <v>194.16298286999998</v>
      </c>
      <c r="R289" s="235">
        <f>6.283185*Angular_frequency!R289</f>
        <v>344.23057340999998</v>
      </c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2"/>
      <c r="AU289" s="2"/>
    </row>
    <row r="290" spans="1:47" ht="15.75" customHeight="1">
      <c r="A290" s="238">
        <v>49</v>
      </c>
      <c r="B290" s="75">
        <v>2</v>
      </c>
      <c r="C290" s="2">
        <f>6.283185*Angular_frequency!C290</f>
        <v>6.2831849999999995E-2</v>
      </c>
      <c r="D290" s="2">
        <f>6.283185*Angular_frequency!D290</f>
        <v>0.11309732999999998</v>
      </c>
      <c r="E290" s="2">
        <f>6.283185*Angular_frequency!E290</f>
        <v>0.19477873499999998</v>
      </c>
      <c r="F290" s="2">
        <f>6.283185*Angular_frequency!F290</f>
        <v>0.34557517499999996</v>
      </c>
      <c r="G290" s="2">
        <f>6.283185*Angular_frequency!G290</f>
        <v>0.60946894499999993</v>
      </c>
      <c r="H290" s="2">
        <f>6.283185*Angular_frequency!H290</f>
        <v>1.0869910049999998</v>
      </c>
      <c r="I290" s="2">
        <f>6.283185*Angular_frequency!I290</f>
        <v>1.9540705349999998</v>
      </c>
      <c r="J290" s="2">
        <f>6.283185*Angular_frequency!J290</f>
        <v>3.4620349350000001</v>
      </c>
      <c r="K290" s="2">
        <f>6.283185*Angular_frequency!K290</f>
        <v>6.1952204099999992</v>
      </c>
      <c r="L290" s="2">
        <f>6.283185*Angular_frequency!L290</f>
        <v>10.976724194999999</v>
      </c>
      <c r="M290" s="2">
        <f>6.283185*Angular_frequency!M290</f>
        <v>19.27681158</v>
      </c>
      <c r="N290" s="2">
        <f>6.283185*Angular_frequency!N290</f>
        <v>34.846544010000002</v>
      </c>
      <c r="O290" s="2">
        <f>6.283185*Angular_frequency!O290</f>
        <v>61.179372344999997</v>
      </c>
      <c r="P290" s="2">
        <f>6.283185*Angular_frequency!P290</f>
        <v>109.51591454999999</v>
      </c>
      <c r="Q290" s="2">
        <f>6.283185*Angular_frequency!Q290</f>
        <v>194.16298286999998</v>
      </c>
      <c r="R290" s="236">
        <f>6.283185*Angular_frequency!R290</f>
        <v>344.23057340999998</v>
      </c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2"/>
      <c r="AU290" s="2"/>
    </row>
    <row r="291" spans="1:47" ht="15.75" customHeight="1">
      <c r="A291" s="238">
        <v>49</v>
      </c>
      <c r="B291" s="75">
        <v>3</v>
      </c>
      <c r="C291" s="2">
        <f>6.283185*Angular_frequency!C291</f>
        <v>6.2831849999999995E-2</v>
      </c>
      <c r="D291" s="2">
        <f>6.283185*Angular_frequency!D291</f>
        <v>0.11309732999999998</v>
      </c>
      <c r="E291" s="2">
        <f>6.283185*Angular_frequency!E291</f>
        <v>0.19477873499999998</v>
      </c>
      <c r="F291" s="2">
        <f>6.283185*Angular_frequency!F291</f>
        <v>0.34557517499999996</v>
      </c>
      <c r="G291" s="2">
        <f>6.283185*Angular_frequency!G291</f>
        <v>0.60946894499999993</v>
      </c>
      <c r="H291" s="2">
        <f>6.283185*Angular_frequency!H291</f>
        <v>1.0869910049999998</v>
      </c>
      <c r="I291" s="2">
        <f>6.283185*Angular_frequency!I291</f>
        <v>1.9540705349999998</v>
      </c>
      <c r="J291" s="2">
        <f>6.283185*Angular_frequency!J291</f>
        <v>3.4620349350000001</v>
      </c>
      <c r="K291" s="2">
        <f>6.283185*Angular_frequency!K291</f>
        <v>6.1952204099999992</v>
      </c>
      <c r="L291" s="2">
        <f>6.283185*Angular_frequency!L291</f>
        <v>10.976724194999999</v>
      </c>
      <c r="M291" s="2">
        <f>6.283185*Angular_frequency!M291</f>
        <v>19.27681158</v>
      </c>
      <c r="N291" s="2">
        <f>6.283185*Angular_frequency!N291</f>
        <v>34.846544010000002</v>
      </c>
      <c r="O291" s="2">
        <f>6.283185*Angular_frequency!O291</f>
        <v>61.179372344999997</v>
      </c>
      <c r="P291" s="2">
        <f>6.283185*Angular_frequency!P291</f>
        <v>109.51591454999999</v>
      </c>
      <c r="Q291" s="2">
        <f>6.283185*Angular_frequency!Q291</f>
        <v>194.16298286999998</v>
      </c>
      <c r="R291" s="236">
        <f>6.283185*Angular_frequency!R291</f>
        <v>344.23057340999998</v>
      </c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2"/>
      <c r="AU291" s="2"/>
    </row>
    <row r="292" spans="1:47" ht="15.75" customHeight="1">
      <c r="A292" s="311">
        <v>49</v>
      </c>
      <c r="B292" s="231">
        <v>4</v>
      </c>
      <c r="C292" s="34">
        <f>6.283185*Angular_frequency!C292</f>
        <v>6.2831849999999995E-2</v>
      </c>
      <c r="D292" s="34">
        <f>6.283185*Angular_frequency!D292</f>
        <v>0.11309732999999998</v>
      </c>
      <c r="E292" s="34">
        <f>6.283185*Angular_frequency!E292</f>
        <v>0.19477873499999998</v>
      </c>
      <c r="F292" s="34">
        <f>6.283185*Angular_frequency!F292</f>
        <v>0.34557517499999996</v>
      </c>
      <c r="G292" s="34">
        <f>6.283185*Angular_frequency!G292</f>
        <v>0.60946894499999993</v>
      </c>
      <c r="H292" s="34">
        <f>6.283185*Angular_frequency!H292</f>
        <v>1.0869910049999998</v>
      </c>
      <c r="I292" s="34">
        <f>6.283185*Angular_frequency!I292</f>
        <v>1.9540705349999998</v>
      </c>
      <c r="J292" s="34">
        <f>6.283185*Angular_frequency!J292</f>
        <v>3.4620349350000001</v>
      </c>
      <c r="K292" s="34">
        <f>6.283185*Angular_frequency!K292</f>
        <v>6.1952204099999992</v>
      </c>
      <c r="L292" s="34">
        <f>6.283185*Angular_frequency!L292</f>
        <v>10.976724194999999</v>
      </c>
      <c r="M292" s="34">
        <f>6.283185*Angular_frequency!M292</f>
        <v>19.27681158</v>
      </c>
      <c r="N292" s="34">
        <f>6.283185*Angular_frequency!N292</f>
        <v>34.846544010000002</v>
      </c>
      <c r="O292" s="34">
        <f>6.283185*Angular_frequency!O292</f>
        <v>61.179372344999997</v>
      </c>
      <c r="P292" s="34">
        <f>6.283185*Angular_frequency!P292</f>
        <v>109.51591454999999</v>
      </c>
      <c r="Q292" s="34">
        <f>6.283185*Angular_frequency!Q292</f>
        <v>194.16298286999998</v>
      </c>
      <c r="R292" s="237">
        <f>6.283185*Angular_frequency!R292</f>
        <v>344.23057340999998</v>
      </c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2"/>
      <c r="AU292" s="2"/>
    </row>
    <row r="293" spans="1:47" ht="15.75" customHeight="1">
      <c r="A293" s="228">
        <v>50</v>
      </c>
      <c r="B293" s="75">
        <v>1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47" ht="15.75" customHeight="1">
      <c r="A294" s="228">
        <v>50</v>
      </c>
      <c r="B294" s="75">
        <v>2</v>
      </c>
    </row>
    <row r="295" spans="1:47" ht="15.75" customHeight="1">
      <c r="A295" s="228">
        <v>50</v>
      </c>
      <c r="B295" s="75">
        <v>3</v>
      </c>
    </row>
    <row r="296" spans="1:47" ht="15.75" customHeight="1">
      <c r="A296" s="228">
        <v>50</v>
      </c>
      <c r="B296" s="75">
        <v>4</v>
      </c>
    </row>
    <row r="297" spans="1:47" ht="15.75" customHeight="1">
      <c r="A297" s="229">
        <v>51</v>
      </c>
      <c r="B297" s="74">
        <v>1</v>
      </c>
    </row>
    <row r="298" spans="1:47" ht="15.75" customHeight="1">
      <c r="A298" s="228">
        <v>51</v>
      </c>
      <c r="B298" s="75">
        <v>2</v>
      </c>
    </row>
    <row r="299" spans="1:47" ht="15.75" customHeight="1">
      <c r="A299" s="228">
        <v>51</v>
      </c>
      <c r="B299" s="75">
        <v>3</v>
      </c>
    </row>
    <row r="300" spans="1:47" ht="15.75" customHeight="1">
      <c r="A300" s="228">
        <v>51</v>
      </c>
      <c r="B300" s="75">
        <v>4</v>
      </c>
    </row>
    <row r="301" spans="1:47" ht="15.75" customHeight="1">
      <c r="A301" s="228">
        <v>51</v>
      </c>
      <c r="B301" s="75">
        <v>5</v>
      </c>
    </row>
    <row r="302" spans="1:47" ht="15.75" customHeight="1">
      <c r="A302" s="228">
        <v>51</v>
      </c>
      <c r="B302" s="75">
        <v>6</v>
      </c>
    </row>
    <row r="303" spans="1:47" ht="15.75" customHeight="1">
      <c r="A303" s="228">
        <v>51</v>
      </c>
      <c r="B303" s="75">
        <v>7</v>
      </c>
    </row>
    <row r="304" spans="1:47" ht="15.75" customHeight="1">
      <c r="A304" s="272">
        <v>52</v>
      </c>
      <c r="B304" s="200">
        <v>1</v>
      </c>
    </row>
    <row r="305" spans="1:19" ht="15.75" customHeight="1">
      <c r="A305" s="233">
        <v>52</v>
      </c>
      <c r="B305" s="201">
        <v>2</v>
      </c>
    </row>
    <row r="306" spans="1:19" ht="15.75" customHeight="1">
      <c r="A306" s="233">
        <v>52</v>
      </c>
      <c r="B306" s="201">
        <v>3</v>
      </c>
    </row>
    <row r="307" spans="1:19" ht="15.75" customHeight="1">
      <c r="A307" s="241">
        <v>52</v>
      </c>
      <c r="B307" s="202">
        <v>4</v>
      </c>
    </row>
    <row r="308" spans="1:19" ht="15.75" customHeight="1">
      <c r="A308" s="233">
        <v>53</v>
      </c>
      <c r="B308" s="201">
        <v>1</v>
      </c>
    </row>
    <row r="309" spans="1:19" ht="15.75" customHeight="1">
      <c r="A309" s="233">
        <v>53</v>
      </c>
      <c r="B309" s="201">
        <v>2</v>
      </c>
    </row>
    <row r="310" spans="1:19" ht="15.75" customHeight="1">
      <c r="A310" s="233">
        <v>53</v>
      </c>
      <c r="B310" s="201">
        <v>3</v>
      </c>
    </row>
    <row r="311" spans="1:19" ht="15.75" customHeight="1">
      <c r="A311" s="233">
        <v>53</v>
      </c>
      <c r="B311" s="201">
        <v>4</v>
      </c>
    </row>
    <row r="312" spans="1:19" ht="15.75" customHeight="1">
      <c r="A312" s="241">
        <v>53</v>
      </c>
      <c r="B312" s="202">
        <v>5</v>
      </c>
    </row>
    <row r="313" spans="1:19" ht="15.75" customHeight="1">
      <c r="A313" s="229">
        <v>54</v>
      </c>
      <c r="B313" s="200">
        <v>1</v>
      </c>
    </row>
    <row r="314" spans="1:19" ht="15.75" customHeight="1">
      <c r="A314" s="228">
        <v>54</v>
      </c>
      <c r="B314" s="201">
        <v>2</v>
      </c>
    </row>
    <row r="315" spans="1:19" ht="15.75" customHeight="1">
      <c r="A315" s="228">
        <v>54</v>
      </c>
      <c r="B315" s="201">
        <v>3</v>
      </c>
    </row>
    <row r="316" spans="1:19" ht="15.75" customHeight="1">
      <c r="A316" s="228">
        <v>54</v>
      </c>
      <c r="B316" s="201">
        <v>4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9" ht="15.75" customHeight="1">
      <c r="A317" s="199">
        <v>55</v>
      </c>
      <c r="B317" s="200" t="s">
        <v>221</v>
      </c>
      <c r="C317" s="227">
        <v>0.1</v>
      </c>
      <c r="D317" s="227">
        <v>0.161</v>
      </c>
      <c r="E317" s="227">
        <v>0.255</v>
      </c>
      <c r="F317" s="227">
        <v>0.40300000000000002</v>
      </c>
      <c r="G317" s="227">
        <v>0.63800000000000001</v>
      </c>
      <c r="H317" s="227">
        <v>1.034</v>
      </c>
      <c r="I317" s="227">
        <v>1.5980000000000001</v>
      </c>
      <c r="J317" s="227">
        <v>2.4990000000000001</v>
      </c>
      <c r="K317" s="227">
        <v>4.0019999999999998</v>
      </c>
      <c r="L317" s="227">
        <v>6.4080000000000004</v>
      </c>
      <c r="M317" s="227">
        <v>10.023999999999999</v>
      </c>
      <c r="N317" s="227">
        <v>16.052</v>
      </c>
      <c r="O317" s="227">
        <v>25.404</v>
      </c>
      <c r="P317" s="227">
        <v>40.206000000000003</v>
      </c>
      <c r="Q317" s="227">
        <v>62.887999999999998</v>
      </c>
      <c r="R317" s="215">
        <v>100</v>
      </c>
      <c r="S317" s="2"/>
    </row>
    <row r="318" spans="1:19" ht="15.75" customHeight="1">
      <c r="A318" s="196">
        <v>55</v>
      </c>
      <c r="B318" s="201" t="s">
        <v>222</v>
      </c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218"/>
      <c r="S318" s="2"/>
    </row>
    <row r="319" spans="1:19" ht="15.75" customHeight="1">
      <c r="A319" s="196">
        <v>55</v>
      </c>
      <c r="B319" s="201" t="s">
        <v>223</v>
      </c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218"/>
      <c r="S319" s="2"/>
    </row>
    <row r="320" spans="1:19" ht="15.75" customHeight="1">
      <c r="A320" s="196">
        <v>55</v>
      </c>
      <c r="B320" s="201" t="s">
        <v>225</v>
      </c>
      <c r="C320" s="12">
        <v>0.1</v>
      </c>
      <c r="D320" s="12">
        <v>0.161</v>
      </c>
      <c r="E320" s="12">
        <v>0.255</v>
      </c>
      <c r="F320" s="12">
        <v>0.40300000000000002</v>
      </c>
      <c r="G320" s="12">
        <v>0.63800000000000001</v>
      </c>
      <c r="H320" s="12">
        <v>1.034</v>
      </c>
      <c r="I320" s="12">
        <v>1.5980000000000001</v>
      </c>
      <c r="J320" s="12">
        <v>2.4990000000000001</v>
      </c>
      <c r="K320" s="12">
        <v>4.0019999999999998</v>
      </c>
      <c r="L320" s="12">
        <v>6.4080000000000004</v>
      </c>
      <c r="M320" s="12">
        <v>10.023999999999999</v>
      </c>
      <c r="N320" s="12">
        <v>16.052</v>
      </c>
      <c r="O320" s="12">
        <v>25.404</v>
      </c>
      <c r="P320" s="12">
        <v>40.206000000000003</v>
      </c>
      <c r="Q320" s="12">
        <v>62.887999999999998</v>
      </c>
      <c r="R320" s="218">
        <v>100</v>
      </c>
      <c r="S320" s="2"/>
    </row>
    <row r="321" spans="1:47" ht="15.75" customHeight="1">
      <c r="A321" s="196">
        <v>55</v>
      </c>
      <c r="B321" s="201" t="s">
        <v>226</v>
      </c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218"/>
      <c r="S321" s="2"/>
    </row>
    <row r="322" spans="1:47" ht="15.75" customHeight="1">
      <c r="A322" s="196">
        <v>55</v>
      </c>
      <c r="B322" s="201" t="s">
        <v>227</v>
      </c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218"/>
      <c r="S322" s="2"/>
    </row>
    <row r="323" spans="1:47" ht="15.75" customHeight="1">
      <c r="A323" s="196">
        <v>55</v>
      </c>
      <c r="B323" s="201" t="s">
        <v>231</v>
      </c>
      <c r="C323" s="12">
        <v>0.1</v>
      </c>
      <c r="D323" s="12">
        <v>0.161</v>
      </c>
      <c r="E323" s="12">
        <v>0.255</v>
      </c>
      <c r="F323" s="12">
        <v>0.40300000000000002</v>
      </c>
      <c r="G323" s="12">
        <v>0.63800000000000001</v>
      </c>
      <c r="H323" s="12">
        <v>1.034</v>
      </c>
      <c r="I323" s="12">
        <v>1.5980000000000001</v>
      </c>
      <c r="J323" s="12">
        <v>2.4990000000000001</v>
      </c>
      <c r="K323" s="12">
        <v>4.0019999999999998</v>
      </c>
      <c r="L323" s="12">
        <v>6.4080000000000004</v>
      </c>
      <c r="M323" s="12">
        <v>10.023999999999999</v>
      </c>
      <c r="N323" s="12">
        <v>16.052</v>
      </c>
      <c r="O323" s="12">
        <v>25.404</v>
      </c>
      <c r="P323" s="12">
        <v>40.206000000000003</v>
      </c>
      <c r="Q323" s="12">
        <v>62.887999999999998</v>
      </c>
      <c r="R323" s="218">
        <v>100</v>
      </c>
      <c r="S323" s="2"/>
    </row>
    <row r="324" spans="1:47" ht="15.75" customHeight="1">
      <c r="A324" s="196">
        <v>55</v>
      </c>
      <c r="B324" s="201" t="s">
        <v>232</v>
      </c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218"/>
      <c r="S324" s="2"/>
    </row>
    <row r="325" spans="1:47" ht="15.75" customHeight="1">
      <c r="A325" s="196">
        <v>55</v>
      </c>
      <c r="B325" s="201" t="s">
        <v>233</v>
      </c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218"/>
      <c r="S325" s="2"/>
    </row>
    <row r="326" spans="1:47" ht="15.75" customHeight="1">
      <c r="A326" s="199">
        <v>56</v>
      </c>
      <c r="B326" s="200" t="s">
        <v>221</v>
      </c>
      <c r="C326" s="234"/>
      <c r="D326" s="234"/>
      <c r="E326" s="234"/>
      <c r="F326" s="234"/>
      <c r="G326" s="234"/>
      <c r="H326" s="234"/>
      <c r="I326" s="234"/>
      <c r="J326" s="234"/>
      <c r="K326" s="234"/>
      <c r="L326" s="234"/>
      <c r="M326" s="234"/>
      <c r="N326" s="234"/>
      <c r="O326" s="234"/>
      <c r="P326" s="234"/>
      <c r="Q326" s="234"/>
      <c r="R326" s="235"/>
      <c r="S326" s="2"/>
    </row>
    <row r="327" spans="1:47" ht="15.75" customHeight="1">
      <c r="A327" s="197">
        <v>56</v>
      </c>
      <c r="B327" s="202" t="s">
        <v>225</v>
      </c>
      <c r="C327" s="27">
        <v>0.10199999999999999</v>
      </c>
      <c r="D327" s="27">
        <v>0.16</v>
      </c>
      <c r="E327" s="27">
        <v>0.252</v>
      </c>
      <c r="F327" s="27">
        <v>0.39600000000000002</v>
      </c>
      <c r="G327" s="27">
        <v>0.63400000000000001</v>
      </c>
      <c r="H327" s="27">
        <v>1.016</v>
      </c>
      <c r="I327" s="27">
        <v>1.597</v>
      </c>
      <c r="J327" s="27">
        <v>2.581</v>
      </c>
      <c r="K327" s="27">
        <v>4.0579999999999998</v>
      </c>
      <c r="L327" s="27">
        <v>6.62</v>
      </c>
      <c r="M327" s="27">
        <v>10.313000000000001</v>
      </c>
      <c r="N327" s="27">
        <v>16.065000000000001</v>
      </c>
      <c r="O327" s="27">
        <v>25.728999999999999</v>
      </c>
      <c r="P327" s="27">
        <v>40.828000000000003</v>
      </c>
      <c r="Q327" s="27">
        <v>65.39</v>
      </c>
      <c r="R327" s="221">
        <v>100</v>
      </c>
      <c r="S327" s="2"/>
    </row>
    <row r="328" spans="1:47" ht="15.75" customHeight="1">
      <c r="A328" s="196">
        <v>57</v>
      </c>
      <c r="B328" s="201">
        <v>1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47" ht="15.75" customHeight="1">
      <c r="A329" s="196">
        <v>57</v>
      </c>
      <c r="B329" s="201">
        <v>2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47" ht="15.75" customHeight="1">
      <c r="A330" s="229">
        <v>58</v>
      </c>
      <c r="B330" s="74">
        <v>1</v>
      </c>
      <c r="C330" s="234">
        <v>1</v>
      </c>
      <c r="D330" s="234">
        <v>1.581</v>
      </c>
      <c r="E330" s="234">
        <v>2.5499999999999998</v>
      </c>
      <c r="F330" s="234">
        <v>3.9220000000000002</v>
      </c>
      <c r="G330" s="234">
        <v>6.37</v>
      </c>
      <c r="H330" s="234">
        <v>10</v>
      </c>
      <c r="I330" s="234">
        <v>15.805999999999999</v>
      </c>
      <c r="J330" s="234">
        <v>24.981999999999999</v>
      </c>
      <c r="K330" s="234">
        <v>40.302999999999997</v>
      </c>
      <c r="L330" s="234">
        <v>62.41</v>
      </c>
      <c r="M330" s="235">
        <v>100</v>
      </c>
      <c r="N330" s="2"/>
    </row>
    <row r="331" spans="1:47" ht="15.75" customHeight="1">
      <c r="A331" s="228">
        <v>58</v>
      </c>
      <c r="B331" s="75">
        <v>2</v>
      </c>
      <c r="C331" s="2">
        <v>1</v>
      </c>
      <c r="D331" s="2">
        <v>1.581</v>
      </c>
      <c r="E331" s="2">
        <v>2.5499999999999998</v>
      </c>
      <c r="F331" s="2">
        <v>3.9220000000000002</v>
      </c>
      <c r="G331" s="2">
        <v>6.37</v>
      </c>
      <c r="H331" s="2">
        <v>10</v>
      </c>
      <c r="I331" s="2">
        <v>15.805999999999999</v>
      </c>
      <c r="J331" s="2">
        <v>24.981999999999999</v>
      </c>
      <c r="K331" s="2">
        <v>40.302999999999997</v>
      </c>
      <c r="L331" s="2">
        <v>62.41</v>
      </c>
      <c r="M331" s="236">
        <v>100</v>
      </c>
      <c r="N331" s="2"/>
    </row>
    <row r="332" spans="1:47" ht="15.75" customHeight="1">
      <c r="A332" s="228">
        <v>58</v>
      </c>
      <c r="B332" s="75">
        <v>3</v>
      </c>
      <c r="C332" s="2">
        <v>1</v>
      </c>
      <c r="D332" s="2">
        <v>1.581</v>
      </c>
      <c r="E332" s="2">
        <v>2.5499999999999998</v>
      </c>
      <c r="F332" s="2">
        <v>3.9220000000000002</v>
      </c>
      <c r="G332" s="2">
        <v>6.37</v>
      </c>
      <c r="H332" s="2">
        <v>10</v>
      </c>
      <c r="I332" s="2">
        <v>15.805999999999999</v>
      </c>
      <c r="J332" s="2">
        <v>24.981999999999999</v>
      </c>
      <c r="K332" s="2">
        <v>40.302999999999997</v>
      </c>
      <c r="L332" s="2">
        <v>62.41</v>
      </c>
      <c r="M332" s="236">
        <v>100</v>
      </c>
      <c r="N332" s="2"/>
    </row>
    <row r="333" spans="1:47" ht="15.75" customHeight="1">
      <c r="A333" s="228">
        <v>58</v>
      </c>
      <c r="B333" s="75">
        <v>4</v>
      </c>
      <c r="C333" s="2">
        <v>1</v>
      </c>
      <c r="D333" s="2">
        <v>1.581</v>
      </c>
      <c r="E333" s="2">
        <v>2.5499999999999998</v>
      </c>
      <c r="F333" s="2">
        <v>3.9220000000000002</v>
      </c>
      <c r="G333" s="2">
        <v>6.37</v>
      </c>
      <c r="H333" s="2">
        <v>10</v>
      </c>
      <c r="I333" s="2">
        <v>15.805999999999999</v>
      </c>
      <c r="J333" s="2">
        <v>24.981999999999999</v>
      </c>
      <c r="K333" s="2">
        <v>40.302999999999997</v>
      </c>
      <c r="L333" s="2">
        <v>62.41</v>
      </c>
      <c r="M333" s="236">
        <v>100</v>
      </c>
      <c r="N333" s="2"/>
    </row>
    <row r="334" spans="1:47" ht="15.75" customHeight="1">
      <c r="A334" s="230">
        <v>58</v>
      </c>
      <c r="B334" s="231">
        <v>5</v>
      </c>
      <c r="C334" s="34">
        <v>1</v>
      </c>
      <c r="D334" s="34">
        <v>1.581</v>
      </c>
      <c r="E334" s="34">
        <v>2.5499999999999998</v>
      </c>
      <c r="F334" s="34">
        <v>3.9220000000000002</v>
      </c>
      <c r="G334" s="34">
        <v>6.37</v>
      </c>
      <c r="H334" s="34">
        <v>10</v>
      </c>
      <c r="I334" s="34">
        <v>15.805999999999999</v>
      </c>
      <c r="J334" s="34">
        <v>24.981999999999999</v>
      </c>
      <c r="K334" s="34">
        <v>40.302999999999997</v>
      </c>
      <c r="L334" s="34">
        <v>62.41</v>
      </c>
      <c r="M334" s="237">
        <v>100</v>
      </c>
      <c r="N334" s="2"/>
    </row>
    <row r="335" spans="1:47" ht="15.75" customHeight="1">
      <c r="A335" s="229">
        <v>59</v>
      </c>
      <c r="B335" s="74">
        <v>1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</row>
    <row r="336" spans="1:47" ht="15.75" customHeight="1">
      <c r="A336" s="228">
        <v>59</v>
      </c>
      <c r="B336" s="75">
        <v>2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</row>
    <row r="337" spans="1:47" ht="15.75" customHeight="1">
      <c r="A337" s="228">
        <v>59</v>
      </c>
      <c r="B337" s="75">
        <v>3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</row>
    <row r="338" spans="1:47" ht="15.75" customHeight="1">
      <c r="A338" s="228">
        <v>59</v>
      </c>
      <c r="B338" s="75">
        <v>4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</row>
    <row r="339" spans="1:47" ht="15.75" customHeight="1">
      <c r="A339" s="228">
        <v>59</v>
      </c>
      <c r="B339" s="75">
        <v>5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</row>
    <row r="340" spans="1:47" ht="15.75" customHeight="1">
      <c r="A340" s="230">
        <v>59</v>
      </c>
      <c r="B340" s="231">
        <v>6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</row>
    <row r="341" spans="1:47" ht="15.75" customHeight="1">
      <c r="A341" s="233">
        <v>60</v>
      </c>
      <c r="B341" s="74">
        <v>1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</row>
    <row r="342" spans="1:47" ht="15.75" customHeight="1">
      <c r="A342" s="233">
        <v>60</v>
      </c>
      <c r="B342" s="75">
        <v>2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</row>
    <row r="343" spans="1:47" ht="15.75" customHeight="1">
      <c r="A343" s="233">
        <v>60</v>
      </c>
      <c r="B343" s="75">
        <v>3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</row>
    <row r="344" spans="1:47" ht="15.75" customHeight="1">
      <c r="A344" s="233">
        <v>60</v>
      </c>
      <c r="B344" s="75">
        <v>4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</row>
    <row r="345" spans="1:47" ht="15.75" customHeight="1">
      <c r="A345" s="233">
        <v>60</v>
      </c>
      <c r="B345" s="75">
        <v>5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</row>
    <row r="346" spans="1:47" ht="15.75" customHeight="1">
      <c r="A346" s="233">
        <v>60</v>
      </c>
      <c r="B346" s="75">
        <v>6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</row>
    <row r="347" spans="1:47" ht="15.75" customHeight="1">
      <c r="A347" s="233">
        <v>60</v>
      </c>
      <c r="B347" s="75">
        <v>7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</row>
    <row r="348" spans="1:47" ht="15.75" customHeight="1">
      <c r="A348" s="241">
        <v>60</v>
      </c>
      <c r="B348" s="231">
        <v>8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</row>
    <row r="349" spans="1:47" ht="15.75" customHeight="1">
      <c r="A349" s="241">
        <v>61</v>
      </c>
      <c r="B349" s="281">
        <v>1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</row>
    <row r="350" spans="1:47" ht="15.7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</row>
    <row r="351" spans="1:47" ht="15.7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</row>
    <row r="352" spans="1:47" ht="15.7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</row>
    <row r="353" spans="3:47" ht="15.7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</row>
    <row r="354" spans="3:47" ht="15.7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</row>
    <row r="355" spans="3:47" ht="15.7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</row>
    <row r="356" spans="3:47" ht="15.7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</row>
    <row r="357" spans="3:47" ht="15.7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</row>
    <row r="358" spans="3:47" ht="15.7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</row>
    <row r="359" spans="3:47" ht="15.7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</row>
    <row r="360" spans="3:47" ht="15.7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</row>
    <row r="361" spans="3:47" ht="15.7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</row>
    <row r="362" spans="3:47" ht="15.7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</row>
    <row r="363" spans="3:47" ht="15.7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</row>
    <row r="364" spans="3:47" ht="15.7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</row>
    <row r="365" spans="3:47" ht="15.7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</row>
    <row r="366" spans="3:47" ht="15.7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</row>
    <row r="367" spans="3:47" ht="15.7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</row>
    <row r="368" spans="3:47" ht="15.7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</row>
    <row r="369" spans="3:47" ht="15.7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</row>
    <row r="370" spans="3:47" ht="15.7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</row>
    <row r="371" spans="3:47" ht="15.7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</row>
    <row r="372" spans="3:47" ht="15.7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</row>
    <row r="373" spans="3:47" ht="15.7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</row>
    <row r="374" spans="3:47" ht="15.7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</row>
    <row r="375" spans="3:47" ht="15.7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</row>
    <row r="376" spans="3:47" ht="15.7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</row>
    <row r="377" spans="3:47" ht="15.7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</row>
    <row r="378" spans="3:47" ht="15.7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</row>
    <row r="379" spans="3:47" ht="15.7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</row>
    <row r="380" spans="3:47" ht="15.7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</row>
    <row r="381" spans="3:47" ht="15.7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</row>
    <row r="382" spans="3:47" ht="15.7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</row>
    <row r="383" spans="3:47" ht="15.7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</row>
    <row r="384" spans="3:47" ht="15.7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</row>
    <row r="385" spans="3:47" ht="15.7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</row>
    <row r="386" spans="3:47" ht="15.7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</row>
    <row r="387" spans="3:47" ht="15.7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</row>
    <row r="388" spans="3:47" ht="15.7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</row>
    <row r="389" spans="3:47" ht="15.7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</row>
    <row r="390" spans="3:47" ht="15.7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</row>
    <row r="391" spans="3:47" ht="15.7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spans="3:47" ht="15.7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</row>
    <row r="393" spans="3:47" ht="15.7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</row>
    <row r="394" spans="3:47" ht="15.7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</row>
    <row r="395" spans="3:47" ht="15.7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</row>
    <row r="396" spans="3:47" ht="15.7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</row>
    <row r="397" spans="3:47" ht="15.7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</row>
    <row r="398" spans="3:47" ht="15.7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</row>
    <row r="399" spans="3:47" ht="15.7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</row>
    <row r="400" spans="3:47" ht="15.7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</row>
    <row r="401" spans="3:47" ht="15.7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</row>
    <row r="402" spans="3:47" ht="15.7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</row>
    <row r="403" spans="3:47" ht="15.7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</row>
    <row r="404" spans="3:47" ht="15.7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</row>
    <row r="405" spans="3:47" ht="15.7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</row>
    <row r="406" spans="3:47" ht="15.7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</row>
    <row r="407" spans="3:47" ht="15.7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</row>
    <row r="408" spans="3:47" ht="15.7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</row>
    <row r="409" spans="3:47" ht="15.7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</row>
    <row r="410" spans="3:47" ht="15.7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</row>
    <row r="411" spans="3:47" ht="15.7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</row>
    <row r="412" spans="3:47" ht="15.7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</row>
    <row r="413" spans="3:47" ht="15.7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</row>
    <row r="414" spans="3:47" ht="15.7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</row>
    <row r="415" spans="3:47" ht="15.7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</row>
    <row r="416" spans="3:47" ht="15.7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</row>
    <row r="417" spans="3:47" ht="15.7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</row>
    <row r="418" spans="3:47" ht="15.7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</row>
    <row r="419" spans="3:47" ht="15.7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</row>
    <row r="420" spans="3:47" ht="15.7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</row>
    <row r="421" spans="3:47" ht="15.7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</row>
    <row r="422" spans="3:47" ht="15.7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</row>
    <row r="423" spans="3:47" ht="15.7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</row>
    <row r="424" spans="3:47" ht="15.7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</row>
    <row r="425" spans="3:47" ht="15.7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</row>
    <row r="426" spans="3:47" ht="15.7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</row>
    <row r="427" spans="3:47" ht="15.7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</row>
    <row r="428" spans="3:47" ht="15.7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</row>
    <row r="429" spans="3:47" ht="15.7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</row>
    <row r="430" spans="3:47" ht="15.7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</row>
    <row r="431" spans="3:47" ht="15.7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</row>
    <row r="432" spans="3:47" ht="15.7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</row>
    <row r="433" spans="3:47" ht="15.7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</row>
    <row r="434" spans="3:47" ht="15.7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</row>
    <row r="435" spans="3:47" ht="15.7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</row>
    <row r="436" spans="3:47" ht="15.7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</row>
    <row r="437" spans="3:47" ht="15.7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</row>
    <row r="438" spans="3:47" ht="15.7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</row>
    <row r="439" spans="3:47" ht="15.7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</row>
    <row r="440" spans="3:47" ht="15.7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</row>
    <row r="441" spans="3:47" ht="15.7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</row>
    <row r="442" spans="3:47" ht="15.7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</row>
    <row r="443" spans="3:47" ht="15.7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</row>
    <row r="444" spans="3:47" ht="15.7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</row>
    <row r="445" spans="3:47" ht="15.7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</row>
    <row r="446" spans="3:47" ht="15.7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</row>
    <row r="447" spans="3:47" ht="15.7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</row>
    <row r="448" spans="3:47" ht="15.7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</row>
    <row r="449" spans="3:47" ht="15.7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</row>
    <row r="450" spans="3:47" ht="15.7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</row>
    <row r="451" spans="3:47" ht="15.7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</row>
    <row r="452" spans="3:47" ht="15.7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</row>
    <row r="453" spans="3:47" ht="15.7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</row>
    <row r="454" spans="3:47" ht="15.7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</row>
    <row r="455" spans="3:47" ht="15.7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</row>
    <row r="456" spans="3:47" ht="15.7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spans="3:47" ht="15.7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</row>
    <row r="458" spans="3:47" ht="15.7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</row>
    <row r="459" spans="3:47" ht="15.7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</row>
    <row r="460" spans="3:47" ht="15.7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</row>
    <row r="461" spans="3:47" ht="15.7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</row>
    <row r="462" spans="3:47" ht="15.7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</row>
    <row r="463" spans="3:47" ht="15.7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</row>
    <row r="464" spans="3:47" ht="15.7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</row>
    <row r="465" spans="3:47" ht="15.7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</row>
    <row r="466" spans="3:47" ht="15.7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</row>
    <row r="467" spans="3:47" ht="15.7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</row>
    <row r="468" spans="3:47" ht="15.7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</row>
    <row r="469" spans="3:47" ht="15.7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</row>
    <row r="470" spans="3:47" ht="15.7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</row>
    <row r="471" spans="3:47" ht="15.7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</row>
    <row r="472" spans="3:47" ht="15.7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</row>
    <row r="473" spans="3:47" ht="15.7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</row>
    <row r="474" spans="3:47" ht="15.7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</row>
    <row r="475" spans="3:47" ht="15.7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</row>
    <row r="476" spans="3:47" ht="15.7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</row>
    <row r="477" spans="3:47" ht="15.7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</row>
    <row r="478" spans="3:47" ht="15.7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</row>
    <row r="479" spans="3:47" ht="15.7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</row>
    <row r="480" spans="3:47" ht="15.7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</row>
    <row r="481" spans="3:47" ht="15.7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</row>
    <row r="482" spans="3:47" ht="15.7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</row>
    <row r="483" spans="3:47" ht="15.7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</row>
    <row r="484" spans="3:47" ht="15.7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</row>
    <row r="485" spans="3:47" ht="15.7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</row>
    <row r="486" spans="3:47" ht="15.7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</row>
    <row r="487" spans="3:47" ht="15.7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</row>
    <row r="488" spans="3:47" ht="15.7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</row>
    <row r="489" spans="3:47" ht="15.7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</row>
    <row r="490" spans="3:47" ht="15.7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</row>
    <row r="491" spans="3:47" ht="15.7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</row>
    <row r="492" spans="3:47" ht="15.7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</row>
    <row r="493" spans="3:47" ht="15.7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</row>
    <row r="494" spans="3:47" ht="15.7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</row>
    <row r="495" spans="3:47" ht="15.7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</row>
    <row r="496" spans="3:47" ht="15.7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</row>
    <row r="497" spans="3:47" ht="15.7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</row>
    <row r="498" spans="3:47" ht="15.7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</row>
    <row r="499" spans="3:47" ht="15.7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</row>
    <row r="500" spans="3:47" ht="15.7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</row>
    <row r="501" spans="3:47" ht="15.7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</row>
    <row r="502" spans="3:47" ht="15.7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</row>
    <row r="503" spans="3:47" ht="15.7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</row>
    <row r="504" spans="3:47" ht="15.7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</row>
    <row r="505" spans="3:47" ht="15.7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</row>
    <row r="506" spans="3:47" ht="15.7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</row>
    <row r="507" spans="3:47" ht="15.7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</row>
    <row r="508" spans="3:47" ht="15.7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</row>
    <row r="509" spans="3:47" ht="15.7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</row>
    <row r="510" spans="3:47" ht="15.7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</row>
    <row r="511" spans="3:47" ht="15.7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</row>
    <row r="512" spans="3:47" ht="15.7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</row>
    <row r="513" spans="3:47" ht="15.7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</row>
    <row r="514" spans="3:47" ht="15.7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</row>
    <row r="515" spans="3:47" ht="15.7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</row>
    <row r="516" spans="3:47" ht="15.7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</row>
    <row r="517" spans="3:47" ht="15.7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</row>
    <row r="518" spans="3:47" ht="15.7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</row>
    <row r="519" spans="3:47" ht="15.7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</row>
    <row r="520" spans="3:47" ht="15.7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</row>
    <row r="521" spans="3:47" ht="15.7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spans="3:47" ht="15.7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</row>
    <row r="523" spans="3:47" ht="15.7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</row>
    <row r="524" spans="3:47" ht="15.7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</row>
    <row r="525" spans="3:47" ht="15.7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</row>
    <row r="526" spans="3:47" ht="15.7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</row>
    <row r="527" spans="3:47" ht="15.7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</row>
    <row r="528" spans="3:47" ht="15.7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</row>
    <row r="529" spans="3:47" ht="15.7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</row>
    <row r="530" spans="3:47" ht="15.7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</row>
    <row r="531" spans="3:47" ht="15.7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</row>
    <row r="532" spans="3:47" ht="15.7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</row>
    <row r="533" spans="3:47" ht="15.7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</row>
    <row r="534" spans="3:47" ht="15.7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</row>
    <row r="535" spans="3:47" ht="15.7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</row>
    <row r="536" spans="3:47" ht="15.7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</row>
    <row r="537" spans="3:47" ht="15.7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</row>
    <row r="538" spans="3:47" ht="15.7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</row>
    <row r="539" spans="3:47" ht="15.7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</row>
    <row r="540" spans="3:47" ht="15.7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</row>
    <row r="541" spans="3:47" ht="15.7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</row>
    <row r="542" spans="3:47" ht="15.7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</row>
    <row r="543" spans="3:47" ht="15.7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</row>
    <row r="544" spans="3:47" ht="15.7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</row>
    <row r="545" spans="3:47" ht="15.7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</row>
    <row r="546" spans="3:47" ht="15.7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</row>
    <row r="547" spans="3:47" ht="15.7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</row>
    <row r="548" spans="3:47" ht="15.7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</row>
    <row r="549" spans="3:47" ht="15.7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</row>
    <row r="550" spans="3:47" ht="15.7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</row>
    <row r="551" spans="3:47" ht="15.7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</row>
    <row r="552" spans="3:47" ht="15.7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</row>
    <row r="553" spans="3:47" ht="15.7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</row>
    <row r="554" spans="3:47" ht="15.7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</row>
    <row r="555" spans="3:47" ht="15.7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</row>
    <row r="556" spans="3:47" ht="15.7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</row>
    <row r="557" spans="3:47" ht="15.7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</row>
    <row r="558" spans="3:47" ht="15.7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</row>
    <row r="559" spans="3:47" ht="15.7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</row>
    <row r="560" spans="3:47" ht="15.7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</row>
    <row r="561" spans="3:47" ht="15.7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</row>
    <row r="562" spans="3:47" ht="15.7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</row>
    <row r="563" spans="3:47" ht="15.7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</row>
    <row r="564" spans="3:47" ht="15.7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</row>
    <row r="565" spans="3:47" ht="15.7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</row>
    <row r="566" spans="3:47" ht="15.7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</row>
    <row r="567" spans="3:47" ht="15.7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</row>
    <row r="568" spans="3:47" ht="15.7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</row>
    <row r="569" spans="3:47" ht="15.7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</row>
    <row r="570" spans="3:47" ht="15.7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</row>
    <row r="571" spans="3:47" ht="15.7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</row>
    <row r="572" spans="3:47" ht="15.7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</row>
    <row r="573" spans="3:47" ht="15.7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</row>
    <row r="574" spans="3:47" ht="15.7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</row>
    <row r="575" spans="3:47" ht="15.7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</row>
    <row r="576" spans="3:47" ht="15.7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</row>
    <row r="577" spans="3:47" ht="15.7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</row>
    <row r="578" spans="3:47" ht="15.7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</row>
    <row r="579" spans="3:47" ht="15.7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</row>
    <row r="580" spans="3:47" ht="15.7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</row>
    <row r="581" spans="3:47" ht="15.7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</row>
    <row r="582" spans="3:47" ht="15.7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</row>
    <row r="583" spans="3:47" ht="15.7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</row>
    <row r="584" spans="3:47" ht="15.7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</row>
    <row r="585" spans="3:47" ht="15.7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</row>
    <row r="586" spans="3:47" ht="15.7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spans="3:47" ht="15.7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</row>
    <row r="588" spans="3:47" ht="15.7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</row>
    <row r="589" spans="3:47" ht="15.7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</row>
    <row r="590" spans="3:47" ht="15.7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</row>
    <row r="591" spans="3:47" ht="15.7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</row>
    <row r="592" spans="3:47" ht="15.7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</row>
    <row r="593" spans="3:47" ht="15.7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</row>
    <row r="594" spans="3:47" ht="15.7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</row>
    <row r="595" spans="3:47" ht="15.7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</row>
    <row r="596" spans="3:47" ht="15.7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</row>
    <row r="597" spans="3:47" ht="15.7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</row>
    <row r="598" spans="3:47" ht="15.7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</row>
    <row r="599" spans="3:47" ht="15.7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</row>
    <row r="600" spans="3:47" ht="15.7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</row>
    <row r="601" spans="3:47" ht="15.7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</row>
    <row r="602" spans="3:47" ht="15.7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</row>
    <row r="603" spans="3:47" ht="15.7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</row>
    <row r="604" spans="3:47" ht="15.7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</row>
    <row r="605" spans="3:47" ht="15.7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</row>
    <row r="606" spans="3:47" ht="15.7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</row>
    <row r="607" spans="3:47" ht="15.7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</row>
    <row r="608" spans="3:47" ht="15.7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</row>
    <row r="609" spans="3:47" ht="15.7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</row>
    <row r="610" spans="3:47" ht="15.7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</row>
    <row r="611" spans="3:47" ht="15.7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</row>
    <row r="612" spans="3:47" ht="15.7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</row>
    <row r="613" spans="3:47" ht="15.7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</row>
    <row r="614" spans="3:47" ht="15.7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</row>
    <row r="615" spans="3:47" ht="15.7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</row>
    <row r="616" spans="3:47" ht="15.7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</row>
    <row r="617" spans="3:47" ht="15.7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</row>
    <row r="618" spans="3:47" ht="15.7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</row>
    <row r="619" spans="3:47" ht="15.7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</row>
    <row r="620" spans="3:47" ht="15.7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</row>
    <row r="621" spans="3:47" ht="15.7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</row>
    <row r="622" spans="3:47" ht="15.7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</row>
    <row r="623" spans="3:47" ht="15.7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</row>
    <row r="624" spans="3:47" ht="15.7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</row>
    <row r="625" spans="3:47" ht="15.7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</row>
    <row r="626" spans="3:47" ht="15.7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</row>
    <row r="627" spans="3:47" ht="15.7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</row>
    <row r="628" spans="3:47" ht="15.7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</row>
    <row r="629" spans="3:47" ht="15.7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</row>
    <row r="630" spans="3:47" ht="15.7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</row>
    <row r="631" spans="3:47" ht="15.7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</row>
    <row r="632" spans="3:47" ht="15.7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</row>
    <row r="633" spans="3:47" ht="15.7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</row>
    <row r="634" spans="3:47" ht="15.7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</row>
    <row r="635" spans="3:47" ht="15.7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</row>
    <row r="636" spans="3:47" ht="15.7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</row>
    <row r="637" spans="3:47" ht="15.7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</row>
    <row r="638" spans="3:47" ht="15.7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</row>
    <row r="639" spans="3:47" ht="15.7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</row>
    <row r="640" spans="3:47" ht="15.7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</row>
    <row r="641" spans="3:47" ht="15.7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</row>
    <row r="642" spans="3:47" ht="15.7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</row>
    <row r="643" spans="3:47" ht="15.7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</row>
    <row r="644" spans="3:47" ht="15.7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</row>
    <row r="645" spans="3:47" ht="15.7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</row>
    <row r="646" spans="3:47" ht="15.7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</row>
    <row r="647" spans="3:47" ht="15.7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</row>
    <row r="648" spans="3:47" ht="15.7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</row>
    <row r="649" spans="3:47" ht="15.7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</row>
    <row r="650" spans="3:47" ht="15.7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</row>
    <row r="651" spans="3:47" ht="15.7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spans="3:47" ht="15.7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</row>
    <row r="653" spans="3:47" ht="15.7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</row>
    <row r="654" spans="3:47" ht="15.7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</row>
    <row r="655" spans="3:47" ht="15.7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</row>
    <row r="656" spans="3:47" ht="15.7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</row>
    <row r="657" spans="3:47" ht="15.7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</row>
    <row r="658" spans="3:47" ht="15.7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</row>
    <row r="659" spans="3:47" ht="15.7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</row>
    <row r="660" spans="3:47" ht="15.7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</row>
    <row r="661" spans="3:47" ht="15.7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</row>
    <row r="662" spans="3:47" ht="15.7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</row>
    <row r="663" spans="3:47" ht="15.7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</row>
    <row r="664" spans="3:47" ht="15.7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</row>
    <row r="665" spans="3:47" ht="15.7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</row>
    <row r="666" spans="3:47" ht="15.7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</row>
    <row r="667" spans="3:47" ht="15.7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</row>
    <row r="668" spans="3:47" ht="15.7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</row>
    <row r="669" spans="3:47" ht="15.7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</row>
    <row r="670" spans="3:47" ht="15.7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</row>
    <row r="671" spans="3:47" ht="15.7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</row>
    <row r="672" spans="3:47" ht="15.7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</row>
    <row r="673" spans="3:47" ht="15.7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</row>
    <row r="674" spans="3:47" ht="15.7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</row>
    <row r="675" spans="3:47" ht="15.7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</row>
    <row r="676" spans="3:47" ht="15.7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</row>
    <row r="677" spans="3:47" ht="15.7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</row>
    <row r="678" spans="3:47" ht="15.7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</row>
    <row r="679" spans="3:47" ht="15.7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</row>
    <row r="680" spans="3:47" ht="15.7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</row>
    <row r="681" spans="3:47" ht="15.7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</row>
    <row r="682" spans="3:47" ht="15.7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</row>
    <row r="683" spans="3:47" ht="15.7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</row>
    <row r="684" spans="3:47" ht="15.7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</row>
    <row r="685" spans="3:47" ht="15.7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</row>
    <row r="686" spans="3:47" ht="15.7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</row>
    <row r="687" spans="3:47" ht="15.7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</row>
    <row r="688" spans="3:47" ht="15.7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</row>
    <row r="689" spans="3:47" ht="15.7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</row>
    <row r="690" spans="3:47" ht="15.7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</row>
    <row r="691" spans="3:47" ht="15.7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</row>
    <row r="692" spans="3:47" ht="15.7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</row>
    <row r="693" spans="3:47" ht="15.7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</row>
    <row r="694" spans="3:47" ht="15.7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</row>
    <row r="695" spans="3:47" ht="15.7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</row>
    <row r="696" spans="3:47" ht="15.7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</row>
    <row r="697" spans="3:47" ht="15.7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</row>
    <row r="698" spans="3:47" ht="15.7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</row>
    <row r="699" spans="3:47" ht="15.7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</row>
    <row r="700" spans="3:47" ht="15.7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</row>
    <row r="701" spans="3:47" ht="15.7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</row>
    <row r="702" spans="3:47" ht="15.7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</row>
    <row r="703" spans="3:47" ht="15.7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</row>
    <row r="704" spans="3:47" ht="15.7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</row>
    <row r="705" spans="3:47" ht="15.7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</row>
    <row r="706" spans="3:47" ht="15.7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</row>
    <row r="707" spans="3:47" ht="15.7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</row>
    <row r="708" spans="3:47" ht="15.7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</row>
    <row r="709" spans="3:47" ht="15.7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</row>
    <row r="710" spans="3:47" ht="15.7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</row>
    <row r="711" spans="3:47" ht="15.7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</row>
    <row r="712" spans="3:47" ht="15.7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</row>
    <row r="713" spans="3:47" ht="15.7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</row>
    <row r="714" spans="3:47" ht="15.7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</row>
    <row r="715" spans="3:47" ht="15.7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</row>
    <row r="716" spans="3:47" ht="15.7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spans="3:47" ht="15.7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</row>
    <row r="718" spans="3:47" ht="15.7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</row>
    <row r="719" spans="3:47" ht="15.7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</row>
    <row r="720" spans="3:47" ht="15.7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</row>
    <row r="721" spans="3:47" ht="15.7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</row>
    <row r="722" spans="3:47" ht="15.7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</row>
    <row r="723" spans="3:47" ht="15.7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</row>
    <row r="724" spans="3:47" ht="15.7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</row>
    <row r="725" spans="3:47" ht="15.7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</row>
    <row r="726" spans="3:47" ht="15.7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</row>
    <row r="727" spans="3:47" ht="15.7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</row>
    <row r="728" spans="3:47" ht="15.7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</row>
    <row r="729" spans="3:47" ht="15.7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</row>
    <row r="730" spans="3:47" ht="15.7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</row>
    <row r="731" spans="3:47" ht="15.7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</row>
    <row r="732" spans="3:47" ht="15.7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</row>
    <row r="733" spans="3:47" ht="15.7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</row>
    <row r="734" spans="3:47" ht="15.7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</row>
    <row r="735" spans="3:47" ht="15.7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</row>
    <row r="736" spans="3:47" ht="15.7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</row>
    <row r="737" spans="3:47" ht="15.7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</row>
    <row r="738" spans="3:47" ht="15.7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</row>
    <row r="739" spans="3:47" ht="15.7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</row>
    <row r="740" spans="3:47" ht="15.7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</row>
    <row r="741" spans="3:47" ht="15.7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</row>
    <row r="742" spans="3:47" ht="15.7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</row>
    <row r="743" spans="3:47" ht="15.7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</row>
    <row r="744" spans="3:47" ht="15.7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</row>
    <row r="745" spans="3:47" ht="15.7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</row>
    <row r="746" spans="3:47" ht="15.7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</row>
    <row r="747" spans="3:47" ht="15.7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</row>
    <row r="748" spans="3:47" ht="15.7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</row>
    <row r="749" spans="3:47" ht="15.7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</row>
    <row r="750" spans="3:47" ht="15.7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</row>
    <row r="751" spans="3:47" ht="15.7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</row>
    <row r="752" spans="3:47" ht="15.7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</row>
    <row r="753" spans="3:47" ht="15.7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</row>
    <row r="754" spans="3:47" ht="15.7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</row>
    <row r="755" spans="3:47" ht="15.7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</row>
    <row r="756" spans="3:47" ht="15.7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</row>
    <row r="757" spans="3:47" ht="15.7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</row>
    <row r="758" spans="3:47" ht="15.7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</row>
    <row r="759" spans="3:47" ht="15.7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</row>
    <row r="760" spans="3:47" ht="15.7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</row>
    <row r="761" spans="3:47" ht="15.7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</row>
    <row r="762" spans="3:47" ht="15.7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</row>
    <row r="763" spans="3:47" ht="15.7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</row>
    <row r="764" spans="3:47" ht="15.7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</row>
    <row r="765" spans="3:47" ht="15.7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</row>
    <row r="766" spans="3:47" ht="15.7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</row>
    <row r="767" spans="3:47" ht="15.7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</row>
    <row r="768" spans="3:47" ht="15.7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</row>
    <row r="769" spans="3:47" ht="15.7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</row>
    <row r="770" spans="3:47" ht="15.7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</row>
    <row r="771" spans="3:47" ht="15.7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</row>
    <row r="772" spans="3:47" ht="15.7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</row>
    <row r="773" spans="3:47" ht="15.7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</row>
    <row r="774" spans="3:47" ht="15.7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</row>
    <row r="775" spans="3:47" ht="15.7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</row>
    <row r="776" spans="3:47" ht="15.7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</row>
    <row r="777" spans="3:47" ht="15.7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</row>
    <row r="778" spans="3:47" ht="15.7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</row>
    <row r="779" spans="3:47" ht="15.7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</row>
    <row r="780" spans="3:47" ht="15.7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</row>
    <row r="781" spans="3:47" ht="15.7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spans="3:47" ht="15.7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</row>
    <row r="783" spans="3:47" ht="15.7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</row>
    <row r="784" spans="3:47" ht="15.7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</row>
    <row r="785" spans="3:47" ht="15.7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</row>
    <row r="786" spans="3:47" ht="15.7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</row>
    <row r="787" spans="3:47" ht="15.7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</row>
    <row r="788" spans="3:47" ht="15.7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</row>
    <row r="789" spans="3:47" ht="15.7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</row>
    <row r="790" spans="3:47" ht="15.7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</row>
    <row r="791" spans="3:47" ht="15.7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</row>
    <row r="792" spans="3:47" ht="15.7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</row>
    <row r="793" spans="3:47" ht="15.7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</row>
    <row r="794" spans="3:47" ht="15.7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</row>
    <row r="795" spans="3:47" ht="15.7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</row>
    <row r="796" spans="3:47" ht="15.7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</row>
    <row r="797" spans="3:47" ht="15.7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</row>
    <row r="798" spans="3:47" ht="15.7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</row>
    <row r="799" spans="3:47" ht="15.7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</row>
    <row r="800" spans="3:47" ht="15.7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</row>
    <row r="801" spans="3:47" ht="15.7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</row>
    <row r="802" spans="3:47" ht="15.7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</row>
    <row r="803" spans="3:47" ht="15.7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</row>
    <row r="804" spans="3:47" ht="15.7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</row>
    <row r="805" spans="3:47" ht="15.7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</row>
    <row r="806" spans="3:47" ht="15.7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</row>
    <row r="807" spans="3:47" ht="15.7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</row>
    <row r="808" spans="3:47" ht="15.7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</row>
    <row r="809" spans="3:47" ht="15.7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</row>
    <row r="810" spans="3:47" ht="15.7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</row>
    <row r="811" spans="3:47" ht="15.7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</row>
    <row r="812" spans="3:47" ht="15.7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</row>
    <row r="813" spans="3:47" ht="15.7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</row>
    <row r="814" spans="3:47" ht="15.7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</row>
    <row r="815" spans="3:47" ht="15.7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</row>
    <row r="816" spans="3:47" ht="15.7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</row>
    <row r="817" spans="3:47" ht="15.7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</row>
    <row r="818" spans="3:47" ht="15.7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</row>
    <row r="819" spans="3:47" ht="15.7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</row>
    <row r="820" spans="3:47" ht="15.7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</row>
    <row r="821" spans="3:47" ht="15.7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</row>
    <row r="822" spans="3:47" ht="15.7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</row>
    <row r="823" spans="3:47" ht="15.7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</row>
    <row r="824" spans="3:47" ht="15.7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</row>
    <row r="825" spans="3:47" ht="15.7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</row>
    <row r="826" spans="3:47" ht="15.7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</row>
    <row r="827" spans="3:47" ht="15.7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</row>
    <row r="828" spans="3:47" ht="15.7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</row>
    <row r="829" spans="3:47" ht="15.7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</row>
    <row r="830" spans="3:47" ht="15.7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</row>
    <row r="831" spans="3:47" ht="15.7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</row>
    <row r="832" spans="3:47" ht="15.7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</row>
    <row r="833" spans="3:47" ht="15.7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</row>
    <row r="834" spans="3:47" ht="15.7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</row>
    <row r="835" spans="3:47" ht="15.7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</row>
    <row r="836" spans="3:47" ht="15.7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</row>
    <row r="837" spans="3:47" ht="15.7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</row>
    <row r="838" spans="3:47" ht="15.7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</row>
    <row r="839" spans="3:47" ht="15.7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</row>
    <row r="840" spans="3:47" ht="15.7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</row>
    <row r="841" spans="3:47" ht="15.7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</row>
    <row r="842" spans="3:47" ht="15.7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</row>
    <row r="843" spans="3:47" ht="15.7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</row>
    <row r="844" spans="3:47" ht="15.7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</row>
    <row r="845" spans="3:47" ht="15.7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</row>
    <row r="846" spans="3:47" ht="15.7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spans="3:47" ht="15.7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</row>
    <row r="848" spans="3:47" ht="15.7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</row>
    <row r="849" spans="3:47" ht="15.7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</row>
    <row r="850" spans="3:47" ht="15.7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</row>
    <row r="851" spans="3:47" ht="15.7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</row>
    <row r="852" spans="3:47" ht="15.7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</row>
    <row r="853" spans="3:47" ht="15.7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</row>
    <row r="854" spans="3:47" ht="15.7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</row>
    <row r="855" spans="3:47" ht="15.7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</row>
    <row r="856" spans="3:47" ht="15.7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</row>
    <row r="857" spans="3:47" ht="15.7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</row>
    <row r="858" spans="3:47" ht="15.7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</row>
    <row r="859" spans="3:47" ht="15.7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</row>
    <row r="860" spans="3:47" ht="15.7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</row>
    <row r="861" spans="3:47" ht="15.7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</row>
    <row r="862" spans="3:47" ht="15.7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</row>
    <row r="863" spans="3:47" ht="15.7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</row>
    <row r="864" spans="3:47" ht="15.7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</row>
    <row r="865" spans="3:47" ht="15.7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</row>
    <row r="866" spans="3:47" ht="15.7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</row>
    <row r="867" spans="3:47" ht="15.7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</row>
    <row r="868" spans="3:47" ht="15.7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</row>
    <row r="869" spans="3:47" ht="15.7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</row>
    <row r="870" spans="3:47" ht="15.7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</row>
    <row r="871" spans="3:47" ht="15.7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</row>
    <row r="872" spans="3:47" ht="15.7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</row>
    <row r="873" spans="3:47" ht="15.7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</row>
    <row r="874" spans="3:47" ht="15.7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</row>
    <row r="875" spans="3:47" ht="15.7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</row>
    <row r="876" spans="3:47" ht="15.7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</row>
    <row r="877" spans="3:47" ht="15.7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</row>
    <row r="878" spans="3:47" ht="15.7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</row>
    <row r="879" spans="3:47" ht="15.7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</row>
    <row r="880" spans="3:47" ht="15.7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</row>
    <row r="881" spans="3:47" ht="15.7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</row>
    <row r="882" spans="3:47" ht="15.7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</row>
    <row r="883" spans="3:47" ht="15.7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</row>
    <row r="884" spans="3:47" ht="15.7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</row>
    <row r="885" spans="3:47" ht="15.7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</row>
    <row r="886" spans="3:47" ht="15.7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</row>
    <row r="887" spans="3:47" ht="15.7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</row>
    <row r="888" spans="3:47" ht="15.7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</row>
    <row r="889" spans="3:47" ht="15.7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</row>
    <row r="890" spans="3:47" ht="15.7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</row>
    <row r="891" spans="3:47" ht="15.7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</row>
    <row r="892" spans="3:47" ht="15.7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</row>
    <row r="893" spans="3:47" ht="15.7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</row>
    <row r="894" spans="3:47" ht="15.7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</row>
    <row r="895" spans="3:47" ht="15.7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</row>
    <row r="896" spans="3:47" ht="15.7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</row>
    <row r="897" spans="3:47" ht="15.7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</row>
    <row r="898" spans="3:47" ht="15.7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</row>
    <row r="899" spans="3:47" ht="15.7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</row>
    <row r="900" spans="3:47" ht="15.7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</row>
    <row r="901" spans="3:47" ht="15.7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</row>
    <row r="902" spans="3:47" ht="15.7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</row>
    <row r="903" spans="3:47" ht="15.7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</row>
    <row r="904" spans="3:47" ht="15.7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</row>
    <row r="905" spans="3:47" ht="15.7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</row>
    <row r="906" spans="3:47" ht="15.7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</row>
    <row r="907" spans="3:47" ht="15.7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</row>
    <row r="908" spans="3:47" ht="15.7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</row>
    <row r="909" spans="3:47" ht="15.7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</row>
    <row r="910" spans="3:47" ht="15.7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</row>
    <row r="911" spans="3:47" ht="15.7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spans="3:47" ht="15.7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</row>
    <row r="913" spans="3:47" ht="15.7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</row>
    <row r="914" spans="3:47" ht="15.7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</row>
    <row r="915" spans="3:47" ht="15.7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</row>
    <row r="916" spans="3:47" ht="15.7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</row>
    <row r="917" spans="3:47" ht="15.7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</row>
    <row r="918" spans="3:47" ht="15.7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</row>
    <row r="919" spans="3:47" ht="15.7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</row>
    <row r="920" spans="3:47" ht="15.7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</row>
    <row r="921" spans="3:47" ht="15.7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</row>
    <row r="922" spans="3:47" ht="15.7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</row>
    <row r="923" spans="3:47" ht="15.7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</row>
    <row r="924" spans="3:47" ht="15.7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</row>
    <row r="925" spans="3:47" ht="15.7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</row>
    <row r="926" spans="3:47" ht="15.7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</row>
    <row r="927" spans="3:47" ht="15.7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</row>
    <row r="928" spans="3:47" ht="15.7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</row>
    <row r="929" spans="3:47" ht="15.7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</row>
    <row r="930" spans="3:47" ht="15.7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</row>
    <row r="931" spans="3:47" ht="15.7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</row>
    <row r="932" spans="3:47" ht="15.7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</row>
    <row r="933" spans="3:47" ht="15.7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</row>
    <row r="934" spans="3:47" ht="15.7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</row>
    <row r="935" spans="3:47" ht="15.7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</row>
    <row r="936" spans="3:47" ht="15.7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</row>
    <row r="937" spans="3:47" ht="15.7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</row>
    <row r="938" spans="3:47" ht="15.7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</row>
    <row r="939" spans="3:47" ht="15.7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</row>
    <row r="940" spans="3:47" ht="15.7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</row>
    <row r="941" spans="3:47" ht="15.7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</row>
    <row r="942" spans="3:47" ht="15.7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</row>
    <row r="943" spans="3:47" ht="15.7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</row>
    <row r="944" spans="3:47" ht="15.7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</row>
    <row r="945" spans="3:47" ht="15.7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</row>
    <row r="946" spans="3:47" ht="15.7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</row>
    <row r="947" spans="3:47" ht="15.7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</row>
    <row r="948" spans="3:47" ht="15.7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</row>
    <row r="949" spans="3:47" ht="15.7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</row>
    <row r="950" spans="3:47" ht="15.7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</row>
    <row r="951" spans="3:47" ht="15.7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</row>
    <row r="952" spans="3:47" ht="15.7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</row>
    <row r="953" spans="3:47" ht="15.7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</row>
    <row r="954" spans="3:47" ht="15.7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</row>
    <row r="955" spans="3:47" ht="15.7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</row>
    <row r="956" spans="3:47" ht="15.7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</row>
    <row r="957" spans="3:47" ht="15.7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</row>
    <row r="958" spans="3:47" ht="15.7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</row>
    <row r="959" spans="3:47" ht="15.7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</row>
    <row r="960" spans="3:47" ht="15.7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</row>
    <row r="961" spans="3:47" ht="15.7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</row>
    <row r="962" spans="3:47" ht="15.7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</row>
    <row r="963" spans="3:47" ht="15.7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</row>
    <row r="964" spans="3:47" ht="15.7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</row>
    <row r="965" spans="3:47" ht="15.7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</row>
    <row r="966" spans="3:47" ht="15.7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</row>
    <row r="967" spans="3:47" ht="15.7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</row>
    <row r="968" spans="3:47" ht="15.7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</row>
    <row r="969" spans="3:47" ht="15.7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</row>
    <row r="970" spans="3:47" ht="15.7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</row>
    <row r="971" spans="3:47" ht="15.7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</row>
    <row r="972" spans="3:47" ht="15.7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</row>
    <row r="973" spans="3:47" ht="15.7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</row>
    <row r="974" spans="3:47" ht="15.7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</row>
    <row r="975" spans="3:47" ht="15.7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</row>
    <row r="976" spans="3:47" ht="15.7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</row>
    <row r="977" spans="3:47" ht="15.7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</row>
    <row r="978" spans="3:47" ht="15.7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</row>
    <row r="979" spans="3:47" ht="15.7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</row>
    <row r="980" spans="3:47" ht="15.7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</row>
    <row r="981" spans="3:47" ht="15.7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</row>
    <row r="982" spans="3:47" ht="15.7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</row>
    <row r="983" spans="3:47" ht="15.7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</row>
    <row r="984" spans="3:47" ht="15.7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</row>
    <row r="985" spans="3:47" ht="15.7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</row>
    <row r="986" spans="3:47" ht="15.7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</row>
    <row r="987" spans="3:47" ht="15.7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</row>
    <row r="988" spans="3:47" ht="15.7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</row>
    <row r="989" spans="3:47" ht="15.7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</row>
    <row r="990" spans="3:47" ht="15.7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</row>
    <row r="991" spans="3:47" ht="15.7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</row>
    <row r="992" spans="3:47" ht="15.7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</row>
    <row r="993" spans="3:47" ht="15.7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</row>
    <row r="994" spans="3:47" ht="15.7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</row>
    <row r="995" spans="3:47" ht="15.7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</row>
    <row r="996" spans="3:47" ht="15.7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</row>
    <row r="997" spans="3:47" ht="15.7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</row>
    <row r="998" spans="3:47" ht="15.7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</row>
    <row r="999" spans="3:47" ht="15.7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</row>
    <row r="1000" spans="3:47" ht="15.7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</row>
  </sheetData>
  <pageMargins left="0.7" right="0.7" top="0.75" bottom="0.75" header="0" footer="0"/>
  <pageSetup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648"/>
  <sheetViews>
    <sheetView topLeftCell="A134" workbookViewId="0">
      <selection activeCell="G16" sqref="G16"/>
    </sheetView>
  </sheetViews>
  <sheetFormatPr defaultColWidth="12.5546875" defaultRowHeight="15" customHeight="1"/>
  <sheetData>
    <row r="1" spans="1:26" ht="14.4">
      <c r="A1" s="14" t="s">
        <v>219</v>
      </c>
      <c r="B1" s="15" t="s">
        <v>220</v>
      </c>
      <c r="C1" s="16"/>
      <c r="D1" s="15"/>
      <c r="E1" s="16"/>
      <c r="F1" s="15"/>
      <c r="G1" s="16"/>
      <c r="H1" s="15"/>
      <c r="I1" s="16"/>
      <c r="J1" s="15"/>
      <c r="K1" s="16"/>
      <c r="L1" s="15"/>
      <c r="M1" s="16"/>
      <c r="N1" s="15"/>
      <c r="O1" s="16"/>
      <c r="P1" s="15"/>
      <c r="Q1" s="16"/>
      <c r="R1" s="15"/>
      <c r="S1" s="16"/>
      <c r="T1" s="15"/>
      <c r="U1" s="16"/>
      <c r="V1" s="15"/>
      <c r="W1" s="16"/>
      <c r="X1" s="15"/>
      <c r="Y1" s="16"/>
      <c r="Z1" s="15"/>
    </row>
    <row r="2" spans="1:26" ht="14.4">
      <c r="A2" s="192">
        <v>1</v>
      </c>
      <c r="B2" s="193">
        <v>1</v>
      </c>
    </row>
    <row r="3" spans="1:26" ht="14.4">
      <c r="A3" s="194">
        <v>1</v>
      </c>
      <c r="B3" s="195">
        <v>2</v>
      </c>
    </row>
    <row r="4" spans="1:26" ht="14.4">
      <c r="A4" s="196">
        <v>1</v>
      </c>
      <c r="B4" s="195">
        <v>3</v>
      </c>
    </row>
    <row r="5" spans="1:26" ht="14.4">
      <c r="A5" s="196">
        <v>1</v>
      </c>
      <c r="B5" s="195">
        <v>4</v>
      </c>
    </row>
    <row r="6" spans="1:26" ht="14.4">
      <c r="A6" s="197">
        <v>1</v>
      </c>
      <c r="B6" s="198">
        <v>5</v>
      </c>
    </row>
    <row r="7" spans="1:26" ht="14.4">
      <c r="A7" s="199">
        <v>2</v>
      </c>
      <c r="B7" s="200">
        <v>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6" ht="14.4">
      <c r="A8" s="196">
        <v>2</v>
      </c>
      <c r="B8" s="201">
        <v>2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6" ht="14.4">
      <c r="A9" s="196">
        <v>2</v>
      </c>
      <c r="B9" s="201">
        <v>3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spans="1:26" ht="14.4">
      <c r="A10" s="197">
        <v>2</v>
      </c>
      <c r="B10" s="202">
        <v>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spans="1:26" ht="14.4">
      <c r="A11" s="203">
        <v>3</v>
      </c>
      <c r="B11" s="200">
        <v>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spans="1:26" ht="14.4">
      <c r="A12" s="204">
        <v>3</v>
      </c>
      <c r="B12" s="201">
        <v>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spans="1:26" ht="14.4">
      <c r="A13" s="204">
        <v>3</v>
      </c>
      <c r="B13" s="201">
        <v>3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spans="1:26" ht="14.4">
      <c r="A14" s="204">
        <v>3</v>
      </c>
      <c r="B14" s="201">
        <v>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spans="1:26" ht="14.4">
      <c r="A15" s="203">
        <v>4</v>
      </c>
      <c r="B15" s="200">
        <v>1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26" ht="14.4">
      <c r="A16" s="204">
        <v>4</v>
      </c>
      <c r="B16" s="201">
        <v>2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spans="1:24" ht="14.4">
      <c r="A17" s="205">
        <v>4</v>
      </c>
      <c r="B17" s="202">
        <v>3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spans="1:24" ht="14.4">
      <c r="A18" s="203">
        <v>5</v>
      </c>
      <c r="B18" s="200">
        <v>1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spans="1:24" ht="14.4">
      <c r="A19" s="204">
        <v>5</v>
      </c>
      <c r="B19" s="201">
        <v>2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spans="1:24" ht="14.4">
      <c r="A20" s="204">
        <v>5</v>
      </c>
      <c r="B20" s="201">
        <v>3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spans="1:24" ht="14.4">
      <c r="A21" s="204">
        <v>5</v>
      </c>
      <c r="B21" s="201">
        <v>4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spans="1:24" ht="14.4">
      <c r="A22" s="204">
        <v>5</v>
      </c>
      <c r="B22" s="201">
        <v>5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ht="14.4">
      <c r="A23" s="205">
        <v>5</v>
      </c>
      <c r="B23" s="202">
        <v>6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spans="1:24" ht="14.4">
      <c r="A24" s="204">
        <v>6</v>
      </c>
      <c r="B24" s="201">
        <v>1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ht="14.4">
      <c r="A25" s="204">
        <v>6</v>
      </c>
      <c r="B25" s="201">
        <v>2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spans="1:24" ht="14.4">
      <c r="A26" s="204">
        <v>6</v>
      </c>
      <c r="B26" s="201">
        <v>3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ht="14.4">
      <c r="A27" s="204">
        <v>6</v>
      </c>
      <c r="B27" s="201">
        <v>4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spans="1:24" ht="14.4">
      <c r="A28" s="203">
        <v>7</v>
      </c>
      <c r="B28" s="200">
        <v>1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 ht="14.4">
      <c r="A29" s="204">
        <v>7</v>
      </c>
      <c r="B29" s="201">
        <v>2</v>
      </c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spans="1:24" ht="14.4">
      <c r="A30" s="199">
        <v>8</v>
      </c>
      <c r="B30" s="200">
        <v>1</v>
      </c>
      <c r="C30" s="206">
        <v>-25</v>
      </c>
      <c r="D30" s="206">
        <v>-12.5</v>
      </c>
      <c r="E30" s="206">
        <v>0</v>
      </c>
      <c r="F30" s="206">
        <v>12.5</v>
      </c>
      <c r="G30" s="207">
        <v>25</v>
      </c>
      <c r="H30" s="206">
        <v>37.5</v>
      </c>
      <c r="I30" s="207">
        <v>50</v>
      </c>
      <c r="J30" s="206">
        <v>62.5</v>
      </c>
      <c r="K30" s="207">
        <v>75</v>
      </c>
      <c r="L30" s="206">
        <v>87.5</v>
      </c>
      <c r="M30" s="206">
        <v>100</v>
      </c>
      <c r="N30" s="206">
        <v>112.5</v>
      </c>
      <c r="O30" s="206">
        <v>125</v>
      </c>
      <c r="P30" s="208">
        <v>137.5</v>
      </c>
      <c r="Q30" s="12"/>
      <c r="R30" s="12"/>
      <c r="S30" s="12"/>
      <c r="T30" s="8"/>
      <c r="U30" s="8"/>
      <c r="V30" s="8"/>
      <c r="W30" s="8"/>
      <c r="X30" s="8"/>
    </row>
    <row r="31" spans="1:24" ht="14.4">
      <c r="A31" s="196">
        <v>8</v>
      </c>
      <c r="B31" s="201">
        <v>2</v>
      </c>
      <c r="C31" s="17">
        <v>-25</v>
      </c>
      <c r="D31" s="17">
        <v>-12.5</v>
      </c>
      <c r="E31" s="17">
        <v>0</v>
      </c>
      <c r="F31" s="17">
        <v>12.5</v>
      </c>
      <c r="G31" s="18">
        <v>25</v>
      </c>
      <c r="H31" s="17">
        <v>37.5</v>
      </c>
      <c r="I31" s="18">
        <v>50</v>
      </c>
      <c r="J31" s="17">
        <v>62.5</v>
      </c>
      <c r="K31" s="18">
        <v>75</v>
      </c>
      <c r="L31" s="17">
        <v>87.5</v>
      </c>
      <c r="M31" s="17">
        <v>100</v>
      </c>
      <c r="N31" s="17">
        <v>112.5</v>
      </c>
      <c r="O31" s="17">
        <v>125</v>
      </c>
      <c r="P31" s="209">
        <v>137.5</v>
      </c>
      <c r="Q31" s="12"/>
      <c r="R31" s="12"/>
      <c r="S31" s="12"/>
      <c r="T31" s="8"/>
      <c r="U31" s="8"/>
      <c r="V31" s="8"/>
      <c r="W31" s="8"/>
      <c r="X31" s="8"/>
    </row>
    <row r="32" spans="1:24" ht="14.4">
      <c r="A32" s="196">
        <v>8</v>
      </c>
      <c r="B32" s="201">
        <v>3</v>
      </c>
      <c r="C32" s="17">
        <v>-25</v>
      </c>
      <c r="D32" s="17">
        <v>-12.5</v>
      </c>
      <c r="E32" s="17">
        <v>0</v>
      </c>
      <c r="F32" s="17">
        <v>12.5</v>
      </c>
      <c r="G32" s="18">
        <v>25</v>
      </c>
      <c r="H32" s="17">
        <v>37.5</v>
      </c>
      <c r="I32" s="18">
        <v>50</v>
      </c>
      <c r="J32" s="17">
        <v>62.5</v>
      </c>
      <c r="K32" s="18">
        <v>75</v>
      </c>
      <c r="L32" s="17">
        <v>87.5</v>
      </c>
      <c r="M32" s="17">
        <v>100</v>
      </c>
      <c r="N32" s="17">
        <v>112.5</v>
      </c>
      <c r="O32" s="17">
        <v>125</v>
      </c>
      <c r="P32" s="209">
        <v>137.5</v>
      </c>
      <c r="Q32" s="12"/>
      <c r="R32" s="12"/>
      <c r="S32" s="12"/>
      <c r="T32" s="8"/>
      <c r="U32" s="8"/>
      <c r="V32" s="8"/>
      <c r="W32" s="8"/>
      <c r="X32" s="8"/>
    </row>
    <row r="33" spans="1:29" ht="14.4">
      <c r="A33" s="197">
        <v>8</v>
      </c>
      <c r="B33" s="202">
        <v>4</v>
      </c>
      <c r="C33" s="19">
        <v>-25</v>
      </c>
      <c r="D33" s="19">
        <v>-12.5</v>
      </c>
      <c r="E33" s="19">
        <v>0</v>
      </c>
      <c r="F33" s="19">
        <v>12.5</v>
      </c>
      <c r="G33" s="20">
        <v>25</v>
      </c>
      <c r="H33" s="19">
        <v>37.5</v>
      </c>
      <c r="I33" s="20">
        <v>50</v>
      </c>
      <c r="J33" s="19">
        <v>62.5</v>
      </c>
      <c r="K33" s="20">
        <v>75</v>
      </c>
      <c r="L33" s="19">
        <v>87.5</v>
      </c>
      <c r="M33" s="19">
        <v>100</v>
      </c>
      <c r="N33" s="19">
        <v>112.5</v>
      </c>
      <c r="O33" s="19">
        <v>125</v>
      </c>
      <c r="P33" s="210">
        <v>137.5</v>
      </c>
      <c r="Q33" s="12"/>
      <c r="R33" s="12"/>
      <c r="S33" s="12"/>
      <c r="T33" s="8"/>
      <c r="U33" s="8"/>
      <c r="V33" s="8"/>
      <c r="W33" s="8"/>
      <c r="X33" s="8"/>
    </row>
    <row r="34" spans="1:29" ht="14.4">
      <c r="A34" s="204">
        <v>9</v>
      </c>
      <c r="B34" s="201">
        <v>1</v>
      </c>
      <c r="C34" s="21">
        <v>-40</v>
      </c>
      <c r="D34" s="21">
        <v>-28.3333333333333</v>
      </c>
      <c r="E34" s="21">
        <v>-17.4444444444444</v>
      </c>
      <c r="F34" s="21">
        <v>-6.24444444444444</v>
      </c>
      <c r="G34" s="21">
        <v>4.3333333333333304</v>
      </c>
      <c r="H34" s="21">
        <v>15.533333333333299</v>
      </c>
      <c r="I34" s="21">
        <v>26.266666666666602</v>
      </c>
      <c r="J34" s="21">
        <v>37.933333333333302</v>
      </c>
      <c r="K34" s="21">
        <v>48.977777777777703</v>
      </c>
      <c r="L34" s="21">
        <v>60.3333333333333</v>
      </c>
      <c r="M34" s="21">
        <v>71.688888888888897</v>
      </c>
      <c r="N34" s="21">
        <v>82.8888888888888</v>
      </c>
      <c r="O34" s="21">
        <v>94.088888888888903</v>
      </c>
      <c r="P34" s="211">
        <v>105.75555555555501</v>
      </c>
      <c r="Q34" s="22"/>
      <c r="R34" s="22"/>
      <c r="S34" s="22"/>
      <c r="T34" s="8"/>
      <c r="U34" s="8"/>
      <c r="V34" s="8"/>
      <c r="W34" s="8"/>
      <c r="X34" s="8"/>
    </row>
    <row r="35" spans="1:29" ht="14.4">
      <c r="A35" s="204">
        <v>9</v>
      </c>
      <c r="B35" s="201">
        <v>2</v>
      </c>
      <c r="C35" s="21">
        <v>-40</v>
      </c>
      <c r="D35" s="21">
        <v>-28.3333333333333</v>
      </c>
      <c r="E35" s="21">
        <v>-17.4444444444444</v>
      </c>
      <c r="F35" s="21">
        <v>-6.24444444444444</v>
      </c>
      <c r="G35" s="21">
        <v>4.3333333333333304</v>
      </c>
      <c r="H35" s="21">
        <v>15.533333333333299</v>
      </c>
      <c r="I35" s="21">
        <v>26.266666666666602</v>
      </c>
      <c r="J35" s="21">
        <v>37.933333333333302</v>
      </c>
      <c r="K35" s="21">
        <v>48.977777777777703</v>
      </c>
      <c r="L35" s="21">
        <v>60.3333333333333</v>
      </c>
      <c r="M35" s="21">
        <v>71.688888888888897</v>
      </c>
      <c r="N35" s="21">
        <v>82.8888888888888</v>
      </c>
      <c r="O35" s="21">
        <v>94.088888888888903</v>
      </c>
      <c r="P35" s="211">
        <v>105.75555555555501</v>
      </c>
      <c r="Q35" s="22"/>
      <c r="R35" s="22"/>
      <c r="S35" s="22"/>
      <c r="T35" s="8"/>
      <c r="U35" s="8"/>
      <c r="V35" s="8"/>
      <c r="W35" s="8"/>
      <c r="X35" s="8"/>
    </row>
    <row r="36" spans="1:29" ht="14.4">
      <c r="A36" s="204">
        <v>9</v>
      </c>
      <c r="B36" s="201">
        <v>3</v>
      </c>
      <c r="C36" s="21">
        <v>-40</v>
      </c>
      <c r="D36" s="21">
        <v>-28.3333333333333</v>
      </c>
      <c r="E36" s="21">
        <v>-17.4444444444444</v>
      </c>
      <c r="F36" s="21">
        <v>-6.24444444444444</v>
      </c>
      <c r="G36" s="21">
        <v>4.3333333333333304</v>
      </c>
      <c r="H36" s="21">
        <v>15.533333333333299</v>
      </c>
      <c r="I36" s="21">
        <v>26.266666666666602</v>
      </c>
      <c r="J36" s="21">
        <v>37.933333333333302</v>
      </c>
      <c r="K36" s="21">
        <v>48.977777777777703</v>
      </c>
      <c r="L36" s="21">
        <v>60.3333333333333</v>
      </c>
      <c r="M36" s="21">
        <v>71.688888888888897</v>
      </c>
      <c r="N36" s="21">
        <v>82.8888888888888</v>
      </c>
      <c r="O36" s="21">
        <v>94.088888888888903</v>
      </c>
      <c r="P36" s="211">
        <v>105.75555555555501</v>
      </c>
      <c r="Q36" s="22"/>
      <c r="R36" s="22"/>
      <c r="S36" s="22"/>
      <c r="T36" s="8"/>
      <c r="U36" s="8"/>
      <c r="V36" s="8"/>
      <c r="W36" s="8"/>
      <c r="X36" s="8"/>
    </row>
    <row r="37" spans="1:29" ht="14.4">
      <c r="A37" s="205">
        <v>9</v>
      </c>
      <c r="B37" s="202">
        <v>4</v>
      </c>
      <c r="C37" s="23">
        <v>-40</v>
      </c>
      <c r="D37" s="23">
        <v>-28.3333333333333</v>
      </c>
      <c r="E37" s="23">
        <v>-17.4444444444444</v>
      </c>
      <c r="F37" s="23">
        <v>-6.24444444444444</v>
      </c>
      <c r="G37" s="23">
        <v>4.3333333333333304</v>
      </c>
      <c r="H37" s="23">
        <v>15.533333333333299</v>
      </c>
      <c r="I37" s="23">
        <v>26.266666666666602</v>
      </c>
      <c r="J37" s="23">
        <v>37.933333333333302</v>
      </c>
      <c r="K37" s="23">
        <v>48.977777777777703</v>
      </c>
      <c r="L37" s="23">
        <v>60.3333333333333</v>
      </c>
      <c r="M37" s="23">
        <v>71.688888888888897</v>
      </c>
      <c r="N37" s="23">
        <v>82.8888888888888</v>
      </c>
      <c r="O37" s="23">
        <v>94.088888888888903</v>
      </c>
      <c r="P37" s="212"/>
      <c r="Q37" s="22"/>
      <c r="R37" s="22"/>
      <c r="S37" s="22"/>
      <c r="T37" s="8"/>
      <c r="U37" s="8"/>
      <c r="V37" s="8"/>
      <c r="W37" s="8"/>
      <c r="X37" s="8"/>
    </row>
    <row r="38" spans="1:29" ht="14.4">
      <c r="A38" s="203">
        <v>11</v>
      </c>
      <c r="B38" s="200" t="s">
        <v>221</v>
      </c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22"/>
      <c r="O38" s="22"/>
      <c r="P38" s="22"/>
      <c r="Q38" s="22"/>
      <c r="R38" s="22"/>
      <c r="S38" s="22"/>
      <c r="T38" s="8"/>
      <c r="U38" s="8"/>
      <c r="V38" s="8"/>
      <c r="W38" s="8"/>
      <c r="X38" s="8"/>
      <c r="AC38" s="8">
        <f t="shared" ref="AC38:AC292" si="0">A38 - 1</f>
        <v>10</v>
      </c>
    </row>
    <row r="39" spans="1:29" ht="14.4">
      <c r="A39" s="204">
        <v>11</v>
      </c>
      <c r="B39" s="201" t="s">
        <v>222</v>
      </c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22"/>
      <c r="O39" s="22"/>
      <c r="P39" s="22"/>
      <c r="Q39" s="22"/>
      <c r="R39" s="22"/>
      <c r="S39" s="22"/>
      <c r="T39" s="8"/>
      <c r="U39" s="8"/>
      <c r="V39" s="8"/>
      <c r="W39" s="8"/>
      <c r="X39" s="8"/>
      <c r="AC39" s="8">
        <f t="shared" si="0"/>
        <v>10</v>
      </c>
    </row>
    <row r="40" spans="1:29" ht="14.4">
      <c r="A40" s="204">
        <v>11</v>
      </c>
      <c r="B40" s="201" t="s">
        <v>223</v>
      </c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22"/>
      <c r="O40" s="22"/>
      <c r="P40" s="22"/>
      <c r="Q40" s="22"/>
      <c r="R40" s="22"/>
      <c r="S40" s="22"/>
      <c r="T40" s="8"/>
      <c r="U40" s="8"/>
      <c r="V40" s="8"/>
      <c r="W40" s="8"/>
      <c r="X40" s="8"/>
      <c r="AC40" s="8">
        <f t="shared" si="0"/>
        <v>10</v>
      </c>
    </row>
    <row r="41" spans="1:29" ht="14.4">
      <c r="A41" s="205">
        <v>11</v>
      </c>
      <c r="B41" s="202" t="s">
        <v>224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22"/>
      <c r="O41" s="22"/>
      <c r="P41" s="22"/>
      <c r="Q41" s="22"/>
      <c r="R41" s="22"/>
      <c r="S41" s="22"/>
      <c r="T41" s="8"/>
      <c r="U41" s="8"/>
      <c r="V41" s="8"/>
      <c r="W41" s="8"/>
      <c r="X41" s="8"/>
      <c r="AC41" s="8">
        <f t="shared" si="0"/>
        <v>10</v>
      </c>
    </row>
    <row r="42" spans="1:29" ht="14.4">
      <c r="A42" s="204">
        <v>11</v>
      </c>
      <c r="B42" s="201" t="s">
        <v>225</v>
      </c>
      <c r="C42" s="213">
        <v>-25</v>
      </c>
      <c r="D42" s="213">
        <v>-12.5</v>
      </c>
      <c r="E42" s="213">
        <v>0</v>
      </c>
      <c r="F42" s="213">
        <v>12.5</v>
      </c>
      <c r="G42" s="214">
        <v>25</v>
      </c>
      <c r="H42" s="213">
        <v>37.5</v>
      </c>
      <c r="I42" s="214">
        <v>50</v>
      </c>
      <c r="J42" s="213">
        <v>62.5</v>
      </c>
      <c r="K42" s="214">
        <v>75</v>
      </c>
      <c r="L42" s="213">
        <v>87.5</v>
      </c>
      <c r="M42" s="213">
        <v>100</v>
      </c>
      <c r="N42" s="213">
        <v>112.5</v>
      </c>
      <c r="O42" s="215">
        <v>120</v>
      </c>
      <c r="P42" s="22"/>
      <c r="Q42" s="22"/>
      <c r="R42" s="22"/>
      <c r="S42" s="22"/>
      <c r="T42" s="8"/>
      <c r="U42" s="8"/>
      <c r="V42" s="8"/>
      <c r="W42" s="8"/>
      <c r="X42" s="8"/>
      <c r="AC42" s="8">
        <f t="shared" si="0"/>
        <v>10</v>
      </c>
    </row>
    <row r="43" spans="1:29" ht="14.4">
      <c r="A43" s="204">
        <v>11</v>
      </c>
      <c r="B43" s="201" t="s">
        <v>226</v>
      </c>
      <c r="C43" s="216">
        <v>-25</v>
      </c>
      <c r="D43" s="216">
        <v>-12.5</v>
      </c>
      <c r="E43" s="216">
        <v>0</v>
      </c>
      <c r="F43" s="216">
        <v>12.5</v>
      </c>
      <c r="G43" s="217">
        <v>25</v>
      </c>
      <c r="H43" s="216">
        <v>37.5</v>
      </c>
      <c r="I43" s="217">
        <v>50</v>
      </c>
      <c r="J43" s="216">
        <v>62.5</v>
      </c>
      <c r="K43" s="217">
        <v>75</v>
      </c>
      <c r="L43" s="216">
        <v>87.5</v>
      </c>
      <c r="M43" s="216">
        <v>100</v>
      </c>
      <c r="N43" s="216">
        <v>112.5</v>
      </c>
      <c r="O43" s="218">
        <v>120</v>
      </c>
      <c r="P43" s="22"/>
      <c r="Q43" s="22"/>
      <c r="R43" s="22"/>
      <c r="S43" s="22"/>
      <c r="T43" s="8"/>
      <c r="U43" s="8"/>
      <c r="V43" s="8"/>
      <c r="W43" s="8"/>
      <c r="X43" s="8"/>
      <c r="AC43" s="8">
        <f t="shared" si="0"/>
        <v>10</v>
      </c>
    </row>
    <row r="44" spans="1:29" ht="14.4">
      <c r="A44" s="204">
        <v>11</v>
      </c>
      <c r="B44" s="201" t="s">
        <v>227</v>
      </c>
      <c r="C44" s="216">
        <v>-25</v>
      </c>
      <c r="D44" s="216">
        <v>-12.5</v>
      </c>
      <c r="E44" s="216">
        <v>0</v>
      </c>
      <c r="F44" s="216">
        <v>12.5</v>
      </c>
      <c r="G44" s="217">
        <v>25</v>
      </c>
      <c r="H44" s="216">
        <v>37.5</v>
      </c>
      <c r="I44" s="217">
        <v>50</v>
      </c>
      <c r="J44" s="216">
        <v>62.5</v>
      </c>
      <c r="K44" s="217">
        <v>75</v>
      </c>
      <c r="L44" s="216">
        <v>87.5</v>
      </c>
      <c r="M44" s="216">
        <v>100</v>
      </c>
      <c r="N44" s="216">
        <v>112.5</v>
      </c>
      <c r="O44" s="218">
        <v>120</v>
      </c>
      <c r="P44" s="8"/>
      <c r="Q44" s="8"/>
      <c r="R44" s="22"/>
      <c r="S44" s="22"/>
      <c r="T44" s="8"/>
      <c r="U44" s="8"/>
      <c r="V44" s="8"/>
      <c r="W44" s="8"/>
      <c r="X44" s="8"/>
      <c r="AC44" s="8">
        <f t="shared" si="0"/>
        <v>10</v>
      </c>
    </row>
    <row r="45" spans="1:29" ht="14.4">
      <c r="A45" s="204">
        <v>11</v>
      </c>
      <c r="B45" s="201" t="s">
        <v>228</v>
      </c>
      <c r="C45" s="216">
        <v>-25</v>
      </c>
      <c r="D45" s="216">
        <v>-12.5</v>
      </c>
      <c r="E45" s="216">
        <v>0</v>
      </c>
      <c r="F45" s="216">
        <v>12.5</v>
      </c>
      <c r="G45" s="217">
        <v>25</v>
      </c>
      <c r="H45" s="216">
        <v>37.5</v>
      </c>
      <c r="I45" s="217">
        <v>50</v>
      </c>
      <c r="J45" s="216">
        <v>62.5</v>
      </c>
      <c r="K45" s="219">
        <v>75</v>
      </c>
      <c r="L45" s="220">
        <v>87.5</v>
      </c>
      <c r="M45" s="220">
        <v>100</v>
      </c>
      <c r="N45" s="220">
        <v>112.5</v>
      </c>
      <c r="O45" s="221">
        <v>120</v>
      </c>
      <c r="P45" s="8"/>
      <c r="Q45" s="8"/>
      <c r="R45" s="22"/>
      <c r="S45" s="22"/>
      <c r="T45" s="8"/>
      <c r="U45" s="8"/>
      <c r="V45" s="8"/>
      <c r="W45" s="8"/>
      <c r="X45" s="8"/>
      <c r="AC45" s="8">
        <f t="shared" si="0"/>
        <v>10</v>
      </c>
    </row>
    <row r="46" spans="1:29" ht="14.4">
      <c r="A46" s="199">
        <v>12</v>
      </c>
      <c r="B46" s="200" t="s">
        <v>221</v>
      </c>
      <c r="C46" s="222"/>
      <c r="D46" s="222"/>
      <c r="E46" s="222"/>
      <c r="F46" s="223"/>
      <c r="G46" s="223"/>
      <c r="H46" s="224"/>
      <c r="I46" s="224"/>
      <c r="J46" s="225"/>
      <c r="K46" s="22"/>
      <c r="L46" s="22"/>
      <c r="M46" s="22"/>
      <c r="N46" s="8"/>
      <c r="O46" s="8"/>
      <c r="P46" s="8"/>
      <c r="Q46" s="8"/>
      <c r="R46" s="22"/>
      <c r="S46" s="22"/>
      <c r="T46" s="8"/>
      <c r="U46" s="8"/>
      <c r="V46" s="8"/>
      <c r="W46" s="8"/>
      <c r="X46" s="8"/>
      <c r="AC46" s="8">
        <f t="shared" si="0"/>
        <v>11</v>
      </c>
    </row>
    <row r="47" spans="1:29" ht="14.4">
      <c r="A47" s="196">
        <v>12</v>
      </c>
      <c r="B47" s="201" t="s">
        <v>222</v>
      </c>
      <c r="C47" s="22"/>
      <c r="D47" s="22"/>
      <c r="E47" s="22"/>
      <c r="F47" s="21"/>
      <c r="G47" s="21"/>
      <c r="H47" s="24"/>
      <c r="I47" s="24"/>
      <c r="J47" s="226"/>
      <c r="K47" s="22"/>
      <c r="L47" s="22"/>
      <c r="M47" s="22"/>
      <c r="N47" s="8"/>
      <c r="O47" s="8"/>
      <c r="P47" s="8"/>
      <c r="Q47" s="8"/>
      <c r="R47" s="22"/>
      <c r="S47" s="22"/>
      <c r="T47" s="8"/>
      <c r="U47" s="8"/>
      <c r="V47" s="8"/>
      <c r="W47" s="8"/>
      <c r="X47" s="8"/>
      <c r="AC47" s="8">
        <f t="shared" si="0"/>
        <v>11</v>
      </c>
    </row>
    <row r="48" spans="1:29" ht="14.4">
      <c r="A48" s="196">
        <v>12</v>
      </c>
      <c r="B48" s="201" t="s">
        <v>223</v>
      </c>
      <c r="C48" s="22"/>
      <c r="D48" s="22"/>
      <c r="E48" s="22"/>
      <c r="F48" s="21"/>
      <c r="G48" s="21"/>
      <c r="H48" s="24"/>
      <c r="I48" s="24"/>
      <c r="J48" s="226"/>
      <c r="K48" s="22"/>
      <c r="L48" s="22"/>
      <c r="M48" s="22"/>
      <c r="N48" s="8"/>
      <c r="O48" s="8"/>
      <c r="P48" s="8"/>
      <c r="Q48" s="8"/>
      <c r="R48" s="22"/>
      <c r="S48" s="22"/>
      <c r="T48" s="8"/>
      <c r="U48" s="8"/>
      <c r="V48" s="8"/>
      <c r="W48" s="8"/>
      <c r="X48" s="8"/>
      <c r="AC48" s="8">
        <f t="shared" si="0"/>
        <v>11</v>
      </c>
    </row>
    <row r="49" spans="1:29" ht="14.4">
      <c r="A49" s="196">
        <v>12</v>
      </c>
      <c r="B49" s="201" t="s">
        <v>224</v>
      </c>
      <c r="C49" s="22"/>
      <c r="D49" s="22"/>
      <c r="E49" s="22"/>
      <c r="F49" s="21"/>
      <c r="G49" s="21"/>
      <c r="H49" s="24"/>
      <c r="I49" s="24"/>
      <c r="J49" s="226"/>
      <c r="K49" s="22"/>
      <c r="L49" s="22"/>
      <c r="M49" s="22"/>
      <c r="N49" s="8"/>
      <c r="O49" s="8"/>
      <c r="P49" s="8"/>
      <c r="Q49" s="8"/>
      <c r="R49" s="22"/>
      <c r="S49" s="22"/>
      <c r="T49" s="8"/>
      <c r="U49" s="8"/>
      <c r="V49" s="8"/>
      <c r="W49" s="8"/>
      <c r="X49" s="8"/>
      <c r="AC49" s="8">
        <f t="shared" si="0"/>
        <v>11</v>
      </c>
    </row>
    <row r="50" spans="1:29" ht="14.4">
      <c r="A50" s="196">
        <v>12</v>
      </c>
      <c r="B50" s="201" t="s">
        <v>229</v>
      </c>
      <c r="C50" s="22"/>
      <c r="D50" s="22"/>
      <c r="E50" s="22"/>
      <c r="F50" s="21"/>
      <c r="G50" s="21"/>
      <c r="H50" s="24"/>
      <c r="I50" s="24"/>
      <c r="J50" s="226"/>
      <c r="K50" s="22"/>
      <c r="L50" s="22"/>
      <c r="M50" s="22"/>
      <c r="N50" s="8"/>
      <c r="O50" s="8"/>
      <c r="P50" s="8"/>
      <c r="Q50" s="8"/>
      <c r="R50" s="22"/>
      <c r="S50" s="22"/>
      <c r="T50" s="8"/>
      <c r="U50" s="8"/>
      <c r="V50" s="8"/>
      <c r="W50" s="8"/>
      <c r="X50" s="8"/>
      <c r="AC50" s="8">
        <f t="shared" si="0"/>
        <v>11</v>
      </c>
    </row>
    <row r="51" spans="1:29" ht="14.4">
      <c r="A51" s="196">
        <v>12</v>
      </c>
      <c r="B51" s="201" t="s">
        <v>225</v>
      </c>
      <c r="C51" s="12">
        <v>-80</v>
      </c>
      <c r="D51" s="12">
        <v>-50</v>
      </c>
      <c r="E51" s="12">
        <v>-25</v>
      </c>
      <c r="F51" s="25">
        <v>5</v>
      </c>
      <c r="G51" s="25">
        <v>35</v>
      </c>
      <c r="H51" s="26">
        <v>65</v>
      </c>
      <c r="I51" s="26">
        <v>95</v>
      </c>
      <c r="J51" s="218">
        <v>125</v>
      </c>
      <c r="K51" s="22"/>
      <c r="L51" s="22"/>
      <c r="M51" s="22"/>
      <c r="N51" s="8"/>
      <c r="O51" s="8"/>
      <c r="P51" s="8"/>
      <c r="Q51" s="8"/>
      <c r="R51" s="22"/>
      <c r="S51" s="22"/>
      <c r="T51" s="8"/>
      <c r="U51" s="8"/>
      <c r="V51" s="8"/>
      <c r="W51" s="8"/>
      <c r="X51" s="8"/>
      <c r="AC51" s="8">
        <f t="shared" si="0"/>
        <v>11</v>
      </c>
    </row>
    <row r="52" spans="1:29" ht="14.4">
      <c r="A52" s="196">
        <v>12</v>
      </c>
      <c r="B52" s="201" t="s">
        <v>226</v>
      </c>
      <c r="C52" s="12">
        <v>-80</v>
      </c>
      <c r="D52" s="12">
        <v>-50</v>
      </c>
      <c r="E52" s="12">
        <v>-25</v>
      </c>
      <c r="F52" s="25">
        <v>5</v>
      </c>
      <c r="G52" s="25">
        <v>35</v>
      </c>
      <c r="H52" s="26">
        <v>65</v>
      </c>
      <c r="I52" s="26">
        <v>95</v>
      </c>
      <c r="J52" s="218">
        <v>125</v>
      </c>
      <c r="K52" s="22"/>
      <c r="L52" s="22"/>
      <c r="M52" s="22"/>
      <c r="N52" s="8"/>
      <c r="O52" s="8"/>
      <c r="P52" s="8"/>
      <c r="Q52" s="8"/>
      <c r="R52" s="22"/>
      <c r="S52" s="22"/>
      <c r="T52" s="8"/>
      <c r="U52" s="8"/>
      <c r="V52" s="8"/>
      <c r="W52" s="8"/>
      <c r="X52" s="8"/>
      <c r="AC52" s="8">
        <f t="shared" si="0"/>
        <v>11</v>
      </c>
    </row>
    <row r="53" spans="1:29" ht="14.4">
      <c r="A53" s="196">
        <v>12</v>
      </c>
      <c r="B53" s="201" t="s">
        <v>227</v>
      </c>
      <c r="C53" s="12">
        <v>-80</v>
      </c>
      <c r="D53" s="12">
        <v>-50</v>
      </c>
      <c r="E53" s="12">
        <v>-25</v>
      </c>
      <c r="F53" s="25">
        <v>5</v>
      </c>
      <c r="G53" s="25">
        <v>35</v>
      </c>
      <c r="H53" s="26">
        <v>65</v>
      </c>
      <c r="I53" s="26">
        <v>95</v>
      </c>
      <c r="J53" s="218">
        <v>125</v>
      </c>
      <c r="K53" s="22"/>
      <c r="L53" s="22"/>
      <c r="M53" s="22"/>
      <c r="N53" s="8"/>
      <c r="O53" s="8"/>
      <c r="P53" s="8"/>
      <c r="Q53" s="8"/>
      <c r="R53" s="22"/>
      <c r="S53" s="22"/>
      <c r="T53" s="8"/>
      <c r="U53" s="8"/>
      <c r="V53" s="8"/>
      <c r="W53" s="8"/>
      <c r="X53" s="8"/>
      <c r="AC53" s="8">
        <f t="shared" si="0"/>
        <v>11</v>
      </c>
    </row>
    <row r="54" spans="1:29" ht="14.4">
      <c r="A54" s="196">
        <v>12</v>
      </c>
      <c r="B54" s="201" t="s">
        <v>228</v>
      </c>
      <c r="C54" s="12">
        <v>-80</v>
      </c>
      <c r="D54" s="12">
        <v>-50</v>
      </c>
      <c r="E54" s="12">
        <v>-25</v>
      </c>
      <c r="F54" s="25">
        <v>5</v>
      </c>
      <c r="G54" s="25">
        <v>35</v>
      </c>
      <c r="H54" s="26">
        <v>65</v>
      </c>
      <c r="I54" s="26">
        <v>95</v>
      </c>
      <c r="J54" s="218">
        <v>125</v>
      </c>
      <c r="K54" s="22"/>
      <c r="L54" s="22"/>
      <c r="M54" s="22"/>
      <c r="N54" s="8"/>
      <c r="O54" s="8"/>
      <c r="P54" s="8"/>
      <c r="Q54" s="8"/>
      <c r="R54" s="22"/>
      <c r="S54" s="22"/>
      <c r="T54" s="8"/>
      <c r="U54" s="8"/>
      <c r="V54" s="8"/>
      <c r="W54" s="8"/>
      <c r="X54" s="8"/>
      <c r="AC54" s="8">
        <f t="shared" si="0"/>
        <v>11</v>
      </c>
    </row>
    <row r="55" spans="1:29" ht="14.4">
      <c r="A55" s="197">
        <v>12</v>
      </c>
      <c r="B55" s="202" t="s">
        <v>230</v>
      </c>
      <c r="C55" s="27">
        <v>-80</v>
      </c>
      <c r="D55" s="27">
        <v>-50</v>
      </c>
      <c r="E55" s="27">
        <v>-25</v>
      </c>
      <c r="F55" s="28">
        <v>5</v>
      </c>
      <c r="G55" s="28">
        <v>35</v>
      </c>
      <c r="H55" s="29">
        <v>65</v>
      </c>
      <c r="I55" s="29">
        <v>95</v>
      </c>
      <c r="J55" s="221">
        <v>125</v>
      </c>
      <c r="K55" s="22"/>
      <c r="L55" s="22"/>
      <c r="M55" s="22"/>
      <c r="N55" s="8"/>
      <c r="O55" s="8"/>
      <c r="P55" s="8"/>
      <c r="Q55" s="8"/>
      <c r="R55" s="22"/>
      <c r="S55" s="22"/>
      <c r="T55" s="8"/>
      <c r="U55" s="8"/>
      <c r="V55" s="8"/>
      <c r="W55" s="8"/>
      <c r="X55" s="8"/>
      <c r="AC55" s="8">
        <f t="shared" si="0"/>
        <v>11</v>
      </c>
    </row>
    <row r="56" spans="1:29" ht="14.4">
      <c r="A56" s="204">
        <v>13</v>
      </c>
      <c r="B56" s="201">
        <v>1</v>
      </c>
      <c r="C56" s="22"/>
      <c r="D56" s="21"/>
      <c r="E56" s="22"/>
      <c r="F56" s="21"/>
      <c r="G56" s="21"/>
      <c r="H56" s="22"/>
      <c r="I56" s="22"/>
      <c r="J56" s="22"/>
      <c r="K56" s="22"/>
      <c r="L56" s="22"/>
      <c r="M56" s="22"/>
      <c r="N56" s="8"/>
      <c r="O56" s="8"/>
      <c r="P56" s="8"/>
      <c r="Q56" s="8"/>
      <c r="R56" s="22"/>
      <c r="S56" s="22"/>
      <c r="T56" s="8"/>
      <c r="U56" s="8"/>
      <c r="V56" s="8"/>
      <c r="W56" s="8"/>
      <c r="X56" s="8"/>
      <c r="AC56" s="8">
        <f t="shared" si="0"/>
        <v>12</v>
      </c>
    </row>
    <row r="57" spans="1:29" ht="14.4">
      <c r="A57" s="204">
        <v>13</v>
      </c>
      <c r="B57" s="201">
        <v>2</v>
      </c>
      <c r="C57" s="22"/>
      <c r="D57" s="21"/>
      <c r="E57" s="22"/>
      <c r="F57" s="21"/>
      <c r="G57" s="21"/>
      <c r="H57" s="22"/>
      <c r="I57" s="22"/>
      <c r="J57" s="22"/>
      <c r="K57" s="22"/>
      <c r="L57" s="22"/>
      <c r="M57" s="22"/>
      <c r="N57" s="8"/>
      <c r="O57" s="8"/>
      <c r="P57" s="8"/>
      <c r="Q57" s="8"/>
      <c r="R57" s="22"/>
      <c r="S57" s="22"/>
      <c r="T57" s="8"/>
      <c r="U57" s="8"/>
      <c r="V57" s="8"/>
      <c r="W57" s="8"/>
      <c r="X57" s="8"/>
      <c r="AC57" s="8">
        <f t="shared" si="0"/>
        <v>12</v>
      </c>
    </row>
    <row r="58" spans="1:29" ht="14.4">
      <c r="A58" s="204">
        <v>13</v>
      </c>
      <c r="B58" s="201">
        <v>3</v>
      </c>
      <c r="C58" s="22"/>
      <c r="D58" s="21"/>
      <c r="E58" s="22"/>
      <c r="F58" s="21"/>
      <c r="G58" s="21"/>
      <c r="H58" s="22"/>
      <c r="I58" s="22"/>
      <c r="J58" s="22"/>
      <c r="K58" s="22"/>
      <c r="L58" s="22"/>
      <c r="M58" s="22"/>
      <c r="N58" s="8"/>
      <c r="O58" s="8"/>
      <c r="P58" s="8"/>
      <c r="Q58" s="8"/>
      <c r="R58" s="22"/>
      <c r="S58" s="22"/>
      <c r="T58" s="8"/>
      <c r="U58" s="8"/>
      <c r="V58" s="8"/>
      <c r="W58" s="8"/>
      <c r="X58" s="8"/>
      <c r="AC58" s="8">
        <f t="shared" si="0"/>
        <v>12</v>
      </c>
    </row>
    <row r="59" spans="1:29" ht="14.4">
      <c r="A59" s="204">
        <v>13</v>
      </c>
      <c r="B59" s="201">
        <v>4</v>
      </c>
      <c r="C59" s="22"/>
      <c r="D59" s="21"/>
      <c r="E59" s="22"/>
      <c r="F59" s="22"/>
      <c r="G59" s="22"/>
      <c r="H59" s="22"/>
      <c r="I59" s="22"/>
      <c r="J59" s="22"/>
      <c r="K59" s="22"/>
      <c r="L59" s="22"/>
      <c r="M59" s="22"/>
      <c r="N59" s="8"/>
      <c r="O59" s="8"/>
      <c r="P59" s="8"/>
      <c r="Q59" s="8"/>
      <c r="R59" s="22"/>
      <c r="S59" s="22"/>
      <c r="T59" s="8"/>
      <c r="U59" s="8"/>
      <c r="V59" s="8"/>
      <c r="W59" s="8"/>
      <c r="X59" s="8"/>
      <c r="AC59" s="8">
        <f t="shared" si="0"/>
        <v>12</v>
      </c>
    </row>
    <row r="60" spans="1:29" ht="14.4">
      <c r="A60" s="204">
        <v>13</v>
      </c>
      <c r="B60" s="201">
        <v>5</v>
      </c>
      <c r="C60" s="22"/>
      <c r="D60" s="21"/>
      <c r="E60" s="22"/>
      <c r="F60" s="22"/>
      <c r="G60" s="22"/>
      <c r="H60" s="22"/>
      <c r="I60" s="22"/>
      <c r="J60" s="22"/>
      <c r="K60" s="22"/>
      <c r="L60" s="22"/>
      <c r="M60" s="22"/>
      <c r="N60" s="8"/>
      <c r="O60" s="8"/>
      <c r="P60" s="8"/>
      <c r="Q60" s="8"/>
      <c r="R60" s="22"/>
      <c r="S60" s="22"/>
      <c r="T60" s="8"/>
      <c r="U60" s="8"/>
      <c r="V60" s="8"/>
      <c r="W60" s="8"/>
      <c r="X60" s="8"/>
      <c r="AC60" s="8">
        <f t="shared" si="0"/>
        <v>12</v>
      </c>
    </row>
    <row r="61" spans="1:29" ht="14.4">
      <c r="A61" s="204">
        <v>13</v>
      </c>
      <c r="B61" s="201">
        <v>6</v>
      </c>
      <c r="C61" s="22"/>
      <c r="D61" s="21"/>
      <c r="E61" s="22"/>
      <c r="F61" s="22"/>
      <c r="G61" s="22"/>
      <c r="H61" s="22"/>
      <c r="I61" s="22"/>
      <c r="J61" s="22"/>
      <c r="K61" s="22"/>
      <c r="L61" s="22"/>
      <c r="M61" s="22"/>
      <c r="N61" s="8"/>
      <c r="O61" s="8"/>
      <c r="P61" s="8"/>
      <c r="Q61" s="8"/>
      <c r="R61" s="22"/>
      <c r="S61" s="22"/>
      <c r="T61" s="8"/>
      <c r="U61" s="8"/>
      <c r="V61" s="8"/>
      <c r="W61" s="8"/>
      <c r="X61" s="8"/>
      <c r="AC61" s="8">
        <f t="shared" si="0"/>
        <v>12</v>
      </c>
    </row>
    <row r="62" spans="1:29" ht="14.4">
      <c r="A62" s="204">
        <v>13</v>
      </c>
      <c r="B62" s="201">
        <v>7</v>
      </c>
      <c r="C62" s="22"/>
      <c r="D62" s="21"/>
      <c r="E62" s="22"/>
      <c r="F62" s="22"/>
      <c r="G62" s="22"/>
      <c r="H62" s="22"/>
      <c r="I62" s="22"/>
      <c r="J62" s="22"/>
      <c r="K62" s="22"/>
      <c r="L62" s="22"/>
      <c r="M62" s="22"/>
      <c r="N62" s="8"/>
      <c r="O62" s="8"/>
      <c r="P62" s="8"/>
      <c r="Q62" s="8"/>
      <c r="R62" s="22"/>
      <c r="S62" s="22"/>
      <c r="T62" s="8"/>
      <c r="U62" s="8"/>
      <c r="V62" s="8"/>
      <c r="W62" s="8"/>
      <c r="X62" s="8"/>
      <c r="AC62" s="8">
        <f t="shared" si="0"/>
        <v>12</v>
      </c>
    </row>
    <row r="63" spans="1:29" ht="14.4">
      <c r="A63" s="205">
        <v>13</v>
      </c>
      <c r="B63" s="202">
        <v>8</v>
      </c>
      <c r="C63" s="22"/>
      <c r="D63" s="21"/>
      <c r="E63" s="22"/>
      <c r="F63" s="22"/>
      <c r="G63" s="22"/>
      <c r="H63" s="22"/>
      <c r="I63" s="22"/>
      <c r="J63" s="22"/>
      <c r="K63" s="22"/>
      <c r="L63" s="22"/>
      <c r="M63" s="22"/>
      <c r="N63" s="8"/>
      <c r="O63" s="8"/>
      <c r="P63" s="8"/>
      <c r="Q63" s="8"/>
      <c r="R63" s="22"/>
      <c r="S63" s="22"/>
      <c r="T63" s="8"/>
      <c r="U63" s="8"/>
      <c r="V63" s="8"/>
      <c r="W63" s="8"/>
      <c r="X63" s="8"/>
      <c r="AC63" s="8">
        <f t="shared" si="0"/>
        <v>12</v>
      </c>
    </row>
    <row r="64" spans="1:29" ht="14.4">
      <c r="A64" s="203">
        <v>14</v>
      </c>
      <c r="B64" s="200">
        <v>1</v>
      </c>
      <c r="C64" s="22"/>
      <c r="D64" s="21"/>
      <c r="E64" s="22"/>
      <c r="F64" s="22"/>
      <c r="G64" s="22"/>
      <c r="H64" s="22"/>
      <c r="I64" s="22"/>
      <c r="J64" s="22"/>
      <c r="K64" s="22"/>
      <c r="L64" s="22"/>
      <c r="M64" s="22"/>
      <c r="N64" s="8"/>
      <c r="O64" s="8"/>
      <c r="P64" s="8"/>
      <c r="Q64" s="8"/>
      <c r="R64" s="22"/>
      <c r="S64" s="22"/>
      <c r="T64" s="8"/>
      <c r="U64" s="8"/>
      <c r="V64" s="8"/>
      <c r="W64" s="8"/>
      <c r="X64" s="8"/>
      <c r="AC64" s="8">
        <f t="shared" si="0"/>
        <v>13</v>
      </c>
    </row>
    <row r="65" spans="1:29" ht="14.4">
      <c r="A65" s="204">
        <v>14</v>
      </c>
      <c r="B65" s="201">
        <v>2</v>
      </c>
      <c r="C65" s="22"/>
      <c r="D65" s="21"/>
      <c r="E65" s="22"/>
      <c r="F65" s="22"/>
      <c r="G65" s="22"/>
      <c r="H65" s="22"/>
      <c r="I65" s="22"/>
      <c r="J65" s="22"/>
      <c r="K65" s="22"/>
      <c r="L65" s="22"/>
      <c r="M65" s="22"/>
      <c r="N65" s="8"/>
      <c r="O65" s="8"/>
      <c r="P65" s="8"/>
      <c r="Q65" s="8"/>
      <c r="R65" s="22"/>
      <c r="S65" s="22"/>
      <c r="T65" s="8"/>
      <c r="U65" s="8"/>
      <c r="V65" s="8"/>
      <c r="W65" s="8"/>
      <c r="X65" s="8"/>
      <c r="AC65" s="8">
        <f t="shared" si="0"/>
        <v>13</v>
      </c>
    </row>
    <row r="66" spans="1:29" ht="14.4">
      <c r="A66" s="204">
        <v>14</v>
      </c>
      <c r="B66" s="201">
        <v>3</v>
      </c>
      <c r="C66" s="12"/>
      <c r="D66" s="12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22"/>
      <c r="S66" s="22"/>
      <c r="T66" s="8"/>
      <c r="U66" s="8"/>
      <c r="V66" s="8"/>
      <c r="W66" s="8"/>
      <c r="X66" s="8"/>
      <c r="AC66" s="8">
        <f t="shared" si="0"/>
        <v>13</v>
      </c>
    </row>
    <row r="67" spans="1:29" ht="14.4">
      <c r="A67" s="204">
        <v>14</v>
      </c>
      <c r="B67" s="201">
        <v>4</v>
      </c>
      <c r="C67" s="12"/>
      <c r="D67" s="12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22"/>
      <c r="S67" s="22"/>
      <c r="T67" s="8"/>
      <c r="U67" s="8"/>
      <c r="V67" s="8"/>
      <c r="W67" s="8"/>
      <c r="X67" s="8"/>
      <c r="AC67" s="8">
        <f t="shared" si="0"/>
        <v>13</v>
      </c>
    </row>
    <row r="68" spans="1:29" ht="14.4">
      <c r="A68" s="204">
        <v>14</v>
      </c>
      <c r="B68" s="201">
        <v>5</v>
      </c>
      <c r="C68" s="12"/>
      <c r="D68" s="12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22"/>
      <c r="S68" s="22"/>
      <c r="T68" s="8"/>
      <c r="U68" s="8"/>
      <c r="V68" s="8"/>
      <c r="W68" s="8"/>
      <c r="X68" s="8"/>
      <c r="AC68" s="8">
        <f t="shared" si="0"/>
        <v>13</v>
      </c>
    </row>
    <row r="69" spans="1:29" ht="14.4">
      <c r="A69" s="204">
        <v>14</v>
      </c>
      <c r="B69" s="201">
        <v>6</v>
      </c>
      <c r="C69" s="12"/>
      <c r="D69" s="12"/>
      <c r="E69" s="22"/>
      <c r="F69" s="22"/>
      <c r="G69" s="22"/>
      <c r="H69" s="21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8"/>
      <c r="U69" s="8"/>
      <c r="V69" s="8"/>
      <c r="W69" s="8"/>
      <c r="X69" s="8"/>
      <c r="AC69" s="8">
        <f t="shared" si="0"/>
        <v>13</v>
      </c>
    </row>
    <row r="70" spans="1:29" ht="14.4">
      <c r="A70" s="204">
        <v>14</v>
      </c>
      <c r="B70" s="201">
        <v>7</v>
      </c>
      <c r="C70" s="12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8"/>
      <c r="U70" s="8"/>
      <c r="V70" s="8"/>
      <c r="W70" s="8"/>
      <c r="X70" s="8"/>
      <c r="AC70" s="8">
        <f t="shared" si="0"/>
        <v>13</v>
      </c>
    </row>
    <row r="71" spans="1:29" ht="14.4">
      <c r="A71" s="204">
        <v>14</v>
      </c>
      <c r="B71" s="201">
        <v>8</v>
      </c>
      <c r="C71" s="12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8"/>
      <c r="U71" s="8"/>
      <c r="V71" s="8"/>
      <c r="W71" s="8"/>
      <c r="X71" s="8"/>
      <c r="AC71" s="8">
        <f t="shared" si="0"/>
        <v>13</v>
      </c>
    </row>
    <row r="72" spans="1:29" ht="14.4">
      <c r="A72" s="204">
        <v>14</v>
      </c>
      <c r="B72" s="201">
        <v>9</v>
      </c>
      <c r="C72" s="12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8"/>
      <c r="U72" s="8"/>
      <c r="V72" s="8"/>
      <c r="W72" s="8"/>
      <c r="X72" s="8"/>
      <c r="AC72" s="8">
        <f t="shared" si="0"/>
        <v>13</v>
      </c>
    </row>
    <row r="73" spans="1:29" ht="14.4">
      <c r="A73" s="204">
        <v>14</v>
      </c>
      <c r="B73" s="201">
        <v>10</v>
      </c>
      <c r="C73" s="12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8"/>
      <c r="U73" s="8"/>
      <c r="V73" s="8"/>
      <c r="W73" s="8"/>
      <c r="X73" s="8"/>
      <c r="AC73" s="8">
        <f t="shared" si="0"/>
        <v>13</v>
      </c>
    </row>
    <row r="74" spans="1:29" ht="14.4">
      <c r="A74" s="203">
        <v>15</v>
      </c>
      <c r="B74" s="200">
        <v>1</v>
      </c>
      <c r="C74" s="12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8"/>
      <c r="U74" s="8"/>
      <c r="V74" s="8"/>
      <c r="W74" s="8"/>
      <c r="X74" s="8"/>
      <c r="AC74" s="8">
        <f t="shared" si="0"/>
        <v>14</v>
      </c>
    </row>
    <row r="75" spans="1:29" ht="14.4">
      <c r="A75" s="204">
        <v>15</v>
      </c>
      <c r="B75" s="201">
        <v>2</v>
      </c>
      <c r="C75" s="12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8"/>
      <c r="U75" s="8"/>
      <c r="V75" s="8"/>
      <c r="W75" s="8"/>
      <c r="X75" s="8"/>
      <c r="AC75" s="8">
        <f t="shared" si="0"/>
        <v>14</v>
      </c>
    </row>
    <row r="76" spans="1:29" ht="14.4">
      <c r="A76" s="204">
        <v>15</v>
      </c>
      <c r="B76" s="201">
        <v>3</v>
      </c>
      <c r="C76" s="12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8"/>
      <c r="U76" s="8"/>
      <c r="V76" s="8"/>
      <c r="W76" s="8"/>
      <c r="X76" s="8"/>
      <c r="AC76" s="8">
        <f t="shared" si="0"/>
        <v>14</v>
      </c>
    </row>
    <row r="77" spans="1:29" ht="14.4">
      <c r="A77" s="204">
        <v>15</v>
      </c>
      <c r="B77" s="201">
        <v>4</v>
      </c>
      <c r="C77" s="12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8"/>
      <c r="U77" s="8"/>
      <c r="V77" s="8"/>
      <c r="W77" s="8"/>
      <c r="X77" s="8"/>
      <c r="AC77" s="8">
        <f t="shared" si="0"/>
        <v>14</v>
      </c>
    </row>
    <row r="78" spans="1:29" ht="14.4">
      <c r="A78" s="204">
        <v>15</v>
      </c>
      <c r="B78" s="201">
        <v>5</v>
      </c>
      <c r="C78" s="12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8"/>
      <c r="U78" s="8"/>
      <c r="V78" s="8"/>
      <c r="W78" s="8"/>
      <c r="X78" s="8"/>
      <c r="AC78" s="8">
        <f t="shared" si="0"/>
        <v>14</v>
      </c>
    </row>
    <row r="79" spans="1:29" ht="14.4">
      <c r="A79" s="204">
        <v>15</v>
      </c>
      <c r="B79" s="201">
        <v>6</v>
      </c>
      <c r="C79" s="12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8"/>
      <c r="U79" s="8"/>
      <c r="V79" s="8"/>
      <c r="W79" s="8"/>
      <c r="X79" s="8"/>
      <c r="AC79" s="8">
        <f t="shared" si="0"/>
        <v>14</v>
      </c>
    </row>
    <row r="80" spans="1:29" ht="14.4">
      <c r="A80" s="199">
        <v>16</v>
      </c>
      <c r="B80" s="200">
        <v>1</v>
      </c>
      <c r="C80" s="227">
        <v>-40</v>
      </c>
      <c r="D80" s="227">
        <v>-30</v>
      </c>
      <c r="E80" s="227">
        <v>-20</v>
      </c>
      <c r="F80" s="227">
        <v>-10</v>
      </c>
      <c r="G80" s="227">
        <v>0</v>
      </c>
      <c r="H80" s="227">
        <v>10</v>
      </c>
      <c r="I80" s="227">
        <v>20</v>
      </c>
      <c r="J80" s="227">
        <v>30</v>
      </c>
      <c r="K80" s="227">
        <v>40</v>
      </c>
      <c r="L80" s="215">
        <v>50</v>
      </c>
      <c r="M80" s="22"/>
      <c r="N80" s="22"/>
      <c r="O80" s="22"/>
      <c r="P80" s="22"/>
      <c r="Q80" s="22"/>
      <c r="R80" s="22"/>
      <c r="S80" s="22"/>
      <c r="T80" s="8"/>
      <c r="U80" s="8"/>
      <c r="V80" s="8"/>
      <c r="W80" s="8"/>
      <c r="X80" s="8"/>
      <c r="AC80" s="8">
        <f t="shared" si="0"/>
        <v>15</v>
      </c>
    </row>
    <row r="81" spans="1:29" ht="14.4">
      <c r="A81" s="196">
        <v>16</v>
      </c>
      <c r="B81" s="201">
        <v>2</v>
      </c>
      <c r="C81" s="12">
        <v>-40</v>
      </c>
      <c r="D81" s="12">
        <v>-30</v>
      </c>
      <c r="E81" s="12">
        <v>-20</v>
      </c>
      <c r="F81" s="12">
        <v>-10</v>
      </c>
      <c r="G81" s="12">
        <v>0</v>
      </c>
      <c r="H81" s="12">
        <v>10</v>
      </c>
      <c r="I81" s="12">
        <v>20</v>
      </c>
      <c r="J81" s="12">
        <v>30</v>
      </c>
      <c r="K81" s="12">
        <v>40</v>
      </c>
      <c r="L81" s="218">
        <v>50</v>
      </c>
      <c r="M81" s="22"/>
      <c r="N81" s="22"/>
      <c r="O81" s="22"/>
      <c r="P81" s="22"/>
      <c r="Q81" s="22"/>
      <c r="R81" s="22"/>
      <c r="S81" s="22"/>
      <c r="T81" s="8"/>
      <c r="U81" s="8"/>
      <c r="V81" s="8"/>
      <c r="W81" s="8"/>
      <c r="X81" s="8"/>
      <c r="AC81" s="8">
        <f t="shared" si="0"/>
        <v>15</v>
      </c>
    </row>
    <row r="82" spans="1:29" ht="14.4">
      <c r="A82" s="197">
        <v>16</v>
      </c>
      <c r="B82" s="202">
        <v>3</v>
      </c>
      <c r="C82" s="27">
        <v>-40</v>
      </c>
      <c r="D82" s="27">
        <v>-30</v>
      </c>
      <c r="E82" s="27">
        <v>-20</v>
      </c>
      <c r="F82" s="27">
        <v>-10</v>
      </c>
      <c r="G82" s="27">
        <v>0</v>
      </c>
      <c r="H82" s="27">
        <v>10</v>
      </c>
      <c r="I82" s="27">
        <v>20</v>
      </c>
      <c r="J82" s="27">
        <v>30</v>
      </c>
      <c r="K82" s="27">
        <v>40</v>
      </c>
      <c r="L82" s="221">
        <v>50</v>
      </c>
      <c r="M82" s="22"/>
      <c r="N82" s="22"/>
      <c r="O82" s="22"/>
      <c r="P82" s="22"/>
      <c r="Q82" s="22"/>
      <c r="R82" s="22"/>
      <c r="S82" s="22"/>
      <c r="T82" s="8"/>
      <c r="U82" s="8"/>
      <c r="V82" s="8"/>
      <c r="W82" s="8"/>
      <c r="X82" s="8"/>
      <c r="AC82" s="8">
        <f t="shared" si="0"/>
        <v>15</v>
      </c>
    </row>
    <row r="83" spans="1:29" ht="15" customHeight="1">
      <c r="A83" s="228">
        <v>17</v>
      </c>
      <c r="B83" s="75">
        <v>1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AC83" s="8">
        <f t="shared" si="0"/>
        <v>16</v>
      </c>
    </row>
    <row r="84" spans="1:29" ht="15" customHeight="1">
      <c r="A84" s="228">
        <v>17</v>
      </c>
      <c r="B84" s="75">
        <v>2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AC84" s="8">
        <f t="shared" si="0"/>
        <v>16</v>
      </c>
    </row>
    <row r="85" spans="1:29" ht="15" customHeight="1">
      <c r="A85" s="228">
        <v>17</v>
      </c>
      <c r="B85" s="75">
        <v>3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AC85" s="8">
        <f t="shared" si="0"/>
        <v>16</v>
      </c>
    </row>
    <row r="86" spans="1:29" ht="15" customHeight="1">
      <c r="A86" s="228">
        <v>17</v>
      </c>
      <c r="B86" s="75">
        <v>4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AC86" s="8">
        <f t="shared" si="0"/>
        <v>16</v>
      </c>
    </row>
    <row r="87" spans="1:29" ht="15" customHeight="1">
      <c r="A87" s="229">
        <v>18</v>
      </c>
      <c r="B87" s="74">
        <v>1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AC87" s="8">
        <f t="shared" si="0"/>
        <v>17</v>
      </c>
    </row>
    <row r="88" spans="1:29" ht="15" customHeight="1">
      <c r="A88" s="228">
        <v>18</v>
      </c>
      <c r="B88" s="75">
        <v>2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8"/>
      <c r="P88" s="8"/>
      <c r="Q88" s="8"/>
      <c r="R88" s="8"/>
      <c r="S88" s="8"/>
      <c r="T88" s="8"/>
      <c r="U88" s="8"/>
      <c r="V88" s="8"/>
      <c r="W88" s="8"/>
      <c r="X88" s="8"/>
      <c r="AC88" s="8">
        <f t="shared" si="0"/>
        <v>17</v>
      </c>
    </row>
    <row r="89" spans="1:29" ht="15" customHeight="1">
      <c r="A89" s="229">
        <v>19</v>
      </c>
      <c r="B89" s="74">
        <v>1</v>
      </c>
      <c r="C89" s="222">
        <v>-25</v>
      </c>
      <c r="D89" s="222">
        <v>-12.5</v>
      </c>
      <c r="E89" s="224">
        <v>0</v>
      </c>
      <c r="F89" s="224">
        <v>12.5</v>
      </c>
      <c r="G89" s="222">
        <v>25</v>
      </c>
      <c r="H89" s="222">
        <v>37.5</v>
      </c>
      <c r="I89" s="222">
        <v>50</v>
      </c>
      <c r="J89" s="222">
        <v>62.5</v>
      </c>
      <c r="K89" s="222">
        <v>75</v>
      </c>
      <c r="L89" s="222">
        <v>87.5</v>
      </c>
      <c r="M89" s="222">
        <v>100</v>
      </c>
      <c r="N89" s="225">
        <v>112.5</v>
      </c>
      <c r="O89" s="2"/>
      <c r="P89" s="8"/>
      <c r="Q89" s="8"/>
      <c r="R89" s="8"/>
      <c r="S89" s="8"/>
      <c r="T89" s="8"/>
      <c r="U89" s="8"/>
      <c r="V89" s="8"/>
      <c r="W89" s="8"/>
      <c r="X89" s="8"/>
      <c r="AC89" s="8">
        <f t="shared" si="0"/>
        <v>18</v>
      </c>
    </row>
    <row r="90" spans="1:29" ht="15" customHeight="1">
      <c r="A90" s="228">
        <v>19</v>
      </c>
      <c r="B90" s="75">
        <v>2</v>
      </c>
      <c r="C90" s="22">
        <v>-25</v>
      </c>
      <c r="D90" s="22">
        <v>-12.5</v>
      </c>
      <c r="E90" s="24">
        <v>0</v>
      </c>
      <c r="F90" s="24">
        <v>12.5</v>
      </c>
      <c r="G90" s="22">
        <v>25</v>
      </c>
      <c r="H90" s="22">
        <v>37.5</v>
      </c>
      <c r="I90" s="22">
        <v>50</v>
      </c>
      <c r="J90" s="22">
        <v>62.5</v>
      </c>
      <c r="K90" s="22">
        <v>75</v>
      </c>
      <c r="L90" s="22">
        <v>87.5</v>
      </c>
      <c r="M90" s="22">
        <v>100</v>
      </c>
      <c r="N90" s="226">
        <v>112.5</v>
      </c>
      <c r="O90" s="2"/>
      <c r="P90" s="8"/>
      <c r="Q90" s="8"/>
      <c r="R90" s="8"/>
      <c r="S90" s="8"/>
      <c r="T90" s="8"/>
      <c r="U90" s="8"/>
      <c r="V90" s="8"/>
      <c r="W90" s="8"/>
      <c r="X90" s="8"/>
      <c r="AC90" s="8">
        <f t="shared" si="0"/>
        <v>18</v>
      </c>
    </row>
    <row r="91" spans="1:29" ht="15" customHeight="1">
      <c r="A91" s="228">
        <v>19</v>
      </c>
      <c r="B91" s="75">
        <v>3</v>
      </c>
      <c r="C91" s="22">
        <v>-25</v>
      </c>
      <c r="D91" s="22">
        <v>-12.5</v>
      </c>
      <c r="E91" s="24">
        <v>0</v>
      </c>
      <c r="F91" s="24">
        <v>12.5</v>
      </c>
      <c r="G91" s="22">
        <v>25</v>
      </c>
      <c r="H91" s="22">
        <v>37.5</v>
      </c>
      <c r="I91" s="22">
        <v>50</v>
      </c>
      <c r="J91" s="22">
        <v>62.5</v>
      </c>
      <c r="K91" s="22">
        <v>75</v>
      </c>
      <c r="L91" s="22">
        <v>87.5</v>
      </c>
      <c r="M91" s="22">
        <v>100</v>
      </c>
      <c r="N91" s="226">
        <v>112.5</v>
      </c>
      <c r="O91" s="2"/>
      <c r="P91" s="8"/>
      <c r="Q91" s="8"/>
      <c r="R91" s="8"/>
      <c r="S91" s="8"/>
      <c r="T91" s="8"/>
      <c r="U91" s="8"/>
      <c r="V91" s="8"/>
      <c r="W91" s="8"/>
      <c r="X91" s="8"/>
      <c r="AC91" s="8">
        <f t="shared" si="0"/>
        <v>18</v>
      </c>
    </row>
    <row r="92" spans="1:29" ht="15" customHeight="1">
      <c r="A92" s="228">
        <v>19</v>
      </c>
      <c r="B92" s="75">
        <v>4</v>
      </c>
      <c r="C92" s="22">
        <v>-25</v>
      </c>
      <c r="D92" s="22">
        <v>-12.5</v>
      </c>
      <c r="E92" s="24">
        <v>0</v>
      </c>
      <c r="F92" s="24">
        <v>12.5</v>
      </c>
      <c r="G92" s="22">
        <v>25</v>
      </c>
      <c r="H92" s="22">
        <v>37.5</v>
      </c>
      <c r="I92" s="22">
        <v>50</v>
      </c>
      <c r="J92" s="22">
        <v>62.5</v>
      </c>
      <c r="K92" s="22">
        <v>75</v>
      </c>
      <c r="L92" s="22">
        <v>87.5</v>
      </c>
      <c r="M92" s="22">
        <v>100</v>
      </c>
      <c r="N92" s="226">
        <v>112.5</v>
      </c>
      <c r="O92" s="2"/>
      <c r="P92" s="8"/>
      <c r="Q92" s="8"/>
      <c r="R92" s="8"/>
      <c r="S92" s="8"/>
      <c r="T92" s="8"/>
      <c r="U92" s="8"/>
      <c r="V92" s="8"/>
      <c r="W92" s="8"/>
      <c r="X92" s="8"/>
      <c r="AC92" s="8">
        <f t="shared" si="0"/>
        <v>18</v>
      </c>
    </row>
    <row r="93" spans="1:29" ht="15" customHeight="1">
      <c r="A93" s="230">
        <v>19</v>
      </c>
      <c r="B93" s="231">
        <v>5</v>
      </c>
      <c r="C93" s="30">
        <v>-25</v>
      </c>
      <c r="D93" s="30">
        <v>-12.5</v>
      </c>
      <c r="E93" s="31">
        <v>0</v>
      </c>
      <c r="F93" s="31">
        <v>12.5</v>
      </c>
      <c r="G93" s="30">
        <v>25</v>
      </c>
      <c r="H93" s="30">
        <v>37.5</v>
      </c>
      <c r="I93" s="30">
        <v>50</v>
      </c>
      <c r="J93" s="30">
        <v>62.5</v>
      </c>
      <c r="K93" s="30">
        <v>75</v>
      </c>
      <c r="L93" s="30">
        <v>87.5</v>
      </c>
      <c r="M93" s="30">
        <v>100</v>
      </c>
      <c r="N93" s="232">
        <v>112.5</v>
      </c>
      <c r="O93" s="2"/>
      <c r="P93" s="2"/>
      <c r="Q93" s="2"/>
      <c r="R93" s="2"/>
      <c r="S93" s="2"/>
      <c r="T93" s="8"/>
      <c r="U93" s="8"/>
      <c r="V93" s="8"/>
      <c r="W93" s="8"/>
      <c r="X93" s="8"/>
      <c r="AC93" s="8">
        <f t="shared" si="0"/>
        <v>18</v>
      </c>
    </row>
    <row r="94" spans="1:29" ht="15" customHeight="1">
      <c r="A94" s="233">
        <v>20</v>
      </c>
      <c r="B94" s="201" t="s">
        <v>221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8"/>
      <c r="P94" s="8"/>
      <c r="Q94" s="8"/>
      <c r="R94" s="8"/>
      <c r="S94" s="8"/>
      <c r="T94" s="8"/>
      <c r="U94" s="8"/>
      <c r="V94" s="8"/>
      <c r="W94" s="8"/>
      <c r="X94" s="8"/>
      <c r="AC94" s="8">
        <f t="shared" si="0"/>
        <v>19</v>
      </c>
    </row>
    <row r="95" spans="1:29" ht="15" customHeight="1">
      <c r="A95" s="233">
        <v>20</v>
      </c>
      <c r="B95" s="201" t="s">
        <v>222</v>
      </c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AC95" s="8">
        <f t="shared" si="0"/>
        <v>19</v>
      </c>
    </row>
    <row r="96" spans="1:29" ht="15" customHeight="1">
      <c r="A96" s="233">
        <v>20</v>
      </c>
      <c r="B96" s="201" t="s">
        <v>223</v>
      </c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AC96" s="8">
        <f t="shared" si="0"/>
        <v>19</v>
      </c>
    </row>
    <row r="97" spans="1:29" ht="15" customHeight="1">
      <c r="A97" s="233">
        <v>20</v>
      </c>
      <c r="B97" s="201" t="s">
        <v>224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AC97" s="8">
        <f t="shared" si="0"/>
        <v>19</v>
      </c>
    </row>
    <row r="98" spans="1:29" ht="15" customHeight="1">
      <c r="A98" s="233">
        <v>20</v>
      </c>
      <c r="B98" s="201" t="s">
        <v>225</v>
      </c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AC98" s="8">
        <f t="shared" si="0"/>
        <v>19</v>
      </c>
    </row>
    <row r="99" spans="1:29" ht="15" customHeight="1">
      <c r="A99" s="233">
        <v>20</v>
      </c>
      <c r="B99" s="201" t="s">
        <v>226</v>
      </c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AC99" s="8">
        <f t="shared" si="0"/>
        <v>19</v>
      </c>
    </row>
    <row r="100" spans="1:29" ht="15" customHeight="1">
      <c r="A100" s="233">
        <v>20</v>
      </c>
      <c r="B100" s="201" t="s">
        <v>227</v>
      </c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AC100" s="8">
        <f t="shared" si="0"/>
        <v>19</v>
      </c>
    </row>
    <row r="101" spans="1:29" ht="15" customHeight="1">
      <c r="A101" s="233">
        <v>20</v>
      </c>
      <c r="B101" s="201" t="s">
        <v>228</v>
      </c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AC101" s="8">
        <f t="shared" si="0"/>
        <v>19</v>
      </c>
    </row>
    <row r="102" spans="1:29" ht="15" customHeight="1">
      <c r="A102" s="233">
        <v>20</v>
      </c>
      <c r="B102" s="201" t="s">
        <v>231</v>
      </c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AC102" s="8">
        <f t="shared" si="0"/>
        <v>19</v>
      </c>
    </row>
    <row r="103" spans="1:29" ht="15" customHeight="1">
      <c r="A103" s="233">
        <v>20</v>
      </c>
      <c r="B103" s="201" t="s">
        <v>232</v>
      </c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AC103" s="8">
        <f t="shared" si="0"/>
        <v>19</v>
      </c>
    </row>
    <row r="104" spans="1:29" ht="15" customHeight="1">
      <c r="A104" s="233">
        <v>20</v>
      </c>
      <c r="B104" s="201" t="s">
        <v>233</v>
      </c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AC104" s="8">
        <f t="shared" si="0"/>
        <v>19</v>
      </c>
    </row>
    <row r="105" spans="1:29" ht="15" customHeight="1">
      <c r="A105" s="233">
        <v>20</v>
      </c>
      <c r="B105" s="201" t="s">
        <v>234</v>
      </c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AC105" s="8">
        <f t="shared" si="0"/>
        <v>19</v>
      </c>
    </row>
    <row r="106" spans="1:29" ht="15" customHeight="1">
      <c r="A106" s="233">
        <v>20</v>
      </c>
      <c r="B106" s="201" t="s">
        <v>235</v>
      </c>
      <c r="C106" s="32">
        <v>-24.656155956081001</v>
      </c>
      <c r="D106" s="32">
        <v>-4.1721147585654501</v>
      </c>
      <c r="E106" s="32">
        <v>10.202648396611201</v>
      </c>
      <c r="F106" s="32">
        <v>22.780572326372202</v>
      </c>
      <c r="G106" s="32">
        <v>38.2334513547612</v>
      </c>
      <c r="H106" s="32">
        <v>53.003282250641803</v>
      </c>
      <c r="I106" s="32">
        <v>68.866867387697198</v>
      </c>
      <c r="J106" s="32">
        <v>84.422422943252698</v>
      </c>
      <c r="K106" s="32">
        <v>98.591833044096205</v>
      </c>
      <c r="L106" s="32">
        <v>106.138619480656</v>
      </c>
      <c r="M106" s="32">
        <v>116.765677056288</v>
      </c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AC106" s="8">
        <f t="shared" si="0"/>
        <v>19</v>
      </c>
    </row>
    <row r="107" spans="1:29" ht="15" customHeight="1">
      <c r="A107" s="233">
        <v>20</v>
      </c>
      <c r="B107" s="201" t="s">
        <v>236</v>
      </c>
      <c r="C107" s="32">
        <v>-24.466441269710302</v>
      </c>
      <c r="D107" s="32">
        <v>-3.9824000721947099</v>
      </c>
      <c r="E107" s="32">
        <v>9.2629212841492805</v>
      </c>
      <c r="F107" s="32">
        <v>23.8943757572424</v>
      </c>
      <c r="G107" s="32">
        <v>45.610547618720197</v>
      </c>
      <c r="H107" s="32">
        <v>71.331104039695802</v>
      </c>
      <c r="I107" s="32">
        <v>89.8129529574625</v>
      </c>
      <c r="J107" s="32">
        <v>119.845948195361</v>
      </c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AC107" s="8">
        <f t="shared" si="0"/>
        <v>19</v>
      </c>
    </row>
    <row r="108" spans="1:29" ht="15" customHeight="1">
      <c r="A108" s="233">
        <v>20</v>
      </c>
      <c r="B108" s="201" t="s">
        <v>237</v>
      </c>
      <c r="C108" s="32">
        <v>-24.312438816923301</v>
      </c>
      <c r="D108" s="32">
        <v>-2.13422258319576</v>
      </c>
      <c r="E108" s="32">
        <v>15.885581962321201</v>
      </c>
      <c r="F108" s="32">
        <v>37.909783405298903</v>
      </c>
      <c r="G108" s="32">
        <v>56.545634775852697</v>
      </c>
      <c r="H108" s="32">
        <v>74.719454112119607</v>
      </c>
      <c r="I108" s="32">
        <v>91.045095959387595</v>
      </c>
      <c r="J108" s="32">
        <v>119.69194574257401</v>
      </c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AC108" s="8">
        <f t="shared" si="0"/>
        <v>19</v>
      </c>
    </row>
    <row r="109" spans="1:29" ht="15" customHeight="1">
      <c r="A109" s="233">
        <v>20</v>
      </c>
      <c r="B109" s="201" t="s">
        <v>238</v>
      </c>
      <c r="C109" s="32">
        <v>-24.466441269710302</v>
      </c>
      <c r="D109" s="32">
        <v>9.4169360748991799</v>
      </c>
      <c r="E109" s="32">
        <v>33.289315006875697</v>
      </c>
      <c r="F109" s="32">
        <v>56.545634775852697</v>
      </c>
      <c r="G109" s="32">
        <v>106.138619480656</v>
      </c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AC109" s="8">
        <f t="shared" si="0"/>
        <v>19</v>
      </c>
    </row>
    <row r="110" spans="1:29" ht="15" customHeight="1">
      <c r="A110" s="228">
        <v>20</v>
      </c>
      <c r="B110" s="75" t="s">
        <v>239</v>
      </c>
      <c r="C110" s="32">
        <v>-24.274810980850098</v>
      </c>
      <c r="D110" s="32">
        <v>-17.1946535739274</v>
      </c>
      <c r="E110" s="32">
        <v>-9.7137389438121495</v>
      </c>
      <c r="F110" s="32">
        <v>-5.7061116754169099</v>
      </c>
      <c r="G110" s="32">
        <v>-2.6335815368894702</v>
      </c>
      <c r="H110" s="32">
        <v>2.3091612068632799</v>
      </c>
      <c r="I110" s="32">
        <v>5.1144984601909602</v>
      </c>
      <c r="J110" s="32">
        <v>8.7213685053936008</v>
      </c>
      <c r="K110" s="32">
        <v>13.263354025953699</v>
      </c>
      <c r="L110" s="32">
        <v>18.339688625933899</v>
      </c>
      <c r="M110" s="32">
        <v>25.687020572566599</v>
      </c>
      <c r="N110" s="32">
        <v>33.969467994556801</v>
      </c>
      <c r="O110" s="32">
        <v>39.713734357439698</v>
      </c>
      <c r="P110" s="32">
        <v>46.927474447844901</v>
      </c>
      <c r="Q110" s="32">
        <v>56.278629201420102</v>
      </c>
      <c r="R110" s="32">
        <v>66.965647480800598</v>
      </c>
      <c r="S110" s="32">
        <v>74.045795714978397</v>
      </c>
      <c r="T110" s="32">
        <v>82.061068597258597</v>
      </c>
      <c r="U110" s="32">
        <v>89.141216831436395</v>
      </c>
      <c r="V110" s="32">
        <v>94.351134114899196</v>
      </c>
      <c r="W110" s="32">
        <v>98.225206218046395</v>
      </c>
      <c r="X110" s="32">
        <v>100.76335975891899</v>
      </c>
      <c r="AC110" s="8">
        <f t="shared" si="0"/>
        <v>19</v>
      </c>
    </row>
    <row r="111" spans="1:29" ht="15" customHeight="1">
      <c r="A111" s="228">
        <v>20</v>
      </c>
      <c r="B111" s="75" t="s">
        <v>240</v>
      </c>
      <c r="C111" s="32">
        <v>-23.206103649265099</v>
      </c>
      <c r="D111" s="32">
        <v>-11.583969894527099</v>
      </c>
      <c r="E111" s="8">
        <v>0.97319999999999995</v>
      </c>
      <c r="F111" s="32">
        <v>8.9885522178484791</v>
      </c>
      <c r="G111" s="32">
        <v>15.6679340560888</v>
      </c>
      <c r="H111" s="32">
        <v>25.419846032856601</v>
      </c>
      <c r="I111" s="32">
        <v>40.916024372507202</v>
      </c>
      <c r="J111" s="32">
        <v>52.9389245231826</v>
      </c>
      <c r="K111" s="32">
        <v>68.568694719060701</v>
      </c>
      <c r="L111" s="32">
        <v>80.591594869736099</v>
      </c>
      <c r="M111" s="32">
        <v>92.748086876638993</v>
      </c>
      <c r="N111" s="32">
        <v>100.76335975891899</v>
      </c>
      <c r="O111" s="32">
        <v>109.44657357684601</v>
      </c>
      <c r="P111" s="8">
        <v>120</v>
      </c>
      <c r="Q111" s="8"/>
      <c r="R111" s="8"/>
      <c r="S111" s="8"/>
      <c r="T111" s="8"/>
      <c r="U111" s="8"/>
      <c r="V111" s="8"/>
      <c r="W111" s="8"/>
      <c r="X111" s="8"/>
      <c r="AC111" s="8">
        <f t="shared" si="0"/>
        <v>19</v>
      </c>
    </row>
    <row r="112" spans="1:29" ht="15" customHeight="1">
      <c r="A112" s="228">
        <v>20</v>
      </c>
      <c r="B112" s="75" t="s">
        <v>241</v>
      </c>
      <c r="C112" s="32">
        <v>-19.198476380869899</v>
      </c>
      <c r="D112" s="32">
        <v>-8.9122153246820801</v>
      </c>
      <c r="E112" s="32">
        <v>-1.43129152182192</v>
      </c>
      <c r="F112" s="32">
        <v>9.3893186137859601</v>
      </c>
      <c r="G112" s="32">
        <v>19.942745036938899</v>
      </c>
      <c r="H112" s="32">
        <v>32.099237043841804</v>
      </c>
      <c r="I112" s="32">
        <v>37.977095262952098</v>
      </c>
      <c r="J112" s="32">
        <v>46.793882591617503</v>
      </c>
      <c r="K112" s="32">
        <v>59.351150167202697</v>
      </c>
      <c r="L112" s="32">
        <v>70.305333813548302</v>
      </c>
      <c r="M112" s="32">
        <v>83.6641158355187</v>
      </c>
      <c r="N112" s="32">
        <v>97.690838793136706</v>
      </c>
      <c r="O112" s="32">
        <v>113.721366212207</v>
      </c>
      <c r="P112" s="8"/>
      <c r="Q112" s="8"/>
      <c r="R112" s="8"/>
      <c r="S112" s="8"/>
      <c r="T112" s="8"/>
      <c r="U112" s="8"/>
      <c r="V112" s="8"/>
      <c r="W112" s="8"/>
      <c r="X112" s="8"/>
      <c r="AC112" s="8">
        <f t="shared" si="0"/>
        <v>19</v>
      </c>
    </row>
    <row r="113" spans="1:29" ht="15" customHeight="1">
      <c r="A113" s="228">
        <v>20</v>
      </c>
      <c r="B113" s="75" t="s">
        <v>242</v>
      </c>
      <c r="C113" s="32">
        <v>-24.408393664332699</v>
      </c>
      <c r="D113" s="32">
        <v>-12.118318973947201</v>
      </c>
      <c r="E113" s="2">
        <v>-0.49618499999999999</v>
      </c>
      <c r="F113" s="32">
        <v>23.816789621851601</v>
      </c>
      <c r="G113" s="32">
        <v>41.583965308154703</v>
      </c>
      <c r="H113" s="32">
        <v>55.877853632737803</v>
      </c>
      <c r="I113" s="32">
        <v>68.034345639640605</v>
      </c>
      <c r="J113" s="32">
        <v>81.393146007100796</v>
      </c>
      <c r="K113" s="33">
        <v>95.019093396036396</v>
      </c>
      <c r="L113" s="33">
        <v>101.030543471374</v>
      </c>
      <c r="M113" s="33">
        <v>103.30151329979201</v>
      </c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AC113" s="8">
        <f t="shared" si="0"/>
        <v>19</v>
      </c>
    </row>
    <row r="114" spans="1:29" ht="15" customHeight="1">
      <c r="A114" s="229">
        <v>21</v>
      </c>
      <c r="B114" s="74" t="s">
        <v>221</v>
      </c>
      <c r="C114" s="234">
        <v>-40</v>
      </c>
      <c r="D114" s="234">
        <v>-20</v>
      </c>
      <c r="E114" s="234">
        <v>0</v>
      </c>
      <c r="F114" s="234">
        <v>20</v>
      </c>
      <c r="G114" s="234">
        <v>40</v>
      </c>
      <c r="H114" s="234">
        <v>60</v>
      </c>
      <c r="I114" s="234">
        <v>80</v>
      </c>
      <c r="J114" s="235">
        <v>100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AC114" s="8">
        <f t="shared" si="0"/>
        <v>20</v>
      </c>
    </row>
    <row r="115" spans="1:29" ht="15" customHeight="1">
      <c r="A115" s="228">
        <v>21</v>
      </c>
      <c r="B115" s="75" t="s">
        <v>222</v>
      </c>
      <c r="C115" s="2">
        <v>-40</v>
      </c>
      <c r="D115" s="2">
        <v>-20</v>
      </c>
      <c r="E115" s="2">
        <v>0</v>
      </c>
      <c r="F115" s="2">
        <v>20</v>
      </c>
      <c r="G115" s="2">
        <v>40</v>
      </c>
      <c r="H115" s="2">
        <v>60</v>
      </c>
      <c r="I115" s="2">
        <v>80</v>
      </c>
      <c r="J115" s="236">
        <v>100</v>
      </c>
      <c r="K115" s="2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AC115" s="8">
        <f t="shared" si="0"/>
        <v>20</v>
      </c>
    </row>
    <row r="116" spans="1:29" ht="15" customHeight="1">
      <c r="A116" s="228">
        <v>21</v>
      </c>
      <c r="B116" s="75" t="s">
        <v>223</v>
      </c>
      <c r="C116" s="2">
        <v>-40</v>
      </c>
      <c r="D116" s="2">
        <v>-20</v>
      </c>
      <c r="E116" s="2">
        <v>0</v>
      </c>
      <c r="F116" s="2">
        <v>20</v>
      </c>
      <c r="G116" s="2">
        <v>40</v>
      </c>
      <c r="H116" s="2">
        <v>60</v>
      </c>
      <c r="I116" s="2">
        <v>80</v>
      </c>
      <c r="J116" s="236">
        <v>100</v>
      </c>
      <c r="K116" s="2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AC116" s="8">
        <f t="shared" si="0"/>
        <v>20</v>
      </c>
    </row>
    <row r="117" spans="1:29" ht="15" customHeight="1">
      <c r="A117" s="228">
        <v>21</v>
      </c>
      <c r="B117" s="75" t="s">
        <v>224</v>
      </c>
      <c r="C117" s="2">
        <v>-40</v>
      </c>
      <c r="D117" s="2">
        <v>-20</v>
      </c>
      <c r="E117" s="2">
        <v>0</v>
      </c>
      <c r="F117" s="2">
        <v>20</v>
      </c>
      <c r="G117" s="2">
        <v>40</v>
      </c>
      <c r="H117" s="2">
        <v>60</v>
      </c>
      <c r="I117" s="2">
        <v>80</v>
      </c>
      <c r="J117" s="236">
        <v>100</v>
      </c>
      <c r="K117" s="2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AC117" s="8">
        <f t="shared" si="0"/>
        <v>20</v>
      </c>
    </row>
    <row r="118" spans="1:29" ht="15" customHeight="1">
      <c r="A118" s="228">
        <v>21</v>
      </c>
      <c r="B118" s="75" t="s">
        <v>229</v>
      </c>
      <c r="C118" s="2">
        <v>-40</v>
      </c>
      <c r="D118" s="2">
        <v>-20</v>
      </c>
      <c r="E118" s="2">
        <v>0</v>
      </c>
      <c r="F118" s="2">
        <v>20</v>
      </c>
      <c r="G118" s="2">
        <v>40</v>
      </c>
      <c r="H118" s="2">
        <v>60</v>
      </c>
      <c r="I118" s="2">
        <v>80</v>
      </c>
      <c r="J118" s="236">
        <v>100</v>
      </c>
      <c r="K118" s="2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AC118" s="8">
        <f t="shared" si="0"/>
        <v>20</v>
      </c>
    </row>
    <row r="119" spans="1:29" ht="15" customHeight="1">
      <c r="A119" s="228">
        <v>21</v>
      </c>
      <c r="B119" s="75" t="s">
        <v>243</v>
      </c>
      <c r="C119" s="2">
        <v>-40</v>
      </c>
      <c r="D119" s="2">
        <v>-20</v>
      </c>
      <c r="E119" s="2">
        <v>0</v>
      </c>
      <c r="F119" s="2">
        <v>20</v>
      </c>
      <c r="G119" s="2">
        <v>40</v>
      </c>
      <c r="H119" s="2">
        <v>60</v>
      </c>
      <c r="I119" s="2">
        <v>80</v>
      </c>
      <c r="J119" s="236">
        <v>100</v>
      </c>
      <c r="K119" s="2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AC119" s="8">
        <f t="shared" si="0"/>
        <v>20</v>
      </c>
    </row>
    <row r="120" spans="1:29" ht="15" customHeight="1">
      <c r="A120" s="228">
        <v>21</v>
      </c>
      <c r="B120" s="75" t="s">
        <v>244</v>
      </c>
      <c r="C120" s="2">
        <v>-40</v>
      </c>
      <c r="D120" s="2">
        <v>-20</v>
      </c>
      <c r="E120" s="2">
        <v>0</v>
      </c>
      <c r="F120" s="2">
        <v>20</v>
      </c>
      <c r="G120" s="2">
        <v>40</v>
      </c>
      <c r="H120" s="2">
        <v>60</v>
      </c>
      <c r="I120" s="2">
        <v>80</v>
      </c>
      <c r="J120" s="236">
        <v>100</v>
      </c>
      <c r="K120" s="2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AC120" s="8">
        <f t="shared" si="0"/>
        <v>20</v>
      </c>
    </row>
    <row r="121" spans="1:29" ht="15" customHeight="1">
      <c r="A121" s="230">
        <v>21</v>
      </c>
      <c r="B121" s="231" t="s">
        <v>245</v>
      </c>
      <c r="C121" s="34">
        <v>-40</v>
      </c>
      <c r="D121" s="34">
        <v>-20</v>
      </c>
      <c r="E121" s="34">
        <v>0</v>
      </c>
      <c r="F121" s="34">
        <v>20</v>
      </c>
      <c r="G121" s="34">
        <v>40</v>
      </c>
      <c r="H121" s="34">
        <v>60</v>
      </c>
      <c r="I121" s="34">
        <v>80</v>
      </c>
      <c r="J121" s="237">
        <v>100</v>
      </c>
      <c r="K121" s="2"/>
      <c r="L121" s="2"/>
      <c r="M121" s="2"/>
      <c r="N121" s="2"/>
      <c r="O121" s="2"/>
      <c r="P121" s="2"/>
      <c r="Q121" s="2"/>
      <c r="R121" s="2"/>
      <c r="S121" s="2"/>
      <c r="T121" s="8"/>
      <c r="U121" s="8"/>
      <c r="V121" s="8"/>
      <c r="W121" s="8"/>
      <c r="X121" s="8"/>
      <c r="AC121" s="8">
        <f t="shared" si="0"/>
        <v>20</v>
      </c>
    </row>
    <row r="122" spans="1:29" ht="15" customHeight="1">
      <c r="A122" s="228">
        <v>21</v>
      </c>
      <c r="B122" s="75" t="s">
        <v>225</v>
      </c>
      <c r="C122" s="2"/>
      <c r="D122" s="2"/>
      <c r="E122" s="2"/>
      <c r="F122" s="2"/>
      <c r="G122" s="2"/>
      <c r="H122" s="2"/>
      <c r="I122" s="2"/>
      <c r="J122" s="2"/>
      <c r="AC122" s="8">
        <f t="shared" si="0"/>
        <v>20</v>
      </c>
    </row>
    <row r="123" spans="1:29" ht="15" customHeight="1">
      <c r="A123" s="228">
        <v>21</v>
      </c>
      <c r="B123" s="75" t="s">
        <v>226</v>
      </c>
      <c r="AC123" s="8">
        <f t="shared" si="0"/>
        <v>20</v>
      </c>
    </row>
    <row r="124" spans="1:29" ht="15" customHeight="1">
      <c r="A124" s="228">
        <v>21</v>
      </c>
      <c r="B124" s="75" t="s">
        <v>227</v>
      </c>
      <c r="AC124" s="8">
        <f t="shared" si="0"/>
        <v>20</v>
      </c>
    </row>
    <row r="125" spans="1:29" ht="15" customHeight="1">
      <c r="A125" s="228">
        <v>21</v>
      </c>
      <c r="B125" s="75" t="s">
        <v>228</v>
      </c>
      <c r="AC125" s="8">
        <f t="shared" si="0"/>
        <v>20</v>
      </c>
    </row>
    <row r="126" spans="1:29" ht="15" customHeight="1">
      <c r="A126" s="228">
        <v>21</v>
      </c>
      <c r="B126" s="75" t="s">
        <v>230</v>
      </c>
      <c r="AC126" s="8">
        <f t="shared" si="0"/>
        <v>20</v>
      </c>
    </row>
    <row r="127" spans="1:29" ht="15" customHeight="1">
      <c r="A127" s="228">
        <v>21</v>
      </c>
      <c r="B127" s="75" t="s">
        <v>246</v>
      </c>
      <c r="AC127" s="8">
        <f t="shared" si="0"/>
        <v>20</v>
      </c>
    </row>
    <row r="128" spans="1:29" ht="15" customHeight="1">
      <c r="A128" s="228">
        <v>21</v>
      </c>
      <c r="B128" s="75" t="s">
        <v>247</v>
      </c>
      <c r="AC128" s="8">
        <f t="shared" si="0"/>
        <v>20</v>
      </c>
    </row>
    <row r="129" spans="1:29" ht="15" customHeight="1">
      <c r="A129" s="230">
        <v>21</v>
      </c>
      <c r="B129" s="231" t="s">
        <v>248</v>
      </c>
      <c r="AC129" s="8">
        <f t="shared" si="0"/>
        <v>20</v>
      </c>
    </row>
    <row r="130" spans="1:29" ht="15" customHeight="1">
      <c r="A130" s="228">
        <v>22</v>
      </c>
      <c r="B130" s="75">
        <v>1</v>
      </c>
      <c r="AC130" s="8">
        <f t="shared" si="0"/>
        <v>21</v>
      </c>
    </row>
    <row r="131" spans="1:29" ht="15" customHeight="1">
      <c r="A131" s="228">
        <v>22</v>
      </c>
      <c r="B131" s="75">
        <v>2</v>
      </c>
      <c r="AC131" s="8">
        <f t="shared" si="0"/>
        <v>21</v>
      </c>
    </row>
    <row r="132" spans="1:29" ht="15" customHeight="1">
      <c r="A132" s="228">
        <v>22</v>
      </c>
      <c r="B132" s="75">
        <v>3</v>
      </c>
      <c r="AC132" s="8">
        <f t="shared" si="0"/>
        <v>21</v>
      </c>
    </row>
    <row r="133" spans="1:29" ht="15" customHeight="1">
      <c r="A133" s="228">
        <v>22</v>
      </c>
      <c r="B133" s="75">
        <v>4</v>
      </c>
      <c r="AC133" s="8">
        <f t="shared" si="0"/>
        <v>21</v>
      </c>
    </row>
    <row r="134" spans="1:29" ht="15" customHeight="1">
      <c r="A134" s="228">
        <v>22</v>
      </c>
      <c r="B134" s="75">
        <v>5</v>
      </c>
      <c r="AC134" s="8">
        <f t="shared" si="0"/>
        <v>21</v>
      </c>
    </row>
    <row r="135" spans="1:29" ht="15" customHeight="1">
      <c r="A135" s="228">
        <v>22</v>
      </c>
      <c r="B135" s="75">
        <v>6</v>
      </c>
      <c r="AC135" s="8">
        <f t="shared" si="0"/>
        <v>21</v>
      </c>
    </row>
    <row r="136" spans="1:29" ht="15" customHeight="1">
      <c r="A136" s="228">
        <v>22</v>
      </c>
      <c r="B136" s="75">
        <v>7</v>
      </c>
      <c r="AC136" s="8">
        <f t="shared" si="0"/>
        <v>21</v>
      </c>
    </row>
    <row r="137" spans="1:29" ht="15" customHeight="1">
      <c r="A137" s="228">
        <v>22</v>
      </c>
      <c r="B137" s="75">
        <v>8</v>
      </c>
      <c r="C137" s="2"/>
      <c r="D137" s="2"/>
      <c r="E137" s="2"/>
      <c r="F137" s="2"/>
      <c r="G137" s="2"/>
      <c r="H137" s="2"/>
      <c r="I137" s="2"/>
      <c r="J137" s="2"/>
      <c r="K137" s="2"/>
      <c r="AC137" s="8">
        <f t="shared" si="0"/>
        <v>21</v>
      </c>
    </row>
    <row r="138" spans="1:29" ht="15" customHeight="1">
      <c r="A138" s="229">
        <v>23</v>
      </c>
      <c r="B138" s="74">
        <v>1</v>
      </c>
      <c r="C138" s="234">
        <v>-20</v>
      </c>
      <c r="D138" s="234">
        <v>0</v>
      </c>
      <c r="E138" s="234">
        <v>20</v>
      </c>
      <c r="F138" s="234">
        <v>40</v>
      </c>
      <c r="G138" s="234">
        <v>60</v>
      </c>
      <c r="H138" s="234">
        <v>80</v>
      </c>
      <c r="I138" s="234">
        <v>100</v>
      </c>
      <c r="J138" s="234">
        <v>120</v>
      </c>
      <c r="K138" s="235">
        <v>140</v>
      </c>
      <c r="L138" s="2"/>
      <c r="AC138" s="8">
        <f t="shared" si="0"/>
        <v>22</v>
      </c>
    </row>
    <row r="139" spans="1:29" ht="15" customHeight="1">
      <c r="A139" s="228">
        <v>23</v>
      </c>
      <c r="B139" s="75">
        <v>2</v>
      </c>
      <c r="C139" s="2">
        <v>-20</v>
      </c>
      <c r="D139" s="2">
        <v>0</v>
      </c>
      <c r="E139" s="2">
        <v>20</v>
      </c>
      <c r="F139" s="2">
        <v>40</v>
      </c>
      <c r="G139" s="2">
        <v>60</v>
      </c>
      <c r="H139" s="2">
        <v>80</v>
      </c>
      <c r="I139" s="2">
        <v>100</v>
      </c>
      <c r="J139" s="2">
        <v>120</v>
      </c>
      <c r="K139" s="236">
        <v>140</v>
      </c>
      <c r="L139" s="2"/>
      <c r="AC139" s="8">
        <f t="shared" si="0"/>
        <v>22</v>
      </c>
    </row>
    <row r="140" spans="1:29" ht="15" customHeight="1">
      <c r="A140" s="228">
        <v>23</v>
      </c>
      <c r="B140" s="75">
        <v>3</v>
      </c>
      <c r="C140" s="2">
        <v>-20</v>
      </c>
      <c r="D140" s="2">
        <v>0</v>
      </c>
      <c r="E140" s="2">
        <v>20</v>
      </c>
      <c r="F140" s="2">
        <v>40</v>
      </c>
      <c r="G140" s="2">
        <v>60</v>
      </c>
      <c r="H140" s="2">
        <v>80</v>
      </c>
      <c r="I140" s="2">
        <v>100</v>
      </c>
      <c r="J140" s="2">
        <v>120</v>
      </c>
      <c r="K140" s="236">
        <v>140</v>
      </c>
      <c r="L140" s="2"/>
      <c r="AC140" s="8">
        <f t="shared" si="0"/>
        <v>22</v>
      </c>
    </row>
    <row r="141" spans="1:29" ht="15" customHeight="1">
      <c r="A141" s="228">
        <v>23</v>
      </c>
      <c r="B141" s="75">
        <v>4</v>
      </c>
      <c r="C141" s="2">
        <v>-20</v>
      </c>
      <c r="D141" s="2">
        <v>0</v>
      </c>
      <c r="E141" s="2">
        <v>20</v>
      </c>
      <c r="F141" s="2">
        <v>40</v>
      </c>
      <c r="G141" s="2">
        <v>60</v>
      </c>
      <c r="H141" s="2">
        <v>80</v>
      </c>
      <c r="I141" s="2">
        <v>100</v>
      </c>
      <c r="J141" s="2">
        <v>120</v>
      </c>
      <c r="K141" s="236">
        <v>140</v>
      </c>
      <c r="L141" s="2"/>
      <c r="AC141" s="8">
        <f t="shared" si="0"/>
        <v>22</v>
      </c>
    </row>
    <row r="142" spans="1:29" ht="15" customHeight="1">
      <c r="A142" s="230">
        <v>23</v>
      </c>
      <c r="B142" s="231">
        <v>5</v>
      </c>
      <c r="C142" s="34">
        <v>-20</v>
      </c>
      <c r="D142" s="34">
        <v>0</v>
      </c>
      <c r="E142" s="34">
        <v>20</v>
      </c>
      <c r="F142" s="34">
        <v>40</v>
      </c>
      <c r="G142" s="34">
        <v>60</v>
      </c>
      <c r="H142" s="34">
        <v>80</v>
      </c>
      <c r="I142" s="34">
        <v>100</v>
      </c>
      <c r="J142" s="34">
        <v>120</v>
      </c>
      <c r="K142" s="237">
        <v>140</v>
      </c>
      <c r="L142" s="2"/>
      <c r="AC142" s="8">
        <f t="shared" si="0"/>
        <v>22</v>
      </c>
    </row>
    <row r="143" spans="1:29" ht="15" customHeight="1">
      <c r="A143" s="238">
        <v>24</v>
      </c>
      <c r="B143" s="239">
        <v>1</v>
      </c>
      <c r="C143" s="2"/>
      <c r="D143" s="2"/>
      <c r="E143" s="2"/>
      <c r="F143" s="2"/>
      <c r="G143" s="2"/>
      <c r="H143" s="2"/>
      <c r="I143" s="2"/>
      <c r="J143" s="2"/>
      <c r="K143" s="2"/>
      <c r="AC143" s="8">
        <f t="shared" si="0"/>
        <v>23</v>
      </c>
    </row>
    <row r="144" spans="1:29" ht="15" customHeight="1">
      <c r="A144" s="238">
        <v>24</v>
      </c>
      <c r="B144" s="239">
        <v>2</v>
      </c>
      <c r="AC144" s="8">
        <f t="shared" si="0"/>
        <v>23</v>
      </c>
    </row>
    <row r="145" spans="1:29" ht="15" customHeight="1">
      <c r="A145" s="238">
        <v>24</v>
      </c>
      <c r="B145" s="239">
        <v>3</v>
      </c>
      <c r="AC145" s="8">
        <f t="shared" si="0"/>
        <v>23</v>
      </c>
    </row>
    <row r="146" spans="1:29" ht="15" customHeight="1">
      <c r="A146" s="238">
        <v>24</v>
      </c>
      <c r="B146" s="239">
        <v>4</v>
      </c>
      <c r="AC146" s="8">
        <f t="shared" si="0"/>
        <v>23</v>
      </c>
    </row>
    <row r="147" spans="1:29" ht="15" customHeight="1">
      <c r="A147" s="238">
        <v>24</v>
      </c>
      <c r="B147" s="239">
        <v>5</v>
      </c>
      <c r="AC147" s="8">
        <f t="shared" si="0"/>
        <v>23</v>
      </c>
    </row>
    <row r="148" spans="1:29" ht="15" customHeight="1">
      <c r="A148" s="238">
        <v>24</v>
      </c>
      <c r="B148" s="239">
        <v>6</v>
      </c>
      <c r="AC148" s="8">
        <f t="shared" si="0"/>
        <v>23</v>
      </c>
    </row>
    <row r="149" spans="1:29" ht="15" customHeight="1">
      <c r="A149" s="238">
        <v>24</v>
      </c>
      <c r="B149" s="239">
        <v>7</v>
      </c>
      <c r="C149" s="2"/>
      <c r="D149" s="2"/>
      <c r="E149" s="2"/>
      <c r="F149" s="2"/>
      <c r="G149" s="2"/>
      <c r="H149" s="2"/>
      <c r="I149" s="2"/>
      <c r="AC149" s="8">
        <f t="shared" si="0"/>
        <v>23</v>
      </c>
    </row>
    <row r="150" spans="1:29" ht="15" customHeight="1">
      <c r="A150" s="229">
        <v>25</v>
      </c>
      <c r="B150" s="74">
        <v>1</v>
      </c>
      <c r="C150" s="222">
        <v>-40</v>
      </c>
      <c r="D150" s="222">
        <v>-20</v>
      </c>
      <c r="E150" s="222">
        <v>0</v>
      </c>
      <c r="F150" s="222">
        <v>20</v>
      </c>
      <c r="G150" s="222">
        <v>40</v>
      </c>
      <c r="H150" s="222">
        <v>60</v>
      </c>
      <c r="I150" s="225">
        <v>80</v>
      </c>
      <c r="J150" s="2"/>
      <c r="AC150" s="8">
        <f t="shared" si="0"/>
        <v>24</v>
      </c>
    </row>
    <row r="151" spans="1:29" ht="15" customHeight="1">
      <c r="A151" s="228">
        <v>25</v>
      </c>
      <c r="B151" s="75">
        <v>2</v>
      </c>
      <c r="C151" s="22">
        <v>-40</v>
      </c>
      <c r="D151" s="22">
        <v>-20</v>
      </c>
      <c r="E151" s="22">
        <v>0</v>
      </c>
      <c r="F151" s="22">
        <v>20</v>
      </c>
      <c r="G151" s="22">
        <v>40</v>
      </c>
      <c r="H151" s="22">
        <v>60</v>
      </c>
      <c r="I151" s="226">
        <v>80</v>
      </c>
      <c r="J151" s="2"/>
      <c r="AC151" s="8">
        <f t="shared" si="0"/>
        <v>24</v>
      </c>
    </row>
    <row r="152" spans="1:29" ht="15" customHeight="1">
      <c r="A152" s="228">
        <v>25</v>
      </c>
      <c r="B152" s="75">
        <v>3</v>
      </c>
      <c r="C152" s="22">
        <v>-40</v>
      </c>
      <c r="D152" s="22">
        <v>-20</v>
      </c>
      <c r="E152" s="22">
        <v>0</v>
      </c>
      <c r="F152" s="22">
        <v>20</v>
      </c>
      <c r="G152" s="22">
        <v>40</v>
      </c>
      <c r="H152" s="22">
        <v>60</v>
      </c>
      <c r="I152" s="226">
        <v>80</v>
      </c>
      <c r="J152" s="2"/>
      <c r="AC152" s="8">
        <f t="shared" si="0"/>
        <v>24</v>
      </c>
    </row>
    <row r="153" spans="1:29" ht="15" customHeight="1">
      <c r="A153" s="230">
        <v>25</v>
      </c>
      <c r="B153" s="75">
        <v>4</v>
      </c>
      <c r="C153" s="30">
        <v>-40</v>
      </c>
      <c r="D153" s="30">
        <v>-20</v>
      </c>
      <c r="E153" s="30">
        <v>0</v>
      </c>
      <c r="F153" s="30">
        <v>20</v>
      </c>
      <c r="G153" s="30">
        <v>40</v>
      </c>
      <c r="H153" s="30">
        <v>60</v>
      </c>
      <c r="I153" s="232">
        <v>80</v>
      </c>
      <c r="J153" s="2"/>
      <c r="K153" s="2"/>
      <c r="L153" s="2"/>
      <c r="M153" s="2"/>
      <c r="N153" s="2"/>
      <c r="AC153" s="8">
        <f t="shared" si="0"/>
        <v>24</v>
      </c>
    </row>
    <row r="154" spans="1:29" ht="15" customHeight="1">
      <c r="A154" s="228">
        <v>26</v>
      </c>
      <c r="B154" s="200" t="s">
        <v>221</v>
      </c>
      <c r="C154" s="22"/>
      <c r="D154" s="22"/>
      <c r="E154" s="22"/>
      <c r="F154" s="22"/>
      <c r="G154" s="22"/>
      <c r="H154" s="22"/>
      <c r="I154" s="22"/>
      <c r="J154" s="234"/>
      <c r="K154" s="234"/>
      <c r="L154" s="234"/>
      <c r="M154" s="234"/>
      <c r="N154" s="235"/>
      <c r="O154" s="2"/>
      <c r="AC154" s="8">
        <f t="shared" si="0"/>
        <v>25</v>
      </c>
    </row>
    <row r="155" spans="1:29" ht="15" customHeight="1">
      <c r="A155" s="228">
        <v>26</v>
      </c>
      <c r="B155" s="201" t="s">
        <v>222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36"/>
      <c r="O155" s="2"/>
      <c r="AC155" s="8">
        <f t="shared" si="0"/>
        <v>25</v>
      </c>
    </row>
    <row r="156" spans="1:29" ht="15" customHeight="1">
      <c r="A156" s="228">
        <v>26</v>
      </c>
      <c r="B156" s="201" t="s">
        <v>223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36"/>
      <c r="O156" s="2"/>
      <c r="AC156" s="8">
        <f t="shared" si="0"/>
        <v>25</v>
      </c>
    </row>
    <row r="157" spans="1:29" ht="15" customHeight="1">
      <c r="A157" s="228">
        <v>26</v>
      </c>
      <c r="B157" s="201" t="s">
        <v>224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36"/>
      <c r="O157" s="2"/>
      <c r="AC157" s="8">
        <f t="shared" si="0"/>
        <v>25</v>
      </c>
    </row>
    <row r="158" spans="1:29" ht="15" customHeight="1">
      <c r="A158" s="228">
        <v>26</v>
      </c>
      <c r="B158" s="201" t="s">
        <v>229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36"/>
      <c r="O158" s="2"/>
      <c r="AC158" s="8">
        <f t="shared" si="0"/>
        <v>25</v>
      </c>
    </row>
    <row r="159" spans="1:29" ht="15" customHeight="1">
      <c r="A159" s="228">
        <v>26</v>
      </c>
      <c r="B159" s="201" t="s">
        <v>225</v>
      </c>
      <c r="C159" s="35">
        <v>-20</v>
      </c>
      <c r="D159" s="35">
        <v>-10</v>
      </c>
      <c r="E159" s="35">
        <v>0</v>
      </c>
      <c r="F159" s="35">
        <v>10</v>
      </c>
      <c r="G159" s="35">
        <v>20</v>
      </c>
      <c r="H159" s="35">
        <v>30</v>
      </c>
      <c r="I159" s="35">
        <v>40</v>
      </c>
      <c r="J159" s="35">
        <v>50</v>
      </c>
      <c r="K159" s="35">
        <v>60</v>
      </c>
      <c r="L159" s="35">
        <v>70</v>
      </c>
      <c r="M159" s="35">
        <v>80</v>
      </c>
      <c r="N159" s="240">
        <v>90</v>
      </c>
      <c r="O159" s="2"/>
      <c r="AC159" s="8">
        <f t="shared" si="0"/>
        <v>25</v>
      </c>
    </row>
    <row r="160" spans="1:29" ht="15" customHeight="1">
      <c r="A160" s="228">
        <v>26</v>
      </c>
      <c r="B160" s="201" t="s">
        <v>226</v>
      </c>
      <c r="C160" s="35">
        <v>-20</v>
      </c>
      <c r="D160" s="35">
        <v>-10</v>
      </c>
      <c r="E160" s="35">
        <v>0</v>
      </c>
      <c r="F160" s="35">
        <v>10</v>
      </c>
      <c r="G160" s="35">
        <v>20</v>
      </c>
      <c r="H160" s="35">
        <v>30</v>
      </c>
      <c r="I160" s="35">
        <v>40</v>
      </c>
      <c r="J160" s="35">
        <v>50</v>
      </c>
      <c r="K160" s="35">
        <v>60</v>
      </c>
      <c r="L160" s="35">
        <v>70</v>
      </c>
      <c r="M160" s="35">
        <v>80</v>
      </c>
      <c r="N160" s="240">
        <v>90</v>
      </c>
      <c r="O160" s="2"/>
      <c r="AC160" s="8">
        <f t="shared" si="0"/>
        <v>25</v>
      </c>
    </row>
    <row r="161" spans="1:29" ht="15" customHeight="1">
      <c r="A161" s="228">
        <v>26</v>
      </c>
      <c r="B161" s="201" t="s">
        <v>227</v>
      </c>
      <c r="C161" s="35">
        <v>-20</v>
      </c>
      <c r="D161" s="35">
        <v>-10</v>
      </c>
      <c r="E161" s="35">
        <v>0</v>
      </c>
      <c r="F161" s="35">
        <v>10</v>
      </c>
      <c r="G161" s="35">
        <v>20</v>
      </c>
      <c r="H161" s="35">
        <v>30</v>
      </c>
      <c r="I161" s="35">
        <v>40</v>
      </c>
      <c r="J161" s="35">
        <v>50</v>
      </c>
      <c r="K161" s="35">
        <v>60</v>
      </c>
      <c r="L161" s="35">
        <v>70</v>
      </c>
      <c r="M161" s="35">
        <v>80</v>
      </c>
      <c r="N161" s="240">
        <v>90</v>
      </c>
      <c r="O161" s="2"/>
      <c r="AC161" s="8">
        <f t="shared" si="0"/>
        <v>25</v>
      </c>
    </row>
    <row r="162" spans="1:29" ht="15" customHeight="1">
      <c r="A162" s="228">
        <v>26</v>
      </c>
      <c r="B162" s="201" t="s">
        <v>228</v>
      </c>
      <c r="C162" s="35">
        <v>-20</v>
      </c>
      <c r="D162" s="35">
        <v>-10</v>
      </c>
      <c r="E162" s="35">
        <v>0</v>
      </c>
      <c r="F162" s="35">
        <v>10</v>
      </c>
      <c r="G162" s="35">
        <v>20</v>
      </c>
      <c r="H162" s="35">
        <v>30</v>
      </c>
      <c r="I162" s="35">
        <v>40</v>
      </c>
      <c r="J162" s="35">
        <v>50</v>
      </c>
      <c r="K162" s="35">
        <v>60</v>
      </c>
      <c r="L162" s="35">
        <v>70</v>
      </c>
      <c r="M162" s="35">
        <v>80</v>
      </c>
      <c r="N162" s="240">
        <v>90</v>
      </c>
      <c r="O162" s="2"/>
      <c r="AC162" s="8">
        <f t="shared" si="0"/>
        <v>25</v>
      </c>
    </row>
    <row r="163" spans="1:29" ht="15" customHeight="1">
      <c r="A163" s="228">
        <v>26</v>
      </c>
      <c r="B163" s="231" t="s">
        <v>230</v>
      </c>
      <c r="C163" s="35">
        <v>-20</v>
      </c>
      <c r="D163" s="35">
        <v>-10</v>
      </c>
      <c r="E163" s="35">
        <v>0</v>
      </c>
      <c r="F163" s="35">
        <v>10</v>
      </c>
      <c r="G163" s="35">
        <v>20</v>
      </c>
      <c r="H163" s="35">
        <v>30</v>
      </c>
      <c r="I163" s="35">
        <v>40</v>
      </c>
      <c r="J163" s="35">
        <v>50</v>
      </c>
      <c r="K163" s="35">
        <v>60</v>
      </c>
      <c r="L163" s="35">
        <v>70</v>
      </c>
      <c r="M163" s="35">
        <v>80</v>
      </c>
      <c r="N163" s="240">
        <v>90</v>
      </c>
      <c r="O163" s="2"/>
      <c r="AC163" s="8">
        <f t="shared" si="0"/>
        <v>25</v>
      </c>
    </row>
    <row r="164" spans="1:29" ht="15" customHeight="1">
      <c r="A164" s="199">
        <v>27</v>
      </c>
      <c r="B164" s="201">
        <v>1</v>
      </c>
      <c r="C164" s="227">
        <v>-25</v>
      </c>
      <c r="D164" s="227">
        <v>-12.5</v>
      </c>
      <c r="E164" s="227">
        <v>0</v>
      </c>
      <c r="F164" s="227">
        <v>12.5</v>
      </c>
      <c r="G164" s="227">
        <v>25</v>
      </c>
      <c r="H164" s="227">
        <v>37.5</v>
      </c>
      <c r="I164" s="227">
        <v>50</v>
      </c>
      <c r="J164" s="227">
        <v>62.5</v>
      </c>
      <c r="K164" s="227">
        <v>75</v>
      </c>
      <c r="L164" s="227">
        <v>87.5</v>
      </c>
      <c r="M164" s="227">
        <v>100</v>
      </c>
      <c r="N164" s="215">
        <v>112.5</v>
      </c>
      <c r="O164" s="2"/>
      <c r="AC164" s="8">
        <f t="shared" si="0"/>
        <v>26</v>
      </c>
    </row>
    <row r="165" spans="1:29" ht="15" customHeight="1">
      <c r="A165" s="196">
        <v>27</v>
      </c>
      <c r="B165" s="201">
        <v>2</v>
      </c>
      <c r="C165" s="12">
        <v>-25</v>
      </c>
      <c r="D165" s="12">
        <v>-12.5</v>
      </c>
      <c r="E165" s="12">
        <v>0</v>
      </c>
      <c r="F165" s="12">
        <v>12.5</v>
      </c>
      <c r="G165" s="12">
        <v>25</v>
      </c>
      <c r="H165" s="12">
        <v>37.5</v>
      </c>
      <c r="I165" s="12">
        <v>50</v>
      </c>
      <c r="J165" s="12">
        <v>62.5</v>
      </c>
      <c r="K165" s="12">
        <v>75</v>
      </c>
      <c r="L165" s="12">
        <v>87.5</v>
      </c>
      <c r="M165" s="12">
        <v>100</v>
      </c>
      <c r="N165" s="218">
        <v>112.5</v>
      </c>
      <c r="O165" s="2"/>
      <c r="AC165" s="8">
        <f t="shared" si="0"/>
        <v>26</v>
      </c>
    </row>
    <row r="166" spans="1:29" ht="15" customHeight="1">
      <c r="A166" s="196">
        <v>27</v>
      </c>
      <c r="B166" s="201">
        <v>3</v>
      </c>
      <c r="C166" s="12">
        <v>-25</v>
      </c>
      <c r="D166" s="12">
        <v>-12.5</v>
      </c>
      <c r="E166" s="12">
        <v>0</v>
      </c>
      <c r="F166" s="12">
        <v>12.5</v>
      </c>
      <c r="G166" s="12">
        <v>25</v>
      </c>
      <c r="H166" s="12">
        <v>37.5</v>
      </c>
      <c r="I166" s="12">
        <v>50</v>
      </c>
      <c r="J166" s="12">
        <v>62.5</v>
      </c>
      <c r="K166" s="12">
        <v>75</v>
      </c>
      <c r="L166" s="12">
        <v>87.5</v>
      </c>
      <c r="M166" s="12">
        <v>100</v>
      </c>
      <c r="N166" s="218">
        <v>112.5</v>
      </c>
      <c r="O166" s="2"/>
      <c r="AC166" s="8">
        <f t="shared" si="0"/>
        <v>26</v>
      </c>
    </row>
    <row r="167" spans="1:29" ht="15" customHeight="1">
      <c r="A167" s="197">
        <v>27</v>
      </c>
      <c r="B167" s="202">
        <v>4</v>
      </c>
      <c r="C167" s="27">
        <v>-25</v>
      </c>
      <c r="D167" s="27">
        <v>-12.5</v>
      </c>
      <c r="E167" s="27">
        <v>0</v>
      </c>
      <c r="F167" s="27">
        <v>12.5</v>
      </c>
      <c r="G167" s="27">
        <v>25</v>
      </c>
      <c r="H167" s="27">
        <v>37.5</v>
      </c>
      <c r="I167" s="27">
        <v>50</v>
      </c>
      <c r="J167" s="27">
        <v>62.5</v>
      </c>
      <c r="K167" s="27">
        <v>75</v>
      </c>
      <c r="L167" s="27">
        <v>87.5</v>
      </c>
      <c r="M167" s="27">
        <v>100</v>
      </c>
      <c r="N167" s="221">
        <v>112.5</v>
      </c>
      <c r="O167" s="2"/>
      <c r="AC167" s="8">
        <f t="shared" si="0"/>
        <v>26</v>
      </c>
    </row>
    <row r="168" spans="1:29" ht="15" customHeight="1">
      <c r="A168" s="229">
        <v>28</v>
      </c>
      <c r="B168" s="74">
        <v>1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AC168" s="8">
        <f t="shared" si="0"/>
        <v>27</v>
      </c>
    </row>
    <row r="169" spans="1:29" ht="15" customHeight="1">
      <c r="A169" s="228">
        <v>28</v>
      </c>
      <c r="B169" s="75">
        <v>2</v>
      </c>
      <c r="AC169" s="8">
        <f t="shared" si="0"/>
        <v>27</v>
      </c>
    </row>
    <row r="170" spans="1:29" ht="15" customHeight="1">
      <c r="A170" s="228">
        <v>28</v>
      </c>
      <c r="B170" s="75">
        <v>3</v>
      </c>
      <c r="AC170" s="8">
        <f t="shared" si="0"/>
        <v>27</v>
      </c>
    </row>
    <row r="171" spans="1:29" ht="15" customHeight="1">
      <c r="A171" s="228">
        <v>28</v>
      </c>
      <c r="B171" s="75">
        <v>4</v>
      </c>
      <c r="AC171" s="8">
        <f t="shared" si="0"/>
        <v>27</v>
      </c>
    </row>
    <row r="172" spans="1:29" ht="15" customHeight="1">
      <c r="A172" s="228">
        <v>28</v>
      </c>
      <c r="B172" s="75">
        <v>5</v>
      </c>
      <c r="AC172" s="8">
        <f t="shared" si="0"/>
        <v>27</v>
      </c>
    </row>
    <row r="173" spans="1:29" ht="15" customHeight="1">
      <c r="A173" s="228">
        <v>28</v>
      </c>
      <c r="B173" s="75">
        <v>6</v>
      </c>
      <c r="AC173" s="8">
        <f t="shared" si="0"/>
        <v>27</v>
      </c>
    </row>
    <row r="174" spans="1:29" ht="15" customHeight="1">
      <c r="A174" s="229">
        <v>29</v>
      </c>
      <c r="B174" s="74">
        <v>1</v>
      </c>
      <c r="AC174" s="8">
        <f t="shared" si="0"/>
        <v>28</v>
      </c>
    </row>
    <row r="175" spans="1:29" ht="15" customHeight="1">
      <c r="A175" s="228">
        <v>29</v>
      </c>
      <c r="B175" s="75">
        <v>2</v>
      </c>
      <c r="AC175" s="8">
        <f t="shared" si="0"/>
        <v>28</v>
      </c>
    </row>
    <row r="176" spans="1:29" ht="15" customHeight="1">
      <c r="A176" s="228">
        <v>29</v>
      </c>
      <c r="B176" s="75">
        <v>3</v>
      </c>
      <c r="AC176" s="8">
        <f t="shared" si="0"/>
        <v>28</v>
      </c>
    </row>
    <row r="177" spans="1:29" ht="15" customHeight="1">
      <c r="A177" s="228">
        <v>29</v>
      </c>
      <c r="B177" s="75">
        <v>4</v>
      </c>
      <c r="AC177" s="8">
        <f t="shared" si="0"/>
        <v>28</v>
      </c>
    </row>
    <row r="178" spans="1:29" ht="15" customHeight="1">
      <c r="A178" s="228">
        <v>29</v>
      </c>
      <c r="B178" s="75">
        <v>5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AC178" s="8">
        <f t="shared" si="0"/>
        <v>28</v>
      </c>
    </row>
    <row r="179" spans="1:29" ht="15" customHeight="1">
      <c r="A179" s="199">
        <v>30</v>
      </c>
      <c r="B179" s="200">
        <v>1</v>
      </c>
      <c r="C179" s="227">
        <v>-25</v>
      </c>
      <c r="D179" s="227">
        <v>-12.5</v>
      </c>
      <c r="E179" s="227">
        <v>0</v>
      </c>
      <c r="F179" s="227">
        <v>12.5</v>
      </c>
      <c r="G179" s="227">
        <v>25</v>
      </c>
      <c r="H179" s="227">
        <v>37.5</v>
      </c>
      <c r="I179" s="227">
        <v>50</v>
      </c>
      <c r="J179" s="227">
        <v>62.5</v>
      </c>
      <c r="K179" s="227">
        <v>75</v>
      </c>
      <c r="L179" s="227">
        <v>87.5</v>
      </c>
      <c r="M179" s="227">
        <v>100</v>
      </c>
      <c r="N179" s="227">
        <v>112.5</v>
      </c>
      <c r="O179" s="215">
        <v>125</v>
      </c>
      <c r="P179" s="2"/>
      <c r="AC179" s="8">
        <f t="shared" si="0"/>
        <v>29</v>
      </c>
    </row>
    <row r="180" spans="1:29" ht="15" customHeight="1">
      <c r="A180" s="196">
        <v>30</v>
      </c>
      <c r="B180" s="201">
        <v>2</v>
      </c>
      <c r="C180" s="12">
        <v>-25</v>
      </c>
      <c r="D180" s="12">
        <v>-12.5</v>
      </c>
      <c r="E180" s="12">
        <v>0</v>
      </c>
      <c r="F180" s="12">
        <v>12.5</v>
      </c>
      <c r="G180" s="12">
        <v>25</v>
      </c>
      <c r="H180" s="12">
        <v>37.5</v>
      </c>
      <c r="I180" s="12">
        <v>50</v>
      </c>
      <c r="J180" s="12">
        <v>62.5</v>
      </c>
      <c r="K180" s="12">
        <v>75</v>
      </c>
      <c r="L180" s="12">
        <v>87.5</v>
      </c>
      <c r="M180" s="12">
        <v>100</v>
      </c>
      <c r="N180" s="12">
        <v>112.5</v>
      </c>
      <c r="O180" s="218">
        <v>125</v>
      </c>
      <c r="P180" s="2"/>
      <c r="AC180" s="8">
        <f t="shared" si="0"/>
        <v>29</v>
      </c>
    </row>
    <row r="181" spans="1:29" ht="15" customHeight="1">
      <c r="A181" s="197">
        <v>30</v>
      </c>
      <c r="B181" s="202">
        <v>3</v>
      </c>
      <c r="C181" s="27">
        <v>-25</v>
      </c>
      <c r="D181" s="27">
        <v>-12.5</v>
      </c>
      <c r="E181" s="27">
        <v>0</v>
      </c>
      <c r="F181" s="27">
        <v>12.5</v>
      </c>
      <c r="G181" s="27">
        <v>25</v>
      </c>
      <c r="H181" s="27">
        <v>37.5</v>
      </c>
      <c r="I181" s="27">
        <v>50</v>
      </c>
      <c r="J181" s="27">
        <v>62.5</v>
      </c>
      <c r="K181" s="27">
        <v>75</v>
      </c>
      <c r="L181" s="27">
        <v>87.5</v>
      </c>
      <c r="M181" s="27">
        <v>100</v>
      </c>
      <c r="N181" s="27">
        <v>112.5</v>
      </c>
      <c r="O181" s="221">
        <v>125</v>
      </c>
      <c r="P181" s="2"/>
      <c r="AC181" s="8">
        <f t="shared" si="0"/>
        <v>29</v>
      </c>
    </row>
    <row r="182" spans="1:29" ht="15" customHeight="1">
      <c r="A182" s="196">
        <v>31</v>
      </c>
      <c r="B182" s="201">
        <v>1</v>
      </c>
      <c r="C182" s="12">
        <v>30</v>
      </c>
      <c r="D182" s="12">
        <v>35</v>
      </c>
      <c r="E182" s="12">
        <v>40</v>
      </c>
      <c r="F182" s="12">
        <v>45</v>
      </c>
      <c r="G182" s="12">
        <v>50</v>
      </c>
      <c r="H182" s="12">
        <v>55</v>
      </c>
      <c r="I182" s="12">
        <v>60</v>
      </c>
      <c r="J182" s="12">
        <v>65</v>
      </c>
      <c r="K182" s="12">
        <v>70</v>
      </c>
      <c r="L182" s="218">
        <v>75</v>
      </c>
      <c r="M182" s="2"/>
      <c r="N182" s="2"/>
      <c r="O182" s="2"/>
      <c r="AC182" s="8">
        <f t="shared" si="0"/>
        <v>30</v>
      </c>
    </row>
    <row r="183" spans="1:29" ht="15" customHeight="1">
      <c r="A183" s="196">
        <v>31</v>
      </c>
      <c r="B183" s="201">
        <v>2</v>
      </c>
      <c r="C183" s="12">
        <v>30</v>
      </c>
      <c r="D183" s="12">
        <v>35</v>
      </c>
      <c r="E183" s="12">
        <v>40</v>
      </c>
      <c r="F183" s="12">
        <v>45</v>
      </c>
      <c r="G183" s="12">
        <v>50</v>
      </c>
      <c r="H183" s="12">
        <v>55</v>
      </c>
      <c r="I183" s="12">
        <v>60</v>
      </c>
      <c r="J183" s="12">
        <v>65</v>
      </c>
      <c r="K183" s="12">
        <v>70</v>
      </c>
      <c r="L183" s="218">
        <v>75</v>
      </c>
      <c r="M183" s="2"/>
      <c r="AC183" s="8">
        <f t="shared" si="0"/>
        <v>30</v>
      </c>
    </row>
    <row r="184" spans="1:29" ht="15" customHeight="1">
      <c r="A184" s="196">
        <v>31</v>
      </c>
      <c r="B184" s="201">
        <v>3</v>
      </c>
      <c r="C184" s="12">
        <v>30</v>
      </c>
      <c r="D184" s="12">
        <v>35</v>
      </c>
      <c r="E184" s="12">
        <v>40</v>
      </c>
      <c r="F184" s="12">
        <v>45</v>
      </c>
      <c r="G184" s="12">
        <v>50</v>
      </c>
      <c r="H184" s="12">
        <v>55</v>
      </c>
      <c r="I184" s="12">
        <v>60</v>
      </c>
      <c r="J184" s="12">
        <v>65</v>
      </c>
      <c r="K184" s="12">
        <v>70</v>
      </c>
      <c r="L184" s="218">
        <v>75</v>
      </c>
      <c r="M184" s="2"/>
      <c r="AC184" s="8">
        <f t="shared" si="0"/>
        <v>30</v>
      </c>
    </row>
    <row r="185" spans="1:29" ht="15" customHeight="1">
      <c r="A185" s="196">
        <v>31</v>
      </c>
      <c r="B185" s="201">
        <v>4</v>
      </c>
      <c r="C185" s="12">
        <v>30</v>
      </c>
      <c r="D185" s="12">
        <v>35</v>
      </c>
      <c r="E185" s="12">
        <v>40</v>
      </c>
      <c r="F185" s="12">
        <v>45</v>
      </c>
      <c r="G185" s="12">
        <v>50</v>
      </c>
      <c r="H185" s="12">
        <v>55</v>
      </c>
      <c r="I185" s="12">
        <v>60</v>
      </c>
      <c r="J185" s="12">
        <v>65</v>
      </c>
      <c r="K185" s="12">
        <v>70</v>
      </c>
      <c r="L185" s="218">
        <v>75</v>
      </c>
      <c r="M185" s="2"/>
      <c r="AC185" s="8">
        <f t="shared" si="0"/>
        <v>30</v>
      </c>
    </row>
    <row r="186" spans="1:29" ht="15" customHeight="1">
      <c r="A186" s="196">
        <v>31</v>
      </c>
      <c r="B186" s="201">
        <v>5</v>
      </c>
      <c r="C186" s="12">
        <v>30</v>
      </c>
      <c r="D186" s="12">
        <v>35</v>
      </c>
      <c r="E186" s="12">
        <v>40</v>
      </c>
      <c r="F186" s="12">
        <v>45</v>
      </c>
      <c r="G186" s="12">
        <v>50</v>
      </c>
      <c r="H186" s="12">
        <v>55</v>
      </c>
      <c r="I186" s="12">
        <v>60</v>
      </c>
      <c r="J186" s="12">
        <v>65</v>
      </c>
      <c r="K186" s="27">
        <v>70</v>
      </c>
      <c r="L186" s="221">
        <v>75</v>
      </c>
      <c r="M186" s="2"/>
      <c r="AC186" s="8">
        <f t="shared" si="0"/>
        <v>30</v>
      </c>
    </row>
    <row r="187" spans="1:29" ht="15" customHeight="1">
      <c r="A187" s="199">
        <v>32</v>
      </c>
      <c r="B187" s="200">
        <v>1</v>
      </c>
      <c r="C187" s="234"/>
      <c r="D187" s="234"/>
      <c r="E187" s="234"/>
      <c r="F187" s="234"/>
      <c r="G187" s="234"/>
      <c r="H187" s="234"/>
      <c r="I187" s="234"/>
      <c r="J187" s="235"/>
      <c r="K187" s="2"/>
      <c r="L187" s="2"/>
      <c r="AC187" s="8">
        <f t="shared" si="0"/>
        <v>31</v>
      </c>
    </row>
    <row r="188" spans="1:29" ht="15" customHeight="1">
      <c r="A188" s="197">
        <v>32</v>
      </c>
      <c r="B188" s="202">
        <v>2</v>
      </c>
      <c r="C188" s="30">
        <v>-75</v>
      </c>
      <c r="D188" s="30">
        <v>-50</v>
      </c>
      <c r="E188" s="30">
        <v>-25</v>
      </c>
      <c r="F188" s="30">
        <v>0</v>
      </c>
      <c r="G188" s="30">
        <v>25</v>
      </c>
      <c r="H188" s="30">
        <v>50</v>
      </c>
      <c r="I188" s="30">
        <v>75</v>
      </c>
      <c r="J188" s="232">
        <v>97.5</v>
      </c>
      <c r="K188" s="2"/>
      <c r="AC188" s="8">
        <f t="shared" si="0"/>
        <v>31</v>
      </c>
    </row>
    <row r="189" spans="1:29" ht="15" customHeight="1">
      <c r="A189" s="228">
        <v>33</v>
      </c>
      <c r="B189" s="201">
        <v>1</v>
      </c>
      <c r="C189" s="2"/>
      <c r="D189" s="2"/>
      <c r="E189" s="2"/>
      <c r="F189" s="2"/>
      <c r="G189" s="2"/>
      <c r="H189" s="2"/>
      <c r="I189" s="2"/>
      <c r="J189" s="2"/>
      <c r="AC189" s="8">
        <f t="shared" si="0"/>
        <v>32</v>
      </c>
    </row>
    <row r="190" spans="1:29" ht="15" customHeight="1">
      <c r="A190" s="228">
        <v>33</v>
      </c>
      <c r="B190" s="201">
        <v>2</v>
      </c>
      <c r="AC190" s="8">
        <f t="shared" si="0"/>
        <v>32</v>
      </c>
    </row>
    <row r="191" spans="1:29" ht="15" customHeight="1">
      <c r="A191" s="228">
        <v>33</v>
      </c>
      <c r="B191" s="201">
        <v>3</v>
      </c>
      <c r="AC191" s="8">
        <f t="shared" si="0"/>
        <v>32</v>
      </c>
    </row>
    <row r="192" spans="1:29" ht="15" customHeight="1">
      <c r="A192" s="230">
        <v>33</v>
      </c>
      <c r="B192" s="202">
        <v>4</v>
      </c>
      <c r="AC192" s="8">
        <f t="shared" si="0"/>
        <v>32</v>
      </c>
    </row>
    <row r="193" spans="1:29" ht="15" customHeight="1">
      <c r="A193" s="203">
        <v>34</v>
      </c>
      <c r="B193" s="200">
        <v>1</v>
      </c>
      <c r="AC193" s="8">
        <f t="shared" si="0"/>
        <v>33</v>
      </c>
    </row>
    <row r="194" spans="1:29" ht="15" customHeight="1">
      <c r="A194" s="204">
        <v>34</v>
      </c>
      <c r="B194" s="201">
        <v>2</v>
      </c>
      <c r="AC194" s="8">
        <f t="shared" si="0"/>
        <v>33</v>
      </c>
    </row>
    <row r="195" spans="1:29" ht="15" customHeight="1">
      <c r="A195" s="204">
        <v>34</v>
      </c>
      <c r="B195" s="201">
        <v>3</v>
      </c>
      <c r="AC195" s="8">
        <f t="shared" si="0"/>
        <v>33</v>
      </c>
    </row>
    <row r="196" spans="1:29" ht="15" customHeight="1">
      <c r="A196" s="205">
        <v>34</v>
      </c>
      <c r="B196" s="202">
        <v>4</v>
      </c>
      <c r="AC196" s="8">
        <f t="shared" si="0"/>
        <v>33</v>
      </c>
    </row>
    <row r="197" spans="1:29" ht="15" customHeight="1">
      <c r="A197" s="229">
        <v>35</v>
      </c>
      <c r="B197" s="74">
        <v>1</v>
      </c>
      <c r="AC197" s="8">
        <f t="shared" si="0"/>
        <v>34</v>
      </c>
    </row>
    <row r="198" spans="1:29" ht="15" customHeight="1">
      <c r="A198" s="228">
        <v>35</v>
      </c>
      <c r="B198" s="75">
        <v>2</v>
      </c>
      <c r="AC198" s="8">
        <f t="shared" si="0"/>
        <v>34</v>
      </c>
    </row>
    <row r="199" spans="1:29" ht="15" customHeight="1">
      <c r="A199" s="228">
        <v>35</v>
      </c>
      <c r="B199" s="75">
        <v>3</v>
      </c>
      <c r="AC199" s="8">
        <f t="shared" si="0"/>
        <v>34</v>
      </c>
    </row>
    <row r="200" spans="1:29" ht="15" customHeight="1">
      <c r="A200" s="228">
        <v>35</v>
      </c>
      <c r="B200" s="75">
        <v>4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AC200" s="8">
        <f t="shared" si="0"/>
        <v>34</v>
      </c>
    </row>
    <row r="201" spans="1:29" ht="15" customHeight="1">
      <c r="A201" s="199">
        <v>36</v>
      </c>
      <c r="B201" s="200">
        <v>1</v>
      </c>
      <c r="C201" s="227">
        <v>-30</v>
      </c>
      <c r="D201" s="227">
        <v>-15</v>
      </c>
      <c r="E201" s="227">
        <v>0</v>
      </c>
      <c r="F201" s="227">
        <v>15</v>
      </c>
      <c r="G201" s="227">
        <v>30</v>
      </c>
      <c r="H201" s="227">
        <v>45</v>
      </c>
      <c r="I201" s="227">
        <v>60</v>
      </c>
      <c r="J201" s="227">
        <v>75</v>
      </c>
      <c r="K201" s="227">
        <v>90</v>
      </c>
      <c r="L201" s="227">
        <v>105</v>
      </c>
      <c r="M201" s="227">
        <v>120</v>
      </c>
      <c r="N201" s="215">
        <v>135</v>
      </c>
      <c r="O201" s="2"/>
      <c r="AC201" s="8">
        <f t="shared" si="0"/>
        <v>35</v>
      </c>
    </row>
    <row r="202" spans="1:29" ht="15" customHeight="1">
      <c r="A202" s="196">
        <v>36</v>
      </c>
      <c r="B202" s="201">
        <v>2</v>
      </c>
      <c r="C202" s="12">
        <v>-30</v>
      </c>
      <c r="D202" s="12">
        <v>-15</v>
      </c>
      <c r="E202" s="12">
        <v>0</v>
      </c>
      <c r="F202" s="12">
        <v>15</v>
      </c>
      <c r="G202" s="12">
        <v>30</v>
      </c>
      <c r="H202" s="12">
        <v>45</v>
      </c>
      <c r="I202" s="12">
        <v>60</v>
      </c>
      <c r="J202" s="12">
        <v>75</v>
      </c>
      <c r="K202" s="12">
        <v>90</v>
      </c>
      <c r="L202" s="12">
        <v>105</v>
      </c>
      <c r="M202" s="12">
        <v>120</v>
      </c>
      <c r="N202" s="218">
        <v>135</v>
      </c>
      <c r="O202" s="2"/>
      <c r="AC202" s="8">
        <f t="shared" si="0"/>
        <v>35</v>
      </c>
    </row>
    <row r="203" spans="1:29" ht="15" customHeight="1">
      <c r="A203" s="196">
        <v>36</v>
      </c>
      <c r="B203" s="201">
        <v>3</v>
      </c>
      <c r="C203" s="12">
        <v>-30</v>
      </c>
      <c r="D203" s="12">
        <v>-15</v>
      </c>
      <c r="E203" s="12">
        <v>0</v>
      </c>
      <c r="F203" s="12">
        <v>15</v>
      </c>
      <c r="G203" s="12">
        <v>30</v>
      </c>
      <c r="H203" s="12">
        <v>45</v>
      </c>
      <c r="I203" s="12">
        <v>60</v>
      </c>
      <c r="J203" s="12">
        <v>75</v>
      </c>
      <c r="K203" s="12">
        <v>90</v>
      </c>
      <c r="L203" s="12">
        <v>105</v>
      </c>
      <c r="M203" s="12">
        <v>120</v>
      </c>
      <c r="N203" s="218">
        <v>135</v>
      </c>
      <c r="O203" s="2"/>
      <c r="AC203" s="8">
        <f t="shared" si="0"/>
        <v>35</v>
      </c>
    </row>
    <row r="204" spans="1:29" ht="15" customHeight="1">
      <c r="A204" s="197">
        <v>36</v>
      </c>
      <c r="B204" s="201">
        <v>4</v>
      </c>
      <c r="C204" s="27">
        <v>-30</v>
      </c>
      <c r="D204" s="27">
        <v>-15</v>
      </c>
      <c r="E204" s="27">
        <v>0</v>
      </c>
      <c r="F204" s="27">
        <v>15</v>
      </c>
      <c r="G204" s="27">
        <v>30</v>
      </c>
      <c r="H204" s="27">
        <v>45</v>
      </c>
      <c r="I204" s="27">
        <v>60</v>
      </c>
      <c r="J204" s="27">
        <v>75</v>
      </c>
      <c r="K204" s="27">
        <v>90</v>
      </c>
      <c r="L204" s="27">
        <v>105</v>
      </c>
      <c r="M204" s="27">
        <v>120</v>
      </c>
      <c r="N204" s="221">
        <v>135</v>
      </c>
      <c r="O204" s="2"/>
      <c r="AC204" s="8">
        <f t="shared" si="0"/>
        <v>35</v>
      </c>
    </row>
    <row r="205" spans="1:29" ht="15" customHeight="1">
      <c r="A205" s="233">
        <v>37</v>
      </c>
      <c r="B205" s="200">
        <v>1</v>
      </c>
      <c r="C205" s="12">
        <v>-12.5</v>
      </c>
      <c r="D205" s="12">
        <v>0</v>
      </c>
      <c r="E205" s="12">
        <v>12.5</v>
      </c>
      <c r="F205" s="12">
        <v>25</v>
      </c>
      <c r="G205" s="12">
        <v>37.5</v>
      </c>
      <c r="H205" s="12">
        <v>50</v>
      </c>
      <c r="I205" s="12">
        <v>62.5</v>
      </c>
      <c r="J205" s="12">
        <v>75</v>
      </c>
      <c r="K205" s="12">
        <v>87.5</v>
      </c>
      <c r="L205" s="12">
        <v>100</v>
      </c>
      <c r="M205" s="12">
        <v>112.5</v>
      </c>
      <c r="N205" s="12">
        <v>125</v>
      </c>
      <c r="O205" s="215">
        <v>137.5</v>
      </c>
      <c r="P205" s="2"/>
      <c r="AC205" s="8">
        <f t="shared" si="0"/>
        <v>36</v>
      </c>
    </row>
    <row r="206" spans="1:29" ht="15" customHeight="1">
      <c r="A206" s="233">
        <v>37</v>
      </c>
      <c r="B206" s="201">
        <v>2</v>
      </c>
      <c r="C206" s="12">
        <v>-12.5</v>
      </c>
      <c r="D206" s="12">
        <v>0</v>
      </c>
      <c r="E206" s="12">
        <v>12.5</v>
      </c>
      <c r="F206" s="12">
        <v>25</v>
      </c>
      <c r="G206" s="12">
        <v>37.5</v>
      </c>
      <c r="H206" s="12">
        <v>50</v>
      </c>
      <c r="I206" s="12">
        <v>62.5</v>
      </c>
      <c r="J206" s="12">
        <v>75</v>
      </c>
      <c r="K206" s="12">
        <v>87.5</v>
      </c>
      <c r="L206" s="12">
        <v>100</v>
      </c>
      <c r="M206" s="12">
        <v>112.5</v>
      </c>
      <c r="N206" s="12">
        <v>125</v>
      </c>
      <c r="O206" s="218">
        <v>137.5</v>
      </c>
      <c r="P206" s="2"/>
      <c r="AC206" s="8">
        <f t="shared" si="0"/>
        <v>36</v>
      </c>
    </row>
    <row r="207" spans="1:29" ht="15" customHeight="1">
      <c r="A207" s="233">
        <v>37</v>
      </c>
      <c r="B207" s="201">
        <v>3</v>
      </c>
      <c r="C207" s="12">
        <v>-12.5</v>
      </c>
      <c r="D207" s="12">
        <v>0</v>
      </c>
      <c r="E207" s="12">
        <v>12.5</v>
      </c>
      <c r="F207" s="12">
        <v>25</v>
      </c>
      <c r="G207" s="12">
        <v>37.5</v>
      </c>
      <c r="H207" s="12">
        <v>50</v>
      </c>
      <c r="I207" s="12">
        <v>62.5</v>
      </c>
      <c r="J207" s="12">
        <v>75</v>
      </c>
      <c r="K207" s="12">
        <v>87.5</v>
      </c>
      <c r="L207" s="12">
        <v>100</v>
      </c>
      <c r="M207" s="12">
        <v>112.5</v>
      </c>
      <c r="N207" s="12">
        <v>125</v>
      </c>
      <c r="O207" s="218">
        <v>137.5</v>
      </c>
      <c r="P207" s="2"/>
      <c r="AC207" s="8">
        <f t="shared" si="0"/>
        <v>36</v>
      </c>
    </row>
    <row r="208" spans="1:29" ht="15" customHeight="1">
      <c r="A208" s="233">
        <v>37</v>
      </c>
      <c r="B208" s="201">
        <v>4</v>
      </c>
      <c r="C208" s="12">
        <v>-12.5</v>
      </c>
      <c r="D208" s="12">
        <v>0</v>
      </c>
      <c r="E208" s="12">
        <v>12.5</v>
      </c>
      <c r="F208" s="12">
        <v>25</v>
      </c>
      <c r="G208" s="12">
        <v>37.5</v>
      </c>
      <c r="H208" s="12">
        <v>50</v>
      </c>
      <c r="I208" s="12">
        <v>62.5</v>
      </c>
      <c r="J208" s="12">
        <v>75</v>
      </c>
      <c r="K208" s="12">
        <v>87.5</v>
      </c>
      <c r="L208" s="12">
        <v>100</v>
      </c>
      <c r="M208" s="12">
        <v>112.5</v>
      </c>
      <c r="N208" s="12">
        <v>125</v>
      </c>
      <c r="O208" s="218">
        <v>137.5</v>
      </c>
      <c r="P208" s="2"/>
      <c r="AC208" s="8">
        <f t="shared" si="0"/>
        <v>36</v>
      </c>
    </row>
    <row r="209" spans="1:29" ht="15" customHeight="1">
      <c r="A209" s="233">
        <v>37</v>
      </c>
      <c r="B209" s="201">
        <v>5</v>
      </c>
      <c r="C209" s="12">
        <v>-12.5</v>
      </c>
      <c r="D209" s="12">
        <v>0</v>
      </c>
      <c r="E209" s="12">
        <v>12.5</v>
      </c>
      <c r="F209" s="12">
        <v>25</v>
      </c>
      <c r="G209" s="12">
        <v>37.5</v>
      </c>
      <c r="H209" s="12">
        <v>50</v>
      </c>
      <c r="I209" s="12">
        <v>62.5</v>
      </c>
      <c r="J209" s="12">
        <v>75</v>
      </c>
      <c r="K209" s="12">
        <v>87.5</v>
      </c>
      <c r="L209" s="12">
        <v>100</v>
      </c>
      <c r="M209" s="12">
        <v>112.5</v>
      </c>
      <c r="N209" s="12">
        <v>125</v>
      </c>
      <c r="O209" s="218">
        <v>137.5</v>
      </c>
      <c r="P209" s="2"/>
      <c r="AC209" s="8">
        <f t="shared" si="0"/>
        <v>36</v>
      </c>
    </row>
    <row r="210" spans="1:29" ht="15" customHeight="1">
      <c r="A210" s="233">
        <v>37</v>
      </c>
      <c r="B210" s="201">
        <v>6</v>
      </c>
      <c r="C210" s="12">
        <v>-12.5</v>
      </c>
      <c r="D210" s="12">
        <v>0</v>
      </c>
      <c r="E210" s="12">
        <v>12.5</v>
      </c>
      <c r="F210" s="12">
        <v>25</v>
      </c>
      <c r="G210" s="12">
        <v>37.5</v>
      </c>
      <c r="H210" s="12">
        <v>50</v>
      </c>
      <c r="I210" s="12">
        <v>62.5</v>
      </c>
      <c r="J210" s="12">
        <v>75</v>
      </c>
      <c r="K210" s="12">
        <v>87.5</v>
      </c>
      <c r="L210" s="12">
        <v>100</v>
      </c>
      <c r="M210" s="12">
        <v>112.5</v>
      </c>
      <c r="N210" s="12">
        <v>125</v>
      </c>
      <c r="O210" s="218">
        <v>137.5</v>
      </c>
      <c r="P210" s="2"/>
      <c r="AC210" s="8">
        <f t="shared" si="0"/>
        <v>36</v>
      </c>
    </row>
    <row r="211" spans="1:29" ht="15" customHeight="1">
      <c r="A211" s="241">
        <v>37</v>
      </c>
      <c r="B211" s="202">
        <v>7</v>
      </c>
      <c r="C211" s="27">
        <v>-12.5</v>
      </c>
      <c r="D211" s="27">
        <v>0</v>
      </c>
      <c r="E211" s="27">
        <v>12.5</v>
      </c>
      <c r="F211" s="27">
        <v>25</v>
      </c>
      <c r="G211" s="27">
        <v>37.5</v>
      </c>
      <c r="H211" s="27">
        <v>50</v>
      </c>
      <c r="I211" s="27">
        <v>62.5</v>
      </c>
      <c r="J211" s="27">
        <v>75</v>
      </c>
      <c r="K211" s="27">
        <v>87.5</v>
      </c>
      <c r="L211" s="27">
        <v>100</v>
      </c>
      <c r="M211" s="27">
        <v>112.5</v>
      </c>
      <c r="N211" s="27">
        <v>125</v>
      </c>
      <c r="O211" s="221">
        <v>137.5</v>
      </c>
      <c r="P211" s="2"/>
      <c r="AC211" s="8">
        <f t="shared" si="0"/>
        <v>36</v>
      </c>
    </row>
    <row r="212" spans="1:29" ht="15" customHeight="1">
      <c r="A212" s="229">
        <v>38</v>
      </c>
      <c r="B212" s="75">
        <v>1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AC212" s="8">
        <f t="shared" si="0"/>
        <v>37</v>
      </c>
    </row>
    <row r="213" spans="1:29" ht="15" customHeight="1">
      <c r="A213" s="228">
        <v>38</v>
      </c>
      <c r="B213" s="75">
        <v>2</v>
      </c>
      <c r="AC213" s="8">
        <f t="shared" si="0"/>
        <v>37</v>
      </c>
    </row>
    <row r="214" spans="1:29" ht="15" customHeight="1">
      <c r="A214" s="228">
        <v>38</v>
      </c>
      <c r="B214" s="75">
        <v>3</v>
      </c>
      <c r="AC214" s="8">
        <f t="shared" si="0"/>
        <v>37</v>
      </c>
    </row>
    <row r="215" spans="1:29" ht="15" customHeight="1">
      <c r="A215" s="228">
        <v>38</v>
      </c>
      <c r="B215" s="75">
        <v>4</v>
      </c>
      <c r="AC215" s="8">
        <f t="shared" si="0"/>
        <v>37</v>
      </c>
    </row>
    <row r="216" spans="1:29" ht="15" customHeight="1">
      <c r="A216" s="228">
        <v>38</v>
      </c>
      <c r="B216" s="75">
        <v>5</v>
      </c>
      <c r="AC216" s="8">
        <f t="shared" si="0"/>
        <v>37</v>
      </c>
    </row>
    <row r="217" spans="1:29" ht="15" customHeight="1">
      <c r="A217" s="228">
        <v>38</v>
      </c>
      <c r="B217" s="75">
        <v>6</v>
      </c>
      <c r="AC217" s="8">
        <f t="shared" si="0"/>
        <v>37</v>
      </c>
    </row>
    <row r="218" spans="1:29" ht="15" customHeight="1">
      <c r="A218" s="229">
        <v>39</v>
      </c>
      <c r="B218" s="74">
        <v>1</v>
      </c>
      <c r="AC218" s="8">
        <f t="shared" si="0"/>
        <v>38</v>
      </c>
    </row>
    <row r="219" spans="1:29" ht="15" customHeight="1">
      <c r="A219" s="228">
        <v>39</v>
      </c>
      <c r="B219" s="75">
        <v>2</v>
      </c>
      <c r="AC219" s="8">
        <f t="shared" si="0"/>
        <v>38</v>
      </c>
    </row>
    <row r="220" spans="1:29" ht="15" customHeight="1">
      <c r="A220" s="228">
        <v>39</v>
      </c>
      <c r="B220" s="75">
        <v>3</v>
      </c>
      <c r="AC220" s="8">
        <f t="shared" si="0"/>
        <v>38</v>
      </c>
    </row>
    <row r="221" spans="1:29" ht="15" customHeight="1">
      <c r="A221" s="228">
        <v>39</v>
      </c>
      <c r="B221" s="75">
        <v>4</v>
      </c>
      <c r="AC221" s="8">
        <f t="shared" si="0"/>
        <v>38</v>
      </c>
    </row>
    <row r="222" spans="1:29" ht="15" customHeight="1">
      <c r="A222" s="228">
        <v>39</v>
      </c>
      <c r="B222" s="75">
        <v>5</v>
      </c>
      <c r="AC222" s="8">
        <f t="shared" si="0"/>
        <v>38</v>
      </c>
    </row>
    <row r="223" spans="1:29" ht="15" customHeight="1">
      <c r="A223" s="228">
        <v>39</v>
      </c>
      <c r="B223" s="75">
        <v>6</v>
      </c>
      <c r="AC223" s="8">
        <f t="shared" si="0"/>
        <v>38</v>
      </c>
    </row>
    <row r="224" spans="1:29" ht="15" customHeight="1">
      <c r="A224" s="228">
        <v>39</v>
      </c>
      <c r="B224" s="75">
        <v>7</v>
      </c>
      <c r="AC224" s="8">
        <f t="shared" si="0"/>
        <v>38</v>
      </c>
    </row>
    <row r="225" spans="1:29" ht="15" customHeight="1">
      <c r="A225" s="228">
        <v>39</v>
      </c>
      <c r="B225" s="75">
        <v>8</v>
      </c>
      <c r="C225" s="2"/>
      <c r="D225" s="2"/>
      <c r="E225" s="2"/>
      <c r="F225" s="2"/>
      <c r="G225" s="2"/>
      <c r="H225" s="2"/>
      <c r="AC225" s="8">
        <f t="shared" si="0"/>
        <v>38</v>
      </c>
    </row>
    <row r="226" spans="1:29" ht="15" customHeight="1">
      <c r="A226" s="229">
        <v>40</v>
      </c>
      <c r="B226" s="74">
        <v>1</v>
      </c>
      <c r="C226" s="222">
        <v>0</v>
      </c>
      <c r="D226" s="222">
        <v>20</v>
      </c>
      <c r="E226" s="222">
        <v>40</v>
      </c>
      <c r="F226" s="222">
        <v>60</v>
      </c>
      <c r="G226" s="222">
        <v>80</v>
      </c>
      <c r="H226" s="225">
        <v>100</v>
      </c>
      <c r="I226" s="2"/>
      <c r="AC226" s="8">
        <f t="shared" si="0"/>
        <v>39</v>
      </c>
    </row>
    <row r="227" spans="1:29" ht="15" customHeight="1">
      <c r="A227" s="228">
        <v>40</v>
      </c>
      <c r="B227" s="75">
        <v>2</v>
      </c>
      <c r="C227" s="22">
        <v>0</v>
      </c>
      <c r="D227" s="22">
        <v>20</v>
      </c>
      <c r="E227" s="22">
        <v>40</v>
      </c>
      <c r="F227" s="22">
        <v>60</v>
      </c>
      <c r="G227" s="22">
        <v>80</v>
      </c>
      <c r="H227" s="226">
        <v>100</v>
      </c>
      <c r="I227" s="2"/>
      <c r="AC227" s="8">
        <f t="shared" si="0"/>
        <v>39</v>
      </c>
    </row>
    <row r="228" spans="1:29" ht="15" customHeight="1">
      <c r="A228" s="228">
        <v>40</v>
      </c>
      <c r="B228" s="75">
        <v>3</v>
      </c>
      <c r="C228" s="22">
        <v>0</v>
      </c>
      <c r="D228" s="22">
        <v>20</v>
      </c>
      <c r="E228" s="22">
        <v>40</v>
      </c>
      <c r="F228" s="22">
        <v>60</v>
      </c>
      <c r="G228" s="22">
        <v>80</v>
      </c>
      <c r="H228" s="226">
        <v>100</v>
      </c>
      <c r="I228" s="2"/>
      <c r="AC228" s="8">
        <f t="shared" si="0"/>
        <v>39</v>
      </c>
    </row>
    <row r="229" spans="1:29" ht="15" customHeight="1">
      <c r="A229" s="228">
        <v>40</v>
      </c>
      <c r="B229" s="75">
        <v>4</v>
      </c>
      <c r="C229" s="22">
        <v>0</v>
      </c>
      <c r="D229" s="22">
        <v>20</v>
      </c>
      <c r="E229" s="22">
        <v>40</v>
      </c>
      <c r="F229" s="22">
        <v>60</v>
      </c>
      <c r="G229" s="22">
        <v>80</v>
      </c>
      <c r="H229" s="226">
        <v>100</v>
      </c>
      <c r="I229" s="2"/>
      <c r="AC229" s="8">
        <f t="shared" si="0"/>
        <v>39</v>
      </c>
    </row>
    <row r="230" spans="1:29" ht="15" customHeight="1">
      <c r="A230" s="230">
        <v>40</v>
      </c>
      <c r="B230" s="231">
        <v>5</v>
      </c>
      <c r="C230" s="30">
        <v>0</v>
      </c>
      <c r="D230" s="30">
        <v>20</v>
      </c>
      <c r="E230" s="30">
        <v>40</v>
      </c>
      <c r="F230" s="30">
        <v>60</v>
      </c>
      <c r="G230" s="30">
        <v>80</v>
      </c>
      <c r="H230" s="232">
        <v>100</v>
      </c>
      <c r="I230" s="2"/>
      <c r="AC230" s="8">
        <f t="shared" si="0"/>
        <v>39</v>
      </c>
    </row>
    <row r="231" spans="1:29" ht="15" customHeight="1">
      <c r="A231" s="196">
        <v>41</v>
      </c>
      <c r="B231" s="201">
        <v>1</v>
      </c>
      <c r="C231" s="2"/>
      <c r="D231" s="2"/>
      <c r="E231" s="2"/>
      <c r="F231" s="2"/>
      <c r="G231" s="2"/>
      <c r="H231" s="2"/>
      <c r="AC231" s="8">
        <f t="shared" si="0"/>
        <v>40</v>
      </c>
    </row>
    <row r="232" spans="1:29" ht="15" customHeight="1">
      <c r="A232" s="196">
        <v>41</v>
      </c>
      <c r="B232" s="201">
        <v>2</v>
      </c>
      <c r="AC232" s="8">
        <f t="shared" si="0"/>
        <v>40</v>
      </c>
    </row>
    <row r="233" spans="1:29" ht="15" customHeight="1">
      <c r="A233" s="196">
        <v>41</v>
      </c>
      <c r="B233" s="201">
        <v>3</v>
      </c>
      <c r="AC233" s="8">
        <f t="shared" si="0"/>
        <v>40</v>
      </c>
    </row>
    <row r="234" spans="1:29" ht="15" customHeight="1">
      <c r="A234" s="196">
        <v>41</v>
      </c>
      <c r="B234" s="201">
        <v>4</v>
      </c>
      <c r="AC234" s="8">
        <f t="shared" si="0"/>
        <v>40</v>
      </c>
    </row>
    <row r="235" spans="1:29" ht="15" customHeight="1">
      <c r="A235" s="196">
        <v>41</v>
      </c>
      <c r="B235" s="201">
        <v>5</v>
      </c>
      <c r="AC235" s="8">
        <f t="shared" si="0"/>
        <v>40</v>
      </c>
    </row>
    <row r="236" spans="1:29" ht="15" customHeight="1">
      <c r="A236" s="196">
        <v>41</v>
      </c>
      <c r="B236" s="201">
        <v>6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AC236" s="8">
        <f t="shared" si="0"/>
        <v>40</v>
      </c>
    </row>
    <row r="237" spans="1:29" ht="15" customHeight="1">
      <c r="A237" s="199">
        <v>42</v>
      </c>
      <c r="B237" s="200" t="s">
        <v>221</v>
      </c>
      <c r="C237" s="234"/>
      <c r="D237" s="234"/>
      <c r="E237" s="234"/>
      <c r="F237" s="234"/>
      <c r="G237" s="234"/>
      <c r="H237" s="234"/>
      <c r="I237" s="234"/>
      <c r="J237" s="234"/>
      <c r="K237" s="234"/>
      <c r="L237" s="234"/>
      <c r="M237" s="234"/>
      <c r="N237" s="234"/>
      <c r="O237" s="234"/>
      <c r="P237" s="234"/>
      <c r="Q237" s="235"/>
      <c r="R237" s="2"/>
      <c r="AC237" s="8">
        <f t="shared" si="0"/>
        <v>41</v>
      </c>
    </row>
    <row r="238" spans="1:29" ht="15" customHeight="1">
      <c r="A238" s="196">
        <v>42</v>
      </c>
      <c r="B238" s="201" t="s">
        <v>222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36"/>
      <c r="R238" s="2"/>
      <c r="AC238" s="8">
        <f t="shared" si="0"/>
        <v>41</v>
      </c>
    </row>
    <row r="239" spans="1:29" ht="15" customHeight="1">
      <c r="A239" s="196">
        <v>42</v>
      </c>
      <c r="B239" s="201" t="s">
        <v>223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36"/>
      <c r="R239" s="2"/>
      <c r="AC239" s="8">
        <f t="shared" si="0"/>
        <v>41</v>
      </c>
    </row>
    <row r="240" spans="1:29" ht="15" customHeight="1">
      <c r="A240" s="196">
        <v>42</v>
      </c>
      <c r="B240" s="201" t="s">
        <v>225</v>
      </c>
      <c r="C240" s="2">
        <v>-25</v>
      </c>
      <c r="D240" s="2">
        <v>-12.5</v>
      </c>
      <c r="E240" s="2">
        <v>0</v>
      </c>
      <c r="F240" s="2">
        <v>12.5</v>
      </c>
      <c r="G240" s="2">
        <v>25</v>
      </c>
      <c r="H240" s="2">
        <v>37.5</v>
      </c>
      <c r="I240" s="2">
        <v>50</v>
      </c>
      <c r="J240" s="2">
        <v>62.5</v>
      </c>
      <c r="K240" s="2">
        <v>75</v>
      </c>
      <c r="L240" s="2">
        <v>87.5</v>
      </c>
      <c r="M240" s="2">
        <v>100</v>
      </c>
      <c r="N240" s="2">
        <v>112.5</v>
      </c>
      <c r="O240" s="2">
        <v>125</v>
      </c>
      <c r="P240" s="2">
        <v>137.5</v>
      </c>
      <c r="Q240" s="236">
        <v>150</v>
      </c>
      <c r="R240" s="2"/>
      <c r="AC240" s="8">
        <f t="shared" si="0"/>
        <v>41</v>
      </c>
    </row>
    <row r="241" spans="1:29" ht="15" customHeight="1">
      <c r="A241" s="196">
        <v>42</v>
      </c>
      <c r="B241" s="201" t="s">
        <v>226</v>
      </c>
      <c r="C241" s="2">
        <v>-25</v>
      </c>
      <c r="D241" s="2">
        <v>-12.5</v>
      </c>
      <c r="E241" s="2">
        <v>0</v>
      </c>
      <c r="F241" s="2">
        <v>12.5</v>
      </c>
      <c r="G241" s="2">
        <v>25</v>
      </c>
      <c r="H241" s="2">
        <v>37.5</v>
      </c>
      <c r="I241" s="2">
        <v>50</v>
      </c>
      <c r="J241" s="2">
        <v>62.5</v>
      </c>
      <c r="K241" s="2">
        <v>75</v>
      </c>
      <c r="L241" s="2">
        <v>87.5</v>
      </c>
      <c r="M241" s="2">
        <v>100</v>
      </c>
      <c r="N241" s="2">
        <v>112.5</v>
      </c>
      <c r="O241" s="2">
        <v>125</v>
      </c>
      <c r="P241" s="2">
        <v>137.5</v>
      </c>
      <c r="Q241" s="236">
        <v>150</v>
      </c>
      <c r="R241" s="2"/>
      <c r="AC241" s="8">
        <f t="shared" si="0"/>
        <v>41</v>
      </c>
    </row>
    <row r="242" spans="1:29" ht="15" customHeight="1">
      <c r="A242" s="197">
        <v>42</v>
      </c>
      <c r="B242" s="202" t="s">
        <v>227</v>
      </c>
      <c r="C242" s="34">
        <v>-25</v>
      </c>
      <c r="D242" s="34">
        <v>-12.5</v>
      </c>
      <c r="E242" s="34">
        <v>0</v>
      </c>
      <c r="F242" s="34">
        <v>12.5</v>
      </c>
      <c r="G242" s="34">
        <v>25</v>
      </c>
      <c r="H242" s="34">
        <v>37.5</v>
      </c>
      <c r="I242" s="34">
        <v>50</v>
      </c>
      <c r="J242" s="34">
        <v>62.5</v>
      </c>
      <c r="K242" s="34">
        <v>75</v>
      </c>
      <c r="L242" s="34">
        <v>87.5</v>
      </c>
      <c r="M242" s="34">
        <v>100</v>
      </c>
      <c r="N242" s="34">
        <v>112.5</v>
      </c>
      <c r="O242" s="34">
        <v>125</v>
      </c>
      <c r="P242" s="34">
        <v>137.5</v>
      </c>
      <c r="Q242" s="237">
        <v>150</v>
      </c>
      <c r="R242" s="2"/>
      <c r="AC242" s="8">
        <f t="shared" si="0"/>
        <v>41</v>
      </c>
    </row>
    <row r="243" spans="1:29" ht="15" customHeight="1">
      <c r="A243" s="229">
        <v>43</v>
      </c>
      <c r="B243" s="74">
        <v>1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AC243" s="8">
        <f t="shared" si="0"/>
        <v>42</v>
      </c>
    </row>
    <row r="244" spans="1:29" ht="15" customHeight="1">
      <c r="A244" s="228">
        <v>43</v>
      </c>
      <c r="B244" s="75">
        <v>2</v>
      </c>
      <c r="AC244" s="8">
        <f t="shared" si="0"/>
        <v>42</v>
      </c>
    </row>
    <row r="245" spans="1:29" ht="15" customHeight="1">
      <c r="A245" s="228">
        <v>43</v>
      </c>
      <c r="B245" s="75">
        <v>3</v>
      </c>
      <c r="C245" s="2"/>
      <c r="D245" s="2"/>
      <c r="E245" s="2"/>
      <c r="F245" s="2"/>
      <c r="G245" s="2"/>
      <c r="H245" s="2"/>
      <c r="I245" s="2"/>
      <c r="J245" s="2"/>
      <c r="AC245" s="8">
        <f t="shared" si="0"/>
        <v>42</v>
      </c>
    </row>
    <row r="246" spans="1:29" ht="15" customHeight="1">
      <c r="A246" s="229">
        <v>44</v>
      </c>
      <c r="B246" s="74" t="s">
        <v>221</v>
      </c>
      <c r="C246" s="234"/>
      <c r="D246" s="234"/>
      <c r="E246" s="234"/>
      <c r="F246" s="234"/>
      <c r="G246" s="234"/>
      <c r="H246" s="234"/>
      <c r="I246" s="234"/>
      <c r="J246" s="235"/>
      <c r="K246" s="2"/>
      <c r="AC246" s="8">
        <f t="shared" si="0"/>
        <v>43</v>
      </c>
    </row>
    <row r="247" spans="1:29" ht="15" customHeight="1">
      <c r="A247" s="228">
        <v>44</v>
      </c>
      <c r="B247" s="75" t="s">
        <v>222</v>
      </c>
      <c r="C247" s="2"/>
      <c r="D247" s="2"/>
      <c r="E247" s="2"/>
      <c r="F247" s="2"/>
      <c r="G247" s="2"/>
      <c r="H247" s="2"/>
      <c r="I247" s="2"/>
      <c r="J247" s="236"/>
      <c r="K247" s="2"/>
      <c r="AC247" s="8">
        <f t="shared" si="0"/>
        <v>43</v>
      </c>
    </row>
    <row r="248" spans="1:29" ht="15" customHeight="1">
      <c r="A248" s="228">
        <v>44</v>
      </c>
      <c r="B248" s="75" t="s">
        <v>223</v>
      </c>
      <c r="C248" s="2"/>
      <c r="D248" s="2"/>
      <c r="E248" s="2"/>
      <c r="F248" s="2"/>
      <c r="G248" s="2"/>
      <c r="H248" s="2"/>
      <c r="I248" s="2"/>
      <c r="J248" s="236"/>
      <c r="K248" s="2"/>
      <c r="AC248" s="8">
        <f t="shared" si="0"/>
        <v>43</v>
      </c>
    </row>
    <row r="249" spans="1:29" ht="15" customHeight="1">
      <c r="A249" s="228">
        <v>44</v>
      </c>
      <c r="B249" s="75" t="s">
        <v>224</v>
      </c>
      <c r="C249" s="2"/>
      <c r="D249" s="2"/>
      <c r="E249" s="2"/>
      <c r="F249" s="2"/>
      <c r="G249" s="2"/>
      <c r="H249" s="2"/>
      <c r="I249" s="2"/>
      <c r="J249" s="236"/>
      <c r="K249" s="2"/>
      <c r="AC249" s="8">
        <f t="shared" si="0"/>
        <v>43</v>
      </c>
    </row>
    <row r="250" spans="1:29" ht="15" customHeight="1">
      <c r="A250" s="228">
        <v>44</v>
      </c>
      <c r="B250" s="75" t="s">
        <v>229</v>
      </c>
      <c r="C250" s="2"/>
      <c r="D250" s="2"/>
      <c r="E250" s="2"/>
      <c r="F250" s="2"/>
      <c r="G250" s="2"/>
      <c r="H250" s="2"/>
      <c r="I250" s="2"/>
      <c r="J250" s="236"/>
      <c r="K250" s="2"/>
      <c r="AC250" s="8">
        <f t="shared" si="0"/>
        <v>43</v>
      </c>
    </row>
    <row r="251" spans="1:29" ht="15" customHeight="1">
      <c r="A251" s="228">
        <v>44</v>
      </c>
      <c r="B251" s="75" t="s">
        <v>225</v>
      </c>
      <c r="C251" s="2">
        <v>120</v>
      </c>
      <c r="D251" s="2">
        <v>130</v>
      </c>
      <c r="E251" s="2">
        <v>140</v>
      </c>
      <c r="F251" s="2">
        <v>150</v>
      </c>
      <c r="G251" s="2">
        <v>160</v>
      </c>
      <c r="H251" s="2">
        <v>170</v>
      </c>
      <c r="I251" s="2">
        <v>180</v>
      </c>
      <c r="J251" s="236">
        <v>190</v>
      </c>
      <c r="K251" s="2"/>
      <c r="AC251" s="8">
        <f t="shared" si="0"/>
        <v>43</v>
      </c>
    </row>
    <row r="252" spans="1:29" ht="15" customHeight="1">
      <c r="A252" s="228">
        <v>44</v>
      </c>
      <c r="B252" s="75" t="s">
        <v>226</v>
      </c>
      <c r="C252" s="2">
        <v>120</v>
      </c>
      <c r="D252" s="2">
        <v>130</v>
      </c>
      <c r="E252" s="2">
        <v>140</v>
      </c>
      <c r="F252" s="2">
        <v>150</v>
      </c>
      <c r="G252" s="2">
        <v>160</v>
      </c>
      <c r="H252" s="2">
        <v>170</v>
      </c>
      <c r="I252" s="2">
        <v>180</v>
      </c>
      <c r="J252" s="236">
        <v>190</v>
      </c>
      <c r="K252" s="2"/>
      <c r="AC252" s="8">
        <f t="shared" si="0"/>
        <v>43</v>
      </c>
    </row>
    <row r="253" spans="1:29" ht="15" customHeight="1">
      <c r="A253" s="228">
        <v>44</v>
      </c>
      <c r="B253" s="75" t="s">
        <v>227</v>
      </c>
      <c r="C253" s="2">
        <v>120</v>
      </c>
      <c r="D253" s="2">
        <v>130</v>
      </c>
      <c r="E253" s="2">
        <v>140</v>
      </c>
      <c r="F253" s="2">
        <v>150</v>
      </c>
      <c r="G253" s="2">
        <v>160</v>
      </c>
      <c r="H253" s="2">
        <v>170</v>
      </c>
      <c r="I253" s="2">
        <v>180</v>
      </c>
      <c r="J253" s="236">
        <v>190</v>
      </c>
      <c r="K253" s="2"/>
      <c r="AC253" s="8">
        <f t="shared" si="0"/>
        <v>43</v>
      </c>
    </row>
    <row r="254" spans="1:29" ht="15" customHeight="1">
      <c r="A254" s="228">
        <v>44</v>
      </c>
      <c r="B254" s="75" t="s">
        <v>228</v>
      </c>
      <c r="C254" s="2">
        <v>120</v>
      </c>
      <c r="D254" s="2">
        <v>130</v>
      </c>
      <c r="E254" s="2">
        <v>140</v>
      </c>
      <c r="F254" s="2">
        <v>150</v>
      </c>
      <c r="G254" s="2">
        <v>160</v>
      </c>
      <c r="H254" s="2">
        <v>170</v>
      </c>
      <c r="I254" s="2">
        <v>180</v>
      </c>
      <c r="J254" s="236">
        <v>190</v>
      </c>
      <c r="K254" s="2"/>
      <c r="AC254" s="8">
        <f t="shared" si="0"/>
        <v>43</v>
      </c>
    </row>
    <row r="255" spans="1:29" ht="15" customHeight="1">
      <c r="A255" s="230">
        <v>44</v>
      </c>
      <c r="B255" s="231" t="s">
        <v>230</v>
      </c>
      <c r="C255" s="34">
        <v>120</v>
      </c>
      <c r="D255" s="34">
        <v>130</v>
      </c>
      <c r="E255" s="34">
        <v>140</v>
      </c>
      <c r="F255" s="34">
        <v>150</v>
      </c>
      <c r="G255" s="34">
        <v>160</v>
      </c>
      <c r="H255" s="34">
        <v>170</v>
      </c>
      <c r="I255" s="34">
        <v>180</v>
      </c>
      <c r="J255" s="237">
        <v>190</v>
      </c>
      <c r="K255" s="2"/>
      <c r="L255" s="2"/>
      <c r="M255" s="2"/>
      <c r="N255" s="2"/>
      <c r="O255" s="2"/>
      <c r="P255" s="2"/>
      <c r="Q255" s="2"/>
      <c r="R255" s="2"/>
      <c r="AC255" s="8">
        <f t="shared" si="0"/>
        <v>43</v>
      </c>
    </row>
    <row r="256" spans="1:29" ht="15" customHeight="1">
      <c r="A256" s="196">
        <v>45</v>
      </c>
      <c r="B256" s="201" t="s">
        <v>221</v>
      </c>
      <c r="C256" s="2"/>
      <c r="D256" s="2"/>
      <c r="E256" s="2"/>
      <c r="F256" s="2"/>
      <c r="G256" s="2"/>
      <c r="H256" s="2"/>
      <c r="I256" s="2"/>
      <c r="J256" s="2"/>
      <c r="K256" s="234"/>
      <c r="L256" s="234"/>
      <c r="M256" s="234"/>
      <c r="N256" s="234"/>
      <c r="O256" s="234"/>
      <c r="P256" s="234"/>
      <c r="Q256" s="234"/>
      <c r="R256" s="235"/>
      <c r="S256" s="2"/>
      <c r="AC256" s="8">
        <f t="shared" si="0"/>
        <v>44</v>
      </c>
    </row>
    <row r="257" spans="1:29" ht="15" customHeight="1">
      <c r="A257" s="196">
        <v>45</v>
      </c>
      <c r="B257" s="201" t="s">
        <v>222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36"/>
      <c r="S257" s="2"/>
      <c r="AC257" s="8">
        <f t="shared" si="0"/>
        <v>44</v>
      </c>
    </row>
    <row r="258" spans="1:29" ht="15" customHeight="1">
      <c r="A258" s="196">
        <v>45</v>
      </c>
      <c r="B258" s="201" t="s">
        <v>223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36"/>
      <c r="S258" s="2"/>
      <c r="AC258" s="8">
        <f t="shared" si="0"/>
        <v>44</v>
      </c>
    </row>
    <row r="259" spans="1:29" ht="15" customHeight="1">
      <c r="A259" s="196">
        <v>45</v>
      </c>
      <c r="B259" s="201" t="s">
        <v>224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36"/>
      <c r="S259" s="2"/>
      <c r="AC259" s="8">
        <f t="shared" si="0"/>
        <v>44</v>
      </c>
    </row>
    <row r="260" spans="1:29" ht="15" customHeight="1">
      <c r="A260" s="196">
        <v>45</v>
      </c>
      <c r="B260" s="201" t="s">
        <v>225</v>
      </c>
      <c r="C260" s="2">
        <v>-50</v>
      </c>
      <c r="D260" s="2">
        <v>-37.5</v>
      </c>
      <c r="E260" s="2">
        <v>-25</v>
      </c>
      <c r="F260" s="2">
        <v>-12.5</v>
      </c>
      <c r="G260" s="2">
        <v>0</v>
      </c>
      <c r="H260" s="2">
        <v>12.5</v>
      </c>
      <c r="I260" s="2">
        <v>25</v>
      </c>
      <c r="J260" s="2">
        <v>37.5</v>
      </c>
      <c r="K260" s="2">
        <v>50</v>
      </c>
      <c r="L260" s="2">
        <v>62.5</v>
      </c>
      <c r="M260" s="2">
        <v>75</v>
      </c>
      <c r="N260" s="2">
        <v>87.5</v>
      </c>
      <c r="O260" s="2">
        <v>100</v>
      </c>
      <c r="P260" s="2">
        <v>112.5</v>
      </c>
      <c r="Q260" s="2">
        <v>125</v>
      </c>
      <c r="R260" s="236">
        <v>137.5</v>
      </c>
      <c r="S260" s="2"/>
      <c r="AC260" s="8">
        <f t="shared" si="0"/>
        <v>44</v>
      </c>
    </row>
    <row r="261" spans="1:29" ht="15" customHeight="1">
      <c r="A261" s="196">
        <v>45</v>
      </c>
      <c r="B261" s="201" t="s">
        <v>226</v>
      </c>
      <c r="C261" s="2">
        <v>-50</v>
      </c>
      <c r="D261" s="2">
        <v>-37.5</v>
      </c>
      <c r="E261" s="2">
        <v>-25</v>
      </c>
      <c r="F261" s="2">
        <v>-12.5</v>
      </c>
      <c r="G261" s="2">
        <v>0</v>
      </c>
      <c r="H261" s="2">
        <v>12.5</v>
      </c>
      <c r="I261" s="2">
        <v>25</v>
      </c>
      <c r="J261" s="2">
        <v>37.5</v>
      </c>
      <c r="K261" s="2">
        <v>50</v>
      </c>
      <c r="L261" s="2">
        <v>62.5</v>
      </c>
      <c r="M261" s="2">
        <v>75</v>
      </c>
      <c r="N261" s="2">
        <v>87.5</v>
      </c>
      <c r="O261" s="2">
        <v>100</v>
      </c>
      <c r="P261" s="2">
        <v>112.5</v>
      </c>
      <c r="Q261" s="2">
        <v>125</v>
      </c>
      <c r="R261" s="236">
        <v>137.5</v>
      </c>
      <c r="S261" s="2"/>
      <c r="AC261" s="8">
        <f t="shared" si="0"/>
        <v>44</v>
      </c>
    </row>
    <row r="262" spans="1:29" ht="15" customHeight="1">
      <c r="A262" s="196">
        <v>45</v>
      </c>
      <c r="B262" s="201" t="s">
        <v>227</v>
      </c>
      <c r="C262" s="2">
        <v>-50</v>
      </c>
      <c r="D262" s="2">
        <v>-37.5</v>
      </c>
      <c r="E262" s="2">
        <v>-25</v>
      </c>
      <c r="F262" s="2">
        <v>-12.5</v>
      </c>
      <c r="G262" s="2">
        <v>0</v>
      </c>
      <c r="H262" s="2">
        <v>12.5</v>
      </c>
      <c r="I262" s="2">
        <v>25</v>
      </c>
      <c r="J262" s="2">
        <v>37.5</v>
      </c>
      <c r="K262" s="2">
        <v>50</v>
      </c>
      <c r="L262" s="2">
        <v>62.5</v>
      </c>
      <c r="M262" s="2">
        <v>75</v>
      </c>
      <c r="N262" s="2">
        <v>87.5</v>
      </c>
      <c r="O262" s="2">
        <v>100</v>
      </c>
      <c r="P262" s="2">
        <v>112.5</v>
      </c>
      <c r="Q262" s="2">
        <v>125</v>
      </c>
      <c r="R262" s="236">
        <v>137.5</v>
      </c>
      <c r="S262" s="2"/>
      <c r="AC262" s="8">
        <f t="shared" si="0"/>
        <v>44</v>
      </c>
    </row>
    <row r="263" spans="1:29" ht="15" customHeight="1">
      <c r="A263" s="197">
        <v>45</v>
      </c>
      <c r="B263" s="202" t="s">
        <v>228</v>
      </c>
      <c r="C263" s="34">
        <v>-50</v>
      </c>
      <c r="D263" s="34">
        <v>-37.5</v>
      </c>
      <c r="E263" s="34">
        <v>-25</v>
      </c>
      <c r="F263" s="34">
        <v>-12.5</v>
      </c>
      <c r="G263" s="34">
        <v>0</v>
      </c>
      <c r="H263" s="34">
        <v>12.5</v>
      </c>
      <c r="I263" s="34">
        <v>25</v>
      </c>
      <c r="J263" s="34">
        <v>37.5</v>
      </c>
      <c r="K263" s="34">
        <v>50</v>
      </c>
      <c r="L263" s="34">
        <v>62.5</v>
      </c>
      <c r="M263" s="34">
        <v>75</v>
      </c>
      <c r="N263" s="34">
        <v>87.5</v>
      </c>
      <c r="O263" s="34">
        <v>100</v>
      </c>
      <c r="P263" s="34">
        <v>112.5</v>
      </c>
      <c r="Q263" s="34">
        <v>125</v>
      </c>
      <c r="R263" s="237">
        <v>137.5</v>
      </c>
      <c r="S263" s="2"/>
      <c r="AC263" s="8">
        <f t="shared" si="0"/>
        <v>44</v>
      </c>
    </row>
    <row r="264" spans="1:29" ht="15" customHeight="1">
      <c r="A264" s="199">
        <v>46</v>
      </c>
      <c r="B264" s="200">
        <v>1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AC264" s="8">
        <f t="shared" si="0"/>
        <v>45</v>
      </c>
    </row>
    <row r="265" spans="1:29" ht="15" customHeight="1">
      <c r="A265" s="196">
        <v>46</v>
      </c>
      <c r="B265" s="201">
        <v>2</v>
      </c>
      <c r="AC265" s="8">
        <f t="shared" si="0"/>
        <v>45</v>
      </c>
    </row>
    <row r="266" spans="1:29" ht="15" customHeight="1">
      <c r="A266" s="196">
        <v>46</v>
      </c>
      <c r="B266" s="201">
        <v>3</v>
      </c>
      <c r="AC266" s="8">
        <f t="shared" si="0"/>
        <v>45</v>
      </c>
    </row>
    <row r="267" spans="1:29" ht="15" customHeight="1">
      <c r="A267" s="196">
        <v>46</v>
      </c>
      <c r="B267" s="201">
        <v>4</v>
      </c>
      <c r="AC267" s="8">
        <f t="shared" si="0"/>
        <v>45</v>
      </c>
    </row>
    <row r="268" spans="1:29" ht="15" customHeight="1">
      <c r="A268" s="196">
        <v>46</v>
      </c>
      <c r="B268" s="201">
        <v>5</v>
      </c>
      <c r="AC268" s="8">
        <f t="shared" si="0"/>
        <v>45</v>
      </c>
    </row>
    <row r="269" spans="1:29" ht="15" customHeight="1">
      <c r="A269" s="196">
        <v>46</v>
      </c>
      <c r="B269" s="201">
        <v>6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AC269" s="8">
        <f t="shared" si="0"/>
        <v>45</v>
      </c>
    </row>
    <row r="270" spans="1:29" ht="15" customHeight="1">
      <c r="A270" s="199">
        <v>47</v>
      </c>
      <c r="B270" s="200" t="s">
        <v>221</v>
      </c>
      <c r="C270" s="234"/>
      <c r="D270" s="234"/>
      <c r="E270" s="234"/>
      <c r="F270" s="234"/>
      <c r="G270" s="234"/>
      <c r="H270" s="234"/>
      <c r="I270" s="234"/>
      <c r="J270" s="234"/>
      <c r="K270" s="234"/>
      <c r="L270" s="234"/>
      <c r="M270" s="234"/>
      <c r="N270" s="234"/>
      <c r="O270" s="235"/>
      <c r="P270" s="2"/>
      <c r="AC270" s="8">
        <f t="shared" si="0"/>
        <v>46</v>
      </c>
    </row>
    <row r="271" spans="1:29" ht="15" customHeight="1">
      <c r="A271" s="196">
        <v>47</v>
      </c>
      <c r="B271" s="201">
        <v>2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36"/>
      <c r="P271" s="2"/>
      <c r="AC271" s="8">
        <f t="shared" si="0"/>
        <v>46</v>
      </c>
    </row>
    <row r="272" spans="1:29" ht="15" customHeight="1">
      <c r="A272" s="196">
        <v>47</v>
      </c>
      <c r="B272" s="201">
        <v>3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36"/>
      <c r="P272" s="2"/>
      <c r="AC272" s="8">
        <f t="shared" si="0"/>
        <v>46</v>
      </c>
    </row>
    <row r="273" spans="1:29" ht="15" customHeight="1">
      <c r="A273" s="196">
        <v>47</v>
      </c>
      <c r="B273" s="201" t="s">
        <v>224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36"/>
      <c r="P273" s="2"/>
      <c r="AC273" s="8">
        <f t="shared" si="0"/>
        <v>46</v>
      </c>
    </row>
    <row r="274" spans="1:29" ht="15" customHeight="1">
      <c r="A274" s="196">
        <v>47</v>
      </c>
      <c r="B274" s="201">
        <v>5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36"/>
      <c r="P274" s="2"/>
      <c r="AC274" s="8">
        <f t="shared" si="0"/>
        <v>46</v>
      </c>
    </row>
    <row r="275" spans="1:29" ht="15" customHeight="1">
      <c r="A275" s="196">
        <v>47</v>
      </c>
      <c r="B275" s="201" t="s">
        <v>225</v>
      </c>
      <c r="C275" s="12">
        <v>-70</v>
      </c>
      <c r="D275" s="12">
        <v>-55</v>
      </c>
      <c r="E275" s="12">
        <v>-40</v>
      </c>
      <c r="F275" s="12">
        <v>-25</v>
      </c>
      <c r="G275" s="12">
        <v>-10</v>
      </c>
      <c r="H275" s="12">
        <v>5</v>
      </c>
      <c r="I275" s="12">
        <v>20</v>
      </c>
      <c r="J275" s="12">
        <v>35</v>
      </c>
      <c r="K275" s="12">
        <v>50</v>
      </c>
      <c r="L275" s="12">
        <v>65</v>
      </c>
      <c r="M275" s="12">
        <v>80</v>
      </c>
      <c r="N275" s="12">
        <v>95</v>
      </c>
      <c r="O275" s="218">
        <v>110</v>
      </c>
      <c r="P275" s="2"/>
      <c r="AC275" s="8">
        <f t="shared" si="0"/>
        <v>46</v>
      </c>
    </row>
    <row r="276" spans="1:29" ht="15" customHeight="1">
      <c r="A276" s="197">
        <v>47</v>
      </c>
      <c r="B276" s="202" t="s">
        <v>228</v>
      </c>
      <c r="C276" s="27">
        <v>-70</v>
      </c>
      <c r="D276" s="27">
        <v>-55</v>
      </c>
      <c r="E276" s="27">
        <v>-40</v>
      </c>
      <c r="F276" s="27">
        <v>-25</v>
      </c>
      <c r="G276" s="27">
        <v>-10</v>
      </c>
      <c r="H276" s="27">
        <v>5</v>
      </c>
      <c r="I276" s="27">
        <v>20</v>
      </c>
      <c r="J276" s="27">
        <v>35</v>
      </c>
      <c r="K276" s="27">
        <v>50</v>
      </c>
      <c r="L276" s="27">
        <v>65</v>
      </c>
      <c r="M276" s="27">
        <v>80</v>
      </c>
      <c r="N276" s="27">
        <v>95</v>
      </c>
      <c r="O276" s="221">
        <v>110</v>
      </c>
      <c r="P276" s="2"/>
      <c r="AC276" s="8">
        <f t="shared" si="0"/>
        <v>46</v>
      </c>
    </row>
    <row r="277" spans="1:29" ht="15" customHeight="1">
      <c r="A277" s="199">
        <v>48</v>
      </c>
      <c r="B277" s="200">
        <v>1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AC277" s="8">
        <f t="shared" si="0"/>
        <v>47</v>
      </c>
    </row>
    <row r="278" spans="1:29" ht="15" customHeight="1">
      <c r="A278" s="196">
        <v>48</v>
      </c>
      <c r="B278" s="201">
        <v>2</v>
      </c>
      <c r="AC278" s="8">
        <f t="shared" si="0"/>
        <v>47</v>
      </c>
    </row>
    <row r="279" spans="1:29" ht="15" customHeight="1">
      <c r="A279" s="196">
        <v>48</v>
      </c>
      <c r="B279" s="201">
        <v>3</v>
      </c>
      <c r="AC279" s="8">
        <f t="shared" si="0"/>
        <v>47</v>
      </c>
    </row>
    <row r="280" spans="1:29" ht="15" customHeight="1">
      <c r="A280" s="196">
        <v>48</v>
      </c>
      <c r="B280" s="201">
        <v>4</v>
      </c>
      <c r="AC280" s="8">
        <f t="shared" si="0"/>
        <v>47</v>
      </c>
    </row>
    <row r="281" spans="1:29" ht="15" customHeight="1">
      <c r="A281" s="196">
        <v>48</v>
      </c>
      <c r="B281" s="201">
        <v>5</v>
      </c>
      <c r="AC281" s="8">
        <f t="shared" si="0"/>
        <v>47</v>
      </c>
    </row>
    <row r="282" spans="1:29" ht="15" customHeight="1">
      <c r="A282" s="196">
        <v>48</v>
      </c>
      <c r="B282" s="201">
        <v>6</v>
      </c>
      <c r="AC282" s="8">
        <f t="shared" si="0"/>
        <v>47</v>
      </c>
    </row>
    <row r="283" spans="1:29" ht="15" customHeight="1">
      <c r="A283" s="196">
        <v>48</v>
      </c>
      <c r="B283" s="201">
        <v>7</v>
      </c>
      <c r="AC283" s="8">
        <f t="shared" si="0"/>
        <v>47</v>
      </c>
    </row>
    <row r="284" spans="1:29" ht="15" customHeight="1">
      <c r="A284" s="196">
        <v>48</v>
      </c>
      <c r="B284" s="201">
        <v>8</v>
      </c>
      <c r="AC284" s="8">
        <f t="shared" si="0"/>
        <v>47</v>
      </c>
    </row>
    <row r="285" spans="1:29" ht="15" customHeight="1">
      <c r="A285" s="196">
        <v>48</v>
      </c>
      <c r="B285" s="201">
        <v>9</v>
      </c>
      <c r="AC285" s="8">
        <f t="shared" si="0"/>
        <v>47</v>
      </c>
    </row>
    <row r="286" spans="1:29" ht="15" customHeight="1">
      <c r="A286" s="196">
        <v>48</v>
      </c>
      <c r="B286" s="201">
        <v>10</v>
      </c>
      <c r="AC286" s="8">
        <f t="shared" si="0"/>
        <v>47</v>
      </c>
    </row>
    <row r="287" spans="1:29" ht="15" customHeight="1">
      <c r="A287" s="196">
        <v>48</v>
      </c>
      <c r="B287" s="201">
        <v>11</v>
      </c>
      <c r="AC287" s="8">
        <f t="shared" si="0"/>
        <v>47</v>
      </c>
    </row>
    <row r="288" spans="1:29" ht="15" customHeight="1">
      <c r="A288" s="196">
        <v>48</v>
      </c>
      <c r="B288" s="201">
        <v>12</v>
      </c>
      <c r="AC288" s="8">
        <f t="shared" si="0"/>
        <v>47</v>
      </c>
    </row>
    <row r="289" spans="1:29" ht="15" customHeight="1">
      <c r="A289" s="229">
        <v>49</v>
      </c>
      <c r="B289" s="74">
        <v>1</v>
      </c>
      <c r="AC289" s="8">
        <f t="shared" si="0"/>
        <v>48</v>
      </c>
    </row>
    <row r="290" spans="1:29" ht="15" customHeight="1">
      <c r="A290" s="228">
        <v>49</v>
      </c>
      <c r="B290" s="75">
        <v>2</v>
      </c>
      <c r="AC290" s="8">
        <f t="shared" si="0"/>
        <v>48</v>
      </c>
    </row>
    <row r="291" spans="1:29" ht="15" customHeight="1">
      <c r="A291" s="228">
        <v>49</v>
      </c>
      <c r="B291" s="75">
        <v>3</v>
      </c>
      <c r="AC291" s="8">
        <f t="shared" si="0"/>
        <v>48</v>
      </c>
    </row>
    <row r="292" spans="1:29" ht="15" customHeight="1">
      <c r="A292" s="228">
        <v>49</v>
      </c>
      <c r="B292" s="75">
        <v>4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AC292" s="8">
        <f t="shared" si="0"/>
        <v>48</v>
      </c>
    </row>
    <row r="293" spans="1:29" ht="15" customHeight="1">
      <c r="A293" s="229">
        <v>50</v>
      </c>
      <c r="B293" s="74">
        <v>1</v>
      </c>
      <c r="C293" s="222">
        <v>-19.765999999999998</v>
      </c>
      <c r="D293" s="222">
        <v>-13.808</v>
      </c>
      <c r="E293" s="222">
        <v>-7.0330000000000004</v>
      </c>
      <c r="F293" s="222">
        <v>-0.374</v>
      </c>
      <c r="G293" s="222">
        <v>5.8179999999999996</v>
      </c>
      <c r="H293" s="222">
        <v>13.061</v>
      </c>
      <c r="I293" s="222">
        <v>19.135999999999999</v>
      </c>
      <c r="J293" s="222">
        <v>24.86</v>
      </c>
      <c r="K293" s="222">
        <v>31.751999999999999</v>
      </c>
      <c r="L293" s="222">
        <v>38.878999999999998</v>
      </c>
      <c r="M293" s="222">
        <v>46.354999999999997</v>
      </c>
      <c r="N293" s="222">
        <v>51.963000000000001</v>
      </c>
      <c r="O293" s="222">
        <v>58.154000000000003</v>
      </c>
      <c r="P293" s="222">
        <v>63.994999999999997</v>
      </c>
      <c r="Q293" s="222">
        <v>70.186999999999998</v>
      </c>
      <c r="R293" s="225">
        <v>78.131</v>
      </c>
      <c r="S293" s="2"/>
      <c r="AC293" s="8">
        <f t="shared" ref="AC293:AC349" si="1">A293 - 1</f>
        <v>49</v>
      </c>
    </row>
    <row r="294" spans="1:29" ht="15" customHeight="1">
      <c r="A294" s="228">
        <v>50</v>
      </c>
      <c r="B294" s="75">
        <v>2</v>
      </c>
      <c r="C294" s="22">
        <v>-19.765999999999998</v>
      </c>
      <c r="D294" s="22">
        <v>-13.808</v>
      </c>
      <c r="E294" s="22">
        <v>-7.0330000000000004</v>
      </c>
      <c r="F294" s="22">
        <v>-0.374</v>
      </c>
      <c r="G294" s="22">
        <v>5.8179999999999996</v>
      </c>
      <c r="H294" s="22">
        <v>13.061</v>
      </c>
      <c r="I294" s="22">
        <v>19.135999999999999</v>
      </c>
      <c r="J294" s="22">
        <v>24.86</v>
      </c>
      <c r="K294" s="22">
        <v>31.751999999999999</v>
      </c>
      <c r="L294" s="22">
        <v>38.878999999999998</v>
      </c>
      <c r="M294" s="22">
        <v>46.354999999999997</v>
      </c>
      <c r="N294" s="22">
        <v>51.963000000000001</v>
      </c>
      <c r="O294" s="22">
        <v>58.154000000000003</v>
      </c>
      <c r="P294" s="22">
        <v>63.994999999999997</v>
      </c>
      <c r="Q294" s="22">
        <v>70.186999999999998</v>
      </c>
      <c r="R294" s="226">
        <v>78.131</v>
      </c>
      <c r="S294" s="2"/>
      <c r="AC294" s="8">
        <f t="shared" si="1"/>
        <v>49</v>
      </c>
    </row>
    <row r="295" spans="1:29" ht="15" customHeight="1">
      <c r="A295" s="228">
        <v>50</v>
      </c>
      <c r="B295" s="75">
        <v>3</v>
      </c>
      <c r="C295" s="22">
        <v>-19.765999999999998</v>
      </c>
      <c r="D295" s="22">
        <v>-13.808</v>
      </c>
      <c r="E295" s="22">
        <v>-7.0330000000000004</v>
      </c>
      <c r="F295" s="22">
        <v>-0.374</v>
      </c>
      <c r="G295" s="22">
        <v>5.8179999999999996</v>
      </c>
      <c r="H295" s="22">
        <v>13.061</v>
      </c>
      <c r="I295" s="22">
        <v>19.135999999999999</v>
      </c>
      <c r="J295" s="22">
        <v>24.86</v>
      </c>
      <c r="K295" s="22">
        <v>31.751999999999999</v>
      </c>
      <c r="L295" s="22">
        <v>38.878999999999998</v>
      </c>
      <c r="M295" s="22">
        <v>46.354999999999997</v>
      </c>
      <c r="N295" s="22">
        <v>51.963000000000001</v>
      </c>
      <c r="O295" s="22">
        <v>58.154000000000003</v>
      </c>
      <c r="P295" s="22">
        <v>63.994999999999997</v>
      </c>
      <c r="Q295" s="22">
        <v>70.186999999999998</v>
      </c>
      <c r="R295" s="226">
        <v>78.131</v>
      </c>
      <c r="S295" s="2"/>
      <c r="AC295" s="8">
        <f t="shared" si="1"/>
        <v>49</v>
      </c>
    </row>
    <row r="296" spans="1:29" ht="15" customHeight="1">
      <c r="A296" s="230">
        <v>50</v>
      </c>
      <c r="B296" s="231">
        <v>4</v>
      </c>
      <c r="C296" s="30">
        <v>-19.765999999999998</v>
      </c>
      <c r="D296" s="30">
        <v>-13.808</v>
      </c>
      <c r="E296" s="30">
        <v>-7.0330000000000004</v>
      </c>
      <c r="F296" s="30">
        <v>-0.374</v>
      </c>
      <c r="G296" s="30">
        <v>5.8179999999999996</v>
      </c>
      <c r="H296" s="30">
        <v>13.061</v>
      </c>
      <c r="I296" s="30">
        <v>19.135999999999999</v>
      </c>
      <c r="J296" s="30">
        <v>24.86</v>
      </c>
      <c r="K296" s="30">
        <v>31.751999999999999</v>
      </c>
      <c r="L296" s="30">
        <v>38.878999999999998</v>
      </c>
      <c r="M296" s="30">
        <v>46.354999999999997</v>
      </c>
      <c r="N296" s="30">
        <v>51.963000000000001</v>
      </c>
      <c r="O296" s="30">
        <v>58.154000000000003</v>
      </c>
      <c r="P296" s="30">
        <v>63.994999999999997</v>
      </c>
      <c r="Q296" s="30">
        <v>70.186999999999998</v>
      </c>
      <c r="R296" s="232">
        <v>78.131</v>
      </c>
      <c r="S296" s="2"/>
      <c r="AC296" s="8">
        <f t="shared" si="1"/>
        <v>49</v>
      </c>
    </row>
    <row r="297" spans="1:29" ht="15" customHeight="1">
      <c r="A297" s="228">
        <v>51</v>
      </c>
      <c r="B297" s="75">
        <v>1</v>
      </c>
      <c r="C297" s="22">
        <v>-50</v>
      </c>
      <c r="D297" s="22">
        <v>-25</v>
      </c>
      <c r="E297" s="22">
        <f t="shared" ref="E297:E303" si="2">-F297</f>
        <v>-25</v>
      </c>
      <c r="F297" s="22">
        <v>25</v>
      </c>
      <c r="G297" s="22">
        <v>50</v>
      </c>
      <c r="H297" s="22">
        <v>75</v>
      </c>
      <c r="I297" s="226">
        <v>100</v>
      </c>
      <c r="J297" s="2"/>
      <c r="K297" s="2"/>
      <c r="L297" s="2"/>
      <c r="M297" s="2"/>
      <c r="N297" s="2"/>
      <c r="O297" s="2"/>
      <c r="P297" s="2"/>
      <c r="Q297" s="2"/>
      <c r="R297" s="2"/>
      <c r="AC297" s="8">
        <f t="shared" si="1"/>
        <v>50</v>
      </c>
    </row>
    <row r="298" spans="1:29" ht="15" customHeight="1">
      <c r="A298" s="228">
        <v>51</v>
      </c>
      <c r="B298" s="75">
        <v>2</v>
      </c>
      <c r="C298" s="22">
        <v>-50</v>
      </c>
      <c r="D298" s="22">
        <v>-25</v>
      </c>
      <c r="E298" s="22">
        <f t="shared" si="2"/>
        <v>-25</v>
      </c>
      <c r="F298" s="22">
        <v>25</v>
      </c>
      <c r="G298" s="22">
        <v>50</v>
      </c>
      <c r="H298" s="22">
        <v>75</v>
      </c>
      <c r="I298" s="226">
        <v>100</v>
      </c>
      <c r="J298" s="2"/>
      <c r="AC298" s="8">
        <f t="shared" si="1"/>
        <v>50</v>
      </c>
    </row>
    <row r="299" spans="1:29" ht="15" customHeight="1">
      <c r="A299" s="228">
        <v>51</v>
      </c>
      <c r="B299" s="75">
        <v>3</v>
      </c>
      <c r="C299" s="22">
        <v>-50</v>
      </c>
      <c r="D299" s="22">
        <v>-25</v>
      </c>
      <c r="E299" s="22">
        <f t="shared" si="2"/>
        <v>-25</v>
      </c>
      <c r="F299" s="22">
        <v>25</v>
      </c>
      <c r="G299" s="22">
        <v>50</v>
      </c>
      <c r="H299" s="22">
        <v>75</v>
      </c>
      <c r="I299" s="226">
        <v>100</v>
      </c>
      <c r="J299" s="2"/>
      <c r="AC299" s="8">
        <f t="shared" si="1"/>
        <v>50</v>
      </c>
    </row>
    <row r="300" spans="1:29" ht="15" customHeight="1">
      <c r="A300" s="228">
        <v>51</v>
      </c>
      <c r="B300" s="75">
        <v>4</v>
      </c>
      <c r="C300" s="22">
        <v>-50</v>
      </c>
      <c r="D300" s="22">
        <v>-25</v>
      </c>
      <c r="E300" s="22">
        <f t="shared" si="2"/>
        <v>-25</v>
      </c>
      <c r="F300" s="22">
        <v>25</v>
      </c>
      <c r="G300" s="22">
        <v>50</v>
      </c>
      <c r="H300" s="22">
        <v>75</v>
      </c>
      <c r="I300" s="226">
        <v>100</v>
      </c>
      <c r="J300" s="2"/>
      <c r="AC300" s="8">
        <f t="shared" si="1"/>
        <v>50</v>
      </c>
    </row>
    <row r="301" spans="1:29" ht="15" customHeight="1">
      <c r="A301" s="228">
        <v>51</v>
      </c>
      <c r="B301" s="75">
        <v>5</v>
      </c>
      <c r="C301" s="22">
        <v>-50</v>
      </c>
      <c r="D301" s="22">
        <v>-25</v>
      </c>
      <c r="E301" s="22">
        <f t="shared" si="2"/>
        <v>-25</v>
      </c>
      <c r="F301" s="22">
        <v>25</v>
      </c>
      <c r="G301" s="22">
        <v>50</v>
      </c>
      <c r="H301" s="22">
        <v>75</v>
      </c>
      <c r="I301" s="226">
        <v>100</v>
      </c>
      <c r="J301" s="2"/>
      <c r="AC301" s="8">
        <f t="shared" si="1"/>
        <v>50</v>
      </c>
    </row>
    <row r="302" spans="1:29" ht="15" customHeight="1">
      <c r="A302" s="228">
        <v>51</v>
      </c>
      <c r="B302" s="75">
        <v>6</v>
      </c>
      <c r="C302" s="22">
        <v>-50</v>
      </c>
      <c r="D302" s="22">
        <v>-25</v>
      </c>
      <c r="E302" s="22">
        <f t="shared" si="2"/>
        <v>-25</v>
      </c>
      <c r="F302" s="22">
        <v>25</v>
      </c>
      <c r="G302" s="22">
        <v>50</v>
      </c>
      <c r="H302" s="22">
        <v>75</v>
      </c>
      <c r="I302" s="226">
        <v>100</v>
      </c>
      <c r="J302" s="2"/>
      <c r="AC302" s="8">
        <f t="shared" si="1"/>
        <v>50</v>
      </c>
    </row>
    <row r="303" spans="1:29" ht="15" customHeight="1">
      <c r="A303" s="228">
        <v>51</v>
      </c>
      <c r="B303" s="75">
        <v>7</v>
      </c>
      <c r="C303" s="22">
        <v>-50</v>
      </c>
      <c r="D303" s="22">
        <v>-25</v>
      </c>
      <c r="E303" s="22">
        <f t="shared" si="2"/>
        <v>-25</v>
      </c>
      <c r="F303" s="22">
        <v>25</v>
      </c>
      <c r="G303" s="22">
        <v>50</v>
      </c>
      <c r="H303" s="22">
        <v>75</v>
      </c>
      <c r="I303" s="226">
        <v>100</v>
      </c>
      <c r="J303" s="2"/>
      <c r="K303" s="2"/>
      <c r="L303" s="2"/>
      <c r="M303" s="2"/>
      <c r="N303" s="2"/>
      <c r="O303" s="2"/>
      <c r="AC303" s="8">
        <f t="shared" si="1"/>
        <v>50</v>
      </c>
    </row>
    <row r="304" spans="1:29" ht="15" customHeight="1">
      <c r="A304" s="229">
        <v>52</v>
      </c>
      <c r="B304" s="200">
        <v>1</v>
      </c>
      <c r="C304" s="227">
        <v>-35</v>
      </c>
      <c r="D304" s="227">
        <v>-25</v>
      </c>
      <c r="E304" s="227">
        <v>-15</v>
      </c>
      <c r="F304" s="227">
        <v>-5</v>
      </c>
      <c r="G304" s="227">
        <v>5</v>
      </c>
      <c r="H304" s="227">
        <v>15</v>
      </c>
      <c r="I304" s="227">
        <v>25</v>
      </c>
      <c r="J304" s="227">
        <v>35</v>
      </c>
      <c r="K304" s="227">
        <v>45</v>
      </c>
      <c r="L304" s="227">
        <v>55</v>
      </c>
      <c r="M304" s="227">
        <v>65</v>
      </c>
      <c r="N304" s="227">
        <v>75</v>
      </c>
      <c r="O304" s="215">
        <v>90</v>
      </c>
      <c r="P304" s="2"/>
      <c r="AC304" s="8">
        <f t="shared" si="1"/>
        <v>51</v>
      </c>
    </row>
    <row r="305" spans="1:29" ht="15" customHeight="1">
      <c r="A305" s="228">
        <v>52</v>
      </c>
      <c r="B305" s="201">
        <v>2</v>
      </c>
      <c r="C305" s="12">
        <v>-35</v>
      </c>
      <c r="D305" s="12">
        <v>-25</v>
      </c>
      <c r="E305" s="12">
        <v>-15</v>
      </c>
      <c r="F305" s="12">
        <v>-5</v>
      </c>
      <c r="G305" s="12">
        <v>5</v>
      </c>
      <c r="H305" s="12">
        <v>15</v>
      </c>
      <c r="I305" s="12">
        <v>25</v>
      </c>
      <c r="J305" s="12">
        <v>35</v>
      </c>
      <c r="K305" s="12">
        <v>45</v>
      </c>
      <c r="L305" s="12">
        <v>55</v>
      </c>
      <c r="M305" s="12">
        <v>65</v>
      </c>
      <c r="N305" s="12">
        <v>75</v>
      </c>
      <c r="O305" s="218">
        <v>90</v>
      </c>
      <c r="P305" s="2"/>
      <c r="AC305" s="8">
        <f t="shared" si="1"/>
        <v>51</v>
      </c>
    </row>
    <row r="306" spans="1:29" ht="15" customHeight="1">
      <c r="A306" s="228">
        <v>52</v>
      </c>
      <c r="B306" s="201">
        <v>3</v>
      </c>
      <c r="C306" s="12"/>
      <c r="D306" s="12">
        <v>-25</v>
      </c>
      <c r="E306" s="12">
        <v>-15</v>
      </c>
      <c r="F306" s="12">
        <v>-5</v>
      </c>
      <c r="G306" s="12">
        <v>5</v>
      </c>
      <c r="H306" s="12">
        <v>15</v>
      </c>
      <c r="I306" s="12">
        <v>25</v>
      </c>
      <c r="J306" s="12">
        <v>35</v>
      </c>
      <c r="K306" s="12">
        <v>45</v>
      </c>
      <c r="L306" s="12">
        <v>55</v>
      </c>
      <c r="M306" s="12">
        <v>65</v>
      </c>
      <c r="N306" s="12">
        <v>75</v>
      </c>
      <c r="O306" s="218">
        <v>90</v>
      </c>
      <c r="P306" s="2"/>
      <c r="AC306" s="8">
        <f t="shared" si="1"/>
        <v>51</v>
      </c>
    </row>
    <row r="307" spans="1:29" ht="15" customHeight="1">
      <c r="A307" s="228">
        <v>52</v>
      </c>
      <c r="B307" s="201">
        <v>4</v>
      </c>
      <c r="C307" s="12">
        <v>-35</v>
      </c>
      <c r="D307" s="12">
        <v>-25</v>
      </c>
      <c r="E307" s="12">
        <v>-15</v>
      </c>
      <c r="F307" s="12">
        <v>-5</v>
      </c>
      <c r="G307" s="12">
        <v>5</v>
      </c>
      <c r="H307" s="12">
        <v>15</v>
      </c>
      <c r="I307" s="27">
        <v>25</v>
      </c>
      <c r="J307" s="27">
        <v>35</v>
      </c>
      <c r="K307" s="27">
        <v>45</v>
      </c>
      <c r="L307" s="27">
        <v>55</v>
      </c>
      <c r="M307" s="27">
        <v>65</v>
      </c>
      <c r="N307" s="27">
        <v>75</v>
      </c>
      <c r="O307" s="221">
        <v>90</v>
      </c>
      <c r="P307" s="2"/>
      <c r="AC307" s="8">
        <f t="shared" si="1"/>
        <v>51</v>
      </c>
    </row>
    <row r="308" spans="1:29" ht="15" customHeight="1">
      <c r="A308" s="229">
        <v>53</v>
      </c>
      <c r="B308" s="200">
        <v>1</v>
      </c>
      <c r="C308" s="227">
        <v>160</v>
      </c>
      <c r="D308" s="227">
        <v>150</v>
      </c>
      <c r="E308" s="227">
        <v>140</v>
      </c>
      <c r="F308" s="227">
        <v>130</v>
      </c>
      <c r="G308" s="227">
        <v>120</v>
      </c>
      <c r="H308" s="215">
        <v>110</v>
      </c>
      <c r="I308" s="2"/>
      <c r="J308" s="2"/>
      <c r="K308" s="2"/>
      <c r="L308" s="2"/>
      <c r="M308" s="2"/>
      <c r="N308" s="2"/>
      <c r="O308" s="2"/>
      <c r="AC308" s="8">
        <f t="shared" si="1"/>
        <v>52</v>
      </c>
    </row>
    <row r="309" spans="1:29" ht="15" customHeight="1">
      <c r="A309" s="228">
        <v>53</v>
      </c>
      <c r="B309" s="201">
        <v>2</v>
      </c>
      <c r="C309" s="12">
        <v>160</v>
      </c>
      <c r="D309" s="12">
        <v>150</v>
      </c>
      <c r="E309" s="12">
        <v>140</v>
      </c>
      <c r="F309" s="12">
        <v>130</v>
      </c>
      <c r="G309" s="12">
        <v>120</v>
      </c>
      <c r="H309" s="218">
        <v>110</v>
      </c>
      <c r="I309" s="2"/>
      <c r="AC309" s="8">
        <f t="shared" si="1"/>
        <v>52</v>
      </c>
    </row>
    <row r="310" spans="1:29" ht="15" customHeight="1">
      <c r="A310" s="228">
        <v>53</v>
      </c>
      <c r="B310" s="201">
        <v>3</v>
      </c>
      <c r="C310" s="12">
        <v>160</v>
      </c>
      <c r="D310" s="12">
        <v>150</v>
      </c>
      <c r="E310" s="12">
        <v>140</v>
      </c>
      <c r="F310" s="12">
        <v>130</v>
      </c>
      <c r="G310" s="12">
        <v>120</v>
      </c>
      <c r="H310" s="218">
        <v>110</v>
      </c>
      <c r="I310" s="2"/>
      <c r="AC310" s="8">
        <f t="shared" si="1"/>
        <v>52</v>
      </c>
    </row>
    <row r="311" spans="1:29" ht="15" customHeight="1">
      <c r="A311" s="228">
        <v>53</v>
      </c>
      <c r="B311" s="201">
        <v>4</v>
      </c>
      <c r="C311" s="12">
        <v>160</v>
      </c>
      <c r="D311" s="12">
        <v>150</v>
      </c>
      <c r="E311" s="12">
        <v>140</v>
      </c>
      <c r="F311" s="12">
        <v>130</v>
      </c>
      <c r="G311" s="12">
        <v>120</v>
      </c>
      <c r="H311" s="218">
        <v>110</v>
      </c>
      <c r="I311" s="2"/>
      <c r="AC311" s="8">
        <f t="shared" si="1"/>
        <v>52</v>
      </c>
    </row>
    <row r="312" spans="1:29" ht="15" customHeight="1">
      <c r="A312" s="230">
        <v>53</v>
      </c>
      <c r="B312" s="201">
        <v>5</v>
      </c>
      <c r="C312" s="12">
        <v>160</v>
      </c>
      <c r="D312" s="12">
        <v>150</v>
      </c>
      <c r="E312" s="12">
        <v>140</v>
      </c>
      <c r="F312" s="12">
        <v>130</v>
      </c>
      <c r="G312" s="12">
        <v>120</v>
      </c>
      <c r="H312" s="218">
        <v>110</v>
      </c>
      <c r="I312" s="2"/>
      <c r="J312" s="2"/>
      <c r="AC312" s="8">
        <f t="shared" si="1"/>
        <v>52</v>
      </c>
    </row>
    <row r="313" spans="1:29" ht="15" customHeight="1">
      <c r="A313" s="229">
        <v>54</v>
      </c>
      <c r="B313" s="200">
        <v>1</v>
      </c>
      <c r="C313" s="222">
        <v>-20</v>
      </c>
      <c r="D313" s="222">
        <v>0</v>
      </c>
      <c r="E313" s="222">
        <v>20</v>
      </c>
      <c r="F313" s="222">
        <v>40</v>
      </c>
      <c r="G313" s="222">
        <v>60</v>
      </c>
      <c r="H313" s="222">
        <v>80</v>
      </c>
      <c r="I313" s="222">
        <v>100</v>
      </c>
      <c r="J313" s="225">
        <v>120</v>
      </c>
      <c r="K313" s="2"/>
      <c r="AC313" s="8">
        <f t="shared" si="1"/>
        <v>53</v>
      </c>
    </row>
    <row r="314" spans="1:29" ht="15" customHeight="1">
      <c r="A314" s="228">
        <v>54</v>
      </c>
      <c r="B314" s="201">
        <v>3</v>
      </c>
      <c r="C314" s="22">
        <v>-20</v>
      </c>
      <c r="D314" s="22">
        <v>0</v>
      </c>
      <c r="E314" s="22">
        <v>20</v>
      </c>
      <c r="F314" s="22">
        <v>40</v>
      </c>
      <c r="G314" s="22">
        <v>60</v>
      </c>
      <c r="H314" s="22">
        <v>80</v>
      </c>
      <c r="I314" s="22">
        <v>100</v>
      </c>
      <c r="J314" s="226">
        <v>120</v>
      </c>
      <c r="K314" s="2"/>
      <c r="AC314" s="8">
        <f t="shared" si="1"/>
        <v>53</v>
      </c>
    </row>
    <row r="315" spans="1:29" ht="15" customHeight="1">
      <c r="A315" s="228">
        <v>54</v>
      </c>
      <c r="B315" s="201">
        <v>4</v>
      </c>
      <c r="C315" s="22">
        <v>-20</v>
      </c>
      <c r="D315" s="22">
        <v>0</v>
      </c>
      <c r="E315" s="22">
        <v>20</v>
      </c>
      <c r="F315" s="22">
        <v>40</v>
      </c>
      <c r="G315" s="22">
        <v>60</v>
      </c>
      <c r="H315" s="22">
        <v>80</v>
      </c>
      <c r="I315" s="22">
        <v>100</v>
      </c>
      <c r="J315" s="226">
        <v>120</v>
      </c>
      <c r="K315" s="2"/>
      <c r="AC315" s="8">
        <f t="shared" si="1"/>
        <v>53</v>
      </c>
    </row>
    <row r="316" spans="1:29" ht="15" customHeight="1">
      <c r="A316" s="230">
        <v>54</v>
      </c>
      <c r="B316" s="202">
        <v>5</v>
      </c>
      <c r="C316" s="30">
        <v>-20</v>
      </c>
      <c r="D316" s="30">
        <v>0</v>
      </c>
      <c r="E316" s="30">
        <v>20</v>
      </c>
      <c r="F316" s="30">
        <v>40</v>
      </c>
      <c r="G316" s="30">
        <v>60</v>
      </c>
      <c r="H316" s="30">
        <v>80</v>
      </c>
      <c r="I316" s="30">
        <v>100</v>
      </c>
      <c r="J316" s="232">
        <v>120</v>
      </c>
      <c r="K316" s="2"/>
      <c r="AC316" s="8">
        <f t="shared" si="1"/>
        <v>53</v>
      </c>
    </row>
    <row r="317" spans="1:29" ht="15" customHeight="1">
      <c r="A317" s="228">
        <v>55</v>
      </c>
      <c r="B317" s="201" t="s">
        <v>221</v>
      </c>
      <c r="C317" s="2"/>
      <c r="D317" s="2"/>
      <c r="E317" s="2"/>
      <c r="F317" s="2"/>
      <c r="G317" s="2"/>
      <c r="H317" s="2"/>
      <c r="I317" s="2"/>
      <c r="J317" s="2"/>
      <c r="AC317" s="8">
        <f t="shared" si="1"/>
        <v>54</v>
      </c>
    </row>
    <row r="318" spans="1:29" ht="15" customHeight="1">
      <c r="A318" s="228">
        <v>55</v>
      </c>
      <c r="B318" s="201" t="s">
        <v>222</v>
      </c>
      <c r="AC318" s="8">
        <f t="shared" si="1"/>
        <v>54</v>
      </c>
    </row>
    <row r="319" spans="1:29" ht="15" customHeight="1">
      <c r="A319" s="228">
        <v>55</v>
      </c>
      <c r="B319" s="201" t="s">
        <v>223</v>
      </c>
      <c r="AC319" s="8">
        <f t="shared" si="1"/>
        <v>54</v>
      </c>
    </row>
    <row r="320" spans="1:29" ht="15" customHeight="1">
      <c r="A320" s="228">
        <v>55</v>
      </c>
      <c r="B320" s="201" t="s">
        <v>225</v>
      </c>
      <c r="AC320" s="8">
        <f t="shared" si="1"/>
        <v>54</v>
      </c>
    </row>
    <row r="321" spans="1:29" ht="15" customHeight="1">
      <c r="A321" s="228">
        <v>55</v>
      </c>
      <c r="B321" s="201" t="s">
        <v>226</v>
      </c>
      <c r="AC321" s="8">
        <f t="shared" si="1"/>
        <v>54</v>
      </c>
    </row>
    <row r="322" spans="1:29" ht="15" customHeight="1">
      <c r="A322" s="228">
        <v>55</v>
      </c>
      <c r="B322" s="201" t="s">
        <v>227</v>
      </c>
      <c r="AC322" s="8">
        <f t="shared" si="1"/>
        <v>54</v>
      </c>
    </row>
    <row r="323" spans="1:29" ht="15" customHeight="1">
      <c r="A323" s="228">
        <v>55</v>
      </c>
      <c r="B323" s="201" t="s">
        <v>231</v>
      </c>
      <c r="AC323" s="8">
        <f t="shared" si="1"/>
        <v>54</v>
      </c>
    </row>
    <row r="324" spans="1:29" ht="15" customHeight="1">
      <c r="A324" s="228">
        <v>55</v>
      </c>
      <c r="B324" s="201" t="s">
        <v>232</v>
      </c>
      <c r="AC324" s="8">
        <f t="shared" si="1"/>
        <v>54</v>
      </c>
    </row>
    <row r="325" spans="1:29" ht="15" customHeight="1">
      <c r="A325" s="228">
        <v>55</v>
      </c>
      <c r="B325" s="201" t="s">
        <v>233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AC325" s="8">
        <f t="shared" si="1"/>
        <v>54</v>
      </c>
    </row>
    <row r="326" spans="1:29" ht="15" customHeight="1">
      <c r="A326" s="199">
        <v>56</v>
      </c>
      <c r="B326" s="200" t="s">
        <v>221</v>
      </c>
      <c r="C326" s="227">
        <v>-20</v>
      </c>
      <c r="D326" s="227">
        <v>-10</v>
      </c>
      <c r="E326" s="227">
        <v>0</v>
      </c>
      <c r="F326" s="227">
        <v>10</v>
      </c>
      <c r="G326" s="227">
        <v>20</v>
      </c>
      <c r="H326" s="227">
        <v>30</v>
      </c>
      <c r="I326" s="227">
        <v>40</v>
      </c>
      <c r="J326" s="227">
        <v>50</v>
      </c>
      <c r="K326" s="227">
        <v>60</v>
      </c>
      <c r="L326" s="227">
        <v>70</v>
      </c>
      <c r="M326" s="227">
        <v>80</v>
      </c>
      <c r="N326" s="227">
        <v>90</v>
      </c>
      <c r="O326" s="227">
        <v>100</v>
      </c>
      <c r="P326" s="227">
        <v>110</v>
      </c>
      <c r="Q326" s="215">
        <v>120</v>
      </c>
      <c r="R326" s="2"/>
      <c r="AC326" s="8">
        <f t="shared" si="1"/>
        <v>55</v>
      </c>
    </row>
    <row r="327" spans="1:29" ht="15" customHeight="1">
      <c r="A327" s="197">
        <v>56</v>
      </c>
      <c r="B327" s="202" t="s">
        <v>225</v>
      </c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21"/>
      <c r="R327" s="2"/>
      <c r="AC327" s="8">
        <f t="shared" si="1"/>
        <v>55</v>
      </c>
    </row>
    <row r="328" spans="1:29" ht="15" customHeight="1">
      <c r="A328" s="199">
        <v>57</v>
      </c>
      <c r="B328" s="200">
        <v>1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AC328" s="8">
        <f t="shared" si="1"/>
        <v>56</v>
      </c>
    </row>
    <row r="329" spans="1:29" ht="15" customHeight="1">
      <c r="A329" s="197">
        <v>57</v>
      </c>
      <c r="B329" s="202">
        <v>2</v>
      </c>
      <c r="AC329" s="8">
        <f t="shared" si="1"/>
        <v>56</v>
      </c>
    </row>
    <row r="330" spans="1:29" ht="15" customHeight="1">
      <c r="A330" s="199">
        <v>58</v>
      </c>
      <c r="B330" s="200">
        <v>1</v>
      </c>
      <c r="AC330" s="8">
        <f t="shared" si="1"/>
        <v>57</v>
      </c>
    </row>
    <row r="331" spans="1:29" ht="15" customHeight="1">
      <c r="A331" s="196">
        <v>58</v>
      </c>
      <c r="B331" s="201">
        <v>2</v>
      </c>
      <c r="AC331" s="8">
        <f t="shared" si="1"/>
        <v>57</v>
      </c>
    </row>
    <row r="332" spans="1:29" ht="15" customHeight="1">
      <c r="A332" s="196">
        <v>58</v>
      </c>
      <c r="B332" s="201">
        <v>3</v>
      </c>
      <c r="AC332" s="8">
        <f t="shared" si="1"/>
        <v>57</v>
      </c>
    </row>
    <row r="333" spans="1:29" ht="15" customHeight="1">
      <c r="A333" s="196">
        <v>58</v>
      </c>
      <c r="B333" s="201">
        <v>4</v>
      </c>
      <c r="AC333" s="8">
        <f t="shared" si="1"/>
        <v>57</v>
      </c>
    </row>
    <row r="334" spans="1:29" ht="15" customHeight="1">
      <c r="A334" s="197">
        <v>58</v>
      </c>
      <c r="B334" s="201">
        <v>5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AC334" s="8">
        <f t="shared" si="1"/>
        <v>57</v>
      </c>
    </row>
    <row r="335" spans="1:29" ht="15" customHeight="1">
      <c r="A335" s="199">
        <v>59</v>
      </c>
      <c r="B335" s="200">
        <v>1</v>
      </c>
      <c r="C335" s="227">
        <v>-50</v>
      </c>
      <c r="D335" s="227">
        <v>-40</v>
      </c>
      <c r="E335" s="227">
        <v>-30</v>
      </c>
      <c r="F335" s="227">
        <v>-20</v>
      </c>
      <c r="G335" s="227">
        <v>-10</v>
      </c>
      <c r="H335" s="227">
        <v>0</v>
      </c>
      <c r="I335" s="227">
        <v>10</v>
      </c>
      <c r="J335" s="227">
        <v>20</v>
      </c>
      <c r="K335" s="227">
        <v>30</v>
      </c>
      <c r="L335" s="227">
        <v>40</v>
      </c>
      <c r="M335" s="227">
        <v>50</v>
      </c>
      <c r="N335" s="227">
        <v>60</v>
      </c>
      <c r="O335" s="227">
        <v>70</v>
      </c>
      <c r="P335" s="227">
        <v>80</v>
      </c>
      <c r="Q335" s="227">
        <v>90</v>
      </c>
      <c r="R335" s="227">
        <v>100</v>
      </c>
      <c r="S335" s="215">
        <v>110</v>
      </c>
      <c r="T335" s="2"/>
      <c r="AC335" s="8">
        <f t="shared" si="1"/>
        <v>58</v>
      </c>
    </row>
    <row r="336" spans="1:29" ht="15" customHeight="1">
      <c r="A336" s="196">
        <v>59</v>
      </c>
      <c r="B336" s="201">
        <v>2</v>
      </c>
      <c r="C336" s="12">
        <v>-50</v>
      </c>
      <c r="D336" s="12">
        <v>-40</v>
      </c>
      <c r="E336" s="12">
        <v>-30</v>
      </c>
      <c r="F336" s="12">
        <v>-20</v>
      </c>
      <c r="G336" s="12">
        <v>-10</v>
      </c>
      <c r="H336" s="12">
        <v>0</v>
      </c>
      <c r="I336" s="12">
        <v>10</v>
      </c>
      <c r="J336" s="12">
        <v>20</v>
      </c>
      <c r="K336" s="12">
        <v>30</v>
      </c>
      <c r="L336" s="12">
        <v>40</v>
      </c>
      <c r="M336" s="12">
        <v>50</v>
      </c>
      <c r="N336" s="12">
        <v>60</v>
      </c>
      <c r="O336" s="12">
        <v>70</v>
      </c>
      <c r="P336" s="12">
        <v>80</v>
      </c>
      <c r="Q336" s="12">
        <v>90</v>
      </c>
      <c r="R336" s="12">
        <v>100</v>
      </c>
      <c r="S336" s="218">
        <v>110</v>
      </c>
      <c r="T336" s="2"/>
      <c r="AC336" s="8">
        <f t="shared" si="1"/>
        <v>58</v>
      </c>
    </row>
    <row r="337" spans="1:31" ht="15" customHeight="1">
      <c r="A337" s="196">
        <v>59</v>
      </c>
      <c r="B337" s="201">
        <v>3</v>
      </c>
      <c r="C337" s="12">
        <v>-50</v>
      </c>
      <c r="D337" s="12">
        <v>-40</v>
      </c>
      <c r="E337" s="12">
        <v>-30</v>
      </c>
      <c r="F337" s="12">
        <v>-20</v>
      </c>
      <c r="G337" s="12">
        <v>-10</v>
      </c>
      <c r="H337" s="12">
        <v>0</v>
      </c>
      <c r="I337" s="12">
        <v>10</v>
      </c>
      <c r="J337" s="12">
        <v>20</v>
      </c>
      <c r="K337" s="12">
        <v>30</v>
      </c>
      <c r="L337" s="12">
        <v>40</v>
      </c>
      <c r="M337" s="12">
        <v>50</v>
      </c>
      <c r="N337" s="12">
        <v>60</v>
      </c>
      <c r="O337" s="12">
        <v>70</v>
      </c>
      <c r="P337" s="12">
        <v>80</v>
      </c>
      <c r="Q337" s="12">
        <v>90</v>
      </c>
      <c r="R337" s="12">
        <v>100</v>
      </c>
      <c r="S337" s="218">
        <v>110</v>
      </c>
      <c r="T337" s="2"/>
      <c r="AC337" s="8">
        <f t="shared" si="1"/>
        <v>58</v>
      </c>
      <c r="AE337" s="8"/>
    </row>
    <row r="338" spans="1:31" ht="15" customHeight="1">
      <c r="A338" s="196">
        <v>59</v>
      </c>
      <c r="B338" s="201">
        <v>4</v>
      </c>
      <c r="C338" s="12">
        <v>-50</v>
      </c>
      <c r="D338" s="12">
        <v>-40</v>
      </c>
      <c r="E338" s="12">
        <v>-30</v>
      </c>
      <c r="F338" s="12">
        <v>-20</v>
      </c>
      <c r="G338" s="12">
        <v>-10</v>
      </c>
      <c r="H338" s="12">
        <v>0</v>
      </c>
      <c r="I338" s="12">
        <v>10</v>
      </c>
      <c r="J338" s="12">
        <v>20</v>
      </c>
      <c r="K338" s="12">
        <v>30</v>
      </c>
      <c r="L338" s="12">
        <v>40</v>
      </c>
      <c r="M338" s="12">
        <v>50</v>
      </c>
      <c r="N338" s="12">
        <v>60</v>
      </c>
      <c r="O338" s="12">
        <v>70</v>
      </c>
      <c r="P338" s="12">
        <v>80</v>
      </c>
      <c r="Q338" s="12">
        <v>90</v>
      </c>
      <c r="R338" s="12">
        <v>100</v>
      </c>
      <c r="S338" s="218">
        <v>110</v>
      </c>
      <c r="T338" s="2"/>
      <c r="AC338" s="8">
        <f t="shared" si="1"/>
        <v>58</v>
      </c>
      <c r="AE338" s="8"/>
    </row>
    <row r="339" spans="1:31" ht="15" customHeight="1">
      <c r="A339" s="196">
        <v>59</v>
      </c>
      <c r="B339" s="201">
        <v>5</v>
      </c>
      <c r="C339" s="12">
        <v>-50</v>
      </c>
      <c r="D339" s="12">
        <v>-40</v>
      </c>
      <c r="E339" s="12">
        <v>-30</v>
      </c>
      <c r="F339" s="12">
        <v>-20</v>
      </c>
      <c r="G339" s="12">
        <v>-10</v>
      </c>
      <c r="H339" s="12">
        <v>0</v>
      </c>
      <c r="I339" s="12">
        <v>10</v>
      </c>
      <c r="J339" s="12">
        <v>20</v>
      </c>
      <c r="K339" s="12">
        <v>30</v>
      </c>
      <c r="L339" s="12">
        <v>40</v>
      </c>
      <c r="M339" s="12">
        <v>50</v>
      </c>
      <c r="N339" s="12">
        <v>60</v>
      </c>
      <c r="O339" s="12">
        <v>70</v>
      </c>
      <c r="P339" s="12">
        <v>80</v>
      </c>
      <c r="Q339" s="12">
        <v>90</v>
      </c>
      <c r="R339" s="12">
        <v>100</v>
      </c>
      <c r="S339" s="218">
        <v>110</v>
      </c>
      <c r="T339" s="2"/>
      <c r="AC339" s="8">
        <f t="shared" si="1"/>
        <v>58</v>
      </c>
      <c r="AE339" s="8"/>
    </row>
    <row r="340" spans="1:31" ht="15" customHeight="1">
      <c r="A340" s="196">
        <v>59</v>
      </c>
      <c r="B340" s="202">
        <v>6</v>
      </c>
      <c r="C340" s="12">
        <v>-50</v>
      </c>
      <c r="D340" s="12">
        <v>-40</v>
      </c>
      <c r="E340" s="12">
        <v>-30</v>
      </c>
      <c r="F340" s="12">
        <v>-20</v>
      </c>
      <c r="G340" s="12">
        <v>-10</v>
      </c>
      <c r="H340" s="12">
        <v>0</v>
      </c>
      <c r="I340" s="12">
        <v>10</v>
      </c>
      <c r="J340" s="12">
        <v>20</v>
      </c>
      <c r="K340" s="12">
        <v>30</v>
      </c>
      <c r="L340" s="12">
        <v>40</v>
      </c>
      <c r="M340" s="12">
        <v>50</v>
      </c>
      <c r="N340" s="27">
        <v>60</v>
      </c>
      <c r="O340" s="27">
        <v>70</v>
      </c>
      <c r="P340" s="27">
        <v>80</v>
      </c>
      <c r="Q340" s="27">
        <v>90</v>
      </c>
      <c r="R340" s="27">
        <v>100</v>
      </c>
      <c r="S340" s="221">
        <v>110</v>
      </c>
      <c r="T340" s="2"/>
      <c r="AC340" s="8">
        <f t="shared" si="1"/>
        <v>58</v>
      </c>
      <c r="AE340" s="8"/>
    </row>
    <row r="341" spans="1:31" ht="15" customHeight="1">
      <c r="A341" s="199">
        <v>60</v>
      </c>
      <c r="B341" s="201">
        <v>1</v>
      </c>
      <c r="C341" s="227">
        <v>-98</v>
      </c>
      <c r="D341" s="227">
        <v>-70</v>
      </c>
      <c r="E341" s="227">
        <v>-50</v>
      </c>
      <c r="F341" s="227">
        <v>-30</v>
      </c>
      <c r="G341" s="227">
        <v>0</v>
      </c>
      <c r="H341" s="227">
        <v>30</v>
      </c>
      <c r="I341" s="227">
        <v>50</v>
      </c>
      <c r="J341" s="227">
        <v>70</v>
      </c>
      <c r="K341" s="227">
        <v>100</v>
      </c>
      <c r="L341" s="227">
        <v>130</v>
      </c>
      <c r="M341" s="215">
        <v>170</v>
      </c>
      <c r="N341" s="2"/>
      <c r="O341" s="2"/>
      <c r="P341" s="2"/>
      <c r="Q341" s="2"/>
      <c r="R341" s="2"/>
      <c r="S341" s="2"/>
      <c r="AC341" s="8">
        <f t="shared" si="1"/>
        <v>59</v>
      </c>
      <c r="AE341" s="8"/>
    </row>
    <row r="342" spans="1:31" ht="15" customHeight="1">
      <c r="A342" s="196">
        <v>60</v>
      </c>
      <c r="B342" s="201">
        <v>2</v>
      </c>
      <c r="C342" s="12">
        <v>-98</v>
      </c>
      <c r="D342" s="12">
        <v>-70</v>
      </c>
      <c r="E342" s="12">
        <v>-50</v>
      </c>
      <c r="F342" s="12">
        <v>-30</v>
      </c>
      <c r="G342" s="12">
        <v>0</v>
      </c>
      <c r="H342" s="12">
        <v>30</v>
      </c>
      <c r="I342" s="12">
        <v>50</v>
      </c>
      <c r="J342" s="12">
        <v>70</v>
      </c>
      <c r="K342" s="12">
        <v>100</v>
      </c>
      <c r="L342" s="12">
        <v>130</v>
      </c>
      <c r="M342" s="218">
        <v>170</v>
      </c>
      <c r="N342" s="2"/>
      <c r="AC342" s="8">
        <f t="shared" si="1"/>
        <v>59</v>
      </c>
      <c r="AE342" s="8"/>
    </row>
    <row r="343" spans="1:31" ht="15" customHeight="1">
      <c r="A343" s="196">
        <v>60</v>
      </c>
      <c r="B343" s="201">
        <v>3</v>
      </c>
      <c r="C343" s="12">
        <v>-98</v>
      </c>
      <c r="D343" s="12">
        <v>-70</v>
      </c>
      <c r="E343" s="12">
        <v>-50</v>
      </c>
      <c r="F343" s="12">
        <v>-30</v>
      </c>
      <c r="G343" s="12">
        <v>0</v>
      </c>
      <c r="H343" s="12">
        <v>30</v>
      </c>
      <c r="I343" s="12">
        <v>50</v>
      </c>
      <c r="J343" s="12">
        <v>70</v>
      </c>
      <c r="K343" s="12">
        <v>100</v>
      </c>
      <c r="L343" s="12">
        <v>130</v>
      </c>
      <c r="M343" s="218">
        <v>170</v>
      </c>
      <c r="N343" s="2"/>
      <c r="AC343" s="8">
        <f t="shared" si="1"/>
        <v>59</v>
      </c>
      <c r="AE343" s="8"/>
    </row>
    <row r="344" spans="1:31" ht="15" customHeight="1">
      <c r="A344" s="196">
        <v>60</v>
      </c>
      <c r="B344" s="201">
        <v>4</v>
      </c>
      <c r="C344" s="12">
        <v>-98</v>
      </c>
      <c r="D344" s="12">
        <v>-70</v>
      </c>
      <c r="E344" s="12">
        <v>-50</v>
      </c>
      <c r="F344" s="12">
        <v>-30</v>
      </c>
      <c r="G344" s="12">
        <v>0</v>
      </c>
      <c r="H344" s="12">
        <v>30</v>
      </c>
      <c r="I344" s="12">
        <v>50</v>
      </c>
      <c r="J344" s="12">
        <v>70</v>
      </c>
      <c r="K344" s="12">
        <v>100</v>
      </c>
      <c r="L344" s="12">
        <v>130</v>
      </c>
      <c r="M344" s="218">
        <v>170</v>
      </c>
      <c r="N344" s="2"/>
      <c r="AC344" s="8">
        <f t="shared" si="1"/>
        <v>59</v>
      </c>
      <c r="AE344" s="8"/>
    </row>
    <row r="345" spans="1:31" ht="15" customHeight="1">
      <c r="A345" s="196">
        <v>60</v>
      </c>
      <c r="B345" s="201">
        <v>5</v>
      </c>
      <c r="C345" s="12">
        <v>-98</v>
      </c>
      <c r="D345" s="12">
        <v>-70</v>
      </c>
      <c r="E345" s="12">
        <v>-50</v>
      </c>
      <c r="F345" s="12">
        <v>-30</v>
      </c>
      <c r="G345" s="12">
        <v>0</v>
      </c>
      <c r="H345" s="12">
        <v>30</v>
      </c>
      <c r="I345" s="12">
        <v>50</v>
      </c>
      <c r="J345" s="12">
        <v>70</v>
      </c>
      <c r="K345" s="12">
        <v>100</v>
      </c>
      <c r="L345" s="12">
        <v>130</v>
      </c>
      <c r="M345" s="218">
        <v>170</v>
      </c>
      <c r="N345" s="2"/>
      <c r="AC345" s="8">
        <f t="shared" si="1"/>
        <v>59</v>
      </c>
      <c r="AE345" s="8"/>
    </row>
    <row r="346" spans="1:31" ht="15" customHeight="1">
      <c r="A346" s="196">
        <v>60</v>
      </c>
      <c r="B346" s="201">
        <v>6</v>
      </c>
      <c r="C346" s="12">
        <v>-98</v>
      </c>
      <c r="D346" s="12">
        <v>-70</v>
      </c>
      <c r="E346" s="12">
        <v>-50</v>
      </c>
      <c r="F346" s="12">
        <v>-30</v>
      </c>
      <c r="G346" s="12">
        <v>0</v>
      </c>
      <c r="H346" s="12">
        <v>30</v>
      </c>
      <c r="I346" s="12">
        <v>50</v>
      </c>
      <c r="J346" s="12"/>
      <c r="K346" s="12"/>
      <c r="L346" s="12"/>
      <c r="M346" s="218"/>
      <c r="N346" s="2"/>
      <c r="AC346" s="8">
        <f t="shared" si="1"/>
        <v>59</v>
      </c>
      <c r="AE346" s="8"/>
    </row>
    <row r="347" spans="1:31" ht="15" customHeight="1">
      <c r="A347" s="196">
        <v>60</v>
      </c>
      <c r="B347" s="201">
        <v>7</v>
      </c>
      <c r="C347" s="12">
        <v>-98</v>
      </c>
      <c r="D347" s="12">
        <v>-70</v>
      </c>
      <c r="E347" s="12">
        <v>-50</v>
      </c>
      <c r="F347" s="12">
        <v>-30</v>
      </c>
      <c r="G347" s="12">
        <v>0</v>
      </c>
      <c r="H347" s="12">
        <v>30</v>
      </c>
      <c r="I347" s="12">
        <v>50</v>
      </c>
      <c r="J347" s="12"/>
      <c r="K347" s="12"/>
      <c r="L347" s="12"/>
      <c r="M347" s="218"/>
      <c r="N347" s="2"/>
      <c r="AC347" s="8">
        <f t="shared" si="1"/>
        <v>59</v>
      </c>
      <c r="AE347" s="8"/>
    </row>
    <row r="348" spans="1:31" ht="15" customHeight="1">
      <c r="A348" s="197">
        <v>60</v>
      </c>
      <c r="B348" s="202">
        <v>8</v>
      </c>
      <c r="C348" s="27">
        <v>-98</v>
      </c>
      <c r="D348" s="27">
        <v>-70</v>
      </c>
      <c r="E348" s="27">
        <v>-50</v>
      </c>
      <c r="F348" s="27">
        <v>-30</v>
      </c>
      <c r="G348" s="27">
        <v>0</v>
      </c>
      <c r="H348" s="27">
        <v>30</v>
      </c>
      <c r="I348" s="27">
        <v>50</v>
      </c>
      <c r="J348" s="27"/>
      <c r="K348" s="27"/>
      <c r="L348" s="27"/>
      <c r="M348" s="221"/>
      <c r="N348" s="2"/>
      <c r="AC348" s="8">
        <f t="shared" si="1"/>
        <v>59</v>
      </c>
      <c r="AE348" s="8"/>
    </row>
    <row r="349" spans="1:31" ht="15" customHeight="1">
      <c r="A349" s="230">
        <v>61</v>
      </c>
      <c r="B349" s="231">
        <v>1</v>
      </c>
      <c r="C349" s="27">
        <v>100</v>
      </c>
      <c r="D349" s="27">
        <v>110</v>
      </c>
      <c r="E349" s="27">
        <v>120</v>
      </c>
      <c r="F349" s="27">
        <v>130</v>
      </c>
      <c r="G349" s="27">
        <v>140</v>
      </c>
      <c r="H349" s="27">
        <v>150</v>
      </c>
      <c r="I349" s="27">
        <v>160</v>
      </c>
      <c r="J349" s="27">
        <v>170</v>
      </c>
      <c r="K349" s="27">
        <v>180</v>
      </c>
      <c r="L349" s="27">
        <v>190</v>
      </c>
      <c r="M349" s="221">
        <v>200</v>
      </c>
      <c r="N349" s="2"/>
      <c r="AC349" s="8">
        <f t="shared" si="1"/>
        <v>60</v>
      </c>
      <c r="AE349" s="8"/>
    </row>
    <row r="350" spans="1:31" ht="1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AE350" s="8"/>
    </row>
    <row r="351" spans="1:31" ht="15" customHeight="1">
      <c r="AE351" s="8"/>
    </row>
    <row r="352" spans="1:31" ht="15" customHeight="1">
      <c r="AE352" s="8"/>
    </row>
    <row r="353" spans="31:31" ht="15" customHeight="1">
      <c r="AE353" s="8"/>
    </row>
    <row r="354" spans="31:31" ht="15" customHeight="1">
      <c r="AE354" s="8"/>
    </row>
    <row r="355" spans="31:31" ht="15" customHeight="1">
      <c r="AE355" s="8"/>
    </row>
    <row r="356" spans="31:31" ht="15" customHeight="1">
      <c r="AE356" s="8"/>
    </row>
    <row r="357" spans="31:31" ht="15" customHeight="1">
      <c r="AE357" s="8"/>
    </row>
    <row r="358" spans="31:31" ht="15" customHeight="1">
      <c r="AE358" s="8"/>
    </row>
    <row r="359" spans="31:31" ht="15" customHeight="1">
      <c r="AE359" s="8"/>
    </row>
    <row r="360" spans="31:31" ht="15" customHeight="1">
      <c r="AE360" s="8"/>
    </row>
    <row r="361" spans="31:31" ht="15" customHeight="1">
      <c r="AE361" s="8"/>
    </row>
    <row r="362" spans="31:31" ht="15" customHeight="1">
      <c r="AE362" s="8"/>
    </row>
    <row r="363" spans="31:31" ht="15" customHeight="1">
      <c r="AE363" s="8"/>
    </row>
    <row r="364" spans="31:31" ht="15" customHeight="1">
      <c r="AE364" s="8"/>
    </row>
    <row r="365" spans="31:31" ht="15" customHeight="1">
      <c r="AE365" s="8"/>
    </row>
    <row r="366" spans="31:31" ht="15" customHeight="1">
      <c r="AE366" s="8"/>
    </row>
    <row r="367" spans="31:31" ht="15" customHeight="1">
      <c r="AE367" s="8"/>
    </row>
    <row r="368" spans="31:31" ht="15" customHeight="1">
      <c r="AE368" s="8"/>
    </row>
    <row r="369" spans="31:31" ht="15" customHeight="1">
      <c r="AE369" s="8"/>
    </row>
    <row r="370" spans="31:31" ht="15" customHeight="1">
      <c r="AE370" s="8"/>
    </row>
    <row r="371" spans="31:31" ht="15" customHeight="1">
      <c r="AE371" s="8"/>
    </row>
    <row r="372" spans="31:31" ht="15" customHeight="1">
      <c r="AE372" s="8"/>
    </row>
    <row r="373" spans="31:31" ht="15" customHeight="1">
      <c r="AE373" s="8"/>
    </row>
    <row r="374" spans="31:31" ht="15" customHeight="1">
      <c r="AE374" s="8"/>
    </row>
    <row r="375" spans="31:31" ht="15" customHeight="1">
      <c r="AE375" s="8"/>
    </row>
    <row r="376" spans="31:31" ht="15" customHeight="1">
      <c r="AE376" s="8"/>
    </row>
    <row r="377" spans="31:31" ht="15" customHeight="1">
      <c r="AE377" s="8"/>
    </row>
    <row r="378" spans="31:31" ht="15" customHeight="1">
      <c r="AE378" s="8"/>
    </row>
    <row r="379" spans="31:31" ht="15" customHeight="1">
      <c r="AE379" s="8"/>
    </row>
    <row r="380" spans="31:31" ht="15" customHeight="1">
      <c r="AE380" s="8"/>
    </row>
    <row r="381" spans="31:31" ht="15" customHeight="1">
      <c r="AE381" s="8"/>
    </row>
    <row r="382" spans="31:31" ht="15" customHeight="1">
      <c r="AE382" s="8"/>
    </row>
    <row r="383" spans="31:31" ht="15" customHeight="1">
      <c r="AE383" s="8"/>
    </row>
    <row r="384" spans="31:31" ht="15" customHeight="1">
      <c r="AE384" s="8"/>
    </row>
    <row r="385" spans="31:31" ht="15" customHeight="1">
      <c r="AE385" s="8"/>
    </row>
    <row r="386" spans="31:31" ht="15" customHeight="1">
      <c r="AE386" s="8"/>
    </row>
    <row r="387" spans="31:31" ht="15" customHeight="1">
      <c r="AE387" s="8"/>
    </row>
    <row r="388" spans="31:31" ht="15" customHeight="1">
      <c r="AE388" s="8"/>
    </row>
    <row r="389" spans="31:31" ht="15" customHeight="1">
      <c r="AE389" s="8"/>
    </row>
    <row r="390" spans="31:31" ht="15" customHeight="1">
      <c r="AE390" s="8"/>
    </row>
    <row r="391" spans="31:31" ht="15" customHeight="1">
      <c r="AE391" s="8"/>
    </row>
    <row r="392" spans="31:31" ht="15" customHeight="1">
      <c r="AE392" s="8"/>
    </row>
    <row r="393" spans="31:31" ht="15" customHeight="1">
      <c r="AE393" s="8"/>
    </row>
    <row r="394" spans="31:31" ht="15" customHeight="1">
      <c r="AE394" s="8"/>
    </row>
    <row r="395" spans="31:31" ht="15" customHeight="1">
      <c r="AE395" s="8"/>
    </row>
    <row r="396" spans="31:31" ht="15" customHeight="1">
      <c r="AE396" s="8"/>
    </row>
    <row r="397" spans="31:31" ht="15" customHeight="1">
      <c r="AE397" s="8"/>
    </row>
    <row r="398" spans="31:31" ht="15" customHeight="1">
      <c r="AE398" s="8"/>
    </row>
    <row r="399" spans="31:31" ht="15" customHeight="1">
      <c r="AE399" s="8"/>
    </row>
    <row r="400" spans="31:31" ht="15" customHeight="1">
      <c r="AE400" s="8"/>
    </row>
    <row r="401" spans="31:31" ht="15" customHeight="1">
      <c r="AE401" s="8"/>
    </row>
    <row r="402" spans="31:31" ht="15" customHeight="1">
      <c r="AE402" s="8"/>
    </row>
    <row r="403" spans="31:31" ht="15" customHeight="1">
      <c r="AE403" s="8"/>
    </row>
    <row r="404" spans="31:31" ht="15" customHeight="1">
      <c r="AE404" s="8"/>
    </row>
    <row r="405" spans="31:31" ht="15" customHeight="1">
      <c r="AE405" s="8"/>
    </row>
    <row r="406" spans="31:31" ht="15" customHeight="1">
      <c r="AE406" s="8"/>
    </row>
    <row r="407" spans="31:31" ht="15" customHeight="1">
      <c r="AE407" s="8"/>
    </row>
    <row r="408" spans="31:31" ht="15" customHeight="1">
      <c r="AE408" s="8"/>
    </row>
    <row r="409" spans="31:31" ht="15" customHeight="1">
      <c r="AE409" s="8"/>
    </row>
    <row r="410" spans="31:31" ht="15" customHeight="1">
      <c r="AE410" s="8"/>
    </row>
    <row r="411" spans="31:31" ht="15" customHeight="1">
      <c r="AE411" s="8"/>
    </row>
    <row r="412" spans="31:31" ht="15" customHeight="1">
      <c r="AE412" s="8"/>
    </row>
    <row r="413" spans="31:31" ht="15" customHeight="1">
      <c r="AE413" s="8"/>
    </row>
    <row r="414" spans="31:31" ht="15" customHeight="1">
      <c r="AE414" s="8"/>
    </row>
    <row r="415" spans="31:31" ht="15" customHeight="1">
      <c r="AE415" s="8"/>
    </row>
    <row r="416" spans="31:31" ht="15" customHeight="1">
      <c r="AE416" s="8"/>
    </row>
    <row r="417" spans="31:31" ht="15" customHeight="1">
      <c r="AE417" s="8"/>
    </row>
    <row r="418" spans="31:31" ht="15" customHeight="1">
      <c r="AE418" s="8"/>
    </row>
    <row r="419" spans="31:31" ht="15" customHeight="1">
      <c r="AE419" s="8"/>
    </row>
    <row r="420" spans="31:31" ht="15" customHeight="1">
      <c r="AE420" s="8"/>
    </row>
    <row r="421" spans="31:31" ht="15" customHeight="1">
      <c r="AE421" s="8"/>
    </row>
    <row r="422" spans="31:31" ht="15" customHeight="1">
      <c r="AE422" s="8"/>
    </row>
    <row r="423" spans="31:31" ht="15" customHeight="1">
      <c r="AE423" s="8"/>
    </row>
    <row r="424" spans="31:31" ht="15" customHeight="1">
      <c r="AE424" s="8"/>
    </row>
    <row r="425" spans="31:31" ht="15" customHeight="1">
      <c r="AE425" s="8"/>
    </row>
    <row r="426" spans="31:31" ht="15" customHeight="1">
      <c r="AE426" s="8"/>
    </row>
    <row r="427" spans="31:31" ht="15" customHeight="1">
      <c r="AE427" s="8"/>
    </row>
    <row r="428" spans="31:31" ht="15" customHeight="1">
      <c r="AE428" s="8"/>
    </row>
    <row r="429" spans="31:31" ht="15" customHeight="1">
      <c r="AE429" s="8"/>
    </row>
    <row r="430" spans="31:31" ht="15" customHeight="1">
      <c r="AE430" s="8"/>
    </row>
    <row r="431" spans="31:31" ht="15" customHeight="1">
      <c r="AE431" s="8"/>
    </row>
    <row r="432" spans="31:31" ht="15" customHeight="1">
      <c r="AE432" s="8"/>
    </row>
    <row r="433" spans="31:31" ht="15" customHeight="1">
      <c r="AE433" s="8"/>
    </row>
    <row r="434" spans="31:31" ht="15" customHeight="1">
      <c r="AE434" s="8"/>
    </row>
    <row r="435" spans="31:31" ht="15" customHeight="1">
      <c r="AE435" s="8"/>
    </row>
    <row r="436" spans="31:31" ht="15" customHeight="1">
      <c r="AE436" s="8"/>
    </row>
    <row r="437" spans="31:31" ht="15" customHeight="1">
      <c r="AE437" s="8"/>
    </row>
    <row r="438" spans="31:31" ht="15" customHeight="1">
      <c r="AE438" s="8"/>
    </row>
    <row r="439" spans="31:31" ht="15" customHeight="1">
      <c r="AE439" s="8"/>
    </row>
    <row r="440" spans="31:31" ht="15" customHeight="1">
      <c r="AE440" s="8"/>
    </row>
    <row r="441" spans="31:31" ht="15" customHeight="1">
      <c r="AE441" s="8"/>
    </row>
    <row r="442" spans="31:31" ht="15" customHeight="1">
      <c r="AE442" s="8"/>
    </row>
    <row r="443" spans="31:31" ht="15" customHeight="1">
      <c r="AE443" s="8"/>
    </row>
    <row r="444" spans="31:31" ht="15" customHeight="1">
      <c r="AE444" s="8"/>
    </row>
    <row r="445" spans="31:31" ht="15" customHeight="1">
      <c r="AE445" s="8"/>
    </row>
    <row r="446" spans="31:31" ht="15" customHeight="1">
      <c r="AE446" s="8"/>
    </row>
    <row r="447" spans="31:31" ht="15" customHeight="1">
      <c r="AE447" s="8"/>
    </row>
    <row r="448" spans="31:31" ht="15" customHeight="1">
      <c r="AE448" s="8"/>
    </row>
    <row r="449" spans="31:31" ht="15" customHeight="1">
      <c r="AE449" s="8"/>
    </row>
    <row r="450" spans="31:31" ht="15" customHeight="1">
      <c r="AE450" s="8"/>
    </row>
    <row r="451" spans="31:31" ht="15" customHeight="1">
      <c r="AE451" s="8"/>
    </row>
    <row r="452" spans="31:31" ht="15" customHeight="1">
      <c r="AE452" s="8"/>
    </row>
    <row r="453" spans="31:31" ht="15" customHeight="1">
      <c r="AE453" s="8"/>
    </row>
    <row r="454" spans="31:31" ht="15" customHeight="1">
      <c r="AE454" s="8"/>
    </row>
    <row r="455" spans="31:31" ht="15" customHeight="1">
      <c r="AE455" s="8"/>
    </row>
    <row r="456" spans="31:31" ht="15" customHeight="1">
      <c r="AE456" s="8"/>
    </row>
    <row r="457" spans="31:31" ht="15" customHeight="1">
      <c r="AE457" s="8"/>
    </row>
    <row r="458" spans="31:31" ht="15" customHeight="1">
      <c r="AE458" s="8"/>
    </row>
    <row r="459" spans="31:31" ht="15" customHeight="1">
      <c r="AE459" s="8"/>
    </row>
    <row r="460" spans="31:31" ht="15" customHeight="1">
      <c r="AE460" s="8"/>
    </row>
    <row r="461" spans="31:31" ht="15" customHeight="1">
      <c r="AE461" s="8"/>
    </row>
    <row r="462" spans="31:31" ht="15" customHeight="1">
      <c r="AE462" s="8"/>
    </row>
    <row r="463" spans="31:31" ht="15" customHeight="1">
      <c r="AE463" s="8"/>
    </row>
    <row r="464" spans="31:31" ht="15" customHeight="1">
      <c r="AE464" s="8"/>
    </row>
    <row r="465" spans="31:31" ht="15" customHeight="1">
      <c r="AE465" s="8"/>
    </row>
    <row r="466" spans="31:31" ht="15" customHeight="1">
      <c r="AE466" s="8"/>
    </row>
    <row r="467" spans="31:31" ht="15" customHeight="1">
      <c r="AE467" s="8"/>
    </row>
    <row r="468" spans="31:31" ht="15" customHeight="1">
      <c r="AE468" s="8"/>
    </row>
    <row r="469" spans="31:31" ht="15" customHeight="1">
      <c r="AE469" s="8"/>
    </row>
    <row r="470" spans="31:31" ht="15" customHeight="1">
      <c r="AE470" s="8"/>
    </row>
    <row r="471" spans="31:31" ht="15" customHeight="1">
      <c r="AE471" s="8"/>
    </row>
    <row r="472" spans="31:31" ht="15" customHeight="1">
      <c r="AE472" s="8"/>
    </row>
    <row r="473" spans="31:31" ht="15" customHeight="1">
      <c r="AE473" s="8"/>
    </row>
    <row r="474" spans="31:31" ht="15" customHeight="1">
      <c r="AE474" s="8"/>
    </row>
    <row r="475" spans="31:31" ht="15" customHeight="1">
      <c r="AE475" s="8"/>
    </row>
    <row r="476" spans="31:31" ht="15" customHeight="1">
      <c r="AE476" s="8"/>
    </row>
    <row r="477" spans="31:31" ht="15" customHeight="1">
      <c r="AE477" s="8"/>
    </row>
    <row r="478" spans="31:31" ht="15" customHeight="1">
      <c r="AE478" s="8"/>
    </row>
    <row r="479" spans="31:31" ht="15" customHeight="1">
      <c r="AE479" s="8"/>
    </row>
    <row r="480" spans="31:31" ht="15" customHeight="1">
      <c r="AE480" s="8"/>
    </row>
    <row r="481" spans="31:31" ht="15" customHeight="1">
      <c r="AE481" s="8"/>
    </row>
    <row r="482" spans="31:31" ht="15" customHeight="1">
      <c r="AE482" s="8"/>
    </row>
    <row r="483" spans="31:31" ht="15" customHeight="1">
      <c r="AE483" s="8"/>
    </row>
    <row r="484" spans="31:31" ht="15" customHeight="1">
      <c r="AE484" s="8"/>
    </row>
    <row r="485" spans="31:31" ht="15" customHeight="1">
      <c r="AE485" s="8"/>
    </row>
    <row r="486" spans="31:31" ht="15" customHeight="1">
      <c r="AE486" s="8"/>
    </row>
    <row r="487" spans="31:31" ht="15" customHeight="1">
      <c r="AE487" s="8"/>
    </row>
    <row r="488" spans="31:31" ht="15" customHeight="1">
      <c r="AE488" s="8"/>
    </row>
    <row r="489" spans="31:31" ht="15" customHeight="1">
      <c r="AE489" s="8"/>
    </row>
    <row r="490" spans="31:31" ht="15" customHeight="1">
      <c r="AE490" s="8"/>
    </row>
    <row r="491" spans="31:31" ht="15" customHeight="1">
      <c r="AE491" s="8"/>
    </row>
    <row r="492" spans="31:31" ht="15" customHeight="1">
      <c r="AE492" s="8"/>
    </row>
    <row r="493" spans="31:31" ht="15" customHeight="1">
      <c r="AE493" s="8"/>
    </row>
    <row r="494" spans="31:31" ht="15" customHeight="1">
      <c r="AE494" s="8"/>
    </row>
    <row r="495" spans="31:31" ht="15" customHeight="1">
      <c r="AE495" s="8"/>
    </row>
    <row r="496" spans="31:31" ht="15" customHeight="1">
      <c r="AE496" s="8"/>
    </row>
    <row r="497" spans="31:31" ht="15" customHeight="1">
      <c r="AE497" s="8"/>
    </row>
    <row r="498" spans="31:31" ht="15" customHeight="1">
      <c r="AE498" s="8"/>
    </row>
    <row r="499" spans="31:31" ht="15" customHeight="1">
      <c r="AE499" s="8"/>
    </row>
    <row r="500" spans="31:31" ht="15" customHeight="1">
      <c r="AE500" s="8"/>
    </row>
    <row r="501" spans="31:31" ht="15" customHeight="1">
      <c r="AE501" s="8"/>
    </row>
    <row r="502" spans="31:31" ht="15" customHeight="1">
      <c r="AE502" s="8"/>
    </row>
    <row r="503" spans="31:31" ht="15" customHeight="1">
      <c r="AE503" s="8"/>
    </row>
    <row r="504" spans="31:31" ht="15" customHeight="1">
      <c r="AE504" s="8"/>
    </row>
    <row r="505" spans="31:31" ht="15" customHeight="1">
      <c r="AE505" s="8"/>
    </row>
    <row r="506" spans="31:31" ht="15" customHeight="1">
      <c r="AE506" s="8"/>
    </row>
    <row r="507" spans="31:31" ht="15" customHeight="1">
      <c r="AE507" s="8"/>
    </row>
    <row r="508" spans="31:31" ht="15" customHeight="1">
      <c r="AE508" s="8"/>
    </row>
    <row r="509" spans="31:31" ht="15" customHeight="1">
      <c r="AE509" s="8"/>
    </row>
    <row r="510" spans="31:31" ht="15" customHeight="1">
      <c r="AE510" s="8"/>
    </row>
    <row r="511" spans="31:31" ht="15" customHeight="1">
      <c r="AE511" s="8"/>
    </row>
    <row r="512" spans="31:31" ht="15" customHeight="1">
      <c r="AE512" s="8"/>
    </row>
    <row r="513" spans="31:31" ht="15" customHeight="1">
      <c r="AE513" s="8"/>
    </row>
    <row r="514" spans="31:31" ht="15" customHeight="1">
      <c r="AE514" s="8"/>
    </row>
    <row r="515" spans="31:31" ht="15" customHeight="1">
      <c r="AE515" s="8"/>
    </row>
    <row r="516" spans="31:31" ht="15" customHeight="1">
      <c r="AE516" s="8"/>
    </row>
    <row r="517" spans="31:31" ht="15" customHeight="1">
      <c r="AE517" s="8"/>
    </row>
    <row r="518" spans="31:31" ht="15" customHeight="1">
      <c r="AE518" s="8"/>
    </row>
    <row r="519" spans="31:31" ht="15" customHeight="1">
      <c r="AE519" s="8"/>
    </row>
    <row r="520" spans="31:31" ht="15" customHeight="1">
      <c r="AE520" s="8"/>
    </row>
    <row r="521" spans="31:31" ht="15" customHeight="1">
      <c r="AE521" s="8"/>
    </row>
    <row r="522" spans="31:31" ht="15" customHeight="1">
      <c r="AE522" s="8"/>
    </row>
    <row r="523" spans="31:31" ht="15" customHeight="1">
      <c r="AE523" s="8"/>
    </row>
    <row r="524" spans="31:31" ht="15" customHeight="1">
      <c r="AE524" s="8"/>
    </row>
    <row r="525" spans="31:31" ht="15" customHeight="1">
      <c r="AE525" s="8"/>
    </row>
    <row r="526" spans="31:31" ht="15" customHeight="1">
      <c r="AE526" s="8"/>
    </row>
    <row r="527" spans="31:31" ht="15" customHeight="1">
      <c r="AE527" s="8"/>
    </row>
    <row r="528" spans="31:31" ht="15" customHeight="1">
      <c r="AE528" s="8"/>
    </row>
    <row r="529" spans="31:31" ht="15" customHeight="1">
      <c r="AE529" s="8"/>
    </row>
    <row r="530" spans="31:31" ht="15" customHeight="1">
      <c r="AE530" s="8"/>
    </row>
    <row r="531" spans="31:31" ht="15" customHeight="1">
      <c r="AE531" s="8"/>
    </row>
    <row r="532" spans="31:31" ht="15" customHeight="1">
      <c r="AE532" s="8"/>
    </row>
    <row r="533" spans="31:31" ht="15" customHeight="1">
      <c r="AE533" s="8"/>
    </row>
    <row r="534" spans="31:31" ht="15" customHeight="1">
      <c r="AE534" s="8"/>
    </row>
    <row r="535" spans="31:31" ht="15" customHeight="1">
      <c r="AE535" s="8"/>
    </row>
    <row r="536" spans="31:31" ht="15" customHeight="1">
      <c r="AE536" s="8"/>
    </row>
    <row r="537" spans="31:31" ht="15" customHeight="1">
      <c r="AE537" s="8"/>
    </row>
    <row r="538" spans="31:31" ht="15" customHeight="1">
      <c r="AE538" s="8"/>
    </row>
    <row r="539" spans="31:31" ht="15" customHeight="1">
      <c r="AE539" s="8"/>
    </row>
    <row r="540" spans="31:31" ht="15" customHeight="1">
      <c r="AE540" s="8"/>
    </row>
    <row r="541" spans="31:31" ht="15" customHeight="1">
      <c r="AE541" s="8"/>
    </row>
    <row r="542" spans="31:31" ht="15" customHeight="1">
      <c r="AE542" s="8"/>
    </row>
    <row r="543" spans="31:31" ht="15" customHeight="1">
      <c r="AE543" s="8"/>
    </row>
    <row r="544" spans="31:31" ht="15" customHeight="1">
      <c r="AE544" s="8"/>
    </row>
    <row r="545" spans="31:31" ht="15" customHeight="1">
      <c r="AE545" s="8"/>
    </row>
    <row r="546" spans="31:31" ht="15" customHeight="1">
      <c r="AE546" s="8"/>
    </row>
    <row r="547" spans="31:31" ht="15" customHeight="1">
      <c r="AE547" s="8"/>
    </row>
    <row r="548" spans="31:31" ht="15" customHeight="1">
      <c r="AE548" s="8"/>
    </row>
    <row r="549" spans="31:31" ht="15" customHeight="1">
      <c r="AE549" s="8"/>
    </row>
    <row r="550" spans="31:31" ht="15" customHeight="1">
      <c r="AE550" s="8"/>
    </row>
    <row r="551" spans="31:31" ht="15" customHeight="1">
      <c r="AE551" s="8"/>
    </row>
    <row r="552" spans="31:31" ht="15" customHeight="1">
      <c r="AE552" s="8"/>
    </row>
    <row r="553" spans="31:31" ht="15" customHeight="1">
      <c r="AE553" s="8"/>
    </row>
    <row r="554" spans="31:31" ht="15" customHeight="1">
      <c r="AE554" s="8"/>
    </row>
    <row r="555" spans="31:31" ht="15" customHeight="1">
      <c r="AE555" s="8"/>
    </row>
    <row r="556" spans="31:31" ht="15" customHeight="1">
      <c r="AE556" s="8"/>
    </row>
    <row r="557" spans="31:31" ht="15" customHeight="1">
      <c r="AE557" s="8"/>
    </row>
    <row r="558" spans="31:31" ht="15" customHeight="1">
      <c r="AE558" s="8"/>
    </row>
    <row r="559" spans="31:31" ht="15" customHeight="1">
      <c r="AE559" s="8"/>
    </row>
    <row r="560" spans="31:31" ht="15" customHeight="1">
      <c r="AE560" s="8"/>
    </row>
    <row r="561" spans="31:31" ht="15" customHeight="1">
      <c r="AE561" s="8"/>
    </row>
    <row r="562" spans="31:31" ht="15" customHeight="1">
      <c r="AE562" s="8"/>
    </row>
    <row r="563" spans="31:31" ht="15" customHeight="1">
      <c r="AE563" s="8"/>
    </row>
    <row r="564" spans="31:31" ht="15" customHeight="1">
      <c r="AE564" s="8"/>
    </row>
    <row r="565" spans="31:31" ht="15" customHeight="1">
      <c r="AE565" s="8"/>
    </row>
    <row r="566" spans="31:31" ht="15" customHeight="1">
      <c r="AE566" s="8"/>
    </row>
    <row r="567" spans="31:31" ht="15" customHeight="1">
      <c r="AE567" s="8"/>
    </row>
    <row r="568" spans="31:31" ht="15" customHeight="1">
      <c r="AE568" s="8"/>
    </row>
    <row r="569" spans="31:31" ht="15" customHeight="1">
      <c r="AE569" s="8"/>
    </row>
    <row r="570" spans="31:31" ht="15" customHeight="1">
      <c r="AE570" s="8"/>
    </row>
    <row r="571" spans="31:31" ht="15" customHeight="1">
      <c r="AE571" s="8"/>
    </row>
    <row r="572" spans="31:31" ht="15" customHeight="1">
      <c r="AE572" s="8"/>
    </row>
    <row r="573" spans="31:31" ht="15" customHeight="1">
      <c r="AE573" s="8"/>
    </row>
    <row r="574" spans="31:31" ht="15" customHeight="1">
      <c r="AE574" s="8"/>
    </row>
    <row r="575" spans="31:31" ht="15" customHeight="1">
      <c r="AE575" s="8"/>
    </row>
    <row r="576" spans="31:31" ht="15" customHeight="1">
      <c r="AE576" s="8"/>
    </row>
    <row r="577" spans="31:31" ht="15" customHeight="1">
      <c r="AE577" s="8"/>
    </row>
    <row r="578" spans="31:31" ht="15" customHeight="1">
      <c r="AE578" s="8"/>
    </row>
    <row r="579" spans="31:31" ht="15" customHeight="1">
      <c r="AE579" s="8"/>
    </row>
    <row r="580" spans="31:31" ht="15" customHeight="1">
      <c r="AE580" s="8"/>
    </row>
    <row r="581" spans="31:31" ht="15" customHeight="1">
      <c r="AE581" s="8"/>
    </row>
    <row r="582" spans="31:31" ht="15" customHeight="1">
      <c r="AE582" s="8"/>
    </row>
    <row r="583" spans="31:31" ht="15" customHeight="1">
      <c r="AE583" s="8"/>
    </row>
    <row r="584" spans="31:31" ht="15" customHeight="1">
      <c r="AE584" s="8"/>
    </row>
    <row r="585" spans="31:31" ht="15" customHeight="1">
      <c r="AE585" s="8"/>
    </row>
    <row r="586" spans="31:31" ht="15" customHeight="1">
      <c r="AE586" s="8"/>
    </row>
    <row r="587" spans="31:31" ht="15" customHeight="1">
      <c r="AE587" s="8"/>
    </row>
    <row r="588" spans="31:31" ht="15" customHeight="1">
      <c r="AE588" s="8"/>
    </row>
    <row r="589" spans="31:31" ht="15" customHeight="1">
      <c r="AE589" s="8"/>
    </row>
    <row r="590" spans="31:31" ht="15" customHeight="1">
      <c r="AE590" s="8"/>
    </row>
    <row r="591" spans="31:31" ht="15" customHeight="1">
      <c r="AE591" s="8"/>
    </row>
    <row r="592" spans="31:31" ht="15" customHeight="1">
      <c r="AE592" s="8"/>
    </row>
    <row r="593" spans="31:31" ht="15" customHeight="1">
      <c r="AE593" s="8"/>
    </row>
    <row r="594" spans="31:31" ht="15" customHeight="1">
      <c r="AE594" s="8"/>
    </row>
    <row r="595" spans="31:31" ht="15" customHeight="1">
      <c r="AE595" s="8"/>
    </row>
    <row r="596" spans="31:31" ht="15" customHeight="1">
      <c r="AE596" s="8"/>
    </row>
    <row r="597" spans="31:31" ht="15" customHeight="1">
      <c r="AE597" s="8"/>
    </row>
    <row r="598" spans="31:31" ht="15" customHeight="1">
      <c r="AE598" s="8"/>
    </row>
    <row r="599" spans="31:31" ht="15" customHeight="1">
      <c r="AE599" s="8"/>
    </row>
    <row r="600" spans="31:31" ht="15" customHeight="1">
      <c r="AE600" s="8"/>
    </row>
    <row r="601" spans="31:31" ht="15" customHeight="1">
      <c r="AE601" s="8"/>
    </row>
    <row r="602" spans="31:31" ht="15" customHeight="1">
      <c r="AE602" s="8"/>
    </row>
    <row r="603" spans="31:31" ht="15" customHeight="1">
      <c r="AE603" s="8"/>
    </row>
    <row r="604" spans="31:31" ht="15" customHeight="1">
      <c r="AE604" s="8"/>
    </row>
    <row r="605" spans="31:31" ht="15" customHeight="1">
      <c r="AE605" s="8"/>
    </row>
    <row r="606" spans="31:31" ht="15" customHeight="1">
      <c r="AE606" s="8"/>
    </row>
    <row r="607" spans="31:31" ht="15" customHeight="1">
      <c r="AE607" s="8"/>
    </row>
    <row r="608" spans="31:31" ht="15" customHeight="1">
      <c r="AE608" s="8"/>
    </row>
    <row r="609" spans="31:31" ht="15" customHeight="1">
      <c r="AE609" s="8"/>
    </row>
    <row r="610" spans="31:31" ht="15" customHeight="1">
      <c r="AE610" s="8"/>
    </row>
    <row r="611" spans="31:31" ht="15" customHeight="1">
      <c r="AE611" s="8"/>
    </row>
    <row r="612" spans="31:31" ht="15" customHeight="1">
      <c r="AE612" s="8"/>
    </row>
    <row r="613" spans="31:31" ht="15" customHeight="1">
      <c r="AE613" s="8"/>
    </row>
    <row r="614" spans="31:31" ht="15" customHeight="1">
      <c r="AE614" s="8"/>
    </row>
    <row r="615" spans="31:31" ht="15" customHeight="1">
      <c r="AE615" s="8"/>
    </row>
    <row r="616" spans="31:31" ht="15" customHeight="1">
      <c r="AE616" s="8"/>
    </row>
    <row r="617" spans="31:31" ht="15" customHeight="1">
      <c r="AE617" s="8"/>
    </row>
    <row r="618" spans="31:31" ht="15" customHeight="1">
      <c r="AE618" s="8"/>
    </row>
    <row r="619" spans="31:31" ht="15" customHeight="1">
      <c r="AE619" s="8"/>
    </row>
    <row r="620" spans="31:31" ht="15" customHeight="1">
      <c r="AE620" s="8"/>
    </row>
    <row r="621" spans="31:31" ht="15" customHeight="1">
      <c r="AE621" s="8"/>
    </row>
    <row r="622" spans="31:31" ht="15" customHeight="1">
      <c r="AE622" s="8"/>
    </row>
    <row r="623" spans="31:31" ht="15" customHeight="1">
      <c r="AE623" s="8"/>
    </row>
    <row r="624" spans="31:31" ht="15" customHeight="1">
      <c r="AE624" s="8"/>
    </row>
    <row r="625" spans="31:31" ht="15" customHeight="1">
      <c r="AE625" s="8"/>
    </row>
    <row r="626" spans="31:31" ht="15" customHeight="1">
      <c r="AE626" s="8"/>
    </row>
    <row r="627" spans="31:31" ht="15" customHeight="1">
      <c r="AE627" s="8"/>
    </row>
    <row r="628" spans="31:31" ht="15" customHeight="1">
      <c r="AE628" s="8"/>
    </row>
    <row r="629" spans="31:31" ht="15" customHeight="1">
      <c r="AE629" s="8"/>
    </row>
    <row r="630" spans="31:31" ht="15" customHeight="1">
      <c r="AE630" s="8"/>
    </row>
    <row r="631" spans="31:31" ht="15" customHeight="1">
      <c r="AE631" s="8"/>
    </row>
    <row r="632" spans="31:31" ht="15" customHeight="1">
      <c r="AE632" s="8"/>
    </row>
    <row r="633" spans="31:31" ht="15" customHeight="1">
      <c r="AE633" s="8"/>
    </row>
    <row r="634" spans="31:31" ht="15" customHeight="1">
      <c r="AE634" s="8"/>
    </row>
    <row r="635" spans="31:31" ht="15" customHeight="1">
      <c r="AE635" s="8"/>
    </row>
    <row r="636" spans="31:31" ht="15" customHeight="1">
      <c r="AE636" s="8"/>
    </row>
    <row r="637" spans="31:31" ht="15" customHeight="1">
      <c r="AE637" s="8"/>
    </row>
    <row r="638" spans="31:31" ht="15" customHeight="1">
      <c r="AE638" s="8"/>
    </row>
    <row r="639" spans="31:31" ht="15" customHeight="1">
      <c r="AE639" s="8"/>
    </row>
    <row r="640" spans="31:31" ht="15" customHeight="1">
      <c r="AE640" s="8"/>
    </row>
    <row r="641" spans="31:31" ht="15" customHeight="1">
      <c r="AE641" s="8"/>
    </row>
    <row r="642" spans="31:31" ht="15" customHeight="1">
      <c r="AE642" s="8"/>
    </row>
    <row r="643" spans="31:31" ht="15" customHeight="1">
      <c r="AE643" s="8"/>
    </row>
    <row r="644" spans="31:31" ht="15" customHeight="1">
      <c r="AE644" s="8"/>
    </row>
    <row r="645" spans="31:31" ht="15" customHeight="1">
      <c r="AE645" s="8"/>
    </row>
    <row r="646" spans="31:31" ht="15" customHeight="1">
      <c r="AE646" s="8"/>
    </row>
    <row r="647" spans="31:31" ht="15" customHeight="1">
      <c r="AE647" s="8"/>
    </row>
    <row r="648" spans="31:31" ht="15" customHeight="1">
      <c r="AE648" s="8"/>
    </row>
  </sheetData>
  <pageMargins left="0" right="0" top="0" bottom="0" header="0" footer="0"/>
  <pageSetup orientation="landscape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S349"/>
  <sheetViews>
    <sheetView workbookViewId="0">
      <selection activeCell="C1" sqref="C1:C1048576"/>
    </sheetView>
  </sheetViews>
  <sheetFormatPr defaultColWidth="12.5546875" defaultRowHeight="15" customHeight="1"/>
  <cols>
    <col min="3" max="3" width="14.88671875" customWidth="1"/>
    <col min="4" max="9" width="13.88671875" customWidth="1"/>
    <col min="30" max="32" width="8.33203125" customWidth="1"/>
    <col min="33" max="33" width="12.88671875" customWidth="1"/>
  </cols>
  <sheetData>
    <row r="1" spans="1:71" ht="14.4">
      <c r="A1" s="16" t="s">
        <v>219</v>
      </c>
      <c r="B1" s="15" t="s">
        <v>220</v>
      </c>
    </row>
    <row r="2" spans="1:71" ht="14.4">
      <c r="A2" s="291">
        <v>1</v>
      </c>
      <c r="B2" s="292">
        <v>1</v>
      </c>
      <c r="C2" s="223">
        <v>1334.6153801166299</v>
      </c>
      <c r="D2" s="223">
        <v>1300.0501746411001</v>
      </c>
      <c r="E2" s="223">
        <v>1249.87360557337</v>
      </c>
      <c r="F2" s="223">
        <v>1217.5031274276</v>
      </c>
      <c r="G2" s="223">
        <v>1170.5125335604</v>
      </c>
      <c r="H2" s="223">
        <v>1125.3355826007601</v>
      </c>
      <c r="I2" s="223">
        <v>1110.66745324518</v>
      </c>
      <c r="J2" s="223">
        <v>1053.8820869742401</v>
      </c>
      <c r="K2" s="223">
        <v>1026.58759342505</v>
      </c>
      <c r="L2" s="223">
        <v>993.46139880442195</v>
      </c>
      <c r="M2" s="223">
        <v>942.66845511788495</v>
      </c>
      <c r="N2" s="223">
        <v>906.28534485889395</v>
      </c>
      <c r="O2" s="223">
        <v>871.30647243657995</v>
      </c>
      <c r="P2" s="223">
        <v>821.35312630600504</v>
      </c>
      <c r="Q2" s="223">
        <v>784.48906546308399</v>
      </c>
      <c r="R2" s="223">
        <v>734.67771418725101</v>
      </c>
      <c r="S2" s="223">
        <v>697.11566717729704</v>
      </c>
      <c r="T2" s="223">
        <v>635.94389635534401</v>
      </c>
      <c r="U2" s="223">
        <v>591.67030338056304</v>
      </c>
      <c r="V2" s="223">
        <v>546.87961826359196</v>
      </c>
      <c r="W2" s="223">
        <v>498.89103293875598</v>
      </c>
      <c r="X2" s="223">
        <v>464.15888336127801</v>
      </c>
      <c r="Y2" s="223">
        <v>412.46263829013498</v>
      </c>
      <c r="Z2" s="223">
        <v>378.74558442069599</v>
      </c>
      <c r="AA2" s="223">
        <v>338.77747744402501</v>
      </c>
      <c r="AB2" s="223">
        <v>297.12176957046199</v>
      </c>
      <c r="AC2" s="223">
        <v>255.50970903525001</v>
      </c>
      <c r="AD2" s="293">
        <v>207.12824062701199</v>
      </c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  <c r="AY2" s="21"/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21"/>
      <c r="BK2" s="21"/>
      <c r="BL2" s="21"/>
      <c r="BM2" s="21"/>
      <c r="BN2" s="21"/>
      <c r="BO2" s="21"/>
      <c r="BP2" s="21"/>
      <c r="BQ2" s="21"/>
      <c r="BR2" s="21"/>
      <c r="BS2" s="21"/>
    </row>
    <row r="3" spans="1:71" ht="14.4">
      <c r="A3" s="294">
        <v>1</v>
      </c>
      <c r="B3" s="295">
        <v>2</v>
      </c>
      <c r="C3" s="21">
        <v>1635.59288882331</v>
      </c>
      <c r="D3" s="21">
        <v>1635.59288882331</v>
      </c>
      <c r="E3" s="21">
        <v>1593.2326664560601</v>
      </c>
      <c r="F3" s="21">
        <v>1551.96953154332</v>
      </c>
      <c r="G3" s="21">
        <v>1541.8218217088699</v>
      </c>
      <c r="H3" s="21">
        <v>1492.0699154289</v>
      </c>
      <c r="I3" s="21">
        <v>1462.9927206899699</v>
      </c>
      <c r="J3" s="21">
        <v>1415.7844922791301</v>
      </c>
      <c r="K3" s="21">
        <v>1361.14105639677</v>
      </c>
      <c r="L3" s="21">
        <v>1300.0501746411001</v>
      </c>
      <c r="M3" s="21">
        <v>1249.87360557337</v>
      </c>
      <c r="N3" s="21">
        <v>1193.7766417144301</v>
      </c>
      <c r="O3" s="21">
        <v>1140.1974279225001</v>
      </c>
      <c r="P3" s="21">
        <v>1074.8281479090899</v>
      </c>
      <c r="Q3" s="21">
        <v>1000</v>
      </c>
      <c r="R3" s="21">
        <v>942.66845511788495</v>
      </c>
      <c r="S3" s="21">
        <v>888.62381627434002</v>
      </c>
      <c r="T3" s="21">
        <v>810.64724079990299</v>
      </c>
      <c r="U3" s="21">
        <v>744.38030132516803</v>
      </c>
      <c r="V3" s="21">
        <v>688.02914850672801</v>
      </c>
      <c r="W3" s="21">
        <v>631.78571283431495</v>
      </c>
      <c r="X3" s="21">
        <v>565.11489211565902</v>
      </c>
      <c r="Y3" s="21">
        <v>508.80656533554401</v>
      </c>
      <c r="Z3" s="21">
        <v>455.113437097842</v>
      </c>
      <c r="AA3" s="21">
        <v>401.78026788149299</v>
      </c>
      <c r="AB3" s="21">
        <v>357.031514948579</v>
      </c>
      <c r="AC3" s="21">
        <v>299.07731687213197</v>
      </c>
      <c r="AD3" s="211">
        <v>240.86094268388001</v>
      </c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21"/>
      <c r="BO3" s="21"/>
      <c r="BP3" s="21"/>
      <c r="BQ3" s="21"/>
      <c r="BR3" s="21"/>
      <c r="BS3" s="21"/>
    </row>
    <row r="4" spans="1:71" ht="14.4">
      <c r="A4" s="296">
        <v>1</v>
      </c>
      <c r="B4" s="295">
        <v>3</v>
      </c>
      <c r="C4" s="21">
        <v>1965.3834445719499</v>
      </c>
      <c r="D4" s="21">
        <v>1939.76575413008</v>
      </c>
      <c r="E4" s="21">
        <v>1927.0823994509799</v>
      </c>
      <c r="F4" s="21">
        <v>1864.89880496468</v>
      </c>
      <c r="G4" s="21">
        <v>1816.59978837532</v>
      </c>
      <c r="H4" s="21">
        <v>1792.9214109249001</v>
      </c>
      <c r="I4" s="21">
        <v>1735.06695799932</v>
      </c>
      <c r="J4" s="21">
        <v>1690.13045658436</v>
      </c>
      <c r="K4" s="21">
        <v>1624.89839920497</v>
      </c>
      <c r="L4" s="21">
        <v>1562.1840299089899</v>
      </c>
      <c r="M4" s="21">
        <v>1492.0699154289</v>
      </c>
      <c r="N4" s="21">
        <v>1425.10267030299</v>
      </c>
      <c r="O4" s="21">
        <v>1352.2410978580599</v>
      </c>
      <c r="P4" s="21">
        <v>1266.3801734674</v>
      </c>
      <c r="Q4" s="21">
        <v>1193.7766417144301</v>
      </c>
      <c r="R4" s="21">
        <v>1103.4052417075</v>
      </c>
      <c r="S4" s="21">
        <v>1019.87514655931</v>
      </c>
      <c r="T4" s="21">
        <v>936.50472203021695</v>
      </c>
      <c r="U4" s="21">
        <v>854.32660593411401</v>
      </c>
      <c r="V4" s="21">
        <v>789.65228684997203</v>
      </c>
      <c r="W4" s="21">
        <v>710.97094323124304</v>
      </c>
      <c r="X4" s="21">
        <v>635.94389635534401</v>
      </c>
      <c r="Y4" s="21">
        <v>572.57813263296896</v>
      </c>
      <c r="Z4" s="21">
        <v>502.17455206527899</v>
      </c>
      <c r="AA4" s="21">
        <v>443.32645359508501</v>
      </c>
      <c r="AB4" s="21">
        <v>383.74752195735999</v>
      </c>
      <c r="AC4" s="21">
        <v>325.70206556597799</v>
      </c>
      <c r="AD4" s="211">
        <v>257.19138090593401</v>
      </c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</row>
    <row r="5" spans="1:71" ht="14.4">
      <c r="A5" s="296">
        <v>1</v>
      </c>
      <c r="B5" s="295">
        <v>4</v>
      </c>
      <c r="C5" s="21">
        <v>2346.2288481422602</v>
      </c>
      <c r="D5" s="21">
        <v>2361.6708721303298</v>
      </c>
      <c r="E5" s="21">
        <v>2330.8877933907002</v>
      </c>
      <c r="F5" s="21">
        <v>2285.4638641349902</v>
      </c>
      <c r="G5" s="21">
        <v>2240.92514838242</v>
      </c>
      <c r="H5" s="21">
        <v>2211.71592363128</v>
      </c>
      <c r="I5" s="21">
        <v>2154.4346900318801</v>
      </c>
      <c r="J5" s="21">
        <v>2071.2824062701102</v>
      </c>
      <c r="K5" s="21">
        <v>2044.28438120377</v>
      </c>
      <c r="L5" s="21">
        <v>1927.0823994509799</v>
      </c>
      <c r="M5" s="21">
        <v>1852.7049754089101</v>
      </c>
      <c r="N5" s="21">
        <v>1757.98127542725</v>
      </c>
      <c r="O5" s="21">
        <v>1690.13045658436</v>
      </c>
      <c r="P5" s="21">
        <v>1572.4657563836899</v>
      </c>
      <c r="Q5" s="21">
        <v>1482.3138652959899</v>
      </c>
      <c r="R5" s="21">
        <v>1379.1170878615201</v>
      </c>
      <c r="S5" s="21">
        <v>1274.71502666477</v>
      </c>
      <c r="T5" s="21">
        <v>1185.9710123376699</v>
      </c>
      <c r="U5" s="21">
        <v>1060.81835513944</v>
      </c>
      <c r="V5" s="21">
        <v>980.51217678323599</v>
      </c>
      <c r="W5" s="21">
        <v>882.81345952682898</v>
      </c>
      <c r="X5" s="21">
        <v>784.48906546308399</v>
      </c>
      <c r="Y5" s="21">
        <v>710.97094323124304</v>
      </c>
      <c r="Z5" s="21">
        <v>615.423093831144</v>
      </c>
      <c r="AA5" s="21">
        <v>543.30379053777699</v>
      </c>
      <c r="AB5" s="21">
        <v>482.79268774399401</v>
      </c>
      <c r="AC5" s="21">
        <v>396.54328343620801</v>
      </c>
      <c r="AD5" s="211">
        <v>315.19222687185999</v>
      </c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</row>
    <row r="6" spans="1:71" ht="14.4">
      <c r="A6" s="297">
        <v>1</v>
      </c>
      <c r="B6" s="298">
        <v>5</v>
      </c>
      <c r="C6" s="23">
        <v>2990.77316872132</v>
      </c>
      <c r="D6" s="23">
        <v>2951.7900881271698</v>
      </c>
      <c r="E6" s="23">
        <v>2971.2176957046199</v>
      </c>
      <c r="F6" s="23">
        <v>2913.3151305122101</v>
      </c>
      <c r="G6" s="23">
        <v>2875.3416727733502</v>
      </c>
      <c r="H6" s="23">
        <v>2856.5409602740601</v>
      </c>
      <c r="I6" s="23">
        <v>2800.8731950288002</v>
      </c>
      <c r="J6" s="23">
        <v>2746.2902733515002</v>
      </c>
      <c r="K6" s="23">
        <v>2640.2948077388901</v>
      </c>
      <c r="L6" s="23">
        <v>2571.9138090593401</v>
      </c>
      <c r="M6" s="23">
        <v>2440.41894330271</v>
      </c>
      <c r="N6" s="23">
        <v>2361.6708721303298</v>
      </c>
      <c r="O6" s="23">
        <v>2226.27263252801</v>
      </c>
      <c r="P6" s="23">
        <v>2084.9148328891201</v>
      </c>
      <c r="Q6" s="23">
        <v>1978.31888278416</v>
      </c>
      <c r="R6" s="23">
        <v>1864.89880496468</v>
      </c>
      <c r="S6" s="23">
        <v>1746.48653695794</v>
      </c>
      <c r="T6" s="23">
        <v>1603.7187437513301</v>
      </c>
      <c r="U6" s="23">
        <v>1462.9927206899699</v>
      </c>
      <c r="V6" s="23">
        <v>1334.6153801166299</v>
      </c>
      <c r="W6" s="23">
        <v>1209.5423600229799</v>
      </c>
      <c r="X6" s="23">
        <v>1089.0229622637301</v>
      </c>
      <c r="Y6" s="23">
        <v>974.10099869184296</v>
      </c>
      <c r="Z6" s="23">
        <v>859.94947258368597</v>
      </c>
      <c r="AA6" s="23">
        <v>769.20108123985597</v>
      </c>
      <c r="AB6" s="23">
        <v>670.20988068950101</v>
      </c>
      <c r="AC6" s="23">
        <v>565.11489211565902</v>
      </c>
      <c r="AD6" s="212">
        <v>446.244266892106</v>
      </c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</row>
    <row r="7" spans="1:71" ht="14.4">
      <c r="A7" s="199">
        <v>2</v>
      </c>
      <c r="B7" s="200">
        <v>1</v>
      </c>
      <c r="C7" s="299">
        <v>322.45905452963899</v>
      </c>
      <c r="D7" s="299">
        <v>275.85316176291798</v>
      </c>
      <c r="E7" s="299">
        <v>248.588037617776</v>
      </c>
      <c r="F7" s="299">
        <v>212.658925807896</v>
      </c>
      <c r="G7" s="299">
        <v>175.71995860248299</v>
      </c>
      <c r="H7" s="299">
        <v>145.19730941908</v>
      </c>
      <c r="I7" s="299">
        <v>111.934565672283</v>
      </c>
      <c r="J7" s="299">
        <v>84.808017572252894</v>
      </c>
      <c r="K7" s="299">
        <v>62.064561471341499</v>
      </c>
      <c r="L7" s="299">
        <v>42.375871606040597</v>
      </c>
      <c r="M7" s="300">
        <v>13.9639863687353</v>
      </c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71" ht="14.4">
      <c r="A8" s="196">
        <v>2</v>
      </c>
      <c r="B8" s="201">
        <v>2</v>
      </c>
      <c r="C8" s="95">
        <v>34.413049869757302</v>
      </c>
      <c r="D8" s="95">
        <v>29.439237258586498</v>
      </c>
      <c r="E8" s="95">
        <v>26.073291306760702</v>
      </c>
      <c r="F8" s="95">
        <v>23.496226321142601</v>
      </c>
      <c r="G8" s="95">
        <v>21.1738765481903</v>
      </c>
      <c r="H8" s="95">
        <v>19.414919457438799</v>
      </c>
      <c r="I8" s="95">
        <v>18.430483272485699</v>
      </c>
      <c r="J8" s="95">
        <v>16.899425453935802</v>
      </c>
      <c r="K8" s="95">
        <v>16.042537741460801</v>
      </c>
      <c r="L8" s="95">
        <v>15.229098639341901</v>
      </c>
      <c r="M8" s="301">
        <v>15.229098639341901</v>
      </c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71" ht="14.4">
      <c r="A9" s="196">
        <v>2</v>
      </c>
      <c r="B9" s="201">
        <v>3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218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spans="1:71" ht="14.4">
      <c r="A10" s="197">
        <v>2</v>
      </c>
      <c r="B10" s="202">
        <v>4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21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71" ht="14.4">
      <c r="A11" s="203">
        <v>3</v>
      </c>
      <c r="B11" s="200">
        <v>1</v>
      </c>
      <c r="C11" s="223">
        <v>656.66394802535899</v>
      </c>
      <c r="D11" s="223">
        <v>774.99498642276706</v>
      </c>
      <c r="E11" s="223">
        <v>1093.3152036615299</v>
      </c>
      <c r="F11" s="223">
        <v>1428.8332559273099</v>
      </c>
      <c r="G11" s="223">
        <v>3108.99430276779</v>
      </c>
      <c r="H11" s="223">
        <v>3861.1428297596899</v>
      </c>
      <c r="I11" s="223">
        <v>4674.5703212744202</v>
      </c>
      <c r="J11" s="223">
        <v>4919.0577226982195</v>
      </c>
      <c r="K11" s="223">
        <v>5309.9722434590403</v>
      </c>
      <c r="L11" s="223">
        <v>5176.33220086851</v>
      </c>
      <c r="M11" s="223">
        <v>4919.0577226982195</v>
      </c>
      <c r="N11" s="223">
        <v>4856.7624649102499</v>
      </c>
      <c r="O11" s="223">
        <v>4499.21276702656</v>
      </c>
      <c r="P11" s="223">
        <v>4167.9854984114199</v>
      </c>
      <c r="Q11" s="223">
        <v>3622.7685626683401</v>
      </c>
      <c r="R11" s="223">
        <v>3030.7479180437599</v>
      </c>
      <c r="S11" s="223">
        <v>2535.4732944798102</v>
      </c>
      <c r="T11" s="223">
        <v>2015.70997176795</v>
      </c>
      <c r="U11" s="223">
        <v>1582.20223122281</v>
      </c>
      <c r="V11" s="223">
        <v>1290.3309279661401</v>
      </c>
      <c r="W11" s="223">
        <v>974.83225213556295</v>
      </c>
      <c r="X11" s="223">
        <v>755.49010800827602</v>
      </c>
      <c r="Y11" s="293">
        <v>515.43881723124798</v>
      </c>
    </row>
    <row r="12" spans="1:71" ht="14.4">
      <c r="A12" s="204">
        <v>3</v>
      </c>
      <c r="B12" s="201">
        <v>2</v>
      </c>
      <c r="C12" s="21">
        <v>35017.121479422</v>
      </c>
      <c r="D12" s="21">
        <v>21574.87754818</v>
      </c>
      <c r="E12" s="21">
        <v>14533.2124967295</v>
      </c>
      <c r="F12" s="21">
        <v>13124.452058658</v>
      </c>
      <c r="G12" s="21">
        <v>13635.9797265016</v>
      </c>
      <c r="H12" s="21">
        <v>14349.162975457701</v>
      </c>
      <c r="I12" s="21">
        <v>14908.4239518047</v>
      </c>
      <c r="J12" s="21">
        <v>14908.4239518047</v>
      </c>
      <c r="K12" s="21">
        <v>14719.622728959799</v>
      </c>
      <c r="L12" s="21">
        <v>13988.026859625599</v>
      </c>
      <c r="M12" s="21">
        <v>13124.452058658</v>
      </c>
      <c r="N12" s="21">
        <v>12314.1915274118</v>
      </c>
      <c r="O12" s="21">
        <v>11263.166821582099</v>
      </c>
      <c r="P12" s="21">
        <v>10042.5734884964</v>
      </c>
      <c r="Q12" s="21">
        <v>9069.1080396011494</v>
      </c>
      <c r="R12" s="21">
        <v>7587.0649295052499</v>
      </c>
      <c r="S12" s="21">
        <v>6594.5959552908998</v>
      </c>
      <c r="T12" s="21">
        <v>5587.6921676898401</v>
      </c>
      <c r="U12" s="21">
        <v>4556.9219140539999</v>
      </c>
      <c r="V12" s="21">
        <v>3669.2359991855901</v>
      </c>
      <c r="W12" s="21">
        <v>2917.0552134905302</v>
      </c>
      <c r="X12" s="21">
        <v>2260.70316557355</v>
      </c>
      <c r="Y12" s="211">
        <v>1797.2667761775499</v>
      </c>
    </row>
    <row r="13" spans="1:71" ht="14.4">
      <c r="A13" s="204">
        <v>3</v>
      </c>
      <c r="B13" s="201">
        <v>3</v>
      </c>
      <c r="C13" s="21">
        <v>1465722.1822494699</v>
      </c>
      <c r="D13" s="21">
        <v>974832.25213556294</v>
      </c>
      <c r="E13" s="21">
        <v>673617.38041268697</v>
      </c>
      <c r="F13" s="21">
        <v>489820.43580093101</v>
      </c>
      <c r="G13" s="21">
        <v>342811.47486522997</v>
      </c>
      <c r="H13" s="21">
        <v>252472.46608492601</v>
      </c>
      <c r="I13" s="21">
        <v>190740.45067161601</v>
      </c>
      <c r="J13" s="21">
        <v>144102.52367944701</v>
      </c>
      <c r="K13" s="21">
        <v>110264.426846984</v>
      </c>
      <c r="L13" s="21">
        <v>89923.776750816498</v>
      </c>
      <c r="M13" s="21">
        <v>71489.711167651898</v>
      </c>
      <c r="N13" s="21">
        <v>59049.702262542298</v>
      </c>
      <c r="O13" s="21">
        <v>46944.715978542998</v>
      </c>
      <c r="P13" s="21">
        <v>38775.810617443</v>
      </c>
      <c r="Q13" s="21">
        <v>31222.3037608624</v>
      </c>
      <c r="R13" s="21">
        <v>24197.128879237</v>
      </c>
      <c r="S13" s="21">
        <v>19733.446929051501</v>
      </c>
      <c r="T13" s="21">
        <v>16093.1873217336</v>
      </c>
      <c r="U13" s="21">
        <v>12158.243827893901</v>
      </c>
      <c r="V13" s="21">
        <v>9789.8245310279108</v>
      </c>
      <c r="W13" s="21">
        <v>7490.9818598846796</v>
      </c>
      <c r="X13" s="21">
        <v>5587.6921676898401</v>
      </c>
      <c r="Y13" s="211">
        <v>4221.4461592849902</v>
      </c>
    </row>
    <row r="14" spans="1:71" ht="14.4">
      <c r="A14" s="205">
        <v>3</v>
      </c>
      <c r="B14" s="202">
        <v>4</v>
      </c>
      <c r="C14" s="23">
        <v>7782.9441043669603</v>
      </c>
      <c r="D14" s="23">
        <v>21301.651935801801</v>
      </c>
      <c r="E14" s="23">
        <v>41327.217166581802</v>
      </c>
      <c r="F14" s="23">
        <v>48156.711963213398</v>
      </c>
      <c r="G14" s="23">
        <v>61351.174076391799</v>
      </c>
      <c r="H14" s="23">
        <v>71489.711167651898</v>
      </c>
      <c r="I14" s="23">
        <v>71489.711167651898</v>
      </c>
      <c r="J14" s="23">
        <v>67076.171380204396</v>
      </c>
      <c r="K14" s="23">
        <v>60574.218931700503</v>
      </c>
      <c r="L14" s="23">
        <v>53325.786476813999</v>
      </c>
      <c r="M14" s="23">
        <v>48774.393970032397</v>
      </c>
      <c r="N14" s="23">
        <v>42394.183282350699</v>
      </c>
      <c r="O14" s="23">
        <v>35466.268545047198</v>
      </c>
      <c r="P14" s="23">
        <v>28923.750896153699</v>
      </c>
      <c r="Q14" s="23">
        <v>23588.141640561102</v>
      </c>
      <c r="R14" s="23">
        <v>18752.6535672342</v>
      </c>
      <c r="S14" s="23">
        <v>15099.6468333024</v>
      </c>
      <c r="T14" s="23">
        <v>10979.6982788614</v>
      </c>
      <c r="U14" s="23">
        <v>8954.2562823983408</v>
      </c>
      <c r="V14" s="23">
        <v>6594.5959552908998</v>
      </c>
      <c r="W14" s="23">
        <v>4674.5703212744202</v>
      </c>
      <c r="X14" s="23">
        <v>3313.5627772627799</v>
      </c>
      <c r="Y14" s="212">
        <v>2175.89721534725</v>
      </c>
    </row>
    <row r="15" spans="1:71" ht="14.4">
      <c r="A15" s="203">
        <v>4</v>
      </c>
      <c r="B15" s="200">
        <v>1</v>
      </c>
      <c r="C15" s="223">
        <v>193.755099576981</v>
      </c>
      <c r="D15" s="223">
        <v>244.22591280463701</v>
      </c>
      <c r="E15" s="223">
        <v>276.472350983306</v>
      </c>
      <c r="F15" s="223">
        <v>302.79521830225201</v>
      </c>
      <c r="G15" s="223">
        <v>331.62427960922702</v>
      </c>
      <c r="H15" s="223">
        <v>337.15348110081698</v>
      </c>
      <c r="I15" s="223">
        <v>331.62427960922702</v>
      </c>
      <c r="J15" s="223">
        <v>339.95255720319801</v>
      </c>
      <c r="K15" s="223">
        <v>342.77487146702902</v>
      </c>
      <c r="L15" s="223">
        <v>334.37745182323698</v>
      </c>
      <c r="M15" s="223">
        <v>337.15348110081698</v>
      </c>
      <c r="N15" s="223">
        <v>334.37745182323698</v>
      </c>
      <c r="O15" s="223">
        <v>351.38318050030898</v>
      </c>
      <c r="P15" s="223">
        <v>342.77487146702902</v>
      </c>
      <c r="Q15" s="223">
        <v>328.89377625999401</v>
      </c>
      <c r="R15" s="223">
        <v>305.30904926344499</v>
      </c>
      <c r="S15" s="223">
        <v>278.76764732157898</v>
      </c>
      <c r="T15" s="223">
        <v>242.21502363310699</v>
      </c>
      <c r="U15" s="223">
        <v>210.455259917262</v>
      </c>
      <c r="V15" s="223">
        <v>176.91140631415399</v>
      </c>
      <c r="W15" s="293">
        <v>141.51676734397901</v>
      </c>
      <c r="X15" s="22"/>
      <c r="Y15" s="22"/>
    </row>
    <row r="16" spans="1:71" ht="14.4">
      <c r="A16" s="204">
        <v>4</v>
      </c>
      <c r="B16" s="201">
        <v>2</v>
      </c>
      <c r="C16" s="21">
        <v>1037.9059203438501</v>
      </c>
      <c r="D16" s="21">
        <v>1046.5227011899799</v>
      </c>
      <c r="E16" s="21">
        <v>1072.8046476571401</v>
      </c>
      <c r="F16" s="21">
        <v>1081.7111606255901</v>
      </c>
      <c r="G16" s="21">
        <v>971.47734008912005</v>
      </c>
      <c r="H16" s="21">
        <v>987.67486930560494</v>
      </c>
      <c r="I16" s="21">
        <v>939.87482712755298</v>
      </c>
      <c r="J16" s="21">
        <v>939.87482712755298</v>
      </c>
      <c r="K16" s="21">
        <v>865.29336825123596</v>
      </c>
      <c r="L16" s="21">
        <v>837.14505870527296</v>
      </c>
      <c r="M16" s="21">
        <v>783.56567677185603</v>
      </c>
      <c r="N16" s="21">
        <v>745.64381243880803</v>
      </c>
      <c r="O16" s="21">
        <v>697.92073960034998</v>
      </c>
      <c r="P16" s="21">
        <v>653.25206303414802</v>
      </c>
      <c r="Q16" s="21">
        <v>606.407845603856</v>
      </c>
      <c r="R16" s="21">
        <v>558.28784015865995</v>
      </c>
      <c r="S16" s="21">
        <v>505.55708082163898</v>
      </c>
      <c r="T16" s="21">
        <v>450.29891203359199</v>
      </c>
      <c r="U16" s="21">
        <v>388.033249560613</v>
      </c>
      <c r="V16" s="21">
        <v>331.62427960922702</v>
      </c>
      <c r="W16" s="211">
        <v>265.27625889613898</v>
      </c>
      <c r="X16" s="22"/>
      <c r="Y16" s="22"/>
    </row>
    <row r="17" spans="1:71" ht="14.4">
      <c r="A17" s="205">
        <v>4</v>
      </c>
      <c r="B17" s="202">
        <v>3</v>
      </c>
      <c r="C17" s="23">
        <v>3168.82069765083</v>
      </c>
      <c r="D17" s="23">
        <v>2620.0669433512398</v>
      </c>
      <c r="E17" s="23">
        <v>2534.8352080131499</v>
      </c>
      <c r="F17" s="23">
        <v>2130.81517468623</v>
      </c>
      <c r="G17" s="23">
        <v>1994.4376629434</v>
      </c>
      <c r="H17" s="23">
        <v>1761.8158091826999</v>
      </c>
      <c r="I17" s="23">
        <v>1676.5500272882</v>
      </c>
      <c r="J17" s="23">
        <v>1530.80266651637</v>
      </c>
      <c r="K17" s="23">
        <v>1409.32958007414</v>
      </c>
      <c r="L17" s="23">
        <v>1286.8124684996501</v>
      </c>
      <c r="M17" s="23">
        <v>1194.53610769273</v>
      </c>
      <c r="N17" s="23">
        <v>1081.7111606255901</v>
      </c>
      <c r="O17" s="23">
        <v>979.54262536445106</v>
      </c>
      <c r="P17" s="23">
        <v>872.47710540475202</v>
      </c>
      <c r="Q17" s="23">
        <v>790.07090386705795</v>
      </c>
      <c r="R17" s="23">
        <v>709.55723497082397</v>
      </c>
      <c r="S17" s="23">
        <v>632.00153465094104</v>
      </c>
      <c r="T17" s="23">
        <v>540.12653265633503</v>
      </c>
      <c r="U17" s="23">
        <v>450.29891203359199</v>
      </c>
      <c r="V17" s="23">
        <v>384.83829022655101</v>
      </c>
      <c r="W17" s="212">
        <v>305.30904926344499</v>
      </c>
      <c r="X17" s="22"/>
      <c r="Y17" s="22"/>
    </row>
    <row r="18" spans="1:71" ht="14.4">
      <c r="A18" s="203">
        <v>5</v>
      </c>
      <c r="B18" s="200">
        <v>1</v>
      </c>
      <c r="C18" s="95"/>
      <c r="D18" s="95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71" ht="14.4">
      <c r="A19" s="204">
        <v>5</v>
      </c>
      <c r="B19" s="201">
        <v>2</v>
      </c>
      <c r="C19" s="95"/>
      <c r="D19" s="21"/>
      <c r="E19" s="21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71" ht="14.4">
      <c r="A20" s="204">
        <v>5</v>
      </c>
      <c r="B20" s="201">
        <v>3</v>
      </c>
      <c r="C20" s="95"/>
      <c r="D20" s="21"/>
      <c r="E20" s="21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71" ht="14.4">
      <c r="A21" s="204">
        <v>5</v>
      </c>
      <c r="B21" s="201">
        <v>4</v>
      </c>
      <c r="C21" s="95"/>
      <c r="D21" s="21"/>
      <c r="E21" s="21"/>
      <c r="F21" s="21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71" ht="14.4">
      <c r="A22" s="204">
        <v>5</v>
      </c>
      <c r="B22" s="201">
        <v>5</v>
      </c>
      <c r="C22" s="95"/>
      <c r="D22" s="21"/>
      <c r="E22" s="21"/>
      <c r="F22" s="21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71" ht="14.4">
      <c r="A23" s="205">
        <v>5</v>
      </c>
      <c r="B23" s="202">
        <v>6</v>
      </c>
      <c r="C23" s="95"/>
      <c r="D23" s="21"/>
      <c r="E23" s="21"/>
      <c r="F23" s="21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71" ht="14.4">
      <c r="A24" s="203">
        <v>6</v>
      </c>
      <c r="B24" s="200">
        <v>1</v>
      </c>
      <c r="C24" s="223">
        <v>762.85232849610304</v>
      </c>
      <c r="D24" s="223">
        <v>600.16934560327502</v>
      </c>
      <c r="E24" s="223">
        <v>560.41777917297202</v>
      </c>
      <c r="F24" s="223">
        <v>497.08261164373801</v>
      </c>
      <c r="G24" s="223">
        <v>426.05364554309</v>
      </c>
      <c r="H24" s="223">
        <v>418.816525457296</v>
      </c>
      <c r="I24" s="223">
        <v>384.43367967576899</v>
      </c>
      <c r="J24" s="223">
        <v>352.87350208467501</v>
      </c>
      <c r="K24" s="223">
        <v>312.99378519892298</v>
      </c>
      <c r="L24" s="223">
        <v>312.99378519892298</v>
      </c>
      <c r="M24" s="223">
        <v>292.262980908842</v>
      </c>
      <c r="N24" s="223">
        <v>297.31326465101301</v>
      </c>
      <c r="O24" s="223">
        <v>297.31326465101301</v>
      </c>
      <c r="P24" s="223">
        <v>272.90525898281101</v>
      </c>
      <c r="Q24" s="223">
        <v>272.90525898281101</v>
      </c>
      <c r="R24" s="223">
        <v>259.23311364486801</v>
      </c>
      <c r="S24" s="223">
        <v>254.82967479793399</v>
      </c>
      <c r="T24" s="223">
        <v>254.82967479793399</v>
      </c>
      <c r="U24" s="223">
        <v>246.24592234129801</v>
      </c>
      <c r="V24" s="223">
        <v>237.95130734989201</v>
      </c>
      <c r="W24" s="223">
        <v>226.03030271419101</v>
      </c>
      <c r="X24" s="223">
        <v>222.19086028509099</v>
      </c>
      <c r="Y24" s="223">
        <v>218.41663618286799</v>
      </c>
      <c r="Z24" s="223">
        <v>207.47428935801199</v>
      </c>
      <c r="AA24" s="223">
        <v>193.73245456352601</v>
      </c>
      <c r="AB24" s="223">
        <v>184.02674832194799</v>
      </c>
      <c r="AC24" s="223">
        <v>171.83793600678499</v>
      </c>
      <c r="AD24" s="223">
        <v>157.73085833909701</v>
      </c>
      <c r="AE24" s="223">
        <v>155.05157798326201</v>
      </c>
      <c r="AF24" s="223">
        <v>142.32258051077699</v>
      </c>
      <c r="AG24" s="223">
        <v>124.09377607517099</v>
      </c>
      <c r="AH24" s="223">
        <v>111.971408907037</v>
      </c>
      <c r="AI24" s="223">
        <v>101.03324122421699</v>
      </c>
      <c r="AJ24" s="223">
        <v>85.125470201606404</v>
      </c>
      <c r="AK24" s="293">
        <v>71.722391454938602</v>
      </c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6"/>
      <c r="BF24" s="96"/>
      <c r="BG24" s="96"/>
      <c r="BH24" s="96"/>
      <c r="BI24" s="96"/>
      <c r="BJ24" s="96"/>
      <c r="BK24" s="96"/>
      <c r="BL24" s="96"/>
      <c r="BM24" s="96"/>
      <c r="BN24" s="96"/>
      <c r="BO24" s="96"/>
      <c r="BP24" s="96"/>
      <c r="BQ24" s="96"/>
      <c r="BR24" s="96"/>
      <c r="BS24" s="96"/>
    </row>
    <row r="25" spans="1:71" ht="14.4">
      <c r="A25" s="204">
        <v>6</v>
      </c>
      <c r="B25" s="201">
        <v>2</v>
      </c>
      <c r="C25" s="21">
        <v>13335.214321633201</v>
      </c>
      <c r="D25" s="21">
        <v>13335.214321633201</v>
      </c>
      <c r="E25" s="21">
        <v>11828.145730152601</v>
      </c>
      <c r="F25" s="21">
        <v>10138.0021958166</v>
      </c>
      <c r="G25" s="21">
        <v>8689.3660990644694</v>
      </c>
      <c r="H25" s="21">
        <v>7196.8567300115101</v>
      </c>
      <c r="I25" s="21">
        <v>6168.4858300179803</v>
      </c>
      <c r="J25" s="21">
        <v>5108.9697745069197</v>
      </c>
      <c r="K25" s="21">
        <v>4231.4391045215698</v>
      </c>
      <c r="L25" s="21">
        <v>3626.8016907964102</v>
      </c>
      <c r="M25" s="21">
        <v>3162.2776601683699</v>
      </c>
      <c r="N25" s="21">
        <v>2619.1161704187002</v>
      </c>
      <c r="O25" s="21">
        <v>2363.2621793645299</v>
      </c>
      <c r="P25" s="21">
        <v>1991.1645097243199</v>
      </c>
      <c r="Q25" s="21">
        <v>1766.13464363449</v>
      </c>
      <c r="R25" s="21">
        <v>1539.92652605949</v>
      </c>
      <c r="S25" s="21">
        <v>1342.6913481418601</v>
      </c>
      <c r="T25" s="21">
        <v>1232.46277130873</v>
      </c>
      <c r="U25" s="21">
        <v>1074.6078283213101</v>
      </c>
      <c r="V25" s="21">
        <v>969.63245349855504</v>
      </c>
      <c r="W25" s="21">
        <v>860.05021652038499</v>
      </c>
      <c r="X25" s="21">
        <v>762.85232849610304</v>
      </c>
      <c r="Y25" s="21">
        <v>712.32563093169597</v>
      </c>
      <c r="Z25" s="21">
        <v>621.090321860416</v>
      </c>
      <c r="AA25" s="21">
        <v>579.95307723184203</v>
      </c>
      <c r="AB25" s="21">
        <v>505.67216419087799</v>
      </c>
      <c r="AC25" s="21">
        <v>456.274492245479</v>
      </c>
      <c r="AD25" s="21">
        <v>418.816525457296</v>
      </c>
      <c r="AE25" s="21">
        <v>384.43367967576899</v>
      </c>
      <c r="AF25" s="21">
        <v>329.50130794917999</v>
      </c>
      <c r="AG25" s="21">
        <v>292.262980908842</v>
      </c>
      <c r="AH25" s="21">
        <v>250.50103454986001</v>
      </c>
      <c r="AI25" s="21">
        <v>222.19086028509099</v>
      </c>
      <c r="AJ25" s="21">
        <v>197.08013774451101</v>
      </c>
      <c r="AK25" s="218">
        <v>155</v>
      </c>
    </row>
    <row r="26" spans="1:71" ht="14.4">
      <c r="A26" s="204">
        <v>6</v>
      </c>
      <c r="B26" s="201">
        <v>3</v>
      </c>
      <c r="C26" s="21">
        <v>89308.512749914298</v>
      </c>
      <c r="D26" s="21">
        <v>71477.057679418402</v>
      </c>
      <c r="E26" s="21">
        <v>57205.854371500798</v>
      </c>
      <c r="F26" s="21">
        <v>46575.203583555704</v>
      </c>
      <c r="G26" s="21">
        <v>38575.318790867503</v>
      </c>
      <c r="H26" s="21">
        <v>31406.8087213166</v>
      </c>
      <c r="I26" s="21">
        <v>25136.0840011543</v>
      </c>
      <c r="J26" s="21">
        <v>22680.611623180299</v>
      </c>
      <c r="K26" s="21">
        <v>18784.9275240729</v>
      </c>
      <c r="L26" s="21">
        <v>16378.9370695406</v>
      </c>
      <c r="M26" s="21">
        <v>13335.214321633201</v>
      </c>
      <c r="N26" s="21">
        <v>11828.145730152601</v>
      </c>
      <c r="O26" s="21">
        <v>9796.5109573149603</v>
      </c>
      <c r="P26" s="21">
        <v>8396.6711150183601</v>
      </c>
      <c r="Q26" s="21">
        <v>7196.8567300115101</v>
      </c>
      <c r="R26" s="21">
        <v>6063.70542697166</v>
      </c>
      <c r="S26" s="21">
        <v>5287.0605686034996</v>
      </c>
      <c r="T26" s="21">
        <v>4689.5476429003502</v>
      </c>
      <c r="U26" s="21">
        <v>4019.4503336151201</v>
      </c>
      <c r="V26" s="21">
        <v>3565.1953657755398</v>
      </c>
      <c r="W26" s="21">
        <v>3003.8522786645499</v>
      </c>
      <c r="X26" s="21">
        <v>2619.1161704187002</v>
      </c>
      <c r="Y26" s="21">
        <v>2323.11884914029</v>
      </c>
      <c r="Z26" s="21">
        <v>1991.1645097243199</v>
      </c>
      <c r="AA26" s="21">
        <v>1736.13436400452</v>
      </c>
      <c r="AB26" s="21">
        <v>1539.92652605949</v>
      </c>
      <c r="AC26" s="21">
        <v>1297.4637655722199</v>
      </c>
      <c r="AD26" s="21">
        <v>1170.7182296471201</v>
      </c>
      <c r="AE26" s="21">
        <v>1020.77158322709</v>
      </c>
      <c r="AF26" s="21">
        <v>874.91182373603897</v>
      </c>
      <c r="AG26" s="21">
        <v>762.85232849610304</v>
      </c>
      <c r="AH26" s="21">
        <v>631.82271891308801</v>
      </c>
      <c r="AI26" s="21">
        <v>550.89829539782704</v>
      </c>
      <c r="AJ26" s="21">
        <v>472.17951620069499</v>
      </c>
      <c r="AK26" s="211">
        <v>358.97113136731298</v>
      </c>
    </row>
    <row r="27" spans="1:71" ht="14.4">
      <c r="A27" s="205">
        <v>6</v>
      </c>
      <c r="B27" s="202">
        <v>4</v>
      </c>
      <c r="C27" s="23">
        <v>249644.17014069701</v>
      </c>
      <c r="D27" s="23">
        <v>186566.35785769101</v>
      </c>
      <c r="E27" s="23">
        <v>141835.75156781799</v>
      </c>
      <c r="F27" s="23">
        <v>117473.65361173901</v>
      </c>
      <c r="G27" s="23">
        <v>97296.056462129302</v>
      </c>
      <c r="H27" s="23">
        <v>79215.382540609105</v>
      </c>
      <c r="I27" s="23">
        <v>65609.131029615397</v>
      </c>
      <c r="J27" s="23">
        <v>53416.886579476697</v>
      </c>
      <c r="K27" s="23">
        <v>45006.351688674498</v>
      </c>
      <c r="L27" s="23">
        <v>37920.062774735001</v>
      </c>
      <c r="M27" s="23">
        <v>30873.319925702599</v>
      </c>
      <c r="N27" s="23">
        <v>26012.289059673301</v>
      </c>
      <c r="O27" s="23">
        <v>21544.3469003188</v>
      </c>
      <c r="P27" s="23">
        <v>17843.830748477201</v>
      </c>
      <c r="Q27" s="23">
        <v>15294.0959163771</v>
      </c>
      <c r="R27" s="23">
        <v>12032.535255966901</v>
      </c>
      <c r="S27" s="23">
        <v>10313.1861603009</v>
      </c>
      <c r="T27" s="23">
        <v>8839.5177337443492</v>
      </c>
      <c r="U27" s="23">
        <v>7196.8567300115101</v>
      </c>
      <c r="V27" s="23">
        <v>6168.4858300179803</v>
      </c>
      <c r="W27" s="23">
        <v>5022.1867410566001</v>
      </c>
      <c r="X27" s="23">
        <v>4304.5580744612398</v>
      </c>
      <c r="Y27" s="23">
        <v>3565.1953657755398</v>
      </c>
      <c r="Z27" s="23">
        <v>3003.8522786645499</v>
      </c>
      <c r="AA27" s="23">
        <v>2530.8931450592099</v>
      </c>
      <c r="AB27" s="23">
        <v>2206.7340690845899</v>
      </c>
      <c r="AC27" s="23">
        <v>1924.0935798357</v>
      </c>
      <c r="AD27" s="23">
        <v>1621.1433851945501</v>
      </c>
      <c r="AE27" s="23">
        <v>1319.88384813262</v>
      </c>
      <c r="AF27" s="23">
        <v>1150.8319348032301</v>
      </c>
      <c r="AG27" s="23">
        <v>953.16188323478696</v>
      </c>
      <c r="AH27" s="23">
        <v>803.08572213915102</v>
      </c>
      <c r="AI27" s="23">
        <v>676.63918212400404</v>
      </c>
      <c r="AJ27" s="23">
        <v>514.41014360154497</v>
      </c>
      <c r="AK27" s="212">
        <v>433.41582255465698</v>
      </c>
    </row>
    <row r="28" spans="1:71" ht="14.4">
      <c r="A28" s="203">
        <v>7</v>
      </c>
      <c r="B28" s="200">
        <v>1</v>
      </c>
      <c r="C28" s="22"/>
      <c r="D28" s="21"/>
      <c r="E28" s="21"/>
      <c r="F28" s="21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71" ht="14.4">
      <c r="A29" s="205">
        <v>7</v>
      </c>
      <c r="B29" s="202">
        <v>2</v>
      </c>
      <c r="C29" s="22"/>
      <c r="D29" s="21"/>
      <c r="E29" s="21"/>
      <c r="F29" s="21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71" ht="14.4">
      <c r="A30" s="204">
        <v>8</v>
      </c>
      <c r="B30" s="201">
        <v>1</v>
      </c>
      <c r="C30" s="22"/>
      <c r="D30" s="21"/>
      <c r="E30" s="21"/>
      <c r="F30" s="21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71" ht="14.4">
      <c r="A31" s="204">
        <v>8</v>
      </c>
      <c r="B31" s="201">
        <v>2</v>
      </c>
      <c r="C31" s="22"/>
      <c r="D31" s="21"/>
      <c r="E31" s="21"/>
      <c r="F31" s="21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 spans="1:71" ht="14.4">
      <c r="A32" s="204">
        <v>8</v>
      </c>
      <c r="B32" s="201">
        <v>3</v>
      </c>
      <c r="C32" s="22"/>
      <c r="D32" s="21"/>
      <c r="E32" s="21"/>
      <c r="F32" s="21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7" ht="14.4">
      <c r="A33" s="204">
        <v>8</v>
      </c>
      <c r="B33" s="201">
        <v>4</v>
      </c>
      <c r="C33" s="22"/>
      <c r="D33" s="21"/>
      <c r="E33" s="21"/>
      <c r="F33" s="21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7" ht="14.4">
      <c r="A34" s="203">
        <v>9</v>
      </c>
      <c r="B34" s="200">
        <v>1</v>
      </c>
      <c r="C34" s="22"/>
      <c r="D34" s="21"/>
      <c r="E34" s="21"/>
      <c r="F34" s="21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7" ht="14.4">
      <c r="A35" s="204">
        <v>9</v>
      </c>
      <c r="B35" s="201">
        <v>2</v>
      </c>
      <c r="C35" s="22"/>
      <c r="D35" s="21"/>
      <c r="E35" s="21"/>
      <c r="F35" s="21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7" ht="14.4">
      <c r="A36" s="204">
        <v>9</v>
      </c>
      <c r="B36" s="201">
        <v>3</v>
      </c>
      <c r="C36" s="22"/>
      <c r="D36" s="21"/>
      <c r="E36" s="21"/>
      <c r="F36" s="21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7" ht="14.4">
      <c r="A37" s="205">
        <v>9</v>
      </c>
      <c r="B37" s="202">
        <v>4</v>
      </c>
      <c r="C37" s="22"/>
      <c r="D37" s="21"/>
      <c r="E37" s="21"/>
      <c r="F37" s="21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7" ht="14.4">
      <c r="A38" s="203">
        <v>11</v>
      </c>
      <c r="B38" s="200" t="s">
        <v>221</v>
      </c>
      <c r="C38" s="223">
        <v>655.64184941797805</v>
      </c>
      <c r="D38" s="223">
        <v>419.00791057866599</v>
      </c>
      <c r="E38" s="223">
        <v>334.96543915782701</v>
      </c>
      <c r="F38" s="223">
        <v>276.48187540100997</v>
      </c>
      <c r="G38" s="223">
        <v>241.73154808040999</v>
      </c>
      <c r="H38" s="223">
        <v>221.02654979706301</v>
      </c>
      <c r="I38" s="223">
        <v>200.80650517628499</v>
      </c>
      <c r="J38" s="223">
        <v>185.970665173849</v>
      </c>
      <c r="K38" s="223">
        <v>168.95761786607699</v>
      </c>
      <c r="L38" s="223">
        <v>161.55980984398701</v>
      </c>
      <c r="M38" s="293">
        <v>152.52229565390101</v>
      </c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7" ht="14.4">
      <c r="A39" s="204">
        <v>11</v>
      </c>
      <c r="B39" s="201" t="s">
        <v>222</v>
      </c>
      <c r="C39" s="21">
        <v>318.25686305580098</v>
      </c>
      <c r="D39" s="21">
        <v>221.02654979706301</v>
      </c>
      <c r="E39" s="21">
        <v>172.23091590006999</v>
      </c>
      <c r="F39" s="21">
        <v>144.91425587942101</v>
      </c>
      <c r="G39" s="21">
        <v>133.352143216332</v>
      </c>
      <c r="H39" s="21">
        <v>117.339557049307</v>
      </c>
      <c r="I39" s="21">
        <v>106.605049898479</v>
      </c>
      <c r="J39" s="21">
        <v>100</v>
      </c>
      <c r="K39" s="21">
        <v>93.206123214305194</v>
      </c>
      <c r="L39" s="21">
        <v>85.769589859089393</v>
      </c>
      <c r="M39" s="211">
        <v>77.923179843419405</v>
      </c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7" ht="14.4">
      <c r="A40" s="204">
        <v>11</v>
      </c>
      <c r="B40" s="201" t="s">
        <v>223</v>
      </c>
      <c r="C40" s="24">
        <v>240.19035030788001</v>
      </c>
      <c r="D40" s="24">
        <v>183.60685383587801</v>
      </c>
      <c r="E40" s="24">
        <v>157.47884548821</v>
      </c>
      <c r="F40" s="24">
        <v>138.56918628031201</v>
      </c>
      <c r="G40" s="24">
        <v>124.29236291513099</v>
      </c>
      <c r="H40" s="24">
        <v>113.646366638572</v>
      </c>
      <c r="I40" s="24">
        <v>106.605049898479</v>
      </c>
      <c r="J40" s="24">
        <v>100</v>
      </c>
      <c r="K40" s="24">
        <v>93.206123214305194</v>
      </c>
      <c r="L40" s="24">
        <v>87.992254356910706</v>
      </c>
      <c r="M40" s="302">
        <v>84.139514164519497</v>
      </c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7" ht="14.4">
      <c r="A41" s="303">
        <v>11</v>
      </c>
      <c r="B41" s="202" t="s">
        <v>224</v>
      </c>
      <c r="C41" s="23">
        <v>285.46676634979298</v>
      </c>
      <c r="D41" s="23">
        <v>243.282635053614</v>
      </c>
      <c r="E41" s="23">
        <v>208.66251828387001</v>
      </c>
      <c r="F41" s="23">
        <v>190.78997695786501</v>
      </c>
      <c r="G41" s="23">
        <v>171.132830416178</v>
      </c>
      <c r="H41" s="23">
        <v>159.50627677783001</v>
      </c>
      <c r="I41" s="23">
        <v>151.549865600027</v>
      </c>
      <c r="J41" s="23">
        <v>144.91425587942101</v>
      </c>
      <c r="K41" s="23">
        <v>134.20780634278</v>
      </c>
      <c r="L41" s="23">
        <v>128.331518555765</v>
      </c>
      <c r="M41" s="212">
        <v>123.499917268758</v>
      </c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7" ht="14.4">
      <c r="A42" s="204">
        <v>11</v>
      </c>
      <c r="B42" s="201" t="s">
        <v>225</v>
      </c>
      <c r="C42" s="22"/>
      <c r="D42" s="21"/>
      <c r="E42" s="21"/>
      <c r="F42" s="21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7" ht="14.4">
      <c r="A43" s="204">
        <v>11</v>
      </c>
      <c r="B43" s="201" t="s">
        <v>226</v>
      </c>
      <c r="C43" s="22"/>
      <c r="D43" s="21"/>
      <c r="E43" s="21"/>
      <c r="F43" s="21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7" ht="14.4">
      <c r="A44" s="204">
        <v>11</v>
      </c>
      <c r="B44" s="201" t="s">
        <v>227</v>
      </c>
      <c r="C44" s="22"/>
      <c r="D44" s="21"/>
      <c r="E44" s="21"/>
      <c r="F44" s="21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7" ht="14.4">
      <c r="A45" s="205">
        <v>11</v>
      </c>
      <c r="B45" s="202" t="s">
        <v>228</v>
      </c>
      <c r="C45" s="22"/>
      <c r="D45" s="21"/>
      <c r="E45" s="21"/>
      <c r="F45" s="21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7" ht="14.4">
      <c r="A46" s="203">
        <v>12</v>
      </c>
      <c r="B46" s="200" t="s">
        <v>221</v>
      </c>
      <c r="C46" s="224">
        <v>562700.78473477904</v>
      </c>
      <c r="D46" s="224">
        <v>388458.95512550999</v>
      </c>
      <c r="E46" s="224">
        <v>227128.08429550001</v>
      </c>
      <c r="F46" s="224">
        <v>156797.29298772701</v>
      </c>
      <c r="G46" s="224">
        <v>108244.58442728101</v>
      </c>
      <c r="H46" s="224">
        <v>79656.431763423505</v>
      </c>
      <c r="I46" s="224">
        <v>59372.444421993001</v>
      </c>
      <c r="J46" s="224">
        <v>44822.7312003548</v>
      </c>
      <c r="K46" s="224">
        <v>34714.468792597203</v>
      </c>
      <c r="L46" s="224">
        <v>28295.695616641799</v>
      </c>
      <c r="M46" s="224">
        <v>22481.805842048299</v>
      </c>
      <c r="N46" s="224">
        <v>17190.7211559961</v>
      </c>
      <c r="O46" s="224">
        <v>14012.1231918248</v>
      </c>
      <c r="P46" s="224">
        <v>11568.1284651479</v>
      </c>
      <c r="Q46" s="224">
        <v>9429.1542903016798</v>
      </c>
      <c r="R46" s="224">
        <v>7685.6852200377998</v>
      </c>
      <c r="S46" s="224">
        <v>6677.8887643450498</v>
      </c>
      <c r="T46" s="224">
        <v>5106.2501146551904</v>
      </c>
      <c r="U46" s="224">
        <v>4215.61378721664</v>
      </c>
      <c r="V46" s="224">
        <v>3570.4192644024101</v>
      </c>
      <c r="W46" s="224">
        <v>2800.7911790926</v>
      </c>
      <c r="X46" s="224">
        <v>2225.3141839322798</v>
      </c>
      <c r="Y46" s="224">
        <v>1768.0835720415</v>
      </c>
      <c r="Z46" s="224">
        <v>1301.12000363077</v>
      </c>
      <c r="AA46" s="304">
        <v>933.32588084151905</v>
      </c>
    </row>
    <row r="47" spans="1:27" ht="14.4">
      <c r="A47" s="204">
        <v>12</v>
      </c>
      <c r="B47" s="201" t="s">
        <v>222</v>
      </c>
      <c r="C47" s="24">
        <v>5238.4271083747899</v>
      </c>
      <c r="D47" s="24">
        <v>4162.09448140933</v>
      </c>
      <c r="E47" s="24">
        <v>3954.7029531118301</v>
      </c>
      <c r="F47" s="24">
        <v>3349.44051364399</v>
      </c>
      <c r="G47" s="24">
        <v>2947.6666854558998</v>
      </c>
      <c r="H47" s="24">
        <v>2695.4555855527101</v>
      </c>
      <c r="I47" s="24">
        <v>2561.1496797345199</v>
      </c>
      <c r="J47" s="24">
        <v>2496.52747855589</v>
      </c>
      <c r="K47" s="24">
        <v>2402.6361789880498</v>
      </c>
      <c r="L47" s="24">
        <v>2464.8292208504399</v>
      </c>
      <c r="M47" s="24">
        <v>2433.5346201983998</v>
      </c>
      <c r="N47" s="24">
        <v>2342.0135454316501</v>
      </c>
      <c r="O47" s="24">
        <v>2087.5860595875802</v>
      </c>
      <c r="P47" s="24">
        <v>1908.96972975215</v>
      </c>
      <c r="Q47" s="24">
        <v>1723.46926934318</v>
      </c>
      <c r="R47" s="24">
        <v>1596.27500910189</v>
      </c>
      <c r="S47" s="24">
        <v>1404.79711535256</v>
      </c>
      <c r="T47" s="24">
        <v>1159.7723824858299</v>
      </c>
      <c r="U47" s="24">
        <v>1007.69606295448</v>
      </c>
      <c r="V47" s="24">
        <v>821.37109001445299</v>
      </c>
      <c r="W47" s="24">
        <v>669.49796899425303</v>
      </c>
      <c r="X47" s="24">
        <v>581.70880769108305</v>
      </c>
      <c r="Y47" s="24">
        <v>468.12968952395602</v>
      </c>
      <c r="Z47" s="24">
        <v>353.41077283562998</v>
      </c>
      <c r="AA47" s="302">
        <v>288.06414889277602</v>
      </c>
    </row>
    <row r="48" spans="1:27" ht="14.4">
      <c r="A48" s="204">
        <v>12</v>
      </c>
      <c r="B48" s="201" t="s">
        <v>223</v>
      </c>
      <c r="C48" s="24">
        <v>1745.63432235659</v>
      </c>
      <c r="D48" s="24">
        <v>1236.2881621218201</v>
      </c>
      <c r="E48" s="24">
        <v>800.64570746283596</v>
      </c>
      <c r="F48" s="24">
        <v>538.77742038580698</v>
      </c>
      <c r="G48" s="24">
        <v>376.72698662347301</v>
      </c>
      <c r="H48" s="24">
        <v>273.71083635512701</v>
      </c>
      <c r="I48" s="24">
        <v>214.71060940340399</v>
      </c>
      <c r="J48" s="24">
        <v>172.788019712161</v>
      </c>
      <c r="K48" s="24">
        <v>142.65033085314201</v>
      </c>
      <c r="L48" s="24">
        <v>120.817813679325</v>
      </c>
      <c r="M48" s="24">
        <v>109.07762827131999</v>
      </c>
      <c r="N48" s="24">
        <v>98.478363628808694</v>
      </c>
      <c r="O48" s="24">
        <v>90.052306794767702</v>
      </c>
      <c r="P48" s="24">
        <v>80.269443332108096</v>
      </c>
      <c r="Q48" s="24">
        <v>71.549414373825599</v>
      </c>
      <c r="R48" s="24">
        <v>67.984270282736404</v>
      </c>
      <c r="S48" s="24">
        <v>63.776619022257201</v>
      </c>
      <c r="T48" s="24">
        <v>59.069764499745702</v>
      </c>
      <c r="U48" s="24">
        <v>56.1264528917985</v>
      </c>
      <c r="V48" s="24">
        <v>53.3297997866377</v>
      </c>
      <c r="W48" s="24">
        <v>50.0291362896238</v>
      </c>
      <c r="X48" s="24">
        <v>47.536298560814998</v>
      </c>
      <c r="Y48" s="24">
        <v>46.336876179065399</v>
      </c>
      <c r="Z48" s="24">
        <v>35.431509516214902</v>
      </c>
      <c r="AA48" s="302">
        <v>98.478363628808694</v>
      </c>
    </row>
    <row r="49" spans="1:47" ht="14.4">
      <c r="A49" s="204">
        <v>12</v>
      </c>
      <c r="B49" s="201" t="s">
        <v>224</v>
      </c>
      <c r="C49" s="24">
        <v>713.66798014118797</v>
      </c>
      <c r="D49" s="24">
        <v>921.47594800557795</v>
      </c>
      <c r="E49" s="24">
        <v>1020.65476327748</v>
      </c>
      <c r="F49" s="24">
        <v>1060.5403701672401</v>
      </c>
      <c r="G49" s="24">
        <v>1060.5403701672401</v>
      </c>
      <c r="H49" s="24">
        <v>1101.9835704792799</v>
      </c>
      <c r="I49" s="24">
        <v>1074.1786340671099</v>
      </c>
      <c r="J49" s="24">
        <v>1020.65476327748</v>
      </c>
      <c r="K49" s="24">
        <v>969.79786486418004</v>
      </c>
      <c r="L49" s="24">
        <v>957.48486701532602</v>
      </c>
      <c r="M49" s="24">
        <v>909.77558042197802</v>
      </c>
      <c r="N49" s="24">
        <v>886.82038141481803</v>
      </c>
      <c r="O49" s="24">
        <v>810.94258647688901</v>
      </c>
      <c r="P49" s="24">
        <v>751.09251072787401</v>
      </c>
      <c r="Q49" s="24">
        <v>713.66798014118797</v>
      </c>
      <c r="R49" s="24">
        <v>644.31898141777106</v>
      </c>
      <c r="S49" s="24">
        <v>596.766825814041</v>
      </c>
      <c r="T49" s="24">
        <v>518.51517587072703</v>
      </c>
      <c r="U49" s="24">
        <v>462.18610058761601</v>
      </c>
      <c r="V49" s="24">
        <v>401.58148352883001</v>
      </c>
      <c r="W49" s="24">
        <v>335.80112026853402</v>
      </c>
      <c r="X49" s="24">
        <v>284.40675452828702</v>
      </c>
      <c r="Y49" s="24">
        <v>234.80052435297901</v>
      </c>
      <c r="Z49" s="24">
        <v>198.864494974715</v>
      </c>
      <c r="AA49" s="302">
        <v>139.051018227436</v>
      </c>
    </row>
    <row r="50" spans="1:47" ht="14.4">
      <c r="A50" s="205">
        <v>12</v>
      </c>
      <c r="B50" s="202" t="s">
        <v>229</v>
      </c>
      <c r="C50" s="31">
        <v>2169.1667459215901</v>
      </c>
      <c r="D50" s="31">
        <v>2627.4458966318598</v>
      </c>
      <c r="E50" s="31">
        <v>2141.6260114613401</v>
      </c>
      <c r="F50" s="31">
        <v>1596.27500910189</v>
      </c>
      <c r="G50" s="31">
        <v>1130.5093351850601</v>
      </c>
      <c r="H50" s="31">
        <v>821.37109001445299</v>
      </c>
      <c r="I50" s="31">
        <v>628.06170790898295</v>
      </c>
      <c r="J50" s="31">
        <v>545.705953093483</v>
      </c>
      <c r="K50" s="31">
        <v>531.93685550257806</v>
      </c>
      <c r="L50" s="31">
        <v>505.43165551143301</v>
      </c>
      <c r="M50" s="31">
        <v>468.12968952395602</v>
      </c>
      <c r="N50" s="31">
        <v>474.14971141533101</v>
      </c>
      <c r="O50" s="31">
        <v>462.18610058761601</v>
      </c>
      <c r="P50" s="31">
        <v>422.64029369206202</v>
      </c>
      <c r="Q50" s="31">
        <v>391.44851199749098</v>
      </c>
      <c r="R50" s="31">
        <v>371.94352566424101</v>
      </c>
      <c r="S50" s="31">
        <v>327.327962686734</v>
      </c>
      <c r="T50" s="31">
        <v>295.520929875376</v>
      </c>
      <c r="U50" s="31">
        <v>273.71083635512701</v>
      </c>
      <c r="V50" s="31">
        <v>250.29144778857599</v>
      </c>
      <c r="W50" s="31">
        <v>214.71060940340399</v>
      </c>
      <c r="X50" s="31">
        <v>188.955530863809</v>
      </c>
      <c r="Y50" s="31">
        <v>160.035884454973</v>
      </c>
      <c r="Z50" s="31">
        <v>146.34295375798999</v>
      </c>
      <c r="AA50" s="305">
        <v>110.48033723156701</v>
      </c>
    </row>
    <row r="51" spans="1:47" ht="14.4">
      <c r="A51" s="203">
        <v>12</v>
      </c>
      <c r="B51" s="200" t="s">
        <v>225</v>
      </c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47" ht="14.4">
      <c r="A52" s="204">
        <v>12</v>
      </c>
      <c r="B52" s="201" t="s">
        <v>226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47" ht="14.4">
      <c r="A53" s="204">
        <v>12</v>
      </c>
      <c r="B53" s="201" t="s">
        <v>227</v>
      </c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47" ht="14.4">
      <c r="A54" s="204">
        <v>12</v>
      </c>
      <c r="B54" s="201" t="s">
        <v>228</v>
      </c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47" ht="14.4">
      <c r="A55" s="205">
        <v>12</v>
      </c>
      <c r="B55" s="202" t="s">
        <v>230</v>
      </c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47" ht="14.4">
      <c r="A56" s="203">
        <v>13</v>
      </c>
      <c r="B56" s="200">
        <v>1</v>
      </c>
      <c r="C56" s="223">
        <v>6.07039264789507</v>
      </c>
      <c r="D56" s="223">
        <v>5.5828127477234402</v>
      </c>
      <c r="E56" s="223">
        <v>5.40588804762056</v>
      </c>
      <c r="F56" s="223">
        <v>5.2683933589457501</v>
      </c>
      <c r="G56" s="223">
        <v>5.0361407517820203</v>
      </c>
      <c r="H56" s="223">
        <v>4.7832177460339604</v>
      </c>
      <c r="I56" s="223">
        <v>4.6316329798085496</v>
      </c>
      <c r="J56" s="223">
        <v>4.5429991686720896</v>
      </c>
      <c r="K56" s="223">
        <v>4.3707853953156599</v>
      </c>
      <c r="L56" s="223">
        <v>4.2050977504401201</v>
      </c>
      <c r="M56" s="223">
        <v>4.0718341623494503</v>
      </c>
      <c r="N56" s="223">
        <v>3.8425137238918201</v>
      </c>
      <c r="O56" s="223">
        <v>3.8425137238918201</v>
      </c>
      <c r="P56" s="223">
        <v>3.64953656765746</v>
      </c>
      <c r="Q56" s="223">
        <v>3.5338792472483802</v>
      </c>
      <c r="R56" s="223">
        <v>3.35640220575615</v>
      </c>
      <c r="S56" s="223">
        <v>3.16737397062291</v>
      </c>
      <c r="T56" s="223">
        <v>3.0277415151837999</v>
      </c>
      <c r="U56" s="223">
        <v>2.8206526469209701</v>
      </c>
      <c r="V56" s="223">
        <v>2.95073319141704</v>
      </c>
      <c r="W56" s="223">
        <v>2.6963065917733799</v>
      </c>
      <c r="X56" s="223">
        <v>2.7845517109716802</v>
      </c>
      <c r="Y56" s="223">
        <v>2.3400798870409498</v>
      </c>
      <c r="Z56" s="223">
        <v>2.1800251092398502</v>
      </c>
      <c r="AA56" s="223">
        <v>2.0178791250281098</v>
      </c>
      <c r="AB56" s="223">
        <v>1.99205173851446</v>
      </c>
      <c r="AC56" s="223">
        <v>1.95393059671949</v>
      </c>
      <c r="AD56" s="223">
        <v>2.0178791250281098</v>
      </c>
      <c r="AE56" s="223">
        <v>1.85580109162762</v>
      </c>
      <c r="AF56" s="223">
        <v>1.6210268552735101</v>
      </c>
      <c r="AG56" s="223">
        <v>1.8920086587165701</v>
      </c>
      <c r="AH56" s="223">
        <v>1.65265305259449</v>
      </c>
      <c r="AI56" s="223">
        <v>1.5199110829529301</v>
      </c>
      <c r="AJ56" s="223">
        <v>1.5495645138405301</v>
      </c>
      <c r="AK56" s="223">
        <v>1.4251026703029901</v>
      </c>
      <c r="AL56" s="223">
        <v>1.6210268552735101</v>
      </c>
      <c r="AM56" s="223">
        <v>1.3448420685615401</v>
      </c>
      <c r="AN56" s="223">
        <v>1.39783033182509</v>
      </c>
      <c r="AO56" s="223">
        <v>1.2855558582567399</v>
      </c>
      <c r="AP56" s="223">
        <v>1.32762971969893</v>
      </c>
      <c r="AQ56" s="223">
        <v>1.5396163060371699</v>
      </c>
      <c r="AR56" s="223">
        <v>1.40686239167033</v>
      </c>
      <c r="AS56" s="293">
        <v>1.3448420685615401</v>
      </c>
    </row>
    <row r="57" spans="1:47" ht="14.4">
      <c r="A57" s="204">
        <v>13</v>
      </c>
      <c r="B57" s="201">
        <v>2</v>
      </c>
      <c r="C57" s="21">
        <v>13.2336083953562</v>
      </c>
      <c r="D57" s="21">
        <v>12.6502161080688</v>
      </c>
      <c r="E57" s="21">
        <v>12.170671970221401</v>
      </c>
      <c r="F57" s="21">
        <v>12.4081276026529</v>
      </c>
      <c r="G57" s="21">
        <v>11.411494605623201</v>
      </c>
      <c r="H57" s="21">
        <v>10.9789132925508</v>
      </c>
      <c r="I57" s="21">
        <v>10.8383965061256</v>
      </c>
      <c r="J57" s="21">
        <v>10.4275399133434</v>
      </c>
      <c r="K57" s="21">
        <v>10.360589991577701</v>
      </c>
      <c r="L57" s="21">
        <v>9.7770949510583804</v>
      </c>
      <c r="M57" s="21">
        <v>9.4672494179444797</v>
      </c>
      <c r="N57" s="21">
        <v>10.162323293724301</v>
      </c>
      <c r="O57" s="21">
        <v>10.2279869941505</v>
      </c>
      <c r="P57" s="21">
        <v>9.5899896649675398</v>
      </c>
      <c r="Q57" s="21">
        <v>8.8767050765396505</v>
      </c>
      <c r="R57" s="21">
        <v>8.7630897017950407</v>
      </c>
      <c r="S57" s="21">
        <v>8.7068306454122109</v>
      </c>
      <c r="T57" s="21">
        <v>8.2164691567812795</v>
      </c>
      <c r="U57" s="21">
        <v>8.9340617740261106</v>
      </c>
      <c r="V57" s="21">
        <v>8.6509327723029497</v>
      </c>
      <c r="W57" s="21">
        <v>8.2164691567812795</v>
      </c>
      <c r="X57" s="21">
        <v>7.6544861439444096</v>
      </c>
      <c r="Y57" s="21">
        <v>7.7537244209419098</v>
      </c>
      <c r="Z57" s="21">
        <v>8.1637194055760105</v>
      </c>
      <c r="AA57" s="21">
        <v>8.0592336895874208</v>
      </c>
      <c r="AB57" s="21">
        <v>7.8542531540406104</v>
      </c>
      <c r="AC57" s="21">
        <v>7.8542531540406104</v>
      </c>
      <c r="AD57" s="21">
        <v>7.8038288304201799</v>
      </c>
      <c r="AE57" s="21">
        <v>7.6053443249960697</v>
      </c>
      <c r="AF57" s="21">
        <v>7.0396702981813402</v>
      </c>
      <c r="AG57" s="21">
        <v>7.5080014440401701</v>
      </c>
      <c r="AH57" s="21">
        <v>6.9944755984008804</v>
      </c>
      <c r="AI57" s="21">
        <v>7.0396702981813402</v>
      </c>
      <c r="AJ57" s="21">
        <v>6.8165763825136896</v>
      </c>
      <c r="AK57" s="21">
        <v>6.9495710486987203</v>
      </c>
      <c r="AL57" s="21">
        <v>6.8165763825136896</v>
      </c>
      <c r="AM57" s="21">
        <v>6.4326756089330699</v>
      </c>
      <c r="AN57" s="21">
        <v>6.4742402464589004</v>
      </c>
      <c r="AO57" s="21">
        <v>6.3095728247048397</v>
      </c>
      <c r="AP57" s="21">
        <v>6.1490935947315801</v>
      </c>
      <c r="AQ57" s="21">
        <v>5.9542229104880304</v>
      </c>
      <c r="AR57" s="21">
        <v>5.9926960330373502</v>
      </c>
      <c r="AS57" s="211">
        <v>5.5828127477234402</v>
      </c>
      <c r="AT57" s="21"/>
      <c r="AU57" s="21"/>
    </row>
    <row r="58" spans="1:47" ht="14.4">
      <c r="A58" s="204">
        <v>13</v>
      </c>
      <c r="B58" s="201">
        <v>3</v>
      </c>
      <c r="C58" s="21">
        <v>22.441336418153099</v>
      </c>
      <c r="D58" s="21">
        <v>22.297273942597801</v>
      </c>
      <c r="E58" s="21">
        <v>19.856469538689002</v>
      </c>
      <c r="F58" s="21">
        <v>20.374674267205499</v>
      </c>
      <c r="G58" s="21">
        <v>20.638841446555301</v>
      </c>
      <c r="H58" s="21">
        <v>18.144343483120998</v>
      </c>
      <c r="I58" s="21">
        <v>19.856469538689002</v>
      </c>
      <c r="J58" s="21">
        <v>17.5693318045323</v>
      </c>
      <c r="K58" s="21">
        <v>17.9121046701284</v>
      </c>
      <c r="L58" s="21">
        <v>17.682855780000999</v>
      </c>
      <c r="M58" s="21">
        <v>17.4565323642348</v>
      </c>
      <c r="N58" s="21">
        <v>17.0125427985258</v>
      </c>
      <c r="O58" s="21">
        <v>16.158149786380001</v>
      </c>
      <c r="P58" s="21">
        <v>16.7947904863967</v>
      </c>
      <c r="Q58" s="21">
        <v>15.747171685098101</v>
      </c>
      <c r="R58" s="21">
        <v>15.150239384609501</v>
      </c>
      <c r="S58" s="21">
        <v>15.2481324304793</v>
      </c>
      <c r="T58" s="21">
        <v>15.2481324304793</v>
      </c>
      <c r="U58" s="21">
        <v>14.8603149751968</v>
      </c>
      <c r="V58" s="21">
        <v>14.389377315413499</v>
      </c>
      <c r="W58" s="21">
        <v>14.389377315413499</v>
      </c>
      <c r="X58" s="21">
        <v>14.389377315413499</v>
      </c>
      <c r="Y58" s="21">
        <v>14.2969904539361</v>
      </c>
      <c r="Z58" s="21">
        <v>14.2969904539361</v>
      </c>
      <c r="AA58" s="21">
        <v>13.8439050894901</v>
      </c>
      <c r="AB58" s="21">
        <v>13.755027186434001</v>
      </c>
      <c r="AC58" s="21">
        <v>13.319117158669</v>
      </c>
      <c r="AD58" s="21">
        <v>13.064234243746199</v>
      </c>
      <c r="AE58" s="21">
        <v>12.8970215385188</v>
      </c>
      <c r="AF58" s="21">
        <v>12.8970215385188</v>
      </c>
      <c r="AG58" s="21">
        <v>12.6502161080688</v>
      </c>
      <c r="AH58" s="21">
        <v>12.249318604911499</v>
      </c>
      <c r="AI58" s="21">
        <v>12.0149021168379</v>
      </c>
      <c r="AJ58" s="21">
        <v>11.784971681552401</v>
      </c>
      <c r="AK58" s="21">
        <v>11.937766417144299</v>
      </c>
      <c r="AL58" s="21">
        <v>11.634138324490699</v>
      </c>
      <c r="AM58" s="21">
        <v>11.485235451626901</v>
      </c>
      <c r="AN58" s="21">
        <v>11.193117143059</v>
      </c>
      <c r="AO58" s="21">
        <v>10.9084286435324</v>
      </c>
      <c r="AP58" s="21">
        <v>10.768813975204701</v>
      </c>
      <c r="AQ58" s="21">
        <v>10.562730058686</v>
      </c>
      <c r="AR58" s="21">
        <v>10.2940749795979</v>
      </c>
      <c r="AS58" s="211">
        <v>9.8402695042928308</v>
      </c>
    </row>
    <row r="59" spans="1:47" ht="14.4">
      <c r="A59" s="204">
        <v>13</v>
      </c>
      <c r="B59" s="201">
        <v>4</v>
      </c>
      <c r="C59" s="21">
        <v>59.350790726368302</v>
      </c>
      <c r="D59" s="21">
        <v>56.734361970147503</v>
      </c>
      <c r="E59" s="21">
        <v>53.5391297065148</v>
      </c>
      <c r="F59" s="21">
        <v>49.877206215656301</v>
      </c>
      <c r="G59" s="21">
        <v>44.417323321485298</v>
      </c>
      <c r="H59" s="21">
        <v>44.704336177511699</v>
      </c>
      <c r="I59" s="21">
        <v>42.459223680513603</v>
      </c>
      <c r="J59" s="21">
        <v>38.549079074858298</v>
      </c>
      <c r="K59" s="21">
        <v>37.811361326902997</v>
      </c>
      <c r="L59" s="21">
        <v>35.452779178418297</v>
      </c>
      <c r="M59" s="21">
        <v>35.452779178418297</v>
      </c>
      <c r="N59" s="21">
        <v>33.672292442842497</v>
      </c>
      <c r="O59" s="21">
        <v>32.605185142019003</v>
      </c>
      <c r="P59" s="21">
        <v>30.967708447619302</v>
      </c>
      <c r="Q59" s="21">
        <v>30.571351793382298</v>
      </c>
      <c r="R59" s="21">
        <v>29.223632763562598</v>
      </c>
      <c r="S59" s="21">
        <v>28.115823880405902</v>
      </c>
      <c r="T59" s="21">
        <v>27.0500363785454</v>
      </c>
      <c r="U59" s="21">
        <v>26.703822129786101</v>
      </c>
      <c r="V59" s="21">
        <v>25.362719903301102</v>
      </c>
      <c r="W59" s="21">
        <v>25.038101670078401</v>
      </c>
      <c r="X59" s="21">
        <v>23.780654188084899</v>
      </c>
      <c r="Y59" s="21">
        <v>23.175799781196201</v>
      </c>
      <c r="Z59" s="21">
        <v>23.175799781196201</v>
      </c>
      <c r="AA59" s="21">
        <v>22.879183248661398</v>
      </c>
      <c r="AB59" s="21">
        <v>22.011890446642902</v>
      </c>
      <c r="AC59" s="21">
        <v>21.1774693494568</v>
      </c>
      <c r="AD59" s="21">
        <v>22.011890446642902</v>
      </c>
      <c r="AE59" s="21">
        <v>19.728981263102899</v>
      </c>
      <c r="AF59" s="21">
        <v>19.227198940339299</v>
      </c>
      <c r="AG59" s="21">
        <v>19.728981263102899</v>
      </c>
      <c r="AH59" s="21">
        <v>19.227198940339299</v>
      </c>
      <c r="AI59" s="21">
        <v>18.498334669539702</v>
      </c>
      <c r="AJ59" s="21">
        <v>18.617870531872502</v>
      </c>
      <c r="AK59" s="21">
        <v>17.682855780000999</v>
      </c>
      <c r="AL59" s="21">
        <v>18.0278523261304</v>
      </c>
      <c r="AM59" s="21">
        <v>17.233109902959399</v>
      </c>
      <c r="AN59" s="21">
        <v>17.233109902959399</v>
      </c>
      <c r="AO59" s="21">
        <v>17.0125427985258</v>
      </c>
      <c r="AP59" s="21">
        <v>16.054410482437</v>
      </c>
      <c r="AQ59" s="21">
        <v>15.5456307887078</v>
      </c>
      <c r="AR59" s="21">
        <v>15.3466655520605</v>
      </c>
      <c r="AS59" s="211">
        <v>14.670113741724199</v>
      </c>
    </row>
    <row r="60" spans="1:47" ht="14.4">
      <c r="A60" s="204">
        <v>13</v>
      </c>
      <c r="B60" s="201">
        <v>5</v>
      </c>
      <c r="C60" s="21">
        <v>25.199884990662198</v>
      </c>
      <c r="D60" s="21">
        <v>24.2446201708232</v>
      </c>
      <c r="E60" s="21">
        <v>23.3255613279294</v>
      </c>
      <c r="F60" s="21">
        <v>22.011890446642902</v>
      </c>
      <c r="G60" s="21">
        <v>21.730148904778499</v>
      </c>
      <c r="H60" s="21">
        <v>22.297273942597801</v>
      </c>
      <c r="I60" s="21">
        <v>22.441336418153099</v>
      </c>
      <c r="J60" s="21">
        <v>20.906423403623201</v>
      </c>
      <c r="K60" s="21">
        <v>20.113908067560899</v>
      </c>
      <c r="L60" s="21">
        <v>19.856469538689002</v>
      </c>
      <c r="M60" s="21">
        <v>19.4764789948768</v>
      </c>
      <c r="N60" s="21">
        <v>19.856469538689002</v>
      </c>
      <c r="O60" s="21">
        <v>19.4764789948768</v>
      </c>
      <c r="P60" s="21">
        <v>19.4764789948768</v>
      </c>
      <c r="Q60" s="21">
        <v>19.856469538689002</v>
      </c>
      <c r="R60" s="21">
        <v>18.617870531872502</v>
      </c>
      <c r="S60" s="21">
        <v>18.981114092498402</v>
      </c>
      <c r="T60" s="21">
        <v>18.8592506619663</v>
      </c>
      <c r="U60" s="21">
        <v>18.379584349305201</v>
      </c>
      <c r="V60" s="21">
        <v>18.498334669539702</v>
      </c>
      <c r="W60" s="21">
        <v>18.0278523261304</v>
      </c>
      <c r="X60" s="21">
        <v>18.144343483120998</v>
      </c>
      <c r="Y60" s="21">
        <v>17.9121046701284</v>
      </c>
      <c r="Z60" s="21">
        <v>17.4565323642348</v>
      </c>
      <c r="AA60" s="21">
        <v>17.3444528626652</v>
      </c>
      <c r="AB60" s="21">
        <v>17.4565323642348</v>
      </c>
      <c r="AC60" s="21">
        <v>17.1224690901348</v>
      </c>
      <c r="AD60" s="21">
        <v>17.5693318045323</v>
      </c>
      <c r="AE60" s="21">
        <v>16.903318080872399</v>
      </c>
      <c r="AF60" s="21">
        <v>16.7947904863967</v>
      </c>
      <c r="AG60" s="21">
        <v>16.579841592906199</v>
      </c>
      <c r="AH60" s="21">
        <v>16.579841592906199</v>
      </c>
      <c r="AI60" s="21">
        <v>16.158149786380001</v>
      </c>
      <c r="AJ60" s="21">
        <v>16.054410482437</v>
      </c>
      <c r="AK60" s="21">
        <v>15.6460786502393</v>
      </c>
      <c r="AL60" s="21">
        <v>15.445827802682301</v>
      </c>
      <c r="AM60" s="21">
        <v>15.3466655520605</v>
      </c>
      <c r="AN60" s="21">
        <v>14.956334678818401</v>
      </c>
      <c r="AO60" s="21">
        <v>14.956334678818401</v>
      </c>
      <c r="AP60" s="21">
        <v>14.956334678818401</v>
      </c>
      <c r="AQ60" s="21">
        <v>14.205203741780499</v>
      </c>
      <c r="AR60" s="21">
        <v>14.389377315413499</v>
      </c>
      <c r="AS60" s="211">
        <v>14.0233943470688</v>
      </c>
    </row>
    <row r="61" spans="1:47" ht="14.4">
      <c r="A61" s="204">
        <v>13</v>
      </c>
      <c r="B61" s="201">
        <v>6</v>
      </c>
      <c r="C61" s="21">
        <v>15.3466655520605</v>
      </c>
      <c r="D61" s="21">
        <v>14.5759315771882</v>
      </c>
      <c r="E61" s="21">
        <v>13.8439050894901</v>
      </c>
      <c r="F61" s="21">
        <v>13.148648598504</v>
      </c>
      <c r="G61" s="21">
        <v>13.2336083953562</v>
      </c>
      <c r="H61" s="21">
        <v>12.8970215385188</v>
      </c>
      <c r="I61" s="21">
        <v>12.6502161080688</v>
      </c>
      <c r="J61" s="21">
        <v>12.170671970221401</v>
      </c>
      <c r="K61" s="21">
        <v>11.861125928823199</v>
      </c>
      <c r="L61" s="21">
        <v>12.0149021168379</v>
      </c>
      <c r="M61" s="21">
        <v>11.937766417144299</v>
      </c>
      <c r="N61" s="21">
        <v>11.3382327835631</v>
      </c>
      <c r="O61" s="21">
        <v>11.265441302571899</v>
      </c>
      <c r="P61" s="21">
        <v>11.193117143059</v>
      </c>
      <c r="Q61" s="21">
        <v>11.265441302571899</v>
      </c>
      <c r="R61" s="21">
        <v>10.9789132925508</v>
      </c>
      <c r="S61" s="21">
        <v>10.562730058686</v>
      </c>
      <c r="T61" s="21">
        <v>10.562730058686</v>
      </c>
      <c r="U61" s="21">
        <v>10.162323293724301</v>
      </c>
      <c r="V61" s="21">
        <v>10.4275399133434</v>
      </c>
      <c r="W61" s="21">
        <v>10.360589991577701</v>
      </c>
      <c r="X61" s="21">
        <v>9.9678458526502602</v>
      </c>
      <c r="Y61" s="21">
        <v>10.0970811544084</v>
      </c>
      <c r="Z61" s="21">
        <v>9.9678458526502602</v>
      </c>
      <c r="AA61" s="21">
        <v>10.032252939990901</v>
      </c>
      <c r="AB61" s="21">
        <v>9.7770949510583804</v>
      </c>
      <c r="AC61" s="21">
        <v>9.6519552401859396</v>
      </c>
      <c r="AD61" s="21">
        <v>9.5899896649675398</v>
      </c>
      <c r="AE61" s="21">
        <v>9.5284219088869797</v>
      </c>
      <c r="AF61" s="21">
        <v>9.3460755047474304</v>
      </c>
      <c r="AG61" s="21">
        <v>9.2264570634117202</v>
      </c>
      <c r="AH61" s="21">
        <v>9.0498893920230401</v>
      </c>
      <c r="AI61" s="21">
        <v>8.9917890809581102</v>
      </c>
      <c r="AJ61" s="21">
        <v>8.8197122752317707</v>
      </c>
      <c r="AK61" s="21">
        <v>8.6509327723029497</v>
      </c>
      <c r="AL61" s="21">
        <v>8.5402071189957098</v>
      </c>
      <c r="AM61" s="21">
        <v>8.3229974765968304</v>
      </c>
      <c r="AN61" s="21">
        <v>8.2695597497173807</v>
      </c>
      <c r="AO61" s="21">
        <v>8.11130830789687</v>
      </c>
      <c r="AP61" s="21">
        <v>7.9560813545822997</v>
      </c>
      <c r="AQ61" s="21">
        <v>7.7537244209419098</v>
      </c>
      <c r="AR61" s="21">
        <v>7.5080014440401701</v>
      </c>
      <c r="AS61" s="211">
        <v>7.3170446808063101</v>
      </c>
    </row>
    <row r="62" spans="1:47" ht="14.4">
      <c r="A62" s="204">
        <v>13</v>
      </c>
      <c r="B62" s="201">
        <v>7</v>
      </c>
      <c r="C62" s="21">
        <v>6.6861301346527497</v>
      </c>
      <c r="D62" s="21">
        <v>6.4742402464589004</v>
      </c>
      <c r="E62" s="21">
        <v>6.2690653524118298</v>
      </c>
      <c r="F62" s="21">
        <v>5.9159967854754703</v>
      </c>
      <c r="G62" s="21">
        <v>5.8780160722749102</v>
      </c>
      <c r="H62" s="21">
        <v>5.84027919534193</v>
      </c>
      <c r="I62" s="21">
        <v>5.5469710768245797</v>
      </c>
      <c r="J62" s="21">
        <v>5.37118223371019</v>
      </c>
      <c r="K62" s="21">
        <v>5.3024376096591599</v>
      </c>
      <c r="L62" s="21">
        <v>5.4759765685941497</v>
      </c>
      <c r="M62" s="21">
        <v>5.1675741049148103</v>
      </c>
      <c r="N62" s="21">
        <v>5.0686817001528999</v>
      </c>
      <c r="O62" s="21">
        <v>4.9080503069394696</v>
      </c>
      <c r="P62" s="21">
        <v>4.9397636008110304</v>
      </c>
      <c r="Q62" s="21">
        <v>4.7525094769162397</v>
      </c>
      <c r="R62" s="21">
        <v>4.6615624979052503</v>
      </c>
      <c r="S62" s="21">
        <v>4.6916831144742597</v>
      </c>
      <c r="T62" s="21">
        <v>4.6615624979052503</v>
      </c>
      <c r="U62" s="21">
        <v>4.3990271599722197</v>
      </c>
      <c r="V62" s="21">
        <v>4.3707853953156599</v>
      </c>
      <c r="W62" s="21">
        <v>4.3990271599722197</v>
      </c>
      <c r="X62" s="21">
        <v>4.2596177625605103</v>
      </c>
      <c r="Y62" s="21">
        <v>4.3707853953156599</v>
      </c>
      <c r="Z62" s="21">
        <v>3.7447822829997501</v>
      </c>
      <c r="AA62" s="21">
        <v>3.35640220575615</v>
      </c>
      <c r="AB62" s="21">
        <v>3.8425137238918201</v>
      </c>
      <c r="AC62" s="21">
        <v>3.86734206902084</v>
      </c>
      <c r="AD62" s="21">
        <v>3.5567133553087902</v>
      </c>
      <c r="AE62" s="21">
        <v>3.44399769168627</v>
      </c>
      <c r="AF62" s="21">
        <v>3.7207407719836598</v>
      </c>
      <c r="AG62" s="21">
        <v>3.4886498750686101</v>
      </c>
      <c r="AH62" s="21">
        <v>3.4662510314156898</v>
      </c>
      <c r="AI62" s="21">
        <v>3.2084380903483098</v>
      </c>
      <c r="AJ62" s="21">
        <v>3.2710362523663901</v>
      </c>
      <c r="AK62" s="21">
        <v>3.1067596045052999</v>
      </c>
      <c r="AL62" s="21">
        <v>2.98899009266108</v>
      </c>
      <c r="AM62" s="21">
        <v>2.8756849294262299</v>
      </c>
      <c r="AN62" s="21">
        <v>2.9317894774262299</v>
      </c>
      <c r="AO62" s="21">
        <v>2.8942661247167498</v>
      </c>
      <c r="AP62" s="21">
        <v>2.6447070912297401</v>
      </c>
      <c r="AQ62" s="21">
        <v>2.5281174451510999</v>
      </c>
      <c r="AR62" s="21">
        <v>2.28056171857195</v>
      </c>
      <c r="AS62" s="211">
        <v>2.00492335111826</v>
      </c>
    </row>
    <row r="63" spans="1:47" ht="14.4">
      <c r="A63" s="205">
        <v>13</v>
      </c>
      <c r="B63" s="202">
        <v>8</v>
      </c>
      <c r="C63" s="23">
        <v>8.5402071189957098</v>
      </c>
      <c r="D63" s="23">
        <v>8.2164691567812795</v>
      </c>
      <c r="E63" s="23">
        <v>7.9050032936762102</v>
      </c>
      <c r="F63" s="23">
        <v>7.7039454920231103</v>
      </c>
      <c r="G63" s="23">
        <v>7.5565179966403102</v>
      </c>
      <c r="H63" s="23">
        <v>7.3170446808063101</v>
      </c>
      <c r="I63" s="23">
        <v>7.2233918258038399</v>
      </c>
      <c r="J63" s="23">
        <v>7.1309411633925697</v>
      </c>
      <c r="K63" s="23">
        <v>6.9944755984008804</v>
      </c>
      <c r="L63" s="23">
        <v>6.7728139461936401</v>
      </c>
      <c r="M63" s="23">
        <v>6.5581769647237502</v>
      </c>
      <c r="N63" s="23">
        <v>6.2690653524118298</v>
      </c>
      <c r="O63" s="23">
        <v>6.2288179381856903</v>
      </c>
      <c r="P63" s="23">
        <v>6.2690653524118298</v>
      </c>
      <c r="Q63" s="23">
        <v>6.1888258713013098</v>
      </c>
      <c r="R63" s="23">
        <v>6.3503420354260403</v>
      </c>
      <c r="S63" s="23">
        <v>6.2288179381856903</v>
      </c>
      <c r="T63" s="23">
        <v>6.07039264789507</v>
      </c>
      <c r="U63" s="23">
        <v>6.0314207128966304</v>
      </c>
      <c r="V63" s="23">
        <v>5.8027817377951703</v>
      </c>
      <c r="W63" s="23">
        <v>5.6551951361328303</v>
      </c>
      <c r="X63" s="23">
        <v>5.8027817377951703</v>
      </c>
      <c r="Y63" s="23">
        <v>5.7285131630833899</v>
      </c>
      <c r="Z63" s="23">
        <v>5.40588804762056</v>
      </c>
      <c r="AA63" s="23">
        <v>5.3366992312063104</v>
      </c>
      <c r="AB63" s="23">
        <v>5.5469710768245797</v>
      </c>
      <c r="AC63" s="23">
        <v>5.5469710768245797</v>
      </c>
      <c r="AD63" s="23">
        <v>5.4759765685941497</v>
      </c>
      <c r="AE63" s="23">
        <v>5.3024376096591599</v>
      </c>
      <c r="AF63" s="23">
        <v>5.13439826707405</v>
      </c>
      <c r="AG63" s="23">
        <v>5.0361407517820203</v>
      </c>
      <c r="AH63" s="23">
        <v>5.1014329113764401</v>
      </c>
      <c r="AI63" s="23">
        <v>5.0361407517820203</v>
      </c>
      <c r="AJ63" s="23">
        <v>4.8452332103500897</v>
      </c>
      <c r="AK63" s="23">
        <v>4.87654061248874</v>
      </c>
      <c r="AL63" s="23">
        <v>4.8452332103500897</v>
      </c>
      <c r="AM63" s="23">
        <v>4.7525094769162397</v>
      </c>
      <c r="AN63" s="23">
        <v>4.6018978852445596</v>
      </c>
      <c r="AO63" s="23">
        <v>4.51383310338292</v>
      </c>
      <c r="AP63" s="23">
        <v>4.4848520804718497</v>
      </c>
      <c r="AQ63" s="23">
        <v>4.2871412192157097</v>
      </c>
      <c r="AR63" s="23">
        <v>4.0981462718754198</v>
      </c>
      <c r="AS63" s="212">
        <v>3.9682720789025301</v>
      </c>
    </row>
    <row r="64" spans="1:47" ht="14.4">
      <c r="A64" s="203">
        <v>14</v>
      </c>
      <c r="B64" s="200">
        <v>1</v>
      </c>
      <c r="C64" s="97"/>
      <c r="D64" s="97"/>
      <c r="E64" s="96"/>
      <c r="F64" s="96"/>
    </row>
    <row r="65" spans="1:16" ht="14.4">
      <c r="A65" s="204">
        <v>14</v>
      </c>
      <c r="B65" s="201">
        <v>2</v>
      </c>
      <c r="C65" s="97"/>
      <c r="D65" s="97"/>
      <c r="E65" s="96"/>
      <c r="F65" s="96"/>
    </row>
    <row r="66" spans="1:16" ht="14.4">
      <c r="A66" s="204">
        <v>14</v>
      </c>
      <c r="B66" s="201">
        <v>3</v>
      </c>
      <c r="C66" s="97"/>
      <c r="D66" s="97"/>
      <c r="E66" s="96"/>
      <c r="F66" s="96"/>
    </row>
    <row r="67" spans="1:16" ht="14.4">
      <c r="A67" s="204">
        <v>14</v>
      </c>
      <c r="B67" s="201">
        <v>4</v>
      </c>
      <c r="C67" s="97"/>
      <c r="D67" s="97"/>
      <c r="E67" s="96"/>
      <c r="F67" s="96"/>
    </row>
    <row r="68" spans="1:16" ht="14.4">
      <c r="A68" s="204">
        <v>14</v>
      </c>
      <c r="B68" s="201">
        <v>5</v>
      </c>
      <c r="C68" s="97"/>
      <c r="D68" s="97"/>
      <c r="E68" s="96"/>
      <c r="F68" s="96"/>
      <c r="G68" s="96"/>
      <c r="H68" s="96"/>
      <c r="J68" s="96"/>
      <c r="K68" s="96"/>
    </row>
    <row r="69" spans="1:16" ht="14.4">
      <c r="A69" s="204">
        <v>14</v>
      </c>
      <c r="B69" s="201">
        <v>6</v>
      </c>
      <c r="C69" s="97"/>
      <c r="D69" s="97"/>
      <c r="E69" s="96"/>
      <c r="F69" s="96"/>
      <c r="G69" s="96"/>
      <c r="H69" s="96"/>
      <c r="J69" s="96"/>
      <c r="K69" s="96"/>
    </row>
    <row r="70" spans="1:16" ht="14.4">
      <c r="A70" s="204">
        <v>14</v>
      </c>
      <c r="B70" s="201">
        <v>7</v>
      </c>
      <c r="C70" s="97"/>
      <c r="D70" s="97"/>
      <c r="E70" s="96"/>
      <c r="F70" s="96"/>
      <c r="G70" s="96"/>
      <c r="H70" s="96"/>
      <c r="J70" s="96"/>
      <c r="K70" s="96"/>
    </row>
    <row r="71" spans="1:16" ht="14.4">
      <c r="A71" s="204">
        <v>14</v>
      </c>
      <c r="B71" s="201">
        <v>8</v>
      </c>
      <c r="C71" s="97"/>
      <c r="D71" s="97"/>
      <c r="E71" s="96"/>
      <c r="F71" s="96"/>
      <c r="G71" s="96"/>
      <c r="H71" s="96"/>
      <c r="J71" s="96"/>
      <c r="K71" s="96"/>
    </row>
    <row r="72" spans="1:16" ht="14.4">
      <c r="A72" s="204">
        <v>14</v>
      </c>
      <c r="B72" s="201">
        <v>9</v>
      </c>
      <c r="C72" s="97"/>
      <c r="D72" s="97"/>
      <c r="E72" s="96"/>
      <c r="F72" s="96"/>
      <c r="G72" s="96"/>
      <c r="H72" s="96"/>
      <c r="J72" s="96"/>
      <c r="K72" s="96"/>
    </row>
    <row r="73" spans="1:16" ht="14.4">
      <c r="A73" s="204">
        <v>14</v>
      </c>
      <c r="B73" s="201">
        <v>10</v>
      </c>
      <c r="C73" s="97"/>
      <c r="D73" s="97"/>
      <c r="E73" s="96"/>
      <c r="F73" s="96"/>
      <c r="G73" s="96"/>
      <c r="H73" s="96"/>
      <c r="I73" s="2"/>
      <c r="J73" s="96"/>
      <c r="K73" s="96"/>
      <c r="L73" s="2"/>
      <c r="M73" s="2"/>
      <c r="N73" s="2"/>
      <c r="O73" s="2"/>
    </row>
    <row r="74" spans="1:16" ht="14.4">
      <c r="A74" s="203">
        <v>15</v>
      </c>
      <c r="B74" s="200">
        <v>1</v>
      </c>
      <c r="C74" s="98">
        <v>359.59769264420697</v>
      </c>
      <c r="D74" s="223">
        <v>355.72653103922403</v>
      </c>
      <c r="E74" s="223">
        <v>340.65528804586899</v>
      </c>
      <c r="F74" s="223">
        <v>315.80023854343801</v>
      </c>
      <c r="G74" s="223">
        <v>302.42032293988501</v>
      </c>
      <c r="H74" s="223">
        <v>271.39850428619502</v>
      </c>
      <c r="I74" s="223">
        <v>248.88850938331299</v>
      </c>
      <c r="J74" s="223">
        <v>246.209363898215</v>
      </c>
      <c r="K74" s="223">
        <v>191.953625798465</v>
      </c>
      <c r="L74" s="223">
        <v>181.84215034027801</v>
      </c>
      <c r="M74" s="223">
        <v>140.244562383747</v>
      </c>
      <c r="N74" s="223">
        <v>132.85694756382</v>
      </c>
      <c r="O74" s="293">
        <v>112.948114580263</v>
      </c>
      <c r="P74" s="2"/>
    </row>
    <row r="75" spans="1:16" ht="14.4">
      <c r="A75" s="204">
        <v>15</v>
      </c>
      <c r="B75" s="201">
        <v>2</v>
      </c>
      <c r="C75" s="99">
        <v>726.67429101709502</v>
      </c>
      <c r="D75" s="21">
        <v>598.04423855743698</v>
      </c>
      <c r="E75" s="21">
        <v>497.53938529724002</v>
      </c>
      <c r="F75" s="21">
        <v>432.23779793018298</v>
      </c>
      <c r="G75" s="21">
        <v>363.51068165261103</v>
      </c>
      <c r="H75" s="21">
        <v>312.40082574859599</v>
      </c>
      <c r="I75" s="21">
        <v>254.33457754945701</v>
      </c>
      <c r="J75" s="21">
        <v>223.357903080075</v>
      </c>
      <c r="K75" s="21">
        <v>181.84215034027801</v>
      </c>
      <c r="L75" s="21">
        <v>163.189057993126</v>
      </c>
      <c r="M75" s="21">
        <v>123.163478887669</v>
      </c>
      <c r="N75" s="21">
        <v>114.177167880418</v>
      </c>
      <c r="O75" s="211">
        <v>89.985318726910705</v>
      </c>
      <c r="P75" s="2"/>
    </row>
    <row r="76" spans="1:16" ht="14.4">
      <c r="A76" s="204">
        <v>15</v>
      </c>
      <c r="B76" s="201">
        <v>3</v>
      </c>
      <c r="C76" s="99">
        <v>1317.82879404243</v>
      </c>
      <c r="D76" s="21">
        <v>994.60249863802403</v>
      </c>
      <c r="E76" s="21">
        <v>750.65544175764705</v>
      </c>
      <c r="F76" s="21">
        <v>554.40991457430505</v>
      </c>
      <c r="G76" s="21">
        <v>451.36119942896698</v>
      </c>
      <c r="H76" s="21">
        <v>351.8973340549</v>
      </c>
      <c r="I76" s="21">
        <v>286.48983107892798</v>
      </c>
      <c r="J76" s="21">
        <v>191.953625798465</v>
      </c>
      <c r="K76" s="21">
        <v>152.92869883176701</v>
      </c>
      <c r="L76" s="21">
        <v>124.50369143347299</v>
      </c>
      <c r="M76" s="21">
        <v>94.989022984706097</v>
      </c>
      <c r="N76" s="21">
        <v>78.174828288877706</v>
      </c>
      <c r="O76" s="211">
        <v>64.337000552647794</v>
      </c>
      <c r="P76" s="2"/>
    </row>
    <row r="77" spans="1:16" ht="14.4">
      <c r="A77" s="204">
        <v>15</v>
      </c>
      <c r="B77" s="201">
        <v>4</v>
      </c>
      <c r="C77" s="99">
        <v>1904.01639477092</v>
      </c>
      <c r="D77" s="21">
        <v>1468.46133335181</v>
      </c>
      <c r="E77" s="21">
        <v>1072.8831051943901</v>
      </c>
      <c r="F77" s="21">
        <v>809.73575863837402</v>
      </c>
      <c r="G77" s="21">
        <v>624.50337781535097</v>
      </c>
      <c r="H77" s="21">
        <v>502.95339708246701</v>
      </c>
      <c r="I77" s="21">
        <v>375.50698393036299</v>
      </c>
      <c r="J77" s="21">
        <v>295.94459435658899</v>
      </c>
      <c r="K77" s="21">
        <v>228.24532182284801</v>
      </c>
      <c r="L77" s="21">
        <v>177.948363047284</v>
      </c>
      <c r="M77" s="21">
        <v>131.426816891611</v>
      </c>
      <c r="N77" s="21">
        <v>100.27096214407899</v>
      </c>
      <c r="O77" s="211">
        <v>83.419836948294503</v>
      </c>
      <c r="P77" s="2"/>
    </row>
    <row r="78" spans="1:16" ht="14.4">
      <c r="A78" s="204">
        <v>15</v>
      </c>
      <c r="B78" s="201">
        <v>5</v>
      </c>
      <c r="C78" s="99">
        <v>4241.2823357346297</v>
      </c>
      <c r="D78" s="21">
        <v>2999.7556117578301</v>
      </c>
      <c r="E78" s="21">
        <v>2191.6721358046402</v>
      </c>
      <c r="F78" s="21">
        <v>1566.9846304641301</v>
      </c>
      <c r="G78" s="21">
        <v>1144.8654478255601</v>
      </c>
      <c r="H78" s="21">
        <v>792.39622662344095</v>
      </c>
      <c r="I78" s="21">
        <v>560.44276724898998</v>
      </c>
      <c r="J78" s="21">
        <v>409.46895536369499</v>
      </c>
      <c r="K78" s="21">
        <v>299.16493744694202</v>
      </c>
      <c r="L78" s="21">
        <v>225.788388696558</v>
      </c>
      <c r="M78" s="21">
        <v>161.43241913091799</v>
      </c>
      <c r="N78" s="21">
        <v>119.22868312000899</v>
      </c>
      <c r="O78" s="211">
        <v>96.022653095414</v>
      </c>
      <c r="P78" s="2"/>
    </row>
    <row r="79" spans="1:16" ht="14.4">
      <c r="A79" s="204">
        <v>15</v>
      </c>
      <c r="B79" s="201">
        <v>6</v>
      </c>
      <c r="C79" s="100">
        <v>7130.4027010711798</v>
      </c>
      <c r="D79" s="23">
        <v>5266.28343758967</v>
      </c>
      <c r="E79" s="23">
        <v>3566.9041527478898</v>
      </c>
      <c r="F79" s="23">
        <v>2634.39935310583</v>
      </c>
      <c r="G79" s="23">
        <v>1823.3479845033601</v>
      </c>
      <c r="H79" s="23">
        <v>1361.31989891423</v>
      </c>
      <c r="I79" s="23">
        <v>994.60249863802403</v>
      </c>
      <c r="J79" s="23">
        <v>688.39551806268798</v>
      </c>
      <c r="K79" s="23">
        <v>508.42632183916197</v>
      </c>
      <c r="L79" s="23">
        <v>355.72653103922403</v>
      </c>
      <c r="M79" s="23">
        <v>262.72815024625299</v>
      </c>
      <c r="N79" s="23">
        <v>194.042383438564</v>
      </c>
      <c r="O79" s="212">
        <v>140.244562383747</v>
      </c>
      <c r="P79" s="2"/>
    </row>
    <row r="80" spans="1:16" ht="14.4">
      <c r="A80" s="272">
        <v>16</v>
      </c>
      <c r="B80" s="74">
        <v>1</v>
      </c>
      <c r="C80" s="97"/>
      <c r="D80" s="97"/>
      <c r="E80" s="96"/>
      <c r="F80" s="96"/>
      <c r="G80" s="96"/>
      <c r="H80" s="96"/>
      <c r="I80" s="2"/>
      <c r="J80" s="96"/>
      <c r="K80" s="96"/>
      <c r="L80" s="2"/>
      <c r="M80" s="2"/>
      <c r="N80" s="2"/>
      <c r="O80" s="2"/>
    </row>
    <row r="81" spans="1:55" ht="14.4">
      <c r="A81" s="233">
        <v>16</v>
      </c>
      <c r="B81" s="75">
        <v>2</v>
      </c>
      <c r="C81" s="97"/>
      <c r="D81" s="96"/>
      <c r="E81" s="96"/>
      <c r="F81" s="96"/>
      <c r="G81" s="96"/>
      <c r="H81" s="96"/>
      <c r="I81" s="2"/>
      <c r="J81" s="96"/>
      <c r="K81" s="96"/>
      <c r="L81" s="2"/>
      <c r="M81" s="2"/>
      <c r="N81" s="2"/>
      <c r="O81" s="2"/>
      <c r="AE81" s="101"/>
    </row>
    <row r="82" spans="1:55" ht="14.4">
      <c r="A82" s="241">
        <v>16</v>
      </c>
      <c r="B82" s="231">
        <v>3</v>
      </c>
      <c r="C82" s="102"/>
      <c r="D82" s="103"/>
      <c r="E82" s="103"/>
      <c r="F82" s="103"/>
      <c r="G82" s="103"/>
      <c r="H82" s="103"/>
      <c r="I82" s="34"/>
      <c r="J82" s="103"/>
      <c r="K82" s="103"/>
      <c r="L82" s="34"/>
      <c r="M82" s="34"/>
      <c r="N82" s="34"/>
      <c r="O82" s="34"/>
      <c r="AE82" s="32"/>
    </row>
    <row r="83" spans="1:55" ht="14.4">
      <c r="A83" s="233">
        <v>17</v>
      </c>
      <c r="B83" s="75">
        <v>1</v>
      </c>
      <c r="C83" s="97"/>
      <c r="D83" s="96"/>
      <c r="E83" s="96"/>
      <c r="F83" s="96"/>
      <c r="G83" s="96"/>
      <c r="H83" s="96"/>
      <c r="I83" s="2"/>
      <c r="J83" s="96"/>
      <c r="K83" s="96"/>
      <c r="L83" s="2"/>
      <c r="M83" s="2"/>
      <c r="N83" s="2"/>
      <c r="O83" s="2"/>
      <c r="AE83" s="101"/>
    </row>
    <row r="84" spans="1:55" ht="14.4">
      <c r="A84" s="233">
        <v>17</v>
      </c>
      <c r="B84" s="75">
        <v>2</v>
      </c>
      <c r="C84" s="97"/>
      <c r="D84" s="96"/>
      <c r="E84" s="96"/>
      <c r="F84" s="96"/>
      <c r="G84" s="96"/>
      <c r="H84" s="96"/>
      <c r="J84" s="96"/>
      <c r="K84" s="96"/>
      <c r="AE84" s="101"/>
    </row>
    <row r="85" spans="1:55" ht="14.4">
      <c r="A85" s="233">
        <v>17</v>
      </c>
      <c r="B85" s="75">
        <v>3</v>
      </c>
      <c r="C85" s="97"/>
      <c r="D85" s="96"/>
      <c r="E85" s="96"/>
      <c r="F85" s="96"/>
      <c r="G85" s="96"/>
      <c r="H85" s="96"/>
      <c r="J85" s="96"/>
      <c r="K85" s="96"/>
      <c r="AE85" s="101"/>
    </row>
    <row r="86" spans="1:55" ht="14.4">
      <c r="A86" s="241">
        <v>17</v>
      </c>
      <c r="B86" s="231">
        <v>4</v>
      </c>
      <c r="C86" s="97"/>
      <c r="D86" s="96"/>
      <c r="E86" s="96"/>
      <c r="F86" s="96"/>
      <c r="G86" s="96"/>
      <c r="H86" s="96"/>
      <c r="J86" s="96"/>
      <c r="K86" s="96"/>
      <c r="AE86" s="101"/>
    </row>
    <row r="87" spans="1:55" ht="14.4">
      <c r="A87" s="228">
        <v>18</v>
      </c>
      <c r="B87" s="75">
        <v>1</v>
      </c>
      <c r="C87" s="97"/>
      <c r="D87" s="96"/>
      <c r="E87" s="96"/>
      <c r="F87" s="96"/>
      <c r="G87" s="96"/>
      <c r="H87" s="96"/>
      <c r="J87" s="96"/>
      <c r="K87" s="96"/>
      <c r="AE87" s="101"/>
    </row>
    <row r="88" spans="1:55" ht="14.4">
      <c r="A88" s="230">
        <v>18</v>
      </c>
      <c r="B88" s="231">
        <v>2</v>
      </c>
      <c r="C88" s="97"/>
      <c r="D88" s="96"/>
      <c r="E88" s="96"/>
      <c r="F88" s="96"/>
      <c r="G88" s="96"/>
      <c r="H88" s="96"/>
      <c r="J88" s="96"/>
      <c r="K88" s="96"/>
      <c r="AD88" s="104"/>
      <c r="AE88" s="101"/>
    </row>
    <row r="89" spans="1:55" ht="14.4">
      <c r="A89" s="229">
        <v>19</v>
      </c>
      <c r="B89" s="74">
        <v>1</v>
      </c>
      <c r="C89" s="97"/>
      <c r="D89" s="96"/>
      <c r="E89" s="96"/>
      <c r="F89" s="96"/>
      <c r="G89" s="96"/>
      <c r="H89" s="96"/>
      <c r="J89" s="96"/>
      <c r="K89" s="96"/>
      <c r="AD89" s="104"/>
      <c r="AE89" s="101"/>
    </row>
    <row r="90" spans="1:55" ht="14.4">
      <c r="A90" s="228">
        <v>19</v>
      </c>
      <c r="B90" s="75">
        <v>2</v>
      </c>
      <c r="C90" s="97"/>
      <c r="D90" s="96"/>
      <c r="E90" s="96"/>
      <c r="F90" s="96"/>
      <c r="G90" s="96"/>
      <c r="H90" s="96"/>
      <c r="J90" s="96"/>
      <c r="K90" s="96"/>
      <c r="AD90" s="104"/>
      <c r="AE90" s="101"/>
    </row>
    <row r="91" spans="1:55" ht="14.4">
      <c r="A91" s="228">
        <v>19</v>
      </c>
      <c r="B91" s="75">
        <v>3</v>
      </c>
      <c r="C91" s="97"/>
      <c r="D91" s="96"/>
      <c r="E91" s="96"/>
      <c r="F91" s="96"/>
      <c r="G91" s="96"/>
      <c r="H91" s="96"/>
      <c r="J91" s="96"/>
      <c r="K91" s="96"/>
      <c r="AD91" s="104"/>
      <c r="AE91" s="32"/>
    </row>
    <row r="92" spans="1:55" ht="14.4">
      <c r="A92" s="228">
        <v>19</v>
      </c>
      <c r="B92" s="75">
        <v>4</v>
      </c>
      <c r="C92" s="97"/>
      <c r="D92" s="96"/>
      <c r="E92" s="96"/>
      <c r="F92" s="96"/>
      <c r="G92" s="96"/>
      <c r="H92" s="96"/>
      <c r="J92" s="96"/>
      <c r="K92" s="96"/>
      <c r="AD92" s="104"/>
      <c r="AE92" s="32"/>
    </row>
    <row r="93" spans="1:55" ht="14.4">
      <c r="A93" s="230">
        <v>19</v>
      </c>
      <c r="B93" s="231">
        <v>5</v>
      </c>
      <c r="C93" s="97"/>
      <c r="D93" s="96"/>
      <c r="E93" s="96"/>
      <c r="F93" s="96"/>
      <c r="G93" s="96"/>
      <c r="H93" s="96"/>
      <c r="I93" s="2"/>
      <c r="J93" s="96"/>
      <c r="K93" s="96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D93" s="104"/>
      <c r="AE93" s="32"/>
      <c r="AF93" s="105"/>
      <c r="AG93" s="105"/>
      <c r="AH93" s="105"/>
      <c r="AI93" s="105"/>
      <c r="AJ93" s="105"/>
      <c r="AK93" s="105"/>
      <c r="AL93" s="105"/>
      <c r="AM93" s="105"/>
      <c r="AN93" s="105"/>
      <c r="AO93" s="105"/>
      <c r="AP93" s="105"/>
      <c r="AQ93" s="105"/>
      <c r="AR93" s="105"/>
      <c r="AS93" s="105"/>
      <c r="AT93" s="105"/>
      <c r="AU93" s="105"/>
      <c r="AV93" s="105"/>
      <c r="AW93" s="105"/>
      <c r="AX93" s="105"/>
      <c r="AY93" s="105"/>
      <c r="AZ93" s="105"/>
      <c r="BA93" s="105"/>
      <c r="BB93" s="105"/>
      <c r="BC93" s="105"/>
    </row>
    <row r="94" spans="1:55" ht="14.4">
      <c r="A94" s="272">
        <v>20</v>
      </c>
      <c r="B94" s="200" t="s">
        <v>221</v>
      </c>
      <c r="C94" s="106">
        <v>12227112.01</v>
      </c>
      <c r="D94" s="306">
        <v>5093802.8989882004</v>
      </c>
      <c r="E94" s="306">
        <v>2384868.36405381</v>
      </c>
      <c r="F94" s="306">
        <v>1053259.00585013</v>
      </c>
      <c r="G94" s="306">
        <v>413905.703898129</v>
      </c>
      <c r="H94" s="306">
        <v>172432.711216881</v>
      </c>
      <c r="I94" s="306">
        <v>76153.419650912401</v>
      </c>
      <c r="J94" s="306">
        <v>21083.540744240399</v>
      </c>
      <c r="K94" s="307"/>
      <c r="L94" s="234"/>
      <c r="M94" s="234"/>
      <c r="N94" s="234"/>
      <c r="O94" s="234"/>
      <c r="P94" s="234"/>
      <c r="Q94" s="234"/>
      <c r="R94" s="234"/>
      <c r="S94" s="234"/>
      <c r="T94" s="234"/>
      <c r="U94" s="234"/>
      <c r="V94" s="234"/>
      <c r="W94" s="234"/>
      <c r="X94" s="234"/>
      <c r="Y94" s="234"/>
      <c r="Z94" s="234"/>
      <c r="AA94" s="235"/>
      <c r="AB94" s="2"/>
      <c r="AD94" s="104"/>
      <c r="AE94" s="32"/>
      <c r="AF94" s="96"/>
    </row>
    <row r="95" spans="1:55" ht="14.4">
      <c r="A95" s="233">
        <v>20</v>
      </c>
      <c r="B95" s="201" t="s">
        <v>222</v>
      </c>
      <c r="C95" s="107">
        <v>5093802.8989882004</v>
      </c>
      <c r="D95" s="108">
        <v>3193195.4748219401</v>
      </c>
      <c r="E95" s="108">
        <v>699954.89949613798</v>
      </c>
      <c r="F95" s="108">
        <v>275065.92629942001</v>
      </c>
      <c r="G95" s="108">
        <v>128783.00785269</v>
      </c>
      <c r="H95" s="108">
        <v>53650.875050926501</v>
      </c>
      <c r="I95" s="108">
        <v>14011.316127968499</v>
      </c>
      <c r="J95" s="108">
        <v>4621.5547275509198</v>
      </c>
      <c r="K95" s="96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36"/>
      <c r="AB95" s="2"/>
      <c r="AD95" s="104"/>
      <c r="AF95" s="96"/>
    </row>
    <row r="96" spans="1:55" ht="14.4">
      <c r="A96" s="233">
        <v>20</v>
      </c>
      <c r="B96" s="201" t="s">
        <v>223</v>
      </c>
      <c r="C96" s="107">
        <v>1680164.53</v>
      </c>
      <c r="D96" s="108">
        <v>554194.22532624705</v>
      </c>
      <c r="E96" s="108">
        <v>309129.04414636898</v>
      </c>
      <c r="F96" s="108">
        <v>80731.392012954602</v>
      </c>
      <c r="G96" s="108">
        <v>45031.898394247801</v>
      </c>
      <c r="H96" s="108">
        <v>15746.4426213939</v>
      </c>
      <c r="I96" s="108">
        <v>10464.4967404199</v>
      </c>
      <c r="J96" s="108">
        <v>5506.1</v>
      </c>
      <c r="K96" s="96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36"/>
      <c r="AB96" s="2"/>
      <c r="AD96" s="104"/>
      <c r="AF96" s="96"/>
    </row>
    <row r="97" spans="1:32" ht="14.4">
      <c r="A97" s="233">
        <v>20</v>
      </c>
      <c r="B97" s="201" t="s">
        <v>224</v>
      </c>
      <c r="C97" s="107">
        <v>5093802.8989882004</v>
      </c>
      <c r="D97" s="108">
        <v>3193195.4748219401</v>
      </c>
      <c r="E97" s="108">
        <v>699954.89949613798</v>
      </c>
      <c r="F97" s="108">
        <v>275065.92629942001</v>
      </c>
      <c r="G97" s="108">
        <v>128783.00785269</v>
      </c>
      <c r="H97" s="108">
        <v>53650.875050926501</v>
      </c>
      <c r="I97" s="108">
        <v>14011.316127968499</v>
      </c>
      <c r="J97" s="108">
        <v>4621.5547275509198</v>
      </c>
      <c r="K97" s="96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36"/>
      <c r="AB97" s="2"/>
      <c r="AD97" s="104"/>
      <c r="AF97" s="96"/>
    </row>
    <row r="98" spans="1:32" ht="14.4">
      <c r="A98" s="233">
        <v>20</v>
      </c>
      <c r="B98" s="201" t="s">
        <v>225</v>
      </c>
      <c r="C98" s="109">
        <v>610.79289178461102</v>
      </c>
      <c r="D98" s="101">
        <v>446.553560500478</v>
      </c>
      <c r="E98" s="101">
        <v>381.824451670011</v>
      </c>
      <c r="F98" s="101">
        <v>294.11287549929</v>
      </c>
      <c r="G98" s="101">
        <v>251.48044344500599</v>
      </c>
      <c r="H98" s="101">
        <v>193.71075759389799</v>
      </c>
      <c r="I98" s="101">
        <v>165.631875643266</v>
      </c>
      <c r="J98" s="101">
        <v>134.41984242750601</v>
      </c>
      <c r="K98" s="101">
        <v>109.089473074323</v>
      </c>
      <c r="L98" s="101">
        <v>88.532572632467705</v>
      </c>
      <c r="M98" s="101">
        <v>71.849429610711198</v>
      </c>
      <c r="N98" s="101">
        <v>58.309965815874598</v>
      </c>
      <c r="O98" s="101">
        <v>47.321993023776997</v>
      </c>
      <c r="P98" s="101">
        <v>38.404601896246298</v>
      </c>
      <c r="Q98" s="101">
        <v>31.167554646927201</v>
      </c>
      <c r="R98" s="101">
        <v>21.627801349441501</v>
      </c>
      <c r="S98" s="101">
        <v>17.552242575646801</v>
      </c>
      <c r="T98" s="101">
        <v>15.812215788169</v>
      </c>
      <c r="U98" s="101">
        <v>12.8325272319756</v>
      </c>
      <c r="V98" s="101">
        <v>10.4143563737719</v>
      </c>
      <c r="W98" s="101">
        <v>8.9047521670690202</v>
      </c>
      <c r="X98" s="101">
        <v>7.6139850047054498</v>
      </c>
      <c r="Y98" s="101">
        <v>5.8649230397579597</v>
      </c>
      <c r="Z98" s="101">
        <v>5.2834993641578798</v>
      </c>
      <c r="AA98" s="308">
        <v>4.7597241037810498</v>
      </c>
      <c r="AB98" s="2"/>
      <c r="AD98" s="104"/>
      <c r="AF98" s="96"/>
    </row>
    <row r="99" spans="1:32" ht="14.4">
      <c r="A99" s="233">
        <v>20</v>
      </c>
      <c r="B99" s="201" t="s">
        <v>226</v>
      </c>
      <c r="C99" s="110">
        <v>11763283.727299999</v>
      </c>
      <c r="D99" s="96">
        <v>6979571.875</v>
      </c>
      <c r="E99" s="96">
        <v>4843275.8439999996</v>
      </c>
      <c r="F99" s="96">
        <v>3189913.503</v>
      </c>
      <c r="G99" s="96">
        <v>1994107.9713000001</v>
      </c>
      <c r="H99" s="96">
        <v>1313371.5174</v>
      </c>
      <c r="I99" s="96">
        <v>1011667.72295859</v>
      </c>
      <c r="J99" s="96">
        <v>632423</v>
      </c>
      <c r="K99" s="96">
        <v>395346.0638</v>
      </c>
      <c r="L99" s="96">
        <v>247142.35555565599</v>
      </c>
      <c r="M99" s="96">
        <v>171497.1171</v>
      </c>
      <c r="N99" s="96">
        <v>112952.878961105</v>
      </c>
      <c r="O99" s="96">
        <v>78380.164099999995</v>
      </c>
      <c r="P99" s="96">
        <v>48997.726699999999</v>
      </c>
      <c r="Q99" s="96">
        <v>30629.908100000001</v>
      </c>
      <c r="R99" s="96">
        <v>21254.755499999999</v>
      </c>
      <c r="S99" s="101"/>
      <c r="T99" s="101"/>
      <c r="U99" s="101"/>
      <c r="V99" s="101"/>
      <c r="W99" s="101"/>
      <c r="X99" s="101"/>
      <c r="Y99" s="101"/>
      <c r="Z99" s="101"/>
      <c r="AA99" s="308"/>
      <c r="AB99" s="2"/>
      <c r="AD99" s="104"/>
      <c r="AF99" s="96"/>
    </row>
    <row r="100" spans="1:32" ht="14.4">
      <c r="A100" s="233">
        <v>20</v>
      </c>
      <c r="B100" s="201" t="s">
        <v>227</v>
      </c>
      <c r="C100" s="111">
        <v>88.532572632467705</v>
      </c>
      <c r="D100" s="32">
        <v>93.276668072898005</v>
      </c>
      <c r="E100" s="32">
        <v>71.849429610711198</v>
      </c>
      <c r="F100" s="32">
        <v>49.857783464072497</v>
      </c>
      <c r="G100" s="32">
        <v>44.915174084224702</v>
      </c>
      <c r="H100" s="32">
        <v>40.462546123213301</v>
      </c>
      <c r="I100" s="32">
        <v>75.699544221395101</v>
      </c>
      <c r="J100" s="32">
        <v>36.451260360106801</v>
      </c>
      <c r="K100" s="32">
        <v>29.582358081219098</v>
      </c>
      <c r="L100" s="32">
        <v>25.294317753973701</v>
      </c>
      <c r="M100" s="32">
        <v>28.077785362341402</v>
      </c>
      <c r="N100" s="32">
        <v>29.582358081219098</v>
      </c>
      <c r="O100" s="32">
        <v>28.077785362341402</v>
      </c>
      <c r="P100" s="32">
        <v>26.649735923324599</v>
      </c>
      <c r="Q100" s="32">
        <v>26.649735923324599</v>
      </c>
      <c r="R100" s="32">
        <v>26.649735923324599</v>
      </c>
      <c r="S100" s="32">
        <v>25.294317753973701</v>
      </c>
      <c r="T100" s="32">
        <v>22.786746026157999</v>
      </c>
      <c r="U100" s="32">
        <v>29.582358081219098</v>
      </c>
      <c r="V100" s="32">
        <v>22.786746026157999</v>
      </c>
      <c r="W100" s="32">
        <v>22.786746026157999</v>
      </c>
      <c r="X100" s="32">
        <v>24.0078367935727</v>
      </c>
      <c r="Y100" s="32">
        <v>24.0078367935727</v>
      </c>
      <c r="Z100" s="32">
        <v>24.0078367935727</v>
      </c>
      <c r="AA100" s="236"/>
      <c r="AB100" s="2"/>
      <c r="AD100" s="104"/>
      <c r="AF100" s="96"/>
    </row>
    <row r="101" spans="1:32" ht="14.4">
      <c r="A101" s="233">
        <v>20</v>
      </c>
      <c r="B101" s="201" t="s">
        <v>228</v>
      </c>
      <c r="C101" s="111">
        <v>444.89187015326098</v>
      </c>
      <c r="D101" s="32">
        <v>181.813183694749</v>
      </c>
      <c r="E101" s="32">
        <v>132.92471330145699</v>
      </c>
      <c r="F101" s="32">
        <v>88.863325241862398</v>
      </c>
      <c r="G101" s="32">
        <v>74.301276294019999</v>
      </c>
      <c r="H101" s="32">
        <v>22.1997220266413</v>
      </c>
      <c r="I101" s="32">
        <v>12.976878349358399</v>
      </c>
      <c r="J101" s="32">
        <v>9.9215880906881804</v>
      </c>
      <c r="K101" s="32">
        <v>5.7996781009596603</v>
      </c>
      <c r="L101" s="32">
        <v>5.3032382144981396</v>
      </c>
      <c r="M101" s="32">
        <v>8.2957505487575407</v>
      </c>
      <c r="N101" s="32">
        <v>2.9643703131629699</v>
      </c>
      <c r="O101" s="32">
        <v>5.0711885527923899</v>
      </c>
      <c r="P101" s="32">
        <v>1.7328236790528599</v>
      </c>
      <c r="Q101" s="32">
        <v>1.7328236790528599</v>
      </c>
      <c r="R101" s="2"/>
      <c r="S101" s="2"/>
      <c r="T101" s="2"/>
      <c r="U101" s="2"/>
      <c r="V101" s="2"/>
      <c r="W101" s="2"/>
      <c r="X101" s="2"/>
      <c r="Y101" s="2"/>
      <c r="Z101" s="2"/>
      <c r="AA101" s="236"/>
      <c r="AB101" s="2"/>
      <c r="AD101" s="112"/>
      <c r="AF101" s="96"/>
    </row>
    <row r="102" spans="1:32" ht="14.4">
      <c r="A102" s="233">
        <v>20</v>
      </c>
      <c r="B102" s="201" t="s">
        <v>231</v>
      </c>
      <c r="C102" s="110">
        <v>24.234214312874101</v>
      </c>
      <c r="D102" s="96">
        <v>21.544392022891898</v>
      </c>
      <c r="E102" s="96">
        <v>15.1373124275477</v>
      </c>
      <c r="F102" s="96">
        <v>10.2266431929633</v>
      </c>
      <c r="G102" s="96">
        <v>6.9090139306512297</v>
      </c>
      <c r="H102" s="96">
        <v>4.4881651614793103</v>
      </c>
      <c r="I102" s="96">
        <v>3.1534312132623299</v>
      </c>
      <c r="J102" s="96">
        <v>3.2795550790622499</v>
      </c>
      <c r="K102" s="96">
        <v>2.3964170031937901</v>
      </c>
      <c r="L102" s="96">
        <v>1.5567366651838801</v>
      </c>
      <c r="M102" s="96">
        <v>1.2795461500582199</v>
      </c>
      <c r="N102" s="96">
        <v>1.0112686682065899</v>
      </c>
      <c r="O102" s="96">
        <v>0.73894823317935099</v>
      </c>
      <c r="P102" s="96">
        <v>1.0517151232490001</v>
      </c>
      <c r="Q102" s="96">
        <v>0.71053004670350595</v>
      </c>
      <c r="R102" s="96">
        <v>0.49922575186539497</v>
      </c>
      <c r="S102" s="96">
        <v>0.480026720224146</v>
      </c>
      <c r="T102" s="2"/>
      <c r="U102" s="2"/>
      <c r="V102" s="2"/>
      <c r="W102" s="2"/>
      <c r="X102" s="2"/>
      <c r="Y102" s="2"/>
      <c r="Z102" s="2"/>
      <c r="AA102" s="236"/>
      <c r="AB102" s="2"/>
      <c r="AD102" s="112"/>
      <c r="AF102" s="96"/>
    </row>
    <row r="103" spans="1:32" ht="14.4">
      <c r="A103" s="233">
        <v>20</v>
      </c>
      <c r="B103" s="201" t="s">
        <v>232</v>
      </c>
      <c r="C103" s="110">
        <v>308355.44573191</v>
      </c>
      <c r="D103" s="96">
        <v>192606.727848404</v>
      </c>
      <c r="E103" s="96">
        <v>140740.44387673799</v>
      </c>
      <c r="F103" s="96">
        <v>61766.7347046336</v>
      </c>
      <c r="G103" s="96">
        <v>30492.036800737402</v>
      </c>
      <c r="H103" s="96">
        <v>13917.259621783</v>
      </c>
      <c r="I103" s="96">
        <v>7145.1995059194296</v>
      </c>
      <c r="J103" s="96">
        <v>3015.2260976118901</v>
      </c>
      <c r="K103" s="96">
        <v>1548.03406765301</v>
      </c>
      <c r="L103" s="96">
        <v>1087.66814692157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36"/>
      <c r="AB103" s="2"/>
      <c r="AD103" s="112"/>
      <c r="AF103" s="96"/>
    </row>
    <row r="104" spans="1:32" ht="14.4">
      <c r="A104" s="233">
        <v>20</v>
      </c>
      <c r="B104" s="201" t="s">
        <v>233</v>
      </c>
      <c r="C104" s="111">
        <v>31.889661833169001</v>
      </c>
      <c r="D104" s="32">
        <v>21.544392022891898</v>
      </c>
      <c r="E104" s="32">
        <v>20.715846094334701</v>
      </c>
      <c r="F104" s="32">
        <v>19.153120528007701</v>
      </c>
      <c r="G104" s="32">
        <v>18.416537197376499</v>
      </c>
      <c r="H104" s="32">
        <v>15.7427406839669</v>
      </c>
      <c r="I104" s="32">
        <v>15.7427406839669</v>
      </c>
      <c r="J104" s="32">
        <v>12.939649310782499</v>
      </c>
      <c r="K104" s="32">
        <v>14.5551674977759</v>
      </c>
      <c r="L104" s="32">
        <v>14.5551674977759</v>
      </c>
      <c r="M104" s="32">
        <v>12.939649310782499</v>
      </c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36"/>
      <c r="AB104" s="2"/>
      <c r="AD104" s="112"/>
      <c r="AF104" s="96"/>
    </row>
    <row r="105" spans="1:32" ht="14.4">
      <c r="A105" s="233">
        <v>20</v>
      </c>
      <c r="B105" s="201" t="s">
        <v>234</v>
      </c>
      <c r="C105" s="32">
        <v>12.442021262517599</v>
      </c>
      <c r="D105" s="32">
        <v>7.1853451669675303</v>
      </c>
      <c r="E105" s="96">
        <v>2.91554821508895</v>
      </c>
      <c r="F105" s="96">
        <v>4.3155610347402202</v>
      </c>
      <c r="G105" s="96">
        <v>1.2795461500582199</v>
      </c>
      <c r="H105" s="96">
        <v>0.51919266329422997</v>
      </c>
      <c r="I105" s="96">
        <v>0.44381530868930502</v>
      </c>
      <c r="J105" s="96">
        <v>0.37938137834462698</v>
      </c>
      <c r="K105" s="96">
        <v>0.31183020093955899</v>
      </c>
      <c r="L105" s="96">
        <v>0.37938137834462698</v>
      </c>
      <c r="M105" s="96">
        <v>0.142326401242034</v>
      </c>
      <c r="N105" s="96">
        <v>0.166499041090233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36"/>
      <c r="AB105" s="2"/>
      <c r="AD105" s="112"/>
      <c r="AF105" s="96"/>
    </row>
    <row r="106" spans="1:32" ht="14.4">
      <c r="A106" s="228">
        <v>20</v>
      </c>
      <c r="B106" s="75" t="s">
        <v>235</v>
      </c>
      <c r="C106" s="32"/>
      <c r="D106" s="32"/>
      <c r="E106" s="96"/>
      <c r="F106" s="96"/>
      <c r="G106" s="96"/>
      <c r="H106" s="96"/>
      <c r="I106" s="96"/>
      <c r="J106" s="96"/>
      <c r="K106" s="96"/>
      <c r="L106" s="96"/>
      <c r="M106" s="96"/>
      <c r="N106" s="96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36"/>
      <c r="AB106" s="2"/>
      <c r="AD106" s="112"/>
      <c r="AF106" s="96"/>
    </row>
    <row r="107" spans="1:32" ht="14.4">
      <c r="A107" s="228">
        <v>20</v>
      </c>
      <c r="B107" s="75" t="s">
        <v>236</v>
      </c>
      <c r="C107" s="32"/>
      <c r="D107" s="32"/>
      <c r="E107" s="96"/>
      <c r="F107" s="96"/>
      <c r="G107" s="96"/>
      <c r="H107" s="96"/>
      <c r="I107" s="96"/>
      <c r="J107" s="96"/>
      <c r="K107" s="96"/>
      <c r="L107" s="96"/>
      <c r="M107" s="96"/>
      <c r="N107" s="96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36"/>
      <c r="AB107" s="2"/>
      <c r="AD107" s="112"/>
      <c r="AF107" s="96"/>
    </row>
    <row r="108" spans="1:32" ht="14.4">
      <c r="A108" s="228">
        <v>20</v>
      </c>
      <c r="B108" s="75" t="s">
        <v>237</v>
      </c>
      <c r="C108" s="32"/>
      <c r="D108" s="32"/>
      <c r="E108" s="96"/>
      <c r="F108" s="96"/>
      <c r="G108" s="96"/>
      <c r="H108" s="96"/>
      <c r="I108" s="96"/>
      <c r="J108" s="96"/>
      <c r="K108" s="96"/>
      <c r="L108" s="96"/>
      <c r="M108" s="96"/>
      <c r="N108" s="96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36"/>
      <c r="AB108" s="2"/>
      <c r="AD108" s="112"/>
      <c r="AF108" s="96"/>
    </row>
    <row r="109" spans="1:32" ht="14.4">
      <c r="A109" s="228">
        <v>20</v>
      </c>
      <c r="B109" s="75" t="s">
        <v>238</v>
      </c>
      <c r="C109" s="32"/>
      <c r="D109" s="32"/>
      <c r="E109" s="96"/>
      <c r="F109" s="96"/>
      <c r="G109" s="96"/>
      <c r="H109" s="96"/>
      <c r="I109" s="96"/>
      <c r="J109" s="96"/>
      <c r="K109" s="96"/>
      <c r="L109" s="96"/>
      <c r="M109" s="96"/>
      <c r="N109" s="96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36"/>
      <c r="AB109" s="2"/>
      <c r="AD109" s="112"/>
      <c r="AF109" s="96"/>
    </row>
    <row r="110" spans="1:32" ht="14.4">
      <c r="A110" s="233">
        <v>20</v>
      </c>
      <c r="B110" s="75" t="s">
        <v>239</v>
      </c>
      <c r="C110" s="32"/>
      <c r="D110" s="32"/>
      <c r="E110" s="96"/>
      <c r="F110" s="96"/>
      <c r="G110" s="96"/>
      <c r="H110" s="96"/>
      <c r="I110" s="96"/>
      <c r="J110" s="96"/>
      <c r="K110" s="96"/>
      <c r="L110" s="96"/>
      <c r="M110" s="96"/>
      <c r="N110" s="96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36"/>
      <c r="AB110" s="2"/>
      <c r="AD110" s="112"/>
      <c r="AF110" s="96"/>
    </row>
    <row r="111" spans="1:32" ht="14.4">
      <c r="A111" s="228">
        <v>20</v>
      </c>
      <c r="B111" s="75" t="s">
        <v>240</v>
      </c>
      <c r="C111" s="32"/>
      <c r="D111" s="32"/>
      <c r="E111" s="96"/>
      <c r="F111" s="96"/>
      <c r="G111" s="96"/>
      <c r="H111" s="96"/>
      <c r="I111" s="96"/>
      <c r="J111" s="96"/>
      <c r="K111" s="96"/>
      <c r="L111" s="96"/>
      <c r="M111" s="96"/>
      <c r="N111" s="96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36"/>
      <c r="AB111" s="2"/>
      <c r="AD111" s="112"/>
      <c r="AF111" s="96"/>
    </row>
    <row r="112" spans="1:32" ht="14.4">
      <c r="A112" s="228">
        <v>20</v>
      </c>
      <c r="B112" s="75" t="s">
        <v>241</v>
      </c>
      <c r="C112" s="32"/>
      <c r="D112" s="32"/>
      <c r="E112" s="96"/>
      <c r="F112" s="96"/>
      <c r="G112" s="96"/>
      <c r="H112" s="96"/>
      <c r="I112" s="96"/>
      <c r="J112" s="96"/>
      <c r="K112" s="96"/>
      <c r="L112" s="96"/>
      <c r="M112" s="96"/>
      <c r="N112" s="96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36"/>
      <c r="AB112" s="2"/>
      <c r="AD112" s="112"/>
      <c r="AF112" s="96"/>
    </row>
    <row r="113" spans="1:61" ht="14.4">
      <c r="A113" s="230">
        <v>20</v>
      </c>
      <c r="B113" s="231" t="s">
        <v>242</v>
      </c>
      <c r="C113" s="33"/>
      <c r="D113" s="3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237"/>
      <c r="AB113" s="2"/>
      <c r="AD113" s="112"/>
      <c r="AF113" s="96"/>
    </row>
    <row r="114" spans="1:61" ht="14.4">
      <c r="A114" s="233">
        <v>21</v>
      </c>
      <c r="B114" s="75" t="s">
        <v>221</v>
      </c>
      <c r="C114" s="2"/>
      <c r="D114" s="2"/>
      <c r="E114" s="2"/>
      <c r="F114" s="2"/>
      <c r="G114" s="96"/>
      <c r="H114" s="96"/>
      <c r="I114" s="2"/>
      <c r="J114" s="96"/>
      <c r="K114" s="96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D114" s="112"/>
      <c r="AF114" s="96"/>
      <c r="AJ114" s="105"/>
      <c r="AK114" s="105"/>
      <c r="AL114" s="105"/>
      <c r="AM114" s="105"/>
      <c r="AN114" s="105"/>
      <c r="AO114" s="105"/>
      <c r="AP114" s="105"/>
      <c r="AQ114" s="105"/>
      <c r="AR114" s="105"/>
      <c r="AS114" s="105"/>
      <c r="AT114" s="105"/>
      <c r="AU114" s="105"/>
      <c r="AV114" s="105"/>
      <c r="AW114" s="105"/>
      <c r="AX114" s="105"/>
      <c r="AY114" s="105"/>
      <c r="AZ114" s="105"/>
      <c r="BA114" s="105"/>
      <c r="BB114" s="105"/>
      <c r="BC114" s="105"/>
      <c r="BD114" s="105"/>
      <c r="BE114" s="105"/>
      <c r="BF114" s="105"/>
      <c r="BG114" s="105"/>
      <c r="BH114" s="105"/>
      <c r="BI114" s="105"/>
    </row>
    <row r="115" spans="1:61" ht="14.4">
      <c r="A115" s="233">
        <v>21</v>
      </c>
      <c r="B115" s="75" t="s">
        <v>222</v>
      </c>
      <c r="G115" s="96"/>
      <c r="H115" s="96"/>
      <c r="J115" s="96"/>
      <c r="K115" s="96"/>
      <c r="AD115" s="112"/>
      <c r="AF115" s="96"/>
    </row>
    <row r="116" spans="1:61" ht="14.4">
      <c r="A116" s="233">
        <v>21</v>
      </c>
      <c r="B116" s="75" t="s">
        <v>223</v>
      </c>
      <c r="G116" s="96"/>
      <c r="H116" s="96"/>
      <c r="J116" s="96"/>
      <c r="K116" s="96"/>
      <c r="AD116" s="112"/>
      <c r="AF116" s="96"/>
    </row>
    <row r="117" spans="1:61" ht="14.4">
      <c r="A117" s="233">
        <v>21</v>
      </c>
      <c r="B117" s="75" t="s">
        <v>224</v>
      </c>
      <c r="G117" s="96"/>
      <c r="H117" s="96"/>
      <c r="J117" s="96"/>
      <c r="K117" s="96"/>
      <c r="AD117" s="104"/>
      <c r="AF117" s="96"/>
      <c r="AN117" s="113"/>
      <c r="AO117" s="113"/>
      <c r="AP117" s="113"/>
      <c r="AQ117" s="113"/>
      <c r="AR117" s="113"/>
      <c r="AS117" s="113"/>
      <c r="AT117" s="113"/>
      <c r="AU117" s="113"/>
      <c r="AV117" s="113"/>
      <c r="AW117" s="113"/>
      <c r="AX117" s="113"/>
      <c r="AY117" s="114"/>
      <c r="AZ117" s="114"/>
      <c r="BA117" s="114"/>
      <c r="BB117" s="114"/>
      <c r="BC117" s="114"/>
    </row>
    <row r="118" spans="1:61" ht="14.4">
      <c r="A118" s="233">
        <v>21</v>
      </c>
      <c r="B118" s="75" t="s">
        <v>229</v>
      </c>
      <c r="G118" s="96"/>
      <c r="H118" s="96"/>
      <c r="J118" s="96"/>
      <c r="K118" s="96"/>
      <c r="AD118" s="104"/>
      <c r="AF118" s="96"/>
      <c r="AG118" s="101"/>
      <c r="AH118" s="101"/>
      <c r="AI118" s="101"/>
      <c r="AJ118" s="101"/>
      <c r="AK118" s="101"/>
      <c r="AL118" s="101"/>
      <c r="AM118" s="101"/>
      <c r="AN118" s="101"/>
      <c r="AO118" s="101"/>
      <c r="AP118" s="101"/>
      <c r="AQ118" s="101"/>
      <c r="AR118" s="101"/>
      <c r="AS118" s="101"/>
      <c r="AT118" s="101"/>
      <c r="AU118" s="101"/>
      <c r="AV118" s="101"/>
      <c r="AW118" s="101"/>
      <c r="AX118" s="101"/>
      <c r="AY118" s="115"/>
      <c r="AZ118" s="115"/>
      <c r="BA118" s="115"/>
      <c r="BB118" s="115"/>
      <c r="BC118" s="115"/>
    </row>
    <row r="119" spans="1:61" ht="14.4">
      <c r="A119" s="233">
        <v>21</v>
      </c>
      <c r="B119" s="75" t="s">
        <v>243</v>
      </c>
      <c r="G119" s="96"/>
      <c r="H119" s="96"/>
      <c r="J119" s="96"/>
      <c r="K119" s="96"/>
      <c r="AD119" s="104"/>
      <c r="AF119" s="96"/>
      <c r="AG119" s="96"/>
      <c r="AH119" s="96"/>
      <c r="AI119" s="96"/>
      <c r="AJ119" s="96"/>
      <c r="AK119" s="21"/>
      <c r="AL119" s="21"/>
      <c r="AM119" s="21"/>
      <c r="AN119" s="21"/>
      <c r="AO119" s="21"/>
      <c r="AP119" s="21"/>
      <c r="AQ119" s="21"/>
      <c r="AR119" s="21"/>
    </row>
    <row r="120" spans="1:61" ht="14.4">
      <c r="A120" s="233">
        <v>21</v>
      </c>
      <c r="B120" s="75" t="s">
        <v>244</v>
      </c>
      <c r="G120" s="96"/>
      <c r="H120" s="96"/>
      <c r="J120" s="96"/>
      <c r="K120" s="96"/>
      <c r="M120" s="116"/>
      <c r="AD120" s="104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</row>
    <row r="121" spans="1:61" ht="14.4">
      <c r="A121" s="233">
        <v>21</v>
      </c>
      <c r="B121" s="75" t="s">
        <v>245</v>
      </c>
      <c r="G121" s="96"/>
      <c r="H121" s="96"/>
      <c r="J121" s="96"/>
      <c r="K121" s="96"/>
      <c r="M121" s="116"/>
      <c r="AD121" s="104"/>
    </row>
    <row r="122" spans="1:61" ht="14.4">
      <c r="A122" s="229">
        <v>21</v>
      </c>
      <c r="B122" s="74" t="s">
        <v>225</v>
      </c>
      <c r="C122" s="8">
        <v>311.41000000000003</v>
      </c>
      <c r="D122" s="8">
        <v>288.39999999999998</v>
      </c>
      <c r="E122" s="8">
        <v>259.02</v>
      </c>
      <c r="F122" s="8">
        <v>251.19</v>
      </c>
      <c r="G122" s="8">
        <v>236.23</v>
      </c>
      <c r="H122" s="8">
        <v>229.09</v>
      </c>
      <c r="I122" s="8">
        <v>225.6</v>
      </c>
      <c r="J122" s="8">
        <v>215.44</v>
      </c>
      <c r="K122" s="8">
        <v>205.75</v>
      </c>
      <c r="L122" s="8">
        <v>199.53</v>
      </c>
      <c r="M122" s="8">
        <v>193.49</v>
      </c>
      <c r="N122" s="8">
        <v>184.78</v>
      </c>
      <c r="O122" s="8">
        <v>179.2</v>
      </c>
      <c r="P122" s="8">
        <v>168.53</v>
      </c>
      <c r="Q122" s="8">
        <v>160.94</v>
      </c>
      <c r="R122" s="8">
        <v>151.36000000000001</v>
      </c>
      <c r="S122" s="8">
        <v>138.04</v>
      </c>
      <c r="T122" s="8">
        <v>129.82</v>
      </c>
      <c r="U122" s="8">
        <v>114.82</v>
      </c>
      <c r="AD122" s="104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</row>
    <row r="123" spans="1:61" ht="14.4">
      <c r="A123" s="228">
        <v>21</v>
      </c>
      <c r="B123" s="75" t="s">
        <v>226</v>
      </c>
      <c r="C123" s="8">
        <v>122.09</v>
      </c>
      <c r="D123" s="8">
        <v>125.89</v>
      </c>
      <c r="E123" s="8">
        <v>118.39</v>
      </c>
      <c r="F123" s="8">
        <v>116.59</v>
      </c>
      <c r="G123" s="8">
        <v>109.65</v>
      </c>
      <c r="H123" s="8">
        <v>104.71</v>
      </c>
      <c r="I123" s="8">
        <v>100</v>
      </c>
      <c r="J123" s="8">
        <v>96.98</v>
      </c>
      <c r="K123" s="8">
        <v>92.61</v>
      </c>
      <c r="L123" s="8">
        <v>89.81</v>
      </c>
      <c r="M123" s="8">
        <v>89.81</v>
      </c>
      <c r="N123" s="8">
        <v>85.77</v>
      </c>
      <c r="O123" s="8">
        <v>81.91</v>
      </c>
      <c r="P123" s="8">
        <v>80.66</v>
      </c>
      <c r="Q123" s="8">
        <v>79.430000000000007</v>
      </c>
      <c r="R123" s="8">
        <v>74.7</v>
      </c>
      <c r="S123" s="8">
        <v>70.25</v>
      </c>
      <c r="T123" s="8">
        <v>66.069999999999993</v>
      </c>
      <c r="U123" s="8">
        <v>61.19</v>
      </c>
      <c r="AD123" s="104"/>
      <c r="AF123" s="96"/>
      <c r="AG123" s="96"/>
      <c r="AH123" s="96"/>
      <c r="AI123" s="96"/>
      <c r="AJ123" s="96"/>
      <c r="AK123" s="96"/>
      <c r="AL123" s="96"/>
      <c r="AM123" s="96"/>
      <c r="AN123" s="96"/>
      <c r="AO123" s="96"/>
      <c r="AP123" s="96"/>
      <c r="AQ123" s="96"/>
      <c r="AR123" s="96"/>
      <c r="AS123" s="96"/>
      <c r="AT123" s="96"/>
      <c r="AU123" s="96"/>
    </row>
    <row r="124" spans="1:61" ht="14.4">
      <c r="A124" s="228">
        <v>21</v>
      </c>
      <c r="B124" s="75" t="s">
        <v>227</v>
      </c>
      <c r="C124" s="8">
        <v>45.71</v>
      </c>
      <c r="D124" s="8">
        <v>45.01</v>
      </c>
      <c r="E124" s="8">
        <v>44.33</v>
      </c>
      <c r="F124" s="8">
        <v>41.69</v>
      </c>
      <c r="G124" s="8">
        <v>39.81</v>
      </c>
      <c r="H124" s="8">
        <v>38.020000000000003</v>
      </c>
      <c r="I124" s="8">
        <v>36.869999999999997</v>
      </c>
      <c r="J124" s="8">
        <v>35.75</v>
      </c>
      <c r="K124" s="8">
        <v>34.67</v>
      </c>
      <c r="L124" s="8">
        <v>33.11</v>
      </c>
      <c r="M124" s="8">
        <v>31.14</v>
      </c>
      <c r="N124" s="8">
        <v>31.14</v>
      </c>
      <c r="O124" s="8">
        <v>30.67</v>
      </c>
      <c r="P124" s="8">
        <v>31.14</v>
      </c>
      <c r="Q124" s="8">
        <v>29.74</v>
      </c>
      <c r="R124" s="8">
        <v>28.84</v>
      </c>
      <c r="S124" s="8">
        <v>27.54</v>
      </c>
      <c r="T124" s="8">
        <v>26.3</v>
      </c>
      <c r="U124" s="8">
        <v>24.74</v>
      </c>
      <c r="AD124" s="104"/>
    </row>
    <row r="125" spans="1:61" ht="14.4">
      <c r="A125" s="228">
        <v>21</v>
      </c>
      <c r="B125" s="75" t="s">
        <v>228</v>
      </c>
      <c r="C125" s="8">
        <v>27.97</v>
      </c>
      <c r="D125" s="8">
        <v>26.3</v>
      </c>
      <c r="E125" s="8">
        <v>23.99</v>
      </c>
      <c r="F125" s="8">
        <v>23.26</v>
      </c>
      <c r="G125" s="8">
        <v>21.88</v>
      </c>
      <c r="H125" s="8">
        <v>20.89</v>
      </c>
      <c r="I125" s="8">
        <v>20.89</v>
      </c>
      <c r="J125" s="8">
        <v>19.95</v>
      </c>
      <c r="K125" s="8">
        <v>19.05</v>
      </c>
      <c r="L125" s="8">
        <v>18.48</v>
      </c>
      <c r="M125" s="8">
        <v>17.920000000000002</v>
      </c>
      <c r="N125" s="8">
        <v>17.38</v>
      </c>
      <c r="O125" s="8">
        <v>16.600000000000001</v>
      </c>
      <c r="P125" s="8">
        <v>16.600000000000001</v>
      </c>
      <c r="Q125" s="8">
        <v>15.61</v>
      </c>
      <c r="R125" s="8">
        <v>15.85</v>
      </c>
      <c r="S125" s="8">
        <v>14.91</v>
      </c>
      <c r="T125" s="8">
        <v>14.68</v>
      </c>
      <c r="U125" s="8">
        <v>15.14</v>
      </c>
      <c r="AD125" s="104"/>
    </row>
    <row r="126" spans="1:61" ht="14.4">
      <c r="A126" s="228">
        <v>21</v>
      </c>
      <c r="B126" s="75" t="s">
        <v>230</v>
      </c>
      <c r="C126" s="8">
        <v>271.23</v>
      </c>
      <c r="D126" s="8">
        <v>288.39999999999998</v>
      </c>
      <c r="E126" s="8">
        <v>292.86</v>
      </c>
      <c r="F126" s="8">
        <v>297.39</v>
      </c>
      <c r="G126" s="8">
        <v>292.86</v>
      </c>
      <c r="H126" s="8">
        <v>292.86</v>
      </c>
      <c r="I126" s="8">
        <v>284.01</v>
      </c>
      <c r="J126" s="8">
        <v>284.01</v>
      </c>
      <c r="K126" s="8">
        <v>284.01</v>
      </c>
      <c r="L126" s="8">
        <v>275.42</v>
      </c>
      <c r="M126" s="8">
        <v>259.02</v>
      </c>
      <c r="N126" s="8">
        <v>255.07</v>
      </c>
      <c r="O126" s="8">
        <v>247.36</v>
      </c>
      <c r="P126" s="8">
        <v>229.09</v>
      </c>
      <c r="Q126" s="8">
        <v>215.44</v>
      </c>
      <c r="R126" s="8">
        <v>202.61</v>
      </c>
      <c r="S126" s="8">
        <v>193.49</v>
      </c>
      <c r="T126" s="8">
        <v>181.97</v>
      </c>
      <c r="U126" s="8">
        <v>179.22</v>
      </c>
      <c r="AD126" s="104"/>
    </row>
    <row r="127" spans="1:61" ht="14.4">
      <c r="A127" s="228">
        <v>21</v>
      </c>
      <c r="B127" s="75" t="s">
        <v>246</v>
      </c>
      <c r="C127" s="8">
        <v>165.96</v>
      </c>
      <c r="D127" s="8">
        <v>168.53</v>
      </c>
      <c r="E127" s="8">
        <v>171.13</v>
      </c>
      <c r="F127" s="8">
        <v>171.13</v>
      </c>
      <c r="G127" s="8">
        <v>179.2</v>
      </c>
      <c r="H127" s="8">
        <v>179.2</v>
      </c>
      <c r="I127" s="8">
        <v>179.2</v>
      </c>
      <c r="J127" s="8">
        <v>171.13</v>
      </c>
      <c r="K127" s="8">
        <v>173.78</v>
      </c>
      <c r="L127" s="8">
        <v>168.53</v>
      </c>
      <c r="M127" s="8">
        <v>168.53</v>
      </c>
      <c r="N127" s="8">
        <v>163.43</v>
      </c>
      <c r="O127" s="8">
        <v>158.49</v>
      </c>
      <c r="P127" s="8">
        <v>153.69999999999999</v>
      </c>
      <c r="Q127" s="8">
        <v>144.54</v>
      </c>
      <c r="R127" s="8">
        <v>138.04</v>
      </c>
      <c r="S127" s="8">
        <v>129.82</v>
      </c>
      <c r="T127" s="8">
        <v>120.23</v>
      </c>
      <c r="U127" s="8">
        <v>114.82</v>
      </c>
      <c r="AB127" s="96"/>
      <c r="AC127" s="96"/>
      <c r="AD127" s="104"/>
      <c r="AF127" s="96"/>
      <c r="AG127" s="96"/>
      <c r="AH127" s="96"/>
      <c r="AI127" s="96"/>
      <c r="AJ127" s="96"/>
      <c r="AK127" s="21"/>
      <c r="AL127" s="21"/>
      <c r="AM127" s="21"/>
      <c r="AN127" s="21"/>
      <c r="AO127" s="21"/>
      <c r="AP127" s="21"/>
      <c r="AQ127" s="21"/>
      <c r="AR127" s="21"/>
      <c r="AS127" s="96"/>
      <c r="AT127" s="96"/>
      <c r="AU127" s="96"/>
      <c r="AV127" s="96"/>
      <c r="AW127" s="96"/>
      <c r="AX127" s="96"/>
      <c r="AY127" s="96"/>
      <c r="AZ127" s="96"/>
    </row>
    <row r="128" spans="1:61" ht="14.4">
      <c r="A128" s="228">
        <v>21</v>
      </c>
      <c r="B128" s="75" t="s">
        <v>247</v>
      </c>
      <c r="C128" s="8">
        <v>129.82</v>
      </c>
      <c r="D128" s="8">
        <v>129.82</v>
      </c>
      <c r="E128" s="8">
        <v>125.89</v>
      </c>
      <c r="F128" s="8">
        <v>120.23</v>
      </c>
      <c r="G128" s="8">
        <v>116.59</v>
      </c>
      <c r="H128" s="8">
        <v>111.34</v>
      </c>
      <c r="I128" s="8">
        <v>107.98</v>
      </c>
      <c r="J128" s="8">
        <v>104.71</v>
      </c>
      <c r="K128" s="8">
        <v>101.55</v>
      </c>
      <c r="L128" s="8">
        <v>98.48</v>
      </c>
      <c r="M128" s="8">
        <v>91.2</v>
      </c>
      <c r="N128" s="8">
        <v>89.81</v>
      </c>
      <c r="O128" s="8">
        <v>84.46</v>
      </c>
      <c r="P128" s="8">
        <v>81.91</v>
      </c>
      <c r="Q128" s="8">
        <v>75.86</v>
      </c>
      <c r="R128" s="8">
        <v>70.25</v>
      </c>
      <c r="S128" s="8">
        <v>65.06</v>
      </c>
      <c r="T128" s="8">
        <v>60.26</v>
      </c>
      <c r="U128" s="8">
        <v>54.95</v>
      </c>
      <c r="AB128" s="32"/>
      <c r="AC128" s="32"/>
      <c r="AD128" s="104"/>
      <c r="AE128" s="96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</row>
    <row r="129" spans="1:37" ht="14.4">
      <c r="A129" s="230">
        <v>21</v>
      </c>
      <c r="B129" s="231" t="s">
        <v>248</v>
      </c>
      <c r="C129" s="8">
        <v>78.22</v>
      </c>
      <c r="D129" s="8">
        <v>69.180000000000007</v>
      </c>
      <c r="E129" s="8">
        <v>65.06</v>
      </c>
      <c r="F129" s="8">
        <v>62.13</v>
      </c>
      <c r="G129" s="8">
        <v>59.34</v>
      </c>
      <c r="H129" s="8">
        <v>56.67</v>
      </c>
      <c r="I129" s="8">
        <v>53.29</v>
      </c>
      <c r="J129" s="8">
        <v>51.68</v>
      </c>
      <c r="K129" s="8">
        <v>50.12</v>
      </c>
      <c r="L129" s="8">
        <v>48.6</v>
      </c>
      <c r="M129" s="8">
        <v>47.13</v>
      </c>
      <c r="N129" s="8">
        <v>43.65</v>
      </c>
      <c r="O129" s="8">
        <v>44.33</v>
      </c>
      <c r="P129" s="8">
        <v>41.69</v>
      </c>
      <c r="Q129" s="8">
        <v>39.200000000000003</v>
      </c>
      <c r="R129" s="8">
        <v>38.61</v>
      </c>
      <c r="S129" s="8">
        <v>37.44</v>
      </c>
      <c r="T129" s="8">
        <v>35.75</v>
      </c>
      <c r="U129" s="8">
        <v>32.61</v>
      </c>
      <c r="AD129" s="96"/>
      <c r="AE129" s="96"/>
    </row>
    <row r="130" spans="1:37" ht="14.4">
      <c r="A130" s="228">
        <v>22</v>
      </c>
      <c r="B130" s="75">
        <v>1</v>
      </c>
      <c r="C130" s="22">
        <v>36.19</v>
      </c>
      <c r="D130" s="22">
        <v>31.89</v>
      </c>
      <c r="E130" s="22">
        <v>27.54</v>
      </c>
      <c r="F130" s="22">
        <v>25.09</v>
      </c>
      <c r="G130" s="22">
        <v>22.55</v>
      </c>
      <c r="H130" s="22">
        <v>21.66</v>
      </c>
      <c r="I130" s="22">
        <v>20.54</v>
      </c>
      <c r="J130" s="22">
        <v>20.27</v>
      </c>
      <c r="K130" s="22">
        <v>19.47</v>
      </c>
      <c r="L130" s="22">
        <v>18.96</v>
      </c>
      <c r="M130" s="22">
        <v>18.71</v>
      </c>
      <c r="N130" s="22">
        <v>18.71</v>
      </c>
      <c r="O130" s="22">
        <v>18.71</v>
      </c>
      <c r="P130" s="22">
        <v>18.71</v>
      </c>
      <c r="Q130" s="22">
        <v>18.34</v>
      </c>
      <c r="R130" s="22">
        <v>18.22</v>
      </c>
      <c r="S130" s="22">
        <v>17.98</v>
      </c>
      <c r="T130" s="22">
        <v>17.98</v>
      </c>
      <c r="U130" s="22">
        <v>18.22</v>
      </c>
      <c r="V130" s="226">
        <v>18.34</v>
      </c>
      <c r="W130" s="2"/>
      <c r="AD130" s="96"/>
      <c r="AE130" s="96"/>
    </row>
    <row r="131" spans="1:37" ht="15" customHeight="1">
      <c r="A131" s="228">
        <v>22</v>
      </c>
      <c r="B131" s="75">
        <v>2</v>
      </c>
      <c r="C131" s="22">
        <v>49.5</v>
      </c>
      <c r="D131" s="22">
        <v>41.35</v>
      </c>
      <c r="E131" s="22">
        <v>36.43</v>
      </c>
      <c r="F131" s="22">
        <v>32.32</v>
      </c>
      <c r="G131" s="22">
        <v>29.83</v>
      </c>
      <c r="H131" s="22">
        <v>27.72</v>
      </c>
      <c r="I131" s="22">
        <v>27.36</v>
      </c>
      <c r="J131" s="22">
        <v>25.94</v>
      </c>
      <c r="K131" s="22">
        <v>25.25</v>
      </c>
      <c r="L131" s="22">
        <v>24.75</v>
      </c>
      <c r="M131" s="22">
        <v>24.43</v>
      </c>
      <c r="N131" s="22">
        <v>24.43</v>
      </c>
      <c r="O131" s="22">
        <v>24.1</v>
      </c>
      <c r="P131" s="22">
        <v>23.63</v>
      </c>
      <c r="Q131" s="22">
        <v>23.63</v>
      </c>
      <c r="R131" s="22">
        <v>23.31</v>
      </c>
      <c r="S131" s="22">
        <v>23.16</v>
      </c>
      <c r="T131" s="22">
        <v>23.16</v>
      </c>
      <c r="U131" s="22">
        <v>23.31</v>
      </c>
      <c r="V131" s="226">
        <v>22.85</v>
      </c>
      <c r="W131" s="2"/>
    </row>
    <row r="132" spans="1:37" ht="15" customHeight="1">
      <c r="A132" s="228">
        <v>22</v>
      </c>
      <c r="B132" s="75">
        <v>3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6"/>
      <c r="W132" s="2"/>
    </row>
    <row r="133" spans="1:37" ht="15" customHeight="1">
      <c r="A133" s="228">
        <v>22</v>
      </c>
      <c r="B133" s="75">
        <v>4</v>
      </c>
      <c r="C133" s="22">
        <v>116.18</v>
      </c>
      <c r="D133" s="22">
        <v>90.79</v>
      </c>
      <c r="E133" s="22">
        <v>77.37</v>
      </c>
      <c r="F133" s="22">
        <v>65.930000000000007</v>
      </c>
      <c r="G133" s="22">
        <v>59.66</v>
      </c>
      <c r="H133" s="22">
        <v>55.81</v>
      </c>
      <c r="I133" s="22">
        <v>51.18</v>
      </c>
      <c r="J133" s="22">
        <v>49.84</v>
      </c>
      <c r="K133" s="22">
        <v>47.25</v>
      </c>
      <c r="L133" s="22">
        <v>46.93</v>
      </c>
      <c r="M133" s="22">
        <v>45.09</v>
      </c>
      <c r="N133" s="22">
        <v>45.7</v>
      </c>
      <c r="O133" s="22">
        <v>44.8</v>
      </c>
      <c r="P133" s="22">
        <v>44.2</v>
      </c>
      <c r="Q133" s="22">
        <v>43.91</v>
      </c>
      <c r="R133" s="22">
        <v>44.2</v>
      </c>
      <c r="S133" s="22">
        <v>43.04</v>
      </c>
      <c r="T133" s="22">
        <v>43.04</v>
      </c>
      <c r="U133" s="22">
        <v>41.91</v>
      </c>
      <c r="V133" s="226">
        <v>41.35</v>
      </c>
      <c r="W133" s="2"/>
    </row>
    <row r="134" spans="1:37" ht="15" customHeight="1">
      <c r="A134" s="228">
        <v>22</v>
      </c>
      <c r="B134" s="75">
        <v>5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6"/>
      <c r="W134" s="2"/>
    </row>
    <row r="135" spans="1:37" ht="15" customHeight="1">
      <c r="A135" s="228">
        <v>22</v>
      </c>
      <c r="B135" s="75">
        <v>6</v>
      </c>
      <c r="C135" s="22">
        <v>162.12</v>
      </c>
      <c r="D135" s="22">
        <v>125.85</v>
      </c>
      <c r="E135" s="22">
        <v>101</v>
      </c>
      <c r="F135" s="22">
        <v>87.81</v>
      </c>
      <c r="G135" s="22">
        <v>77.37</v>
      </c>
      <c r="H135" s="22">
        <v>70.95</v>
      </c>
      <c r="I135" s="22">
        <v>68.17</v>
      </c>
      <c r="J135" s="22">
        <v>63.35</v>
      </c>
      <c r="K135" s="22">
        <v>61.27</v>
      </c>
      <c r="L135" s="22">
        <v>60.46</v>
      </c>
      <c r="M135" s="22">
        <v>60.06</v>
      </c>
      <c r="N135" s="22">
        <v>58.48</v>
      </c>
      <c r="O135" s="22">
        <v>56.19</v>
      </c>
      <c r="P135" s="22">
        <v>57.32</v>
      </c>
      <c r="Q135" s="22">
        <v>56.56</v>
      </c>
      <c r="R135" s="22">
        <v>55.08</v>
      </c>
      <c r="S135" s="22">
        <v>53.98</v>
      </c>
      <c r="T135" s="22">
        <v>53.98</v>
      </c>
      <c r="U135" s="22">
        <v>52.56</v>
      </c>
      <c r="V135" s="226">
        <v>51.52</v>
      </c>
      <c r="W135" s="2"/>
    </row>
    <row r="136" spans="1:37" ht="15" customHeight="1">
      <c r="A136" s="228">
        <v>22</v>
      </c>
      <c r="B136" s="75">
        <v>7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6"/>
      <c r="W136" s="2"/>
    </row>
    <row r="137" spans="1:37" ht="15" customHeight="1">
      <c r="A137" s="230">
        <v>22</v>
      </c>
      <c r="B137" s="231">
        <v>8</v>
      </c>
      <c r="C137" s="30">
        <v>346.58</v>
      </c>
      <c r="D137" s="30">
        <v>241.83</v>
      </c>
      <c r="E137" s="30">
        <v>194.08</v>
      </c>
      <c r="F137" s="30">
        <v>162.12</v>
      </c>
      <c r="G137" s="30">
        <v>145.72</v>
      </c>
      <c r="H137" s="30">
        <v>135.41999999999999</v>
      </c>
      <c r="I137" s="30">
        <v>123.36</v>
      </c>
      <c r="J137" s="30">
        <v>115.41</v>
      </c>
      <c r="K137" s="30">
        <v>111.62</v>
      </c>
      <c r="L137" s="30">
        <v>110.15</v>
      </c>
      <c r="M137" s="30">
        <v>105.83</v>
      </c>
      <c r="N137" s="30">
        <v>104.43</v>
      </c>
      <c r="O137" s="30">
        <v>100.33</v>
      </c>
      <c r="P137" s="30">
        <v>97.05</v>
      </c>
      <c r="Q137" s="30">
        <v>96.4</v>
      </c>
      <c r="R137" s="30">
        <v>94.49</v>
      </c>
      <c r="S137" s="30">
        <v>92.01</v>
      </c>
      <c r="T137" s="30">
        <v>90.79</v>
      </c>
      <c r="U137" s="30">
        <v>87.23</v>
      </c>
      <c r="V137" s="232">
        <v>88.4</v>
      </c>
      <c r="W137" s="2"/>
    </row>
    <row r="138" spans="1:37" ht="15" customHeight="1">
      <c r="A138" s="229">
        <v>23</v>
      </c>
      <c r="B138" s="74">
        <v>1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spans="1:37" ht="15" customHeight="1">
      <c r="A139" s="228">
        <v>23</v>
      </c>
      <c r="B139" s="75">
        <v>2</v>
      </c>
    </row>
    <row r="140" spans="1:37" ht="15" customHeight="1">
      <c r="A140" s="228">
        <v>23</v>
      </c>
      <c r="B140" s="75">
        <v>3</v>
      </c>
    </row>
    <row r="141" spans="1:37" ht="15" customHeight="1">
      <c r="A141" s="228">
        <v>23</v>
      </c>
      <c r="B141" s="75">
        <v>4</v>
      </c>
    </row>
    <row r="142" spans="1:37" ht="15" customHeight="1">
      <c r="A142" s="228">
        <v>23</v>
      </c>
      <c r="B142" s="75">
        <v>5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</row>
    <row r="143" spans="1:37" ht="15" customHeight="1">
      <c r="A143" s="309">
        <v>24</v>
      </c>
      <c r="B143" s="310">
        <v>1</v>
      </c>
      <c r="C143" s="234">
        <v>182.83</v>
      </c>
      <c r="D143" s="234">
        <v>169.79</v>
      </c>
      <c r="E143" s="234">
        <v>157.66999999999999</v>
      </c>
      <c r="F143" s="234">
        <v>149.15</v>
      </c>
      <c r="G143" s="234">
        <v>141.1</v>
      </c>
      <c r="H143" s="234">
        <v>133.47999999999999</v>
      </c>
      <c r="I143" s="234">
        <v>131.03</v>
      </c>
      <c r="J143" s="234">
        <v>121.68</v>
      </c>
      <c r="K143" s="234">
        <v>117.26</v>
      </c>
      <c r="L143" s="234">
        <v>119.45</v>
      </c>
      <c r="M143" s="234">
        <v>115.1</v>
      </c>
      <c r="N143" s="234">
        <v>115.1</v>
      </c>
      <c r="O143" s="234">
        <v>115.1</v>
      </c>
      <c r="P143" s="234">
        <v>115.1</v>
      </c>
      <c r="Q143" s="234">
        <v>112.99</v>
      </c>
      <c r="R143" s="234">
        <v>110.92</v>
      </c>
      <c r="S143" s="234">
        <v>106.89</v>
      </c>
      <c r="T143" s="234">
        <v>104.93</v>
      </c>
      <c r="U143" s="234">
        <v>97.44</v>
      </c>
      <c r="V143" s="234">
        <v>93.9</v>
      </c>
      <c r="W143" s="234">
        <v>90.49</v>
      </c>
      <c r="X143" s="234">
        <v>87.2</v>
      </c>
      <c r="Y143" s="234">
        <v>82.49</v>
      </c>
      <c r="Z143" s="234">
        <v>78.03</v>
      </c>
      <c r="AA143" s="234">
        <v>73.819999999999993</v>
      </c>
      <c r="AB143" s="234">
        <v>72.47</v>
      </c>
      <c r="AC143" s="234">
        <v>63.66</v>
      </c>
      <c r="AD143" s="234">
        <v>58.03</v>
      </c>
      <c r="AE143" s="234">
        <v>52.9</v>
      </c>
      <c r="AF143" s="234">
        <v>46.47</v>
      </c>
      <c r="AG143" s="234">
        <v>42.37</v>
      </c>
      <c r="AH143" s="234">
        <v>33.93</v>
      </c>
      <c r="AI143" s="234">
        <v>27.17</v>
      </c>
      <c r="AJ143" s="235">
        <v>20.97</v>
      </c>
      <c r="AK143" s="2"/>
    </row>
    <row r="144" spans="1:37" ht="15" customHeight="1">
      <c r="A144" s="238">
        <v>24</v>
      </c>
      <c r="B144" s="239">
        <v>2</v>
      </c>
      <c r="C144" s="2">
        <v>1654.43</v>
      </c>
      <c r="D144" s="2">
        <v>1426.73</v>
      </c>
      <c r="E144" s="2">
        <v>1142.56</v>
      </c>
      <c r="F144" s="2">
        <v>967.23</v>
      </c>
      <c r="G144" s="2">
        <v>719.31</v>
      </c>
      <c r="H144" s="2">
        <v>667.97</v>
      </c>
      <c r="I144" s="2">
        <v>544.91999999999996</v>
      </c>
      <c r="J144" s="2">
        <v>487.64</v>
      </c>
      <c r="K144" s="2">
        <v>412.82</v>
      </c>
      <c r="L144" s="2">
        <v>362.65</v>
      </c>
      <c r="M144" s="2">
        <v>285.08999999999997</v>
      </c>
      <c r="N144" s="2">
        <v>228.31</v>
      </c>
      <c r="O144" s="2">
        <v>200.56</v>
      </c>
      <c r="P144" s="2">
        <v>182.83</v>
      </c>
      <c r="Q144" s="2">
        <v>169.79</v>
      </c>
      <c r="R144" s="2">
        <v>160.62</v>
      </c>
      <c r="S144" s="2">
        <v>149.15</v>
      </c>
      <c r="T144" s="2">
        <v>135.97</v>
      </c>
      <c r="U144" s="2">
        <v>123.95</v>
      </c>
      <c r="V144" s="2">
        <v>115.1</v>
      </c>
      <c r="W144" s="2">
        <v>115.1</v>
      </c>
      <c r="X144" s="2">
        <v>106.89</v>
      </c>
      <c r="Y144" s="2">
        <v>103.01</v>
      </c>
      <c r="Z144" s="2">
        <v>93.9</v>
      </c>
      <c r="AA144" s="2">
        <v>93.9</v>
      </c>
      <c r="AB144" s="2">
        <v>92.18</v>
      </c>
      <c r="AC144" s="2">
        <v>90.49</v>
      </c>
      <c r="AD144" s="2">
        <v>85.6</v>
      </c>
      <c r="AE144" s="2">
        <v>80.98</v>
      </c>
      <c r="AF144" s="2">
        <v>78.03</v>
      </c>
      <c r="AG144" s="2">
        <v>73.819999999999993</v>
      </c>
      <c r="AH144" s="2">
        <v>73.819999999999993</v>
      </c>
      <c r="AI144" s="2">
        <v>72.47</v>
      </c>
      <c r="AJ144" s="236">
        <v>71.14</v>
      </c>
      <c r="AK144" s="2"/>
    </row>
    <row r="145" spans="1:37" ht="15" customHeight="1">
      <c r="A145" s="238">
        <v>24</v>
      </c>
      <c r="B145" s="239">
        <v>3</v>
      </c>
      <c r="C145" s="2">
        <v>2532.4299999999998</v>
      </c>
      <c r="D145" s="2">
        <v>2104.5100000000002</v>
      </c>
      <c r="E145" s="2">
        <v>1624.09</v>
      </c>
      <c r="F145" s="2">
        <v>1349.66</v>
      </c>
      <c r="G145" s="2">
        <v>1101.03</v>
      </c>
      <c r="H145" s="2">
        <v>881.73</v>
      </c>
      <c r="I145" s="2">
        <v>774.58</v>
      </c>
      <c r="J145" s="2">
        <v>620.29999999999995</v>
      </c>
      <c r="K145" s="2">
        <v>555.1</v>
      </c>
      <c r="L145" s="2">
        <v>461.3</v>
      </c>
      <c r="M145" s="2">
        <v>412.82</v>
      </c>
      <c r="N145" s="2">
        <v>356</v>
      </c>
      <c r="O145" s="2">
        <v>312.74</v>
      </c>
      <c r="P145" s="2">
        <v>279.86</v>
      </c>
      <c r="Q145" s="2">
        <v>245.85</v>
      </c>
      <c r="R145" s="2">
        <v>228.31</v>
      </c>
      <c r="S145" s="2">
        <v>208.13</v>
      </c>
      <c r="T145" s="2">
        <v>186.25</v>
      </c>
      <c r="U145" s="2">
        <v>176.19</v>
      </c>
      <c r="V145" s="2">
        <v>163.62</v>
      </c>
      <c r="W145" s="2">
        <v>149.15</v>
      </c>
      <c r="X145" s="2">
        <v>143.72999999999999</v>
      </c>
      <c r="Y145" s="2">
        <v>135.97</v>
      </c>
      <c r="Z145" s="2">
        <v>128.62</v>
      </c>
      <c r="AA145" s="2">
        <v>123.95</v>
      </c>
      <c r="AB145" s="2">
        <v>121.68</v>
      </c>
      <c r="AC145" s="2">
        <v>115.1</v>
      </c>
      <c r="AD145" s="2">
        <v>108.89</v>
      </c>
      <c r="AE145" s="2">
        <v>106.89</v>
      </c>
      <c r="AF145" s="2">
        <v>103.01</v>
      </c>
      <c r="AG145" s="2">
        <v>103.01</v>
      </c>
      <c r="AH145" s="2">
        <v>97.44</v>
      </c>
      <c r="AI145" s="2">
        <v>97.44</v>
      </c>
      <c r="AJ145" s="236">
        <v>95.65</v>
      </c>
      <c r="AK145" s="2"/>
    </row>
    <row r="146" spans="1:37" ht="15" customHeight="1">
      <c r="A146" s="238">
        <v>24</v>
      </c>
      <c r="B146" s="239">
        <v>4</v>
      </c>
      <c r="C146" s="2">
        <v>8127.7</v>
      </c>
      <c r="D146" s="2">
        <v>6272.31</v>
      </c>
      <c r="E146" s="2">
        <v>5613.01</v>
      </c>
      <c r="F146" s="2">
        <v>4664.5600000000004</v>
      </c>
      <c r="G146" s="2">
        <v>3948.78</v>
      </c>
      <c r="H146" s="2">
        <v>3281.54</v>
      </c>
      <c r="I146" s="2">
        <v>2677.03</v>
      </c>
      <c r="J146" s="2">
        <v>2183.88</v>
      </c>
      <c r="K146" s="2">
        <v>1848.76</v>
      </c>
      <c r="L146" s="2">
        <v>1594.31</v>
      </c>
      <c r="M146" s="2">
        <v>1400.56</v>
      </c>
      <c r="N146" s="2">
        <v>1300.6099999999999</v>
      </c>
      <c r="O146" s="2">
        <v>1163.9000000000001</v>
      </c>
      <c r="P146" s="2">
        <v>1041.56</v>
      </c>
      <c r="Q146" s="2">
        <v>967.23</v>
      </c>
      <c r="R146" s="2">
        <v>898.21</v>
      </c>
      <c r="S146" s="2">
        <v>834.11</v>
      </c>
      <c r="T146" s="2">
        <v>789.05</v>
      </c>
      <c r="U146" s="2">
        <v>746.43</v>
      </c>
      <c r="V146" s="2">
        <v>719.31</v>
      </c>
      <c r="W146" s="2">
        <v>680.45</v>
      </c>
      <c r="X146" s="2">
        <v>643.70000000000005</v>
      </c>
      <c r="Y146" s="2">
        <v>620.29999999999995</v>
      </c>
      <c r="Z146" s="2">
        <v>586.79999999999995</v>
      </c>
      <c r="AA146" s="2">
        <v>565.47</v>
      </c>
      <c r="AB146" s="2">
        <v>544.91999999999996</v>
      </c>
      <c r="AC146" s="2">
        <v>515.49</v>
      </c>
      <c r="AD146" s="2">
        <v>496.75</v>
      </c>
      <c r="AE146" s="2">
        <v>469.92</v>
      </c>
      <c r="AF146" s="2">
        <v>469.92</v>
      </c>
      <c r="AG146" s="2">
        <v>452.84</v>
      </c>
      <c r="AH146" s="2">
        <v>420.53</v>
      </c>
      <c r="AI146" s="2">
        <v>383.36</v>
      </c>
      <c r="AJ146" s="236">
        <v>369.42</v>
      </c>
      <c r="AK146" s="2"/>
    </row>
    <row r="147" spans="1:37" ht="15" customHeight="1">
      <c r="A147" s="238">
        <v>24</v>
      </c>
      <c r="B147" s="239">
        <v>5</v>
      </c>
      <c r="C147" s="2">
        <v>48945.26</v>
      </c>
      <c r="D147" s="2">
        <v>40674.74</v>
      </c>
      <c r="E147" s="2">
        <v>33801.730000000003</v>
      </c>
      <c r="F147" s="2">
        <v>26572.799999999999</v>
      </c>
      <c r="G147" s="2">
        <v>22082.66</v>
      </c>
      <c r="H147" s="2">
        <v>17360</v>
      </c>
      <c r="I147" s="2">
        <v>14696.12</v>
      </c>
      <c r="J147" s="2">
        <v>11769</v>
      </c>
      <c r="K147" s="2">
        <v>9424.9</v>
      </c>
      <c r="L147" s="2">
        <v>8127.7</v>
      </c>
      <c r="M147" s="2">
        <v>6389.49</v>
      </c>
      <c r="N147" s="2">
        <v>5409.02</v>
      </c>
      <c r="O147" s="2">
        <v>4579.01</v>
      </c>
      <c r="P147" s="2">
        <v>3876.36</v>
      </c>
      <c r="Q147" s="2">
        <v>3221.35</v>
      </c>
      <c r="R147" s="2">
        <v>2727.04</v>
      </c>
      <c r="S147" s="2">
        <v>2395.64</v>
      </c>
      <c r="T147" s="2">
        <v>2028.03</v>
      </c>
      <c r="U147" s="2">
        <v>1781.57</v>
      </c>
      <c r="V147" s="2">
        <v>1624.09</v>
      </c>
      <c r="W147" s="2">
        <v>1426.73</v>
      </c>
      <c r="X147" s="2">
        <v>1300.6099999999999</v>
      </c>
      <c r="Y147" s="2">
        <v>1163.9000000000001</v>
      </c>
      <c r="Z147" s="2">
        <v>1061.02</v>
      </c>
      <c r="AA147" s="2">
        <v>1003.71</v>
      </c>
      <c r="AB147" s="2">
        <v>898.21</v>
      </c>
      <c r="AC147" s="2">
        <v>818.81</v>
      </c>
      <c r="AD147" s="2">
        <v>760.38</v>
      </c>
      <c r="AE147" s="2">
        <v>732.74</v>
      </c>
      <c r="AF147" s="2">
        <v>667.97</v>
      </c>
      <c r="AG147" s="2">
        <v>620.29999999999995</v>
      </c>
      <c r="AH147" s="2">
        <v>544.91999999999996</v>
      </c>
      <c r="AI147" s="2">
        <v>506.03</v>
      </c>
      <c r="AJ147" s="236">
        <v>461.3</v>
      </c>
      <c r="AK147" s="2"/>
    </row>
    <row r="148" spans="1:37" ht="15" customHeight="1">
      <c r="A148" s="238">
        <v>24</v>
      </c>
      <c r="B148" s="239">
        <v>6</v>
      </c>
      <c r="C148" s="2">
        <v>154206.57999999999</v>
      </c>
      <c r="D148" s="2">
        <v>123492.3</v>
      </c>
      <c r="E148" s="2">
        <v>102625.2</v>
      </c>
      <c r="F148" s="2">
        <v>83720.070000000007</v>
      </c>
      <c r="G148" s="2">
        <v>69573.48</v>
      </c>
      <c r="H148" s="2">
        <v>54694.31</v>
      </c>
      <c r="I148" s="2">
        <v>45452.34</v>
      </c>
      <c r="J148" s="2">
        <v>36399.32</v>
      </c>
      <c r="K148" s="2">
        <v>31389.51</v>
      </c>
      <c r="L148" s="2">
        <v>24676.47</v>
      </c>
      <c r="M148" s="2">
        <v>19043.32</v>
      </c>
      <c r="N148" s="2">
        <v>15535.25</v>
      </c>
      <c r="O148" s="2">
        <v>13397.06</v>
      </c>
      <c r="P148" s="2">
        <v>10338.780000000001</v>
      </c>
      <c r="Q148" s="2">
        <v>8915.81</v>
      </c>
      <c r="R148" s="2">
        <v>7409.26</v>
      </c>
      <c r="S148" s="2">
        <v>5933.51</v>
      </c>
      <c r="T148" s="2">
        <v>4930.8999999999996</v>
      </c>
      <c r="U148" s="2">
        <v>4174.25</v>
      </c>
      <c r="V148" s="2">
        <v>3599.73</v>
      </c>
      <c r="W148" s="2">
        <v>3162.28</v>
      </c>
      <c r="X148" s="2">
        <v>2579.7399999999998</v>
      </c>
      <c r="Y148" s="2">
        <v>2224.6799999999998</v>
      </c>
      <c r="Z148" s="2">
        <v>1883.3</v>
      </c>
      <c r="AA148" s="2">
        <v>1685.34</v>
      </c>
      <c r="AB148" s="2">
        <v>1400.56</v>
      </c>
      <c r="AC148" s="2">
        <v>1253.3499999999999</v>
      </c>
      <c r="AD148" s="2">
        <v>1142.56</v>
      </c>
      <c r="AE148" s="2">
        <v>1022.46</v>
      </c>
      <c r="AF148" s="2">
        <v>898.21</v>
      </c>
      <c r="AG148" s="2">
        <v>818.81</v>
      </c>
      <c r="AH148" s="2">
        <v>732.74</v>
      </c>
      <c r="AI148" s="2">
        <v>655.72</v>
      </c>
      <c r="AJ148" s="236">
        <v>597.76</v>
      </c>
      <c r="AK148" s="2"/>
    </row>
    <row r="149" spans="1:37" ht="15" customHeight="1">
      <c r="A149" s="311">
        <v>24</v>
      </c>
      <c r="B149" s="312">
        <v>7</v>
      </c>
      <c r="C149" s="34">
        <v>1057099.23</v>
      </c>
      <c r="D149" s="34">
        <v>862365.39</v>
      </c>
      <c r="E149" s="34">
        <v>677937.58</v>
      </c>
      <c r="F149" s="34">
        <v>573908.22</v>
      </c>
      <c r="G149" s="34">
        <v>451170.65</v>
      </c>
      <c r="H149" s="34">
        <v>368058.12</v>
      </c>
      <c r="I149" s="34">
        <v>294749.7</v>
      </c>
      <c r="J149" s="34">
        <v>240452.3</v>
      </c>
      <c r="K149" s="34">
        <v>203554.95</v>
      </c>
      <c r="L149" s="34">
        <v>160022.14000000001</v>
      </c>
      <c r="M149" s="34">
        <v>128149.54</v>
      </c>
      <c r="N149" s="34">
        <v>100743.13</v>
      </c>
      <c r="O149" s="34">
        <v>83720.070000000007</v>
      </c>
      <c r="P149" s="34">
        <v>68297.55</v>
      </c>
      <c r="Q149" s="34">
        <v>55716.1</v>
      </c>
      <c r="R149" s="34">
        <v>45452.34</v>
      </c>
      <c r="S149" s="34">
        <v>37079.33</v>
      </c>
      <c r="T149" s="34">
        <v>30813.85</v>
      </c>
      <c r="U149" s="34">
        <v>23779.67</v>
      </c>
      <c r="V149" s="34">
        <v>20889.87</v>
      </c>
      <c r="W149" s="34">
        <v>16422.3</v>
      </c>
      <c r="X149" s="34">
        <v>14162.03</v>
      </c>
      <c r="Y149" s="34">
        <v>11769</v>
      </c>
      <c r="Z149" s="34">
        <v>9600.9699999999993</v>
      </c>
      <c r="AA149" s="34">
        <v>7832.32</v>
      </c>
      <c r="AB149" s="34">
        <v>6630.46</v>
      </c>
      <c r="AC149" s="34">
        <v>5409.02</v>
      </c>
      <c r="AD149" s="34">
        <v>4664.5600000000004</v>
      </c>
      <c r="AE149" s="34">
        <v>3948.78</v>
      </c>
      <c r="AF149" s="34">
        <v>3162.28</v>
      </c>
      <c r="AG149" s="34">
        <v>2677.03</v>
      </c>
      <c r="AH149" s="34">
        <v>2440.39</v>
      </c>
      <c r="AI149" s="34">
        <v>1990.84</v>
      </c>
      <c r="AJ149" s="237">
        <v>1748.9</v>
      </c>
      <c r="AK149" s="2"/>
    </row>
    <row r="150" spans="1:37" ht="15" customHeight="1">
      <c r="A150" s="228">
        <v>25</v>
      </c>
      <c r="B150" s="75">
        <v>1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</row>
    <row r="151" spans="1:37" ht="15" customHeight="1">
      <c r="A151" s="228">
        <v>25</v>
      </c>
      <c r="B151" s="75">
        <v>2</v>
      </c>
    </row>
    <row r="152" spans="1:37" ht="15" customHeight="1">
      <c r="A152" s="228">
        <v>25</v>
      </c>
      <c r="B152" s="75">
        <v>3</v>
      </c>
    </row>
    <row r="153" spans="1:37" ht="15" customHeight="1">
      <c r="A153" s="228">
        <v>25</v>
      </c>
      <c r="B153" s="75">
        <v>4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</row>
    <row r="154" spans="1:37" ht="15" customHeight="1">
      <c r="A154" s="229">
        <v>26</v>
      </c>
      <c r="B154" s="200" t="s">
        <v>221</v>
      </c>
      <c r="C154" s="234">
        <v>43902.277000000002</v>
      </c>
      <c r="D154" s="234">
        <v>72460.884000000005</v>
      </c>
      <c r="E154" s="234">
        <v>107420.726</v>
      </c>
      <c r="F154" s="234">
        <v>138005.49299999999</v>
      </c>
      <c r="G154" s="234">
        <v>171064.78700000001</v>
      </c>
      <c r="H154" s="234">
        <v>212043.454</v>
      </c>
      <c r="I154" s="234">
        <v>236078.80300000001</v>
      </c>
      <c r="J154" s="234">
        <v>262838.58399999997</v>
      </c>
      <c r="K154" s="234">
        <v>262838.58399999997</v>
      </c>
      <c r="L154" s="234">
        <v>253597.56400000001</v>
      </c>
      <c r="M154" s="234">
        <v>253597.56400000001</v>
      </c>
      <c r="N154" s="234">
        <v>253597.56400000001</v>
      </c>
      <c r="O154" s="234">
        <v>244681.44500000001</v>
      </c>
      <c r="P154" s="234">
        <v>244681.44500000001</v>
      </c>
      <c r="Q154" s="234">
        <v>236078.80300000001</v>
      </c>
      <c r="R154" s="234">
        <v>197395.291</v>
      </c>
      <c r="S154" s="234">
        <v>197395.291</v>
      </c>
      <c r="T154" s="234">
        <v>171064.78700000001</v>
      </c>
      <c r="U154" s="235">
        <v>80674.400999999998</v>
      </c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</row>
    <row r="155" spans="1:37" ht="15" customHeight="1">
      <c r="A155" s="228">
        <v>26</v>
      </c>
      <c r="B155" s="201" t="s">
        <v>222</v>
      </c>
      <c r="C155" s="2">
        <v>282343.11499999999</v>
      </c>
      <c r="D155" s="2">
        <v>314347.005</v>
      </c>
      <c r="E155" s="2">
        <v>375949.51899999997</v>
      </c>
      <c r="F155" s="2">
        <v>433816.13400000002</v>
      </c>
      <c r="G155" s="2">
        <v>518830.98800000001</v>
      </c>
      <c r="H155" s="2">
        <v>537737.03500000003</v>
      </c>
      <c r="I155" s="2">
        <v>557332.01300000004</v>
      </c>
      <c r="J155" s="2">
        <v>577641.027</v>
      </c>
      <c r="K155" s="2">
        <v>620506.18400000001</v>
      </c>
      <c r="L155" s="2">
        <v>598690.09400000004</v>
      </c>
      <c r="M155" s="2">
        <v>577641.027</v>
      </c>
      <c r="N155" s="2">
        <v>557332.01300000004</v>
      </c>
      <c r="O155" s="2">
        <v>537737.03500000003</v>
      </c>
      <c r="P155" s="2">
        <v>518830.98800000001</v>
      </c>
      <c r="Q155" s="2">
        <v>500589.64899999998</v>
      </c>
      <c r="R155" s="2">
        <v>449624.26500000001</v>
      </c>
      <c r="S155" s="2">
        <v>418563.79300000001</v>
      </c>
      <c r="T155" s="2">
        <v>389649.00799999997</v>
      </c>
      <c r="U155" s="236">
        <v>325801.71600000001</v>
      </c>
      <c r="V155" s="2"/>
    </row>
    <row r="156" spans="1:37" ht="15" customHeight="1">
      <c r="A156" s="228">
        <v>26</v>
      </c>
      <c r="B156" s="201" t="s">
        <v>223</v>
      </c>
      <c r="C156" s="2">
        <v>3850279.2429999998</v>
      </c>
      <c r="D156" s="2">
        <v>3219378.3620000002</v>
      </c>
      <c r="E156" s="2">
        <v>2891611.1880000001</v>
      </c>
      <c r="F156" s="2">
        <v>2597214.2200000002</v>
      </c>
      <c r="G156" s="2">
        <v>2250772.531</v>
      </c>
      <c r="H156" s="2">
        <v>2095287.023</v>
      </c>
      <c r="I156" s="2">
        <v>1815797.2649999999</v>
      </c>
      <c r="J156" s="2">
        <v>1630929.669</v>
      </c>
      <c r="K156" s="2">
        <v>1464883.5730000001</v>
      </c>
      <c r="L156" s="2">
        <v>1315742.746</v>
      </c>
      <c r="M156" s="2">
        <v>1269483.156</v>
      </c>
      <c r="N156" s="2">
        <v>1100147.148</v>
      </c>
      <c r="O156" s="2">
        <v>1024147.936</v>
      </c>
      <c r="P156" s="2">
        <v>919878.71499999997</v>
      </c>
      <c r="Q156" s="2">
        <v>856332.61899999995</v>
      </c>
      <c r="R156" s="2">
        <v>690841.21299999999</v>
      </c>
      <c r="S156" s="2">
        <v>598690.09400000004</v>
      </c>
      <c r="T156" s="2">
        <v>557332.01300000004</v>
      </c>
      <c r="U156" s="236">
        <v>482989.64899999998</v>
      </c>
      <c r="V156" s="2"/>
    </row>
    <row r="157" spans="1:37" ht="15" customHeight="1">
      <c r="A157" s="228">
        <v>26</v>
      </c>
      <c r="B157" s="201" t="s">
        <v>224</v>
      </c>
      <c r="C157" s="2">
        <v>24761809.802000001</v>
      </c>
      <c r="D157" s="2">
        <v>18596450.215999998</v>
      </c>
      <c r="E157" s="2">
        <v>12544275.857000001</v>
      </c>
      <c r="F157" s="2">
        <v>10120019.448999999</v>
      </c>
      <c r="G157" s="2">
        <v>9420918.8800000008</v>
      </c>
      <c r="H157" s="2">
        <v>7877221.4890000001</v>
      </c>
      <c r="I157" s="2">
        <v>6826481.085</v>
      </c>
      <c r="J157" s="2">
        <v>6131472.2470000004</v>
      </c>
      <c r="K157" s="2">
        <v>5126778.5619999999</v>
      </c>
      <c r="L157" s="2">
        <v>4442918.9819999998</v>
      </c>
      <c r="M157" s="2">
        <v>3714909.0580000002</v>
      </c>
      <c r="N157" s="2">
        <v>3219378.3620000002</v>
      </c>
      <c r="O157" s="2">
        <v>2691855.9360000002</v>
      </c>
      <c r="P157" s="2">
        <v>2505899.9679999999</v>
      </c>
      <c r="Q157" s="2">
        <v>2095287.023</v>
      </c>
      <c r="R157" s="2">
        <v>1815797.2649999999</v>
      </c>
      <c r="S157" s="2">
        <v>1464883.5730000001</v>
      </c>
      <c r="T157" s="2">
        <v>1269483.156</v>
      </c>
      <c r="U157" s="236">
        <v>1815797.2649999999</v>
      </c>
      <c r="V157" s="2"/>
    </row>
    <row r="158" spans="1:37" ht="15" customHeight="1">
      <c r="A158" s="228">
        <v>26</v>
      </c>
      <c r="B158" s="201" t="s">
        <v>229</v>
      </c>
      <c r="C158" s="2">
        <v>83614152.608999997</v>
      </c>
      <c r="D158" s="2">
        <v>58457384.229000002</v>
      </c>
      <c r="E158" s="2">
        <v>40869466.044</v>
      </c>
      <c r="F158" s="2">
        <v>30693515.405999999</v>
      </c>
      <c r="G158" s="2">
        <v>23051240.429000001</v>
      </c>
      <c r="H158" s="2">
        <v>17942626.234000001</v>
      </c>
      <c r="I158" s="2">
        <v>13475152.187000001</v>
      </c>
      <c r="J158" s="2">
        <v>11267134.313999999</v>
      </c>
      <c r="K158" s="2">
        <v>8770112.8430000003</v>
      </c>
      <c r="L158" s="2">
        <v>7333055.5360000003</v>
      </c>
      <c r="M158" s="2">
        <v>6131472.2470000004</v>
      </c>
      <c r="N158" s="2">
        <v>5126778.5619999999</v>
      </c>
      <c r="O158" s="2">
        <v>3990582.2769999998</v>
      </c>
      <c r="P158" s="2">
        <v>3458279.6060000001</v>
      </c>
      <c r="Q158" s="2">
        <v>2996980.642</v>
      </c>
      <c r="R158" s="2">
        <v>2417796.1910000001</v>
      </c>
      <c r="S158" s="2">
        <v>2021619.797</v>
      </c>
      <c r="T158" s="2">
        <v>1815797.2649999999</v>
      </c>
      <c r="U158" s="236">
        <v>1269483.156</v>
      </c>
      <c r="V158" s="2"/>
    </row>
    <row r="159" spans="1:37" ht="15" customHeight="1">
      <c r="A159" s="228">
        <v>26</v>
      </c>
      <c r="B159" s="201" t="s">
        <v>225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36"/>
      <c r="V159" s="2"/>
    </row>
    <row r="160" spans="1:37" ht="15" customHeight="1">
      <c r="A160" s="228">
        <v>26</v>
      </c>
      <c r="B160" s="201" t="s">
        <v>226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36"/>
      <c r="V160" s="2"/>
    </row>
    <row r="161" spans="1:22" ht="15" customHeight="1">
      <c r="A161" s="228">
        <v>26</v>
      </c>
      <c r="B161" s="201" t="s">
        <v>227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36"/>
      <c r="V161" s="2"/>
    </row>
    <row r="162" spans="1:22" ht="15" customHeight="1">
      <c r="A162" s="228">
        <v>26</v>
      </c>
      <c r="B162" s="201" t="s">
        <v>228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36"/>
      <c r="V162" s="2"/>
    </row>
    <row r="163" spans="1:22" ht="15" customHeight="1">
      <c r="A163" s="230">
        <v>26</v>
      </c>
      <c r="B163" s="231" t="s">
        <v>230</v>
      </c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237"/>
      <c r="V163" s="2"/>
    </row>
    <row r="164" spans="1:22" ht="15" customHeight="1">
      <c r="A164" s="199">
        <v>27</v>
      </c>
      <c r="B164" s="200">
        <v>1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2" ht="15" customHeight="1">
      <c r="A165" s="196">
        <v>27</v>
      </c>
      <c r="B165" s="201">
        <v>2</v>
      </c>
    </row>
    <row r="166" spans="1:22" ht="15" customHeight="1">
      <c r="A166" s="196">
        <v>27</v>
      </c>
      <c r="B166" s="201">
        <v>3</v>
      </c>
    </row>
    <row r="167" spans="1:22" ht="15" customHeight="1">
      <c r="A167" s="196">
        <v>27</v>
      </c>
      <c r="B167" s="201">
        <v>4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2" ht="15" customHeight="1">
      <c r="A168" s="229">
        <v>28</v>
      </c>
      <c r="B168" s="74">
        <v>1</v>
      </c>
      <c r="C168" s="234">
        <v>210.17</v>
      </c>
      <c r="D168" s="234">
        <v>129.69</v>
      </c>
      <c r="E168" s="234">
        <v>98.16</v>
      </c>
      <c r="F168" s="234">
        <v>64.040000000000006</v>
      </c>
      <c r="G168" s="234">
        <v>51.25</v>
      </c>
      <c r="H168" s="234">
        <v>36.69</v>
      </c>
      <c r="I168" s="234">
        <v>29.36</v>
      </c>
      <c r="J168" s="234">
        <v>23.06</v>
      </c>
      <c r="K168" s="234">
        <v>19.88</v>
      </c>
      <c r="L168" s="234">
        <v>17.13</v>
      </c>
      <c r="M168" s="234">
        <v>15.62</v>
      </c>
      <c r="N168" s="234">
        <v>13.97</v>
      </c>
      <c r="O168" s="234">
        <v>13.46</v>
      </c>
      <c r="P168" s="234">
        <v>12.5</v>
      </c>
      <c r="Q168" s="234">
        <v>12.5</v>
      </c>
      <c r="R168" s="234">
        <v>12.27</v>
      </c>
      <c r="S168" s="234">
        <v>11.82</v>
      </c>
      <c r="T168" s="234">
        <v>11.39</v>
      </c>
      <c r="U168" s="235">
        <v>10.97</v>
      </c>
      <c r="V168" s="2"/>
    </row>
    <row r="169" spans="1:22" ht="15" customHeight="1">
      <c r="A169" s="228">
        <v>28</v>
      </c>
      <c r="B169" s="75">
        <v>2</v>
      </c>
      <c r="C169" s="2">
        <v>109729</v>
      </c>
      <c r="D169" s="2">
        <v>78552.73</v>
      </c>
      <c r="E169" s="2">
        <v>55199.54</v>
      </c>
      <c r="F169" s="2">
        <v>38789.1</v>
      </c>
      <c r="G169" s="2">
        <v>25780.44</v>
      </c>
      <c r="H169" s="2">
        <v>17782.79</v>
      </c>
      <c r="I169" s="2">
        <v>12266.19</v>
      </c>
      <c r="J169" s="2">
        <v>8460.9500000000007</v>
      </c>
      <c r="K169" s="2">
        <v>5945.57</v>
      </c>
      <c r="L169" s="2">
        <v>4177.99</v>
      </c>
      <c r="M169" s="2">
        <v>2776.82</v>
      </c>
      <c r="N169" s="2">
        <v>1880.15</v>
      </c>
      <c r="O169" s="2">
        <v>1321.2</v>
      </c>
      <c r="P169" s="2">
        <v>928.41</v>
      </c>
      <c r="Q169" s="2">
        <v>677.09</v>
      </c>
      <c r="R169" s="2">
        <v>493.8</v>
      </c>
      <c r="S169" s="2">
        <v>346.99</v>
      </c>
      <c r="T169" s="2">
        <v>248.41</v>
      </c>
      <c r="U169" s="236">
        <v>188.02</v>
      </c>
      <c r="V169" s="2"/>
    </row>
    <row r="170" spans="1:22" ht="15" customHeight="1">
      <c r="A170" s="228">
        <v>28</v>
      </c>
      <c r="B170" s="75">
        <v>3</v>
      </c>
      <c r="C170" s="2">
        <v>32215.47</v>
      </c>
      <c r="D170" s="2">
        <v>23494.58</v>
      </c>
      <c r="E170" s="2">
        <v>16206.06</v>
      </c>
      <c r="F170" s="2">
        <v>11388.11</v>
      </c>
      <c r="G170" s="2">
        <v>8002.5</v>
      </c>
      <c r="H170" s="2">
        <v>5519.95</v>
      </c>
      <c r="I170" s="2">
        <v>3951.61</v>
      </c>
      <c r="J170" s="2">
        <v>2776.82</v>
      </c>
      <c r="K170" s="2">
        <v>1915.39</v>
      </c>
      <c r="L170" s="2">
        <v>1396.89</v>
      </c>
      <c r="M170" s="2">
        <v>1037.8399999999999</v>
      </c>
      <c r="N170" s="2">
        <v>800.25</v>
      </c>
      <c r="O170" s="2">
        <v>640.4</v>
      </c>
      <c r="P170" s="2">
        <v>503.05</v>
      </c>
      <c r="Q170" s="2">
        <v>380.75</v>
      </c>
      <c r="R170" s="2">
        <v>304.7</v>
      </c>
      <c r="S170" s="2">
        <v>248.41</v>
      </c>
      <c r="T170" s="2">
        <v>202.51</v>
      </c>
      <c r="U170" s="236">
        <v>162.06</v>
      </c>
      <c r="V170" s="2"/>
    </row>
    <row r="171" spans="1:22" ht="15" customHeight="1">
      <c r="A171" s="228">
        <v>28</v>
      </c>
      <c r="B171" s="75">
        <v>4</v>
      </c>
      <c r="C171" s="2">
        <v>132119.75</v>
      </c>
      <c r="D171" s="2">
        <v>92841.45</v>
      </c>
      <c r="E171" s="2">
        <v>62861.84</v>
      </c>
      <c r="F171" s="2">
        <v>45844.83</v>
      </c>
      <c r="G171" s="2">
        <v>31040.98</v>
      </c>
      <c r="H171" s="2">
        <v>21812.71</v>
      </c>
      <c r="I171" s="2">
        <v>13711.87</v>
      </c>
      <c r="J171" s="2">
        <v>9816.02</v>
      </c>
      <c r="K171" s="2">
        <v>7027.07</v>
      </c>
      <c r="L171" s="2">
        <v>4670.41</v>
      </c>
      <c r="M171" s="2">
        <v>3221.55</v>
      </c>
      <c r="N171" s="2">
        <v>2263.8000000000002</v>
      </c>
      <c r="O171" s="2">
        <v>1561.52</v>
      </c>
      <c r="P171" s="2">
        <v>1077.1099999999999</v>
      </c>
      <c r="Q171" s="2">
        <v>815.25</v>
      </c>
      <c r="R171" s="2">
        <v>552</v>
      </c>
      <c r="S171" s="2">
        <v>387.89</v>
      </c>
      <c r="T171" s="2">
        <v>288.19</v>
      </c>
      <c r="U171" s="236">
        <v>218.13</v>
      </c>
      <c r="V171" s="2"/>
    </row>
    <row r="172" spans="1:22" ht="15" customHeight="1">
      <c r="A172" s="228">
        <v>28</v>
      </c>
      <c r="B172" s="75">
        <v>5</v>
      </c>
      <c r="C172" s="2">
        <v>165098.04999999999</v>
      </c>
      <c r="D172" s="2">
        <v>120405.18</v>
      </c>
      <c r="E172" s="2">
        <v>84609.54</v>
      </c>
      <c r="F172" s="2">
        <v>58361.85</v>
      </c>
      <c r="G172" s="2">
        <v>39516.11</v>
      </c>
      <c r="H172" s="2">
        <v>27768.240000000002</v>
      </c>
      <c r="I172" s="2">
        <v>18801.55</v>
      </c>
      <c r="J172" s="2">
        <v>12968.9</v>
      </c>
      <c r="K172" s="2">
        <v>8945.67</v>
      </c>
      <c r="L172" s="2">
        <v>6404</v>
      </c>
      <c r="M172" s="2">
        <v>4336.07</v>
      </c>
      <c r="N172" s="2">
        <v>2990.93</v>
      </c>
      <c r="O172" s="2">
        <v>2181.27</v>
      </c>
      <c r="P172" s="2">
        <v>1423.07</v>
      </c>
      <c r="Q172" s="2">
        <v>1018.74</v>
      </c>
      <c r="R172" s="2">
        <v>702.71</v>
      </c>
      <c r="S172" s="2">
        <v>522.09</v>
      </c>
      <c r="T172" s="2">
        <v>380.75</v>
      </c>
      <c r="U172" s="236">
        <v>262.64</v>
      </c>
      <c r="V172" s="2"/>
    </row>
    <row r="173" spans="1:22" ht="15" customHeight="1">
      <c r="A173" s="228">
        <v>28</v>
      </c>
      <c r="B173" s="75">
        <v>6</v>
      </c>
      <c r="C173" s="2">
        <v>86195.36</v>
      </c>
      <c r="D173" s="2">
        <v>61705.32</v>
      </c>
      <c r="E173" s="2">
        <v>42563</v>
      </c>
      <c r="F173" s="2">
        <v>28818.9</v>
      </c>
      <c r="G173" s="2">
        <v>20251.240000000002</v>
      </c>
      <c r="H173" s="2">
        <v>13459.6</v>
      </c>
      <c r="I173" s="2">
        <v>10000</v>
      </c>
      <c r="J173" s="2">
        <v>6770.88</v>
      </c>
      <c r="K173" s="2">
        <v>4500.1400000000003</v>
      </c>
      <c r="L173" s="2">
        <v>3281.93</v>
      </c>
      <c r="M173" s="2">
        <v>2181.27</v>
      </c>
      <c r="N173" s="2">
        <v>1561.52</v>
      </c>
      <c r="O173" s="2">
        <v>1097.29</v>
      </c>
      <c r="P173" s="2">
        <v>742.96</v>
      </c>
      <c r="Q173" s="2">
        <v>552</v>
      </c>
      <c r="R173" s="2">
        <v>417.8</v>
      </c>
      <c r="S173" s="2">
        <v>316.23</v>
      </c>
      <c r="T173" s="2">
        <v>234.95</v>
      </c>
      <c r="U173" s="237">
        <v>144.97</v>
      </c>
      <c r="V173" s="2"/>
    </row>
    <row r="174" spans="1:22" ht="15" customHeight="1">
      <c r="A174" s="229">
        <v>29</v>
      </c>
      <c r="B174" s="74">
        <v>1</v>
      </c>
      <c r="C174" s="234">
        <v>192672.63</v>
      </c>
      <c r="D174" s="234">
        <v>179275.58</v>
      </c>
      <c r="E174" s="234">
        <v>152990.17000000001</v>
      </c>
      <c r="F174" s="234">
        <v>121480.63</v>
      </c>
      <c r="G174" s="234">
        <v>97861.15</v>
      </c>
      <c r="H174" s="234">
        <v>78834.009999999995</v>
      </c>
      <c r="I174" s="234">
        <v>65363.68</v>
      </c>
      <c r="J174" s="234">
        <v>46920.38</v>
      </c>
      <c r="K174" s="234">
        <v>36723.599999999999</v>
      </c>
      <c r="L174" s="234">
        <v>26361.51</v>
      </c>
      <c r="M174" s="234">
        <v>19759.439999999999</v>
      </c>
      <c r="N174" s="234">
        <v>13008.91</v>
      </c>
      <c r="O174" s="234">
        <v>9204.6299999999992</v>
      </c>
      <c r="P174" s="234">
        <v>7204.27</v>
      </c>
      <c r="Q174" s="234">
        <v>4811.8900000000003</v>
      </c>
      <c r="R174" s="234">
        <v>2782.56</v>
      </c>
      <c r="S174" s="234">
        <v>1704.56</v>
      </c>
      <c r="T174" s="235">
        <v>1122.22</v>
      </c>
      <c r="U174" s="2"/>
    </row>
    <row r="175" spans="1:22" ht="15" customHeight="1">
      <c r="A175" s="228">
        <v>29</v>
      </c>
      <c r="B175" s="75">
        <v>2</v>
      </c>
      <c r="C175" s="2">
        <v>1040433.67</v>
      </c>
      <c r="D175" s="2">
        <v>705018.17</v>
      </c>
      <c r="E175" s="2">
        <v>470897.57</v>
      </c>
      <c r="F175" s="2">
        <v>319089.39</v>
      </c>
      <c r="G175" s="2">
        <v>235752.86</v>
      </c>
      <c r="H175" s="2">
        <v>157464.66</v>
      </c>
      <c r="I175" s="2">
        <v>116339.64</v>
      </c>
      <c r="J175" s="2">
        <v>74417.399999999994</v>
      </c>
      <c r="K175" s="2">
        <v>53419.46</v>
      </c>
      <c r="L175" s="2">
        <v>36723.599999999999</v>
      </c>
      <c r="M175" s="2">
        <v>25612.43</v>
      </c>
      <c r="N175" s="2">
        <v>16862.310000000001</v>
      </c>
      <c r="O175" s="2">
        <v>10942.68</v>
      </c>
      <c r="P175" s="2">
        <v>6703.34</v>
      </c>
      <c r="Q175" s="2">
        <v>4350.08</v>
      </c>
      <c r="R175" s="2">
        <v>2742.74</v>
      </c>
      <c r="S175" s="2">
        <v>1518.92</v>
      </c>
      <c r="T175" s="236">
        <v>957.68</v>
      </c>
      <c r="U175" s="2"/>
    </row>
    <row r="176" spans="1:22" ht="15" customHeight="1">
      <c r="A176" s="228">
        <v>29</v>
      </c>
      <c r="B176" s="75">
        <v>3</v>
      </c>
      <c r="C176" s="2">
        <v>2470593.2599999998</v>
      </c>
      <c r="D176" s="2">
        <v>1580330.94</v>
      </c>
      <c r="E176" s="2">
        <v>887885.18</v>
      </c>
      <c r="F176" s="2">
        <v>601648.34</v>
      </c>
      <c r="G176" s="2">
        <v>379340.96</v>
      </c>
      <c r="H176" s="2">
        <v>260780.69</v>
      </c>
      <c r="I176" s="2">
        <v>176710.09</v>
      </c>
      <c r="J176" s="2">
        <v>108250.22</v>
      </c>
      <c r="K176" s="2">
        <v>71268.09</v>
      </c>
      <c r="L176" s="2">
        <v>48993.77</v>
      </c>
      <c r="M176" s="2">
        <v>33681.120000000003</v>
      </c>
      <c r="N176" s="2">
        <v>24177.51</v>
      </c>
      <c r="O176" s="2">
        <v>14389.96</v>
      </c>
      <c r="P176" s="2">
        <v>9072.91</v>
      </c>
      <c r="Q176" s="2">
        <v>5478.41</v>
      </c>
      <c r="R176" s="2">
        <v>3876.32</v>
      </c>
      <c r="S176" s="2">
        <v>2209.4699999999998</v>
      </c>
      <c r="T176" s="236">
        <v>1059.3499999999999</v>
      </c>
      <c r="U176" s="2"/>
    </row>
    <row r="177" spans="1:28" ht="15" customHeight="1">
      <c r="A177" s="228">
        <v>29</v>
      </c>
      <c r="B177" s="75">
        <v>4</v>
      </c>
      <c r="C177" s="2">
        <v>14133012.460000001</v>
      </c>
      <c r="D177" s="2">
        <v>8291304.1799999997</v>
      </c>
      <c r="E177" s="2">
        <v>4525973.95</v>
      </c>
      <c r="F177" s="2">
        <v>2772550.72</v>
      </c>
      <c r="G177" s="2">
        <v>1557715.94</v>
      </c>
      <c r="H177" s="2">
        <v>954235.81</v>
      </c>
      <c r="I177" s="2">
        <v>506087.2</v>
      </c>
      <c r="J177" s="2">
        <v>288465.51</v>
      </c>
      <c r="K177" s="2">
        <v>164422.95000000001</v>
      </c>
      <c r="L177" s="2">
        <v>88469.15</v>
      </c>
      <c r="M177" s="2">
        <v>51901.51</v>
      </c>
      <c r="N177" s="2">
        <v>30012.92</v>
      </c>
      <c r="O177" s="2">
        <v>17863.07</v>
      </c>
      <c r="P177" s="2">
        <v>10786.09</v>
      </c>
      <c r="Q177" s="2">
        <v>6237.24</v>
      </c>
      <c r="R177" s="2">
        <v>3307.97</v>
      </c>
      <c r="S177" s="2">
        <v>2055.84</v>
      </c>
      <c r="T177" s="236">
        <v>1277.6600000000001</v>
      </c>
      <c r="U177" s="2"/>
    </row>
    <row r="178" spans="1:28" ht="15" customHeight="1">
      <c r="A178" s="230">
        <v>29</v>
      </c>
      <c r="B178" s="231">
        <v>5</v>
      </c>
      <c r="C178" s="34">
        <v>5458699.6799999997</v>
      </c>
      <c r="D178" s="34">
        <v>3023000.26</v>
      </c>
      <c r="E178" s="34">
        <v>1799227.47</v>
      </c>
      <c r="F178" s="34">
        <v>1025544.75</v>
      </c>
      <c r="G178" s="34">
        <v>646608.81999999995</v>
      </c>
      <c r="H178" s="34">
        <v>407688.67</v>
      </c>
      <c r="I178" s="34">
        <v>257048.84</v>
      </c>
      <c r="J178" s="34">
        <v>146515.71</v>
      </c>
      <c r="K178" s="34">
        <v>95080.35</v>
      </c>
      <c r="L178" s="34">
        <v>63506.31</v>
      </c>
      <c r="M178" s="34">
        <v>38903.11</v>
      </c>
      <c r="N178" s="34">
        <v>21236.04</v>
      </c>
      <c r="O178" s="34">
        <v>15243.99</v>
      </c>
      <c r="P178" s="34">
        <v>10036.1</v>
      </c>
      <c r="Q178" s="34">
        <v>5887.8</v>
      </c>
      <c r="R178" s="34">
        <v>3213.97</v>
      </c>
      <c r="S178" s="34">
        <v>1968.84</v>
      </c>
      <c r="T178" s="237">
        <v>1171.81</v>
      </c>
      <c r="U178" s="2"/>
    </row>
    <row r="179" spans="1:28" ht="15" customHeight="1">
      <c r="A179" s="228">
        <v>30</v>
      </c>
      <c r="B179" s="75">
        <v>1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8" ht="15" customHeight="1">
      <c r="A180" s="228">
        <v>30</v>
      </c>
      <c r="B180" s="75">
        <v>2</v>
      </c>
    </row>
    <row r="181" spans="1:28" ht="15" customHeight="1">
      <c r="A181" s="228">
        <v>30</v>
      </c>
      <c r="B181" s="75">
        <v>3</v>
      </c>
    </row>
    <row r="182" spans="1:28" ht="15" customHeight="1">
      <c r="A182" s="229">
        <v>31</v>
      </c>
      <c r="B182" s="74">
        <v>1</v>
      </c>
    </row>
    <row r="183" spans="1:28" ht="15" customHeight="1">
      <c r="A183" s="228">
        <v>31</v>
      </c>
      <c r="B183" s="75">
        <v>2</v>
      </c>
    </row>
    <row r="184" spans="1:28" ht="15" customHeight="1">
      <c r="A184" s="228">
        <v>31</v>
      </c>
      <c r="B184" s="75">
        <v>3</v>
      </c>
    </row>
    <row r="185" spans="1:28" ht="15" customHeight="1">
      <c r="A185" s="228">
        <v>31</v>
      </c>
      <c r="B185" s="75">
        <v>4</v>
      </c>
    </row>
    <row r="186" spans="1:28" ht="15" customHeight="1">
      <c r="A186" s="230">
        <v>31</v>
      </c>
      <c r="B186" s="231">
        <v>5</v>
      </c>
    </row>
    <row r="187" spans="1:28" ht="15" customHeight="1">
      <c r="A187" s="199">
        <v>32</v>
      </c>
      <c r="B187" s="200">
        <v>1</v>
      </c>
    </row>
    <row r="188" spans="1:28" ht="15" customHeight="1">
      <c r="A188" s="196">
        <v>32</v>
      </c>
      <c r="B188" s="201">
        <v>2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8" ht="15" customHeight="1">
      <c r="A189" s="229">
        <v>33</v>
      </c>
      <c r="B189" s="200">
        <v>1</v>
      </c>
      <c r="C189" s="313">
        <v>220.32599999999999</v>
      </c>
      <c r="D189" s="313">
        <v>205.309</v>
      </c>
      <c r="E189" s="313">
        <v>220.32599999999999</v>
      </c>
      <c r="F189" s="234">
        <v>230.94200000000001</v>
      </c>
      <c r="G189" s="313">
        <v>220.32599999999999</v>
      </c>
      <c r="H189" s="313">
        <v>230.94200000000001</v>
      </c>
      <c r="I189" s="313">
        <v>225.572</v>
      </c>
      <c r="J189" s="313">
        <v>247.834</v>
      </c>
      <c r="K189" s="313">
        <v>265.96100000000001</v>
      </c>
      <c r="L189" s="313">
        <v>285.41300000000001</v>
      </c>
      <c r="M189" s="234">
        <v>292.209</v>
      </c>
      <c r="N189" s="234">
        <v>306.28899999999999</v>
      </c>
      <c r="O189" s="234">
        <v>306.28899999999999</v>
      </c>
      <c r="P189" s="234">
        <v>285.41300000000001</v>
      </c>
      <c r="Q189" s="234">
        <v>285.41300000000001</v>
      </c>
      <c r="R189" s="234">
        <v>299.166</v>
      </c>
      <c r="S189" s="234">
        <v>285.41300000000001</v>
      </c>
      <c r="T189" s="234">
        <v>306.28899999999999</v>
      </c>
      <c r="U189" s="234">
        <v>321.048</v>
      </c>
      <c r="V189" s="234">
        <v>306.28899999999999</v>
      </c>
      <c r="W189" s="234">
        <v>306.28899999999999</v>
      </c>
      <c r="X189" s="234">
        <v>242.07</v>
      </c>
      <c r="Y189" s="234">
        <v>230.94200000000001</v>
      </c>
      <c r="Z189" s="234">
        <v>215.202</v>
      </c>
      <c r="AA189" s="235">
        <v>205.309</v>
      </c>
      <c r="AB189" s="2"/>
    </row>
    <row r="190" spans="1:28" ht="15" customHeight="1">
      <c r="A190" s="228">
        <v>33</v>
      </c>
      <c r="B190" s="201">
        <v>2</v>
      </c>
      <c r="C190" s="2">
        <v>1045.3440000000001</v>
      </c>
      <c r="D190" s="2">
        <v>1070.606</v>
      </c>
      <c r="E190" s="2">
        <v>1150.114</v>
      </c>
      <c r="F190" s="2">
        <v>1206.373</v>
      </c>
      <c r="G190" s="2">
        <v>1235.5260000000001</v>
      </c>
      <c r="H190" s="2">
        <v>1359.356</v>
      </c>
      <c r="I190" s="2">
        <v>1359.356</v>
      </c>
      <c r="J190" s="2">
        <v>1460.308</v>
      </c>
      <c r="K190" s="2">
        <v>1425.8510000000001</v>
      </c>
      <c r="L190" s="2">
        <v>1460.308</v>
      </c>
      <c r="M190" s="2">
        <v>1392.2070000000001</v>
      </c>
      <c r="N190" s="2">
        <v>1460.308</v>
      </c>
      <c r="O190" s="2">
        <v>1392.2070000000001</v>
      </c>
      <c r="P190" s="2">
        <v>1265.384</v>
      </c>
      <c r="Q190" s="2">
        <v>1177.9069999999999</v>
      </c>
      <c r="R190" s="2">
        <v>1045.3440000000001</v>
      </c>
      <c r="S190" s="2">
        <v>973.07899999999995</v>
      </c>
      <c r="T190" s="2">
        <v>713.4</v>
      </c>
      <c r="U190" s="2">
        <v>696.56700000000001</v>
      </c>
      <c r="V190" s="2">
        <v>648.41300000000001</v>
      </c>
      <c r="W190" s="2">
        <v>535.66</v>
      </c>
      <c r="X190" s="2">
        <v>411.92200000000003</v>
      </c>
      <c r="Y190" s="2">
        <v>309.29300000000001</v>
      </c>
      <c r="Z190" s="2">
        <v>226.75399999999999</v>
      </c>
      <c r="AA190" s="236">
        <v>301.995</v>
      </c>
      <c r="AB190" s="2"/>
    </row>
    <row r="191" spans="1:28" ht="15" customHeight="1">
      <c r="A191" s="228">
        <v>33</v>
      </c>
      <c r="B191" s="201">
        <v>3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36"/>
      <c r="AA191" s="236"/>
      <c r="AB191" s="2"/>
    </row>
    <row r="192" spans="1:28" ht="15" customHeight="1">
      <c r="A192" s="228">
        <v>33</v>
      </c>
      <c r="B192" s="201">
        <v>4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34"/>
      <c r="Y192" s="34"/>
      <c r="Z192" s="237"/>
      <c r="AA192" s="237"/>
      <c r="AB192" s="2"/>
    </row>
    <row r="193" spans="1:36" ht="15" customHeight="1">
      <c r="A193" s="199">
        <v>34</v>
      </c>
      <c r="B193" s="200">
        <v>1</v>
      </c>
      <c r="C193" s="234">
        <v>892.37900000000002</v>
      </c>
      <c r="D193" s="234">
        <v>796.34100000000001</v>
      </c>
      <c r="E193" s="234">
        <v>757.04399999999998</v>
      </c>
      <c r="F193" s="234">
        <v>701.70399999999995</v>
      </c>
      <c r="G193" s="234">
        <v>650.40899999999999</v>
      </c>
      <c r="H193" s="234">
        <v>658.69</v>
      </c>
      <c r="I193" s="234">
        <v>610.54</v>
      </c>
      <c r="J193" s="234">
        <v>587.80200000000002</v>
      </c>
      <c r="K193" s="234">
        <v>565.91</v>
      </c>
      <c r="L193" s="234">
        <v>537.98400000000004</v>
      </c>
      <c r="M193" s="234">
        <v>498.65699999999998</v>
      </c>
      <c r="N193" s="234">
        <v>468.09</v>
      </c>
      <c r="O193" s="234">
        <v>417.714</v>
      </c>
      <c r="P193" s="234">
        <v>372.75900000000001</v>
      </c>
      <c r="Q193" s="234">
        <v>336.87799999999999</v>
      </c>
      <c r="R193" s="234">
        <v>285.78800000000001</v>
      </c>
      <c r="S193" s="234">
        <v>248.65899999999999</v>
      </c>
      <c r="T193" s="234">
        <v>205.678</v>
      </c>
      <c r="U193" s="234">
        <v>170.125</v>
      </c>
      <c r="V193" s="235">
        <v>148.023</v>
      </c>
      <c r="W193" s="234"/>
      <c r="X193" s="2"/>
      <c r="Y193" s="2"/>
      <c r="Z193" s="2"/>
      <c r="AA193" s="2"/>
    </row>
    <row r="194" spans="1:36" ht="15" customHeight="1">
      <c r="A194" s="196">
        <v>34</v>
      </c>
      <c r="B194" s="201">
        <v>2</v>
      </c>
      <c r="C194" s="2">
        <v>1321.229</v>
      </c>
      <c r="D194" s="2">
        <v>1201.6949999999999</v>
      </c>
      <c r="E194" s="2">
        <v>1092.9749999999999</v>
      </c>
      <c r="F194" s="2">
        <v>982.37699999999995</v>
      </c>
      <c r="G194" s="2">
        <v>893.49900000000002</v>
      </c>
      <c r="H194" s="2">
        <v>842.08100000000002</v>
      </c>
      <c r="I194" s="2">
        <v>803.08600000000001</v>
      </c>
      <c r="J194" s="2">
        <v>747.952</v>
      </c>
      <c r="K194" s="2">
        <v>713.31600000000003</v>
      </c>
      <c r="L194" s="2">
        <v>633.58000000000004</v>
      </c>
      <c r="M194" s="2">
        <v>562.75800000000004</v>
      </c>
      <c r="N194" s="2">
        <v>460.05099999999999</v>
      </c>
      <c r="O194" s="2">
        <v>358.67200000000003</v>
      </c>
      <c r="P194" s="2">
        <v>282.96800000000002</v>
      </c>
      <c r="Q194" s="2">
        <v>198.28800000000001</v>
      </c>
      <c r="R194" s="2">
        <v>142.28299999999999</v>
      </c>
      <c r="S194" s="2">
        <v>100.893</v>
      </c>
      <c r="T194" s="2">
        <v>77.733000000000004</v>
      </c>
      <c r="U194" s="2">
        <v>67.426000000000002</v>
      </c>
      <c r="V194" s="236">
        <v>75.016999999999996</v>
      </c>
      <c r="W194" s="2"/>
      <c r="X194" s="2"/>
    </row>
    <row r="195" spans="1:36" ht="15" customHeight="1">
      <c r="A195" s="196">
        <v>34</v>
      </c>
      <c r="B195" s="201">
        <v>3</v>
      </c>
      <c r="C195" s="2">
        <v>2218.723</v>
      </c>
      <c r="D195" s="2">
        <v>1917.3209999999999</v>
      </c>
      <c r="E195" s="2">
        <v>1718.4570000000001</v>
      </c>
      <c r="F195" s="2">
        <v>1503.192</v>
      </c>
      <c r="G195" s="2">
        <v>1380.4680000000001</v>
      </c>
      <c r="H195" s="2">
        <v>1207.5419999999999</v>
      </c>
      <c r="I195" s="2">
        <v>1082.296</v>
      </c>
      <c r="J195" s="2">
        <v>981.91499999999996</v>
      </c>
      <c r="K195" s="2">
        <v>901.74900000000002</v>
      </c>
      <c r="L195" s="2">
        <v>788.79100000000005</v>
      </c>
      <c r="M195" s="2">
        <v>706.97699999999998</v>
      </c>
      <c r="N195" s="2">
        <v>618.41700000000003</v>
      </c>
      <c r="O195" s="2">
        <v>547.572</v>
      </c>
      <c r="P195" s="2">
        <v>473.18700000000001</v>
      </c>
      <c r="Q195" s="2">
        <v>394.25099999999998</v>
      </c>
      <c r="R195" s="2">
        <v>320.58600000000001</v>
      </c>
      <c r="S195" s="2">
        <v>254.41800000000001</v>
      </c>
      <c r="T195" s="2">
        <v>192.316</v>
      </c>
      <c r="U195" s="2">
        <v>135.13900000000001</v>
      </c>
      <c r="V195" s="236"/>
      <c r="W195" s="2"/>
      <c r="X195" s="2"/>
    </row>
    <row r="196" spans="1:36" ht="15" customHeight="1">
      <c r="A196" s="196">
        <v>34</v>
      </c>
      <c r="B196" s="201">
        <v>4</v>
      </c>
      <c r="C196" s="2">
        <v>38712.103000000003</v>
      </c>
      <c r="D196" s="2">
        <v>28908.821</v>
      </c>
      <c r="E196" s="2">
        <v>21327.010999999999</v>
      </c>
      <c r="F196" s="2">
        <v>14986.269</v>
      </c>
      <c r="G196" s="2">
        <v>10922.174999999999</v>
      </c>
      <c r="H196" s="2">
        <v>7863.9489999999996</v>
      </c>
      <c r="I196" s="2">
        <v>5731.3410000000003</v>
      </c>
      <c r="J196" s="2">
        <v>4076.654</v>
      </c>
      <c r="K196" s="2">
        <v>2829.98</v>
      </c>
      <c r="L196" s="2">
        <v>2012.94</v>
      </c>
      <c r="M196" s="2">
        <v>1485.0139999999999</v>
      </c>
      <c r="N196" s="2">
        <v>1069.2080000000001</v>
      </c>
      <c r="O196" s="2">
        <v>751.32100000000003</v>
      </c>
      <c r="P196" s="2">
        <v>540.95000000000005</v>
      </c>
      <c r="Q196" s="2">
        <v>389.483</v>
      </c>
      <c r="R196" s="2">
        <v>283.86</v>
      </c>
      <c r="S196" s="2">
        <v>192.316</v>
      </c>
      <c r="T196" s="2">
        <v>138.46700000000001</v>
      </c>
      <c r="U196" s="2">
        <v>96.123000000000005</v>
      </c>
      <c r="V196" s="236">
        <v>66.727999999999994</v>
      </c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</row>
    <row r="197" spans="1:36" ht="15" customHeight="1">
      <c r="A197" s="314">
        <v>35</v>
      </c>
      <c r="B197" s="315">
        <v>1</v>
      </c>
      <c r="C197" s="224">
        <v>67.512</v>
      </c>
      <c r="D197" s="224">
        <v>51.206000000000003</v>
      </c>
      <c r="E197" s="224">
        <v>29.457000000000001</v>
      </c>
      <c r="F197" s="224">
        <v>20.475000000000001</v>
      </c>
      <c r="G197" s="224">
        <v>17.193999999999999</v>
      </c>
      <c r="H197" s="224">
        <v>11.441000000000001</v>
      </c>
      <c r="I197" s="224">
        <v>9.891</v>
      </c>
      <c r="J197" s="224">
        <v>6.3</v>
      </c>
      <c r="K197" s="224">
        <v>4.7789999999999999</v>
      </c>
      <c r="L197" s="224">
        <v>3.9550000000000001</v>
      </c>
      <c r="M197" s="224">
        <v>2.7090000000000001</v>
      </c>
      <c r="N197" s="224">
        <v>2.0249999999999999</v>
      </c>
      <c r="O197" s="224">
        <v>2.085</v>
      </c>
      <c r="P197" s="224">
        <v>1.2529999999999999</v>
      </c>
      <c r="Q197" s="224">
        <v>0.92300000000000004</v>
      </c>
      <c r="R197" s="224">
        <v>0.63200000000000001</v>
      </c>
      <c r="S197" s="224">
        <v>0.501</v>
      </c>
      <c r="T197" s="224">
        <v>0.433</v>
      </c>
      <c r="U197" s="224">
        <v>0.32400000000000001</v>
      </c>
      <c r="V197" s="224">
        <v>0.26</v>
      </c>
      <c r="W197" s="224">
        <v>0.21199999999999999</v>
      </c>
      <c r="X197" s="224">
        <v>0.186</v>
      </c>
      <c r="Y197" s="224">
        <v>0.14499999999999999</v>
      </c>
      <c r="Z197" s="224">
        <v>0.126</v>
      </c>
      <c r="AA197" s="224">
        <v>0.107</v>
      </c>
      <c r="AB197" s="224">
        <v>9.5000000000000001E-2</v>
      </c>
      <c r="AC197" s="224">
        <v>9.4E-2</v>
      </c>
      <c r="AD197" s="224">
        <v>8.5000000000000006E-2</v>
      </c>
      <c r="AE197" s="224">
        <v>7.3999999999999996E-2</v>
      </c>
      <c r="AF197" s="224">
        <v>6.6000000000000003E-2</v>
      </c>
      <c r="AG197" s="224">
        <v>6.0999999999999999E-2</v>
      </c>
      <c r="AH197" s="224">
        <v>5.8999999999999997E-2</v>
      </c>
      <c r="AI197" s="304">
        <v>5.8999999999999997E-2</v>
      </c>
      <c r="AJ197" s="2"/>
    </row>
    <row r="198" spans="1:36" ht="15" customHeight="1">
      <c r="A198" s="316">
        <v>35</v>
      </c>
      <c r="B198" s="317">
        <v>2</v>
      </c>
      <c r="C198" s="24">
        <v>60.094000000000001</v>
      </c>
      <c r="D198" s="24">
        <v>43.633000000000003</v>
      </c>
      <c r="E198" s="24">
        <v>34.070999999999998</v>
      </c>
      <c r="F198" s="24">
        <v>25.468</v>
      </c>
      <c r="G198" s="24">
        <v>15.084</v>
      </c>
      <c r="H198" s="24">
        <v>13.426</v>
      </c>
      <c r="I198" s="24">
        <v>9.3320000000000007</v>
      </c>
      <c r="J198" s="24">
        <v>7.1820000000000004</v>
      </c>
      <c r="K198" s="24">
        <v>5.5270000000000001</v>
      </c>
      <c r="L198" s="24">
        <v>4.8490000000000002</v>
      </c>
      <c r="M198" s="24">
        <v>3.3210000000000002</v>
      </c>
      <c r="N198" s="24">
        <v>2.3769999999999998</v>
      </c>
      <c r="O198" s="24">
        <v>1.8029999999999999</v>
      </c>
      <c r="P198" s="24">
        <v>1.387</v>
      </c>
      <c r="Q198" s="24">
        <v>1.0680000000000001</v>
      </c>
      <c r="R198" s="24">
        <v>0.78700000000000003</v>
      </c>
      <c r="S198" s="24">
        <v>0.67</v>
      </c>
      <c r="T198" s="24">
        <v>0.61399999999999999</v>
      </c>
      <c r="U198" s="24">
        <v>0.54700000000000004</v>
      </c>
      <c r="V198" s="24">
        <v>0.34300000000000003</v>
      </c>
      <c r="W198" s="24">
        <v>0.35299999999999998</v>
      </c>
      <c r="X198" s="24">
        <v>0.222</v>
      </c>
      <c r="Y198" s="24">
        <v>0.21199999999999999</v>
      </c>
      <c r="Z198" s="24">
        <v>0.17299999999999999</v>
      </c>
      <c r="AA198" s="24">
        <v>0.17599999999999999</v>
      </c>
      <c r="AB198" s="24">
        <v>0.159</v>
      </c>
      <c r="AC198" s="24">
        <v>0.159</v>
      </c>
      <c r="AD198" s="24">
        <v>0.13900000000000001</v>
      </c>
      <c r="AE198" s="24">
        <v>0.11899999999999999</v>
      </c>
      <c r="AF198" s="24">
        <v>0.109</v>
      </c>
      <c r="AG198" s="24">
        <v>0.114</v>
      </c>
      <c r="AH198" s="24">
        <v>0.104</v>
      </c>
      <c r="AI198" s="302">
        <v>0.115</v>
      </c>
      <c r="AJ198" s="2"/>
    </row>
    <row r="199" spans="1:36" ht="15" customHeight="1">
      <c r="A199" s="316">
        <v>35</v>
      </c>
      <c r="B199" s="317">
        <v>3</v>
      </c>
      <c r="C199" s="24">
        <v>15.084</v>
      </c>
      <c r="D199" s="24">
        <v>13.233000000000001</v>
      </c>
      <c r="E199" s="24">
        <v>9.891</v>
      </c>
      <c r="F199" s="24">
        <v>7.3940000000000001</v>
      </c>
      <c r="G199" s="24">
        <v>5.3689999999999998</v>
      </c>
      <c r="H199" s="24">
        <v>4.0129999999999999</v>
      </c>
      <c r="I199" s="24">
        <v>3.3210000000000002</v>
      </c>
      <c r="J199" s="24">
        <v>2.4830000000000001</v>
      </c>
      <c r="K199" s="24">
        <v>1.829</v>
      </c>
      <c r="L199" s="24">
        <v>1.514</v>
      </c>
      <c r="M199" s="24">
        <v>1.2170000000000001</v>
      </c>
      <c r="N199" s="24">
        <v>0.95</v>
      </c>
      <c r="O199" s="24">
        <v>0.71</v>
      </c>
      <c r="P199" s="24">
        <v>0.58799999999999997</v>
      </c>
      <c r="Q199" s="24">
        <v>0.46600000000000003</v>
      </c>
      <c r="R199" s="24">
        <v>0.35899999999999999</v>
      </c>
      <c r="S199" s="24">
        <v>0.28000000000000003</v>
      </c>
      <c r="T199" s="24">
        <v>0.20899999999999999</v>
      </c>
      <c r="U199" s="24">
        <v>0.16300000000000001</v>
      </c>
      <c r="V199" s="24">
        <v>0.14099999999999999</v>
      </c>
      <c r="W199" s="24">
        <v>0.104</v>
      </c>
      <c r="X199" s="24">
        <v>9.5000000000000001E-2</v>
      </c>
      <c r="Y199" s="24">
        <v>7.5999999999999998E-2</v>
      </c>
      <c r="Z199" s="24">
        <v>5.8999999999999997E-2</v>
      </c>
      <c r="AA199" s="24">
        <v>5.0999999999999997E-2</v>
      </c>
      <c r="AB199" s="24">
        <v>4.1000000000000002E-2</v>
      </c>
      <c r="AC199" s="24">
        <v>3.7999999999999999E-2</v>
      </c>
      <c r="AD199" s="24">
        <v>3.4000000000000002E-2</v>
      </c>
      <c r="AE199" s="24">
        <v>3.3000000000000002E-2</v>
      </c>
      <c r="AF199" s="24">
        <v>0.03</v>
      </c>
      <c r="AG199" s="24">
        <v>2.8000000000000001E-2</v>
      </c>
      <c r="AH199" s="24">
        <v>2.8000000000000001E-2</v>
      </c>
      <c r="AI199" s="302">
        <v>0.03</v>
      </c>
      <c r="AJ199" s="2"/>
    </row>
    <row r="200" spans="1:36" ht="15" customHeight="1">
      <c r="A200" s="318">
        <v>35</v>
      </c>
      <c r="B200" s="319">
        <v>4</v>
      </c>
      <c r="C200" s="31">
        <v>159.29900000000001</v>
      </c>
      <c r="D200" s="31">
        <v>109.123</v>
      </c>
      <c r="E200" s="31">
        <v>97.132000000000005</v>
      </c>
      <c r="F200" s="31">
        <v>66.537000000000006</v>
      </c>
      <c r="G200" s="31">
        <v>43.633000000000003</v>
      </c>
      <c r="H200" s="31">
        <v>37.723999999999997</v>
      </c>
      <c r="I200" s="31">
        <v>25.841999999999999</v>
      </c>
      <c r="J200" s="31">
        <v>15.305</v>
      </c>
      <c r="K200" s="31">
        <v>13.233000000000001</v>
      </c>
      <c r="L200" s="31">
        <v>12.853</v>
      </c>
      <c r="M200" s="31">
        <v>11.113</v>
      </c>
      <c r="N200" s="31">
        <v>9.3320000000000007</v>
      </c>
      <c r="O200" s="31">
        <v>6.875</v>
      </c>
      <c r="P200" s="31">
        <v>4.992</v>
      </c>
      <c r="Q200" s="31">
        <v>4.0129999999999999</v>
      </c>
      <c r="R200" s="31">
        <v>3.8980000000000001</v>
      </c>
      <c r="S200" s="31">
        <v>3.1339999999999999</v>
      </c>
      <c r="T200" s="31">
        <v>2.83</v>
      </c>
      <c r="U200" s="31">
        <v>2.4119999999999999</v>
      </c>
      <c r="V200" s="31">
        <v>1.536</v>
      </c>
      <c r="W200" s="31">
        <v>1.387</v>
      </c>
      <c r="X200" s="31">
        <v>1.0069999999999999</v>
      </c>
      <c r="Y200" s="31">
        <v>0.93700000000000006</v>
      </c>
      <c r="Z200" s="31">
        <v>0.67</v>
      </c>
      <c r="AA200" s="31">
        <v>0.433</v>
      </c>
      <c r="AB200" s="31">
        <v>0.375</v>
      </c>
      <c r="AC200" s="31">
        <v>0.36399999999999999</v>
      </c>
      <c r="AD200" s="31">
        <v>0.33800000000000002</v>
      </c>
      <c r="AE200" s="31">
        <v>0.32900000000000001</v>
      </c>
      <c r="AF200" s="31">
        <v>0.31900000000000001</v>
      </c>
      <c r="AG200" s="31">
        <v>0.28399999999999997</v>
      </c>
      <c r="AH200" s="31">
        <v>0.29699999999999999</v>
      </c>
      <c r="AI200" s="305">
        <v>0.28000000000000003</v>
      </c>
      <c r="AJ200" s="2"/>
    </row>
    <row r="201" spans="1:36" ht="15" customHeight="1">
      <c r="A201" s="233">
        <v>36</v>
      </c>
      <c r="B201" s="75">
        <v>1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</row>
    <row r="202" spans="1:36" ht="15" customHeight="1">
      <c r="A202" s="233">
        <v>36</v>
      </c>
      <c r="B202" s="75">
        <v>2</v>
      </c>
      <c r="D202" s="2"/>
    </row>
    <row r="203" spans="1:36" ht="15" customHeight="1">
      <c r="A203" s="233">
        <v>36</v>
      </c>
      <c r="B203" s="75">
        <v>3</v>
      </c>
      <c r="C203" s="2"/>
      <c r="D203" s="2"/>
      <c r="E203" s="2"/>
    </row>
    <row r="204" spans="1:36" ht="15" customHeight="1">
      <c r="A204" s="241">
        <v>36</v>
      </c>
      <c r="B204" s="231">
        <v>4</v>
      </c>
      <c r="C204" s="2"/>
      <c r="D204" s="2"/>
      <c r="E204" s="2"/>
    </row>
    <row r="205" spans="1:36" ht="15" customHeight="1">
      <c r="A205" s="233">
        <v>37</v>
      </c>
      <c r="B205" s="201">
        <v>1</v>
      </c>
      <c r="C205" s="2"/>
      <c r="D205" s="116"/>
      <c r="E205" s="2"/>
    </row>
    <row r="206" spans="1:36" ht="15" customHeight="1">
      <c r="A206" s="233">
        <v>37</v>
      </c>
      <c r="B206" s="201">
        <v>2</v>
      </c>
      <c r="C206" s="2"/>
      <c r="D206" s="116"/>
      <c r="E206" s="2"/>
    </row>
    <row r="207" spans="1:36" ht="15" customHeight="1">
      <c r="A207" s="233">
        <v>37</v>
      </c>
      <c r="B207" s="201">
        <v>3</v>
      </c>
      <c r="C207" s="2"/>
      <c r="D207" s="116"/>
      <c r="E207" s="2"/>
      <c r="G207" s="116"/>
    </row>
    <row r="208" spans="1:36" ht="15" customHeight="1">
      <c r="A208" s="233">
        <v>37</v>
      </c>
      <c r="B208" s="201">
        <v>4</v>
      </c>
      <c r="C208" s="2"/>
      <c r="D208" s="116"/>
      <c r="E208" s="2"/>
      <c r="G208" s="116"/>
    </row>
    <row r="209" spans="1:24" ht="15" customHeight="1">
      <c r="A209" s="233">
        <v>37</v>
      </c>
      <c r="B209" s="201">
        <v>5</v>
      </c>
      <c r="C209" s="2"/>
      <c r="D209" s="2"/>
      <c r="E209" s="2"/>
      <c r="G209" s="116"/>
    </row>
    <row r="210" spans="1:24" ht="15" customHeight="1">
      <c r="A210" s="233">
        <v>37</v>
      </c>
      <c r="B210" s="201">
        <v>6</v>
      </c>
      <c r="D210" s="2"/>
      <c r="G210" s="116"/>
    </row>
    <row r="211" spans="1:24" ht="15" customHeight="1">
      <c r="A211" s="233">
        <v>37</v>
      </c>
      <c r="B211" s="201">
        <v>7</v>
      </c>
      <c r="C211" s="2"/>
      <c r="D211" s="2"/>
      <c r="E211" s="2"/>
      <c r="F211" s="2"/>
      <c r="G211" s="116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4" ht="15" customHeight="1">
      <c r="A212" s="229">
        <v>38</v>
      </c>
      <c r="B212" s="74">
        <v>1</v>
      </c>
      <c r="C212" s="320">
        <v>137.661</v>
      </c>
      <c r="D212" s="320">
        <v>137.661</v>
      </c>
      <c r="E212" s="320">
        <v>145.98400000000001</v>
      </c>
      <c r="F212" s="320">
        <v>145.98400000000001</v>
      </c>
      <c r="G212" s="320">
        <v>143.155</v>
      </c>
      <c r="H212" s="320">
        <v>143.155</v>
      </c>
      <c r="I212" s="320">
        <v>140.381</v>
      </c>
      <c r="J212" s="320">
        <v>145.98400000000001</v>
      </c>
      <c r="K212" s="320">
        <v>145.98400000000001</v>
      </c>
      <c r="L212" s="320">
        <v>143.155</v>
      </c>
      <c r="M212" s="320">
        <v>140.381</v>
      </c>
      <c r="N212" s="320">
        <v>140.381</v>
      </c>
      <c r="O212" s="320">
        <v>140.381</v>
      </c>
      <c r="P212" s="320">
        <v>134.99299999999999</v>
      </c>
      <c r="Q212" s="320">
        <v>137.661</v>
      </c>
      <c r="R212" s="320">
        <v>137.661</v>
      </c>
      <c r="S212" s="320">
        <v>132.37700000000001</v>
      </c>
      <c r="T212" s="320">
        <v>127.29600000000001</v>
      </c>
      <c r="U212" s="320">
        <v>127.29600000000001</v>
      </c>
      <c r="V212" s="320">
        <v>124.83</v>
      </c>
      <c r="W212" s="321">
        <v>115.431</v>
      </c>
      <c r="X212" s="2"/>
    </row>
    <row r="213" spans="1:24" ht="15" customHeight="1">
      <c r="A213" s="228">
        <v>38</v>
      </c>
      <c r="B213" s="75">
        <v>2</v>
      </c>
      <c r="C213" s="117">
        <v>712.346</v>
      </c>
      <c r="D213" s="117">
        <v>726.423</v>
      </c>
      <c r="E213" s="117">
        <v>685.005</v>
      </c>
      <c r="F213" s="117">
        <v>658.71400000000006</v>
      </c>
      <c r="G213" s="117">
        <v>597.31600000000003</v>
      </c>
      <c r="H213" s="117">
        <v>585.74099999999999</v>
      </c>
      <c r="I213" s="117">
        <v>574.39</v>
      </c>
      <c r="J213" s="117">
        <v>563.25900000000001</v>
      </c>
      <c r="K213" s="117">
        <v>531.14400000000001</v>
      </c>
      <c r="L213" s="117">
        <v>500.86</v>
      </c>
      <c r="M213" s="117">
        <v>481.637</v>
      </c>
      <c r="N213" s="117">
        <v>481.637</v>
      </c>
      <c r="O213" s="117">
        <v>454.17599999999999</v>
      </c>
      <c r="P213" s="117">
        <v>445.37400000000002</v>
      </c>
      <c r="Q213" s="117">
        <v>436.74400000000003</v>
      </c>
      <c r="R213" s="117">
        <v>411.84199999999998</v>
      </c>
      <c r="S213" s="117">
        <v>366.21800000000002</v>
      </c>
      <c r="T213" s="117">
        <v>359.12099999999998</v>
      </c>
      <c r="U213" s="117">
        <v>366.21800000000002</v>
      </c>
      <c r="V213" s="117">
        <v>345.33699999999999</v>
      </c>
      <c r="W213" s="322">
        <v>332.08300000000003</v>
      </c>
      <c r="X213" s="2"/>
    </row>
    <row r="214" spans="1:24" ht="15" customHeight="1">
      <c r="A214" s="228">
        <v>38</v>
      </c>
      <c r="B214" s="75">
        <v>3</v>
      </c>
      <c r="C214" s="117">
        <v>849.53</v>
      </c>
      <c r="D214" s="117">
        <v>918.69799999999998</v>
      </c>
      <c r="E214" s="117">
        <v>955.36599999999999</v>
      </c>
      <c r="F214" s="117">
        <v>918.69799999999998</v>
      </c>
      <c r="G214" s="117">
        <v>900.89499999999998</v>
      </c>
      <c r="H214" s="117">
        <v>883.43700000000001</v>
      </c>
      <c r="I214" s="117">
        <v>801.09299999999996</v>
      </c>
      <c r="J214" s="117">
        <v>801.09299999999996</v>
      </c>
      <c r="K214" s="117">
        <v>755.41700000000003</v>
      </c>
      <c r="L214" s="117">
        <v>671.73099999999999</v>
      </c>
      <c r="M214" s="117">
        <v>633.43200000000002</v>
      </c>
      <c r="N214" s="117">
        <v>597.31600000000003</v>
      </c>
      <c r="O214" s="117">
        <v>563.25900000000001</v>
      </c>
      <c r="P214" s="117">
        <v>541.64</v>
      </c>
      <c r="Q214" s="117">
        <v>510.75799999999998</v>
      </c>
      <c r="R214" s="117">
        <v>481.637</v>
      </c>
      <c r="S214" s="117">
        <v>428.28</v>
      </c>
      <c r="T214" s="117">
        <v>403.86099999999999</v>
      </c>
      <c r="U214" s="117">
        <v>366.21800000000002</v>
      </c>
      <c r="V214" s="117">
        <v>307.08</v>
      </c>
      <c r="W214" s="322">
        <v>289.572</v>
      </c>
      <c r="X214" s="2"/>
    </row>
    <row r="215" spans="1:24" ht="15" customHeight="1">
      <c r="A215" s="228">
        <v>38</v>
      </c>
      <c r="B215" s="75">
        <v>4</v>
      </c>
      <c r="C215" s="117">
        <v>111.001</v>
      </c>
      <c r="D215" s="117">
        <v>117.712</v>
      </c>
      <c r="E215" s="117">
        <v>120.038</v>
      </c>
      <c r="F215" s="117">
        <v>117.712</v>
      </c>
      <c r="G215" s="117">
        <v>120.038</v>
      </c>
      <c r="H215" s="117">
        <v>115.431</v>
      </c>
      <c r="I215" s="117">
        <v>122.411</v>
      </c>
      <c r="J215" s="117">
        <v>124.83</v>
      </c>
      <c r="K215" s="117">
        <v>124.83</v>
      </c>
      <c r="L215" s="117">
        <v>120.038</v>
      </c>
      <c r="M215" s="117">
        <v>122.411</v>
      </c>
      <c r="N215" s="117">
        <v>124.83</v>
      </c>
      <c r="O215" s="117">
        <v>127.29600000000001</v>
      </c>
      <c r="P215" s="117">
        <v>124.83</v>
      </c>
      <c r="Q215" s="117">
        <v>122.411</v>
      </c>
      <c r="R215" s="117">
        <v>120.038</v>
      </c>
      <c r="S215" s="117">
        <v>120.038</v>
      </c>
      <c r="T215" s="117">
        <v>124.83</v>
      </c>
      <c r="U215" s="117">
        <v>115.431</v>
      </c>
      <c r="V215" s="117">
        <v>117.712</v>
      </c>
      <c r="W215" s="322">
        <v>117.712</v>
      </c>
      <c r="X215" s="2"/>
    </row>
    <row r="216" spans="1:24" ht="15" customHeight="1">
      <c r="A216" s="228">
        <v>38</v>
      </c>
      <c r="B216" s="75">
        <v>5</v>
      </c>
      <c r="C216" s="117">
        <v>93.075999999999993</v>
      </c>
      <c r="D216" s="117">
        <v>93.075999999999993</v>
      </c>
      <c r="E216" s="117">
        <v>93.075999999999993</v>
      </c>
      <c r="F216" s="117">
        <v>91.272000000000006</v>
      </c>
      <c r="G216" s="117">
        <v>93.075999999999993</v>
      </c>
      <c r="H216" s="117">
        <v>91.272000000000006</v>
      </c>
      <c r="I216" s="117">
        <v>89.504000000000005</v>
      </c>
      <c r="J216" s="117">
        <v>89.504000000000005</v>
      </c>
      <c r="K216" s="117">
        <v>87.769000000000005</v>
      </c>
      <c r="L216" s="117">
        <v>89.504000000000005</v>
      </c>
      <c r="M216" s="117">
        <v>84.400999999999996</v>
      </c>
      <c r="N216" s="117">
        <v>87.769000000000005</v>
      </c>
      <c r="O216" s="117">
        <v>87.769000000000005</v>
      </c>
      <c r="P216" s="117">
        <v>84.400999999999996</v>
      </c>
      <c r="Q216" s="117">
        <v>86.067999999999998</v>
      </c>
      <c r="R216" s="117">
        <v>86.067999999999998</v>
      </c>
      <c r="S216" s="117">
        <v>86.067999999999998</v>
      </c>
      <c r="T216" s="117">
        <v>84.400999999999996</v>
      </c>
      <c r="U216" s="117">
        <v>82.765000000000001</v>
      </c>
      <c r="V216" s="117">
        <v>81.161000000000001</v>
      </c>
      <c r="W216" s="322">
        <v>84.400999999999996</v>
      </c>
      <c r="X216" s="2"/>
    </row>
    <row r="217" spans="1:24" ht="15" customHeight="1">
      <c r="A217" s="228">
        <v>38</v>
      </c>
      <c r="B217" s="75">
        <v>6</v>
      </c>
      <c r="C217" s="117">
        <v>32.991999999999997</v>
      </c>
      <c r="D217" s="117">
        <v>34.987000000000002</v>
      </c>
      <c r="E217" s="117">
        <v>34.987000000000002</v>
      </c>
      <c r="F217" s="117">
        <v>33.643999999999998</v>
      </c>
      <c r="G217" s="117">
        <v>34.987000000000002</v>
      </c>
      <c r="H217" s="117">
        <v>35.679000000000002</v>
      </c>
      <c r="I217" s="117">
        <v>35.679000000000002</v>
      </c>
      <c r="J217" s="117">
        <v>37.103000000000002</v>
      </c>
      <c r="K217" s="117">
        <v>37.103000000000002</v>
      </c>
      <c r="L217" s="117">
        <v>37.835999999999999</v>
      </c>
      <c r="M217" s="117">
        <v>37.835999999999999</v>
      </c>
      <c r="N217" s="117">
        <v>39.345999999999997</v>
      </c>
      <c r="O217" s="118">
        <v>39.345999999999997</v>
      </c>
      <c r="P217" s="118">
        <v>38.584000000000003</v>
      </c>
      <c r="Q217" s="118">
        <v>38.584000000000003</v>
      </c>
      <c r="R217" s="118">
        <v>40.124000000000002</v>
      </c>
      <c r="S217" s="118">
        <v>40.915999999999997</v>
      </c>
      <c r="T217" s="118">
        <v>41.725000000000001</v>
      </c>
      <c r="U217" s="118">
        <v>41.725000000000001</v>
      </c>
      <c r="V217" s="118">
        <v>43.39</v>
      </c>
      <c r="W217" s="323">
        <v>42.55</v>
      </c>
      <c r="X217" s="2"/>
    </row>
    <row r="218" spans="1:24" ht="15" customHeight="1">
      <c r="A218" s="229">
        <v>39</v>
      </c>
      <c r="B218" s="74">
        <v>1</v>
      </c>
      <c r="C218" s="320">
        <v>93.894999999999996</v>
      </c>
      <c r="D218" s="320">
        <v>55.55</v>
      </c>
      <c r="E218" s="320">
        <v>36.500999999999998</v>
      </c>
      <c r="F218" s="320">
        <v>28.771999999999998</v>
      </c>
      <c r="G218" s="320">
        <v>23.323</v>
      </c>
      <c r="H218" s="320">
        <v>21.146000000000001</v>
      </c>
      <c r="I218" s="320">
        <v>19.306999999999999</v>
      </c>
      <c r="J218" s="320">
        <v>17.751999999999999</v>
      </c>
      <c r="K218" s="320">
        <v>16.207999999999998</v>
      </c>
      <c r="L218" s="320">
        <v>14.593</v>
      </c>
      <c r="M218" s="320">
        <v>13.324</v>
      </c>
      <c r="N218" s="321">
        <v>12.336</v>
      </c>
      <c r="O218" s="101"/>
      <c r="P218" s="101"/>
      <c r="Q218" s="101"/>
      <c r="R218" s="101"/>
      <c r="S218" s="101"/>
      <c r="T218" s="101"/>
      <c r="U218" s="101"/>
      <c r="V218" s="101"/>
      <c r="W218" s="101"/>
    </row>
    <row r="219" spans="1:24" ht="15" customHeight="1">
      <c r="A219" s="228">
        <v>39</v>
      </c>
      <c r="B219" s="75">
        <v>2</v>
      </c>
      <c r="C219" s="117">
        <v>136.06299999999999</v>
      </c>
      <c r="D219" s="117">
        <v>75.581999999999994</v>
      </c>
      <c r="E219" s="117">
        <v>47.957000000000001</v>
      </c>
      <c r="F219" s="117">
        <v>36.758000000000003</v>
      </c>
      <c r="G219" s="117">
        <v>29.795999999999999</v>
      </c>
      <c r="H219" s="117">
        <v>26.27</v>
      </c>
      <c r="I219" s="117">
        <v>23.984999999999999</v>
      </c>
      <c r="J219" s="117">
        <v>22.053000000000001</v>
      </c>
      <c r="K219" s="117">
        <v>20.419</v>
      </c>
      <c r="L219" s="117">
        <v>18.513000000000002</v>
      </c>
      <c r="M219" s="117">
        <v>16.552</v>
      </c>
      <c r="N219" s="322">
        <v>15.541</v>
      </c>
      <c r="O219" s="101"/>
      <c r="P219" s="101"/>
      <c r="Q219" s="101"/>
      <c r="R219" s="101"/>
      <c r="S219" s="101"/>
      <c r="T219" s="101"/>
      <c r="U219" s="101"/>
      <c r="V219" s="101"/>
      <c r="W219" s="101"/>
    </row>
    <row r="220" spans="1:24" ht="15" customHeight="1">
      <c r="A220" s="228">
        <v>39</v>
      </c>
      <c r="B220" s="75">
        <v>3</v>
      </c>
      <c r="C220" s="117">
        <v>220.529</v>
      </c>
      <c r="D220" s="117">
        <v>110.294</v>
      </c>
      <c r="E220" s="117">
        <v>64.796000000000006</v>
      </c>
      <c r="F220" s="117">
        <v>47.29</v>
      </c>
      <c r="G220" s="117">
        <v>38.875</v>
      </c>
      <c r="H220" s="117">
        <v>34.273000000000003</v>
      </c>
      <c r="I220" s="117">
        <v>30.858000000000001</v>
      </c>
      <c r="J220" s="117">
        <v>27.782</v>
      </c>
      <c r="K220" s="117">
        <v>25.189</v>
      </c>
      <c r="L220" s="117">
        <v>22.678999999999998</v>
      </c>
      <c r="M220" s="117">
        <v>20.135000000000002</v>
      </c>
      <c r="N220" s="322">
        <v>19.172000000000001</v>
      </c>
      <c r="O220" s="101"/>
      <c r="P220" s="101"/>
      <c r="Q220" s="101"/>
      <c r="R220" s="101"/>
      <c r="S220" s="101"/>
      <c r="T220" s="101"/>
      <c r="U220" s="101"/>
      <c r="V220" s="101"/>
      <c r="W220" s="101"/>
    </row>
    <row r="221" spans="1:24" ht="15" customHeight="1">
      <c r="A221" s="228">
        <v>39</v>
      </c>
      <c r="B221" s="75">
        <v>4</v>
      </c>
      <c r="C221" s="117">
        <v>208.52099999999999</v>
      </c>
      <c r="D221" s="117">
        <v>126.86499999999999</v>
      </c>
      <c r="E221" s="117">
        <v>70.472999999999999</v>
      </c>
      <c r="F221" s="117">
        <v>50.719000000000001</v>
      </c>
      <c r="G221" s="117">
        <v>36.758000000000003</v>
      </c>
      <c r="H221" s="117">
        <v>31.512</v>
      </c>
      <c r="I221" s="117">
        <v>27.977</v>
      </c>
      <c r="J221" s="117">
        <v>25.366</v>
      </c>
      <c r="K221" s="117">
        <v>22.838000000000001</v>
      </c>
      <c r="L221" s="117">
        <v>20.419</v>
      </c>
      <c r="M221" s="117">
        <v>18.384</v>
      </c>
      <c r="N221" s="322">
        <v>17.021999999999998</v>
      </c>
      <c r="O221" s="101"/>
      <c r="P221" s="101"/>
      <c r="Q221" s="101"/>
      <c r="R221" s="101"/>
      <c r="S221" s="101"/>
      <c r="T221" s="101"/>
      <c r="U221" s="101"/>
      <c r="V221" s="101"/>
      <c r="W221" s="101"/>
    </row>
    <row r="222" spans="1:24" ht="15" customHeight="1">
      <c r="A222" s="228">
        <v>39</v>
      </c>
      <c r="B222" s="75">
        <v>5</v>
      </c>
      <c r="C222" s="117">
        <v>94.584000000000003</v>
      </c>
      <c r="D222" s="117">
        <v>54.914999999999999</v>
      </c>
      <c r="E222" s="117">
        <v>31.468</v>
      </c>
      <c r="F222" s="117">
        <v>23.434000000000001</v>
      </c>
      <c r="G222" s="117">
        <v>19.126999999999999</v>
      </c>
      <c r="H222" s="117">
        <v>16.344000000000001</v>
      </c>
      <c r="I222" s="117">
        <v>14.244</v>
      </c>
      <c r="J222" s="117">
        <v>12.494999999999999</v>
      </c>
      <c r="K222" s="101"/>
      <c r="L222" s="101"/>
      <c r="M222" s="101"/>
      <c r="N222" s="308"/>
      <c r="O222" s="101"/>
      <c r="P222" s="101"/>
      <c r="Q222" s="101"/>
      <c r="R222" s="101"/>
      <c r="S222" s="101"/>
      <c r="T222" s="101"/>
      <c r="U222" s="101"/>
      <c r="V222" s="101"/>
      <c r="W222" s="101"/>
    </row>
    <row r="223" spans="1:24" ht="15" customHeight="1">
      <c r="A223" s="228">
        <v>39</v>
      </c>
      <c r="B223" s="75">
        <v>6</v>
      </c>
      <c r="C223" s="117">
        <v>131.24</v>
      </c>
      <c r="D223" s="117">
        <v>72.305999999999997</v>
      </c>
      <c r="E223" s="117">
        <v>36.345999999999997</v>
      </c>
      <c r="F223" s="117">
        <v>27.067</v>
      </c>
      <c r="G223" s="117">
        <v>22.384</v>
      </c>
      <c r="H223" s="117">
        <v>18.632000000000001</v>
      </c>
      <c r="I223" s="117">
        <v>15.612</v>
      </c>
      <c r="J223" s="117">
        <v>13.967000000000001</v>
      </c>
      <c r="K223" s="101"/>
      <c r="L223" s="101"/>
      <c r="M223" s="101"/>
      <c r="N223" s="308"/>
      <c r="O223" s="101"/>
      <c r="P223" s="101"/>
      <c r="Q223" s="101"/>
      <c r="R223" s="101"/>
      <c r="S223" s="101"/>
      <c r="T223" s="101"/>
      <c r="U223" s="101"/>
      <c r="V223" s="101"/>
      <c r="W223" s="101"/>
    </row>
    <row r="224" spans="1:24" ht="15" customHeight="1">
      <c r="A224" s="228">
        <v>39</v>
      </c>
      <c r="B224" s="75">
        <v>7</v>
      </c>
      <c r="C224" s="117">
        <v>110.687</v>
      </c>
      <c r="D224" s="117">
        <v>63.844000000000001</v>
      </c>
      <c r="E224" s="117">
        <v>34.716999999999999</v>
      </c>
      <c r="F224" s="117">
        <v>25.684999999999999</v>
      </c>
      <c r="G224" s="117">
        <v>21.102</v>
      </c>
      <c r="H224" s="117">
        <v>17.914000000000001</v>
      </c>
      <c r="I224" s="117">
        <v>16.452000000000002</v>
      </c>
      <c r="J224" s="117">
        <v>15.01</v>
      </c>
      <c r="K224" s="101"/>
      <c r="L224" s="101"/>
      <c r="M224" s="101"/>
      <c r="N224" s="308"/>
      <c r="O224" s="101"/>
      <c r="P224" s="101"/>
      <c r="Q224" s="101"/>
      <c r="R224" s="101"/>
      <c r="S224" s="101"/>
      <c r="T224" s="101"/>
      <c r="U224" s="101"/>
      <c r="V224" s="101"/>
      <c r="W224" s="101"/>
    </row>
    <row r="225" spans="1:27" ht="15" customHeight="1">
      <c r="A225" s="230">
        <v>39</v>
      </c>
      <c r="B225" s="231">
        <v>8</v>
      </c>
      <c r="C225" s="118">
        <v>171.67599999999999</v>
      </c>
      <c r="D225" s="118">
        <v>93.965999999999994</v>
      </c>
      <c r="E225" s="118">
        <v>50.762999999999998</v>
      </c>
      <c r="F225" s="118">
        <v>37.067</v>
      </c>
      <c r="G225" s="118">
        <v>30.855</v>
      </c>
      <c r="H225" s="118">
        <v>25.516999999999999</v>
      </c>
      <c r="I225" s="118">
        <v>22.530999999999999</v>
      </c>
      <c r="J225" s="118">
        <v>20.289000000000001</v>
      </c>
      <c r="K225" s="119"/>
      <c r="L225" s="119"/>
      <c r="M225" s="119"/>
      <c r="N225" s="324"/>
      <c r="O225" s="101"/>
      <c r="P225" s="101"/>
      <c r="Q225" s="101"/>
      <c r="R225" s="101"/>
      <c r="S225" s="101"/>
      <c r="T225" s="101"/>
      <c r="U225" s="101"/>
      <c r="V225" s="101"/>
      <c r="W225" s="101"/>
    </row>
    <row r="226" spans="1:27" ht="15" customHeight="1">
      <c r="A226" s="228">
        <v>40</v>
      </c>
      <c r="B226" s="75">
        <v>1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</row>
    <row r="227" spans="1:27" ht="15" customHeight="1">
      <c r="A227" s="228">
        <v>40</v>
      </c>
      <c r="B227" s="75">
        <v>2</v>
      </c>
    </row>
    <row r="228" spans="1:27" ht="15" customHeight="1">
      <c r="A228" s="228">
        <v>40</v>
      </c>
      <c r="B228" s="75">
        <v>3</v>
      </c>
      <c r="D228" s="116"/>
    </row>
    <row r="229" spans="1:27" ht="15" customHeight="1">
      <c r="A229" s="228">
        <v>40</v>
      </c>
      <c r="B229" s="75">
        <v>4</v>
      </c>
      <c r="D229" s="116"/>
    </row>
    <row r="230" spans="1:27" ht="15" customHeight="1">
      <c r="A230" s="228">
        <v>40</v>
      </c>
      <c r="B230" s="75">
        <v>5</v>
      </c>
      <c r="C230" s="2"/>
      <c r="D230" s="116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7" ht="15" customHeight="1">
      <c r="A231" s="199">
        <v>41</v>
      </c>
      <c r="B231" s="200">
        <v>1</v>
      </c>
      <c r="C231" s="234">
        <v>119.746</v>
      </c>
      <c r="D231" s="234">
        <v>132.35499999999999</v>
      </c>
      <c r="E231" s="234">
        <v>132.35499999999999</v>
      </c>
      <c r="F231" s="234">
        <v>135.03100000000001</v>
      </c>
      <c r="G231" s="234">
        <v>143.39099999999999</v>
      </c>
      <c r="H231" s="234">
        <v>149.25</v>
      </c>
      <c r="I231" s="234">
        <v>161.69499999999999</v>
      </c>
      <c r="J231" s="234">
        <v>168.30099999999999</v>
      </c>
      <c r="K231" s="234">
        <v>171.70500000000001</v>
      </c>
      <c r="L231" s="234">
        <v>175.17699999999999</v>
      </c>
      <c r="M231" s="234">
        <v>182.33500000000001</v>
      </c>
      <c r="N231" s="234">
        <v>189.785</v>
      </c>
      <c r="O231" s="234">
        <v>197.53899999999999</v>
      </c>
      <c r="P231" s="234">
        <v>197.53899999999999</v>
      </c>
      <c r="Q231" s="234">
        <v>197.53899999999999</v>
      </c>
      <c r="R231" s="234">
        <v>205.61</v>
      </c>
      <c r="S231" s="234">
        <v>205.61</v>
      </c>
      <c r="T231" s="234">
        <v>201.53399999999999</v>
      </c>
      <c r="U231" s="234">
        <v>201.53399999999999</v>
      </c>
      <c r="V231" s="234">
        <v>201.53399999999999</v>
      </c>
      <c r="W231" s="234">
        <v>201.53399999999999</v>
      </c>
      <c r="X231" s="234">
        <v>193.62299999999999</v>
      </c>
      <c r="Y231" s="234">
        <v>186.02199999999999</v>
      </c>
      <c r="Z231" s="235">
        <v>186.02199999999999</v>
      </c>
      <c r="AA231" s="2"/>
    </row>
    <row r="232" spans="1:27" ht="15" customHeight="1">
      <c r="A232" s="196">
        <v>41</v>
      </c>
      <c r="B232" s="201">
        <v>2</v>
      </c>
      <c r="C232" s="2">
        <v>1377.623</v>
      </c>
      <c r="D232" s="2">
        <v>1377.623</v>
      </c>
      <c r="E232" s="2">
        <v>1433.9090000000001</v>
      </c>
      <c r="F232" s="2">
        <v>1433.9090000000001</v>
      </c>
      <c r="G232" s="2">
        <v>1462.9090000000001</v>
      </c>
      <c r="H232" s="2">
        <v>1433.9090000000001</v>
      </c>
      <c r="I232" s="2">
        <v>1462.9090000000001</v>
      </c>
      <c r="J232" s="2">
        <v>1462.9090000000001</v>
      </c>
      <c r="K232" s="2">
        <v>1433.9090000000001</v>
      </c>
      <c r="L232" s="2">
        <v>1377.623</v>
      </c>
      <c r="M232" s="2">
        <v>1350.3140000000001</v>
      </c>
      <c r="N232" s="2">
        <v>1323.546</v>
      </c>
      <c r="O232" s="2">
        <v>1221.6769999999999</v>
      </c>
      <c r="P232" s="2">
        <v>1221.6769999999999</v>
      </c>
      <c r="Q232" s="2">
        <v>1150.4549999999999</v>
      </c>
      <c r="R232" s="2">
        <v>1127.6489999999999</v>
      </c>
      <c r="S232" s="2">
        <v>1061.9079999999999</v>
      </c>
      <c r="T232" s="2">
        <v>1061.9079999999999</v>
      </c>
      <c r="U232" s="2">
        <v>1020.224</v>
      </c>
      <c r="V232" s="2">
        <v>960.74599999999998</v>
      </c>
      <c r="W232" s="2">
        <v>886.80100000000004</v>
      </c>
      <c r="X232" s="2">
        <v>818.54700000000003</v>
      </c>
      <c r="Y232" s="2">
        <v>786.41600000000005</v>
      </c>
      <c r="Z232" s="236">
        <v>770.82600000000002</v>
      </c>
      <c r="AA232" s="2"/>
    </row>
    <row r="233" spans="1:27" ht="15" customHeight="1">
      <c r="A233" s="196">
        <v>41</v>
      </c>
      <c r="B233" s="201">
        <v>3</v>
      </c>
      <c r="C233" s="2">
        <v>17872.030999999999</v>
      </c>
      <c r="D233" s="2">
        <v>13776.232</v>
      </c>
      <c r="E233" s="2">
        <v>11504.548000000001</v>
      </c>
      <c r="F233" s="2">
        <v>9607.4619999999995</v>
      </c>
      <c r="G233" s="2">
        <v>8692.2139999999999</v>
      </c>
      <c r="H233" s="2">
        <v>8351.0120000000006</v>
      </c>
      <c r="I233" s="2">
        <v>7864.1570000000002</v>
      </c>
      <c r="J233" s="2">
        <v>6973.9409999999998</v>
      </c>
      <c r="K233" s="2">
        <v>6567.3670000000002</v>
      </c>
      <c r="L233" s="2">
        <v>6309.5730000000003</v>
      </c>
      <c r="M233" s="2">
        <v>5823.9470000000001</v>
      </c>
      <c r="N233" s="2">
        <v>5484.4170000000004</v>
      </c>
      <c r="O233" s="2">
        <v>5062.299</v>
      </c>
      <c r="P233" s="2">
        <v>4400.259</v>
      </c>
      <c r="Q233" s="2">
        <v>4143.7290000000003</v>
      </c>
      <c r="R233" s="2">
        <v>4143.7290000000003</v>
      </c>
      <c r="S233" s="2">
        <v>3748.9789999999998</v>
      </c>
      <c r="T233" s="2">
        <v>3324.598</v>
      </c>
      <c r="U233" s="2">
        <v>3130.777</v>
      </c>
      <c r="V233" s="2">
        <v>2667.393</v>
      </c>
      <c r="W233" s="2">
        <v>2511.886</v>
      </c>
      <c r="X233" s="2">
        <v>1897.846</v>
      </c>
      <c r="Y233" s="2">
        <v>1787.203</v>
      </c>
      <c r="Z233" s="236">
        <v>2667.393</v>
      </c>
      <c r="AA233" s="2"/>
    </row>
    <row r="234" spans="1:27" ht="15" customHeight="1">
      <c r="A234" s="196">
        <v>41</v>
      </c>
      <c r="B234" s="201">
        <v>4</v>
      </c>
      <c r="C234" s="2">
        <v>182334.8</v>
      </c>
      <c r="D234" s="2">
        <v>132354.628</v>
      </c>
      <c r="E234" s="2">
        <v>86922.145000000004</v>
      </c>
      <c r="F234" s="2">
        <v>63095.733999999997</v>
      </c>
      <c r="G234" s="2">
        <v>47671.724999999999</v>
      </c>
      <c r="H234" s="2">
        <v>35304.177000000003</v>
      </c>
      <c r="I234" s="2">
        <v>26673.927</v>
      </c>
      <c r="J234" s="2">
        <v>19362.280999999999</v>
      </c>
      <c r="K234" s="2">
        <v>16496.481</v>
      </c>
      <c r="L234" s="2">
        <v>12715.921</v>
      </c>
      <c r="M234" s="2">
        <v>10408.575999999999</v>
      </c>
      <c r="N234" s="2">
        <v>8351.0120000000006</v>
      </c>
      <c r="O234" s="2">
        <v>7114.9840000000004</v>
      </c>
      <c r="P234" s="2">
        <v>6184.4960000000001</v>
      </c>
      <c r="Q234" s="2">
        <v>5062.299</v>
      </c>
      <c r="R234" s="2">
        <v>4313.0309999999999</v>
      </c>
      <c r="S234" s="2">
        <v>3674.6619999999998</v>
      </c>
      <c r="T234" s="2">
        <v>3130.777</v>
      </c>
      <c r="U234" s="2">
        <v>2667.393</v>
      </c>
      <c r="V234" s="2">
        <v>2462.0920000000001</v>
      </c>
      <c r="W234" s="2">
        <v>2140.1039999999998</v>
      </c>
      <c r="X234" s="2">
        <v>1936.2280000000001</v>
      </c>
      <c r="Y234" s="2">
        <v>1787.203</v>
      </c>
      <c r="Z234" s="236">
        <v>2562.6880000000001</v>
      </c>
      <c r="AA234" s="2"/>
    </row>
    <row r="235" spans="1:27" ht="15" customHeight="1">
      <c r="A235" s="196">
        <v>41</v>
      </c>
      <c r="B235" s="201">
        <v>5</v>
      </c>
      <c r="C235" s="2">
        <v>537569.701</v>
      </c>
      <c r="D235" s="2">
        <v>390215.34899999999</v>
      </c>
      <c r="E235" s="2">
        <v>277637.587</v>
      </c>
      <c r="F235" s="2">
        <v>193622.81099999999</v>
      </c>
      <c r="G235" s="2">
        <v>135031.40400000001</v>
      </c>
      <c r="H235" s="2">
        <v>98017.664000000004</v>
      </c>
      <c r="I235" s="2">
        <v>69739.409</v>
      </c>
      <c r="J235" s="2">
        <v>50622.993999999999</v>
      </c>
      <c r="K235" s="2">
        <v>38247.997000000003</v>
      </c>
      <c r="L235" s="2">
        <v>28898.117999999999</v>
      </c>
      <c r="M235" s="2">
        <v>22275.43</v>
      </c>
      <c r="N235" s="2">
        <v>17517.746999999999</v>
      </c>
      <c r="O235" s="2">
        <v>13235.463</v>
      </c>
      <c r="P235" s="2">
        <v>10000</v>
      </c>
      <c r="Q235" s="2">
        <v>8185.4669999999996</v>
      </c>
      <c r="R235" s="2">
        <v>6835.6940000000004</v>
      </c>
      <c r="S235" s="2">
        <v>5269.1329999999998</v>
      </c>
      <c r="T235" s="2">
        <v>4489.2510000000002</v>
      </c>
      <c r="U235" s="2">
        <v>3748.9789999999998</v>
      </c>
      <c r="V235" s="2">
        <v>3130.777</v>
      </c>
      <c r="W235" s="2">
        <v>2562.6880000000001</v>
      </c>
      <c r="X235" s="2">
        <v>1936.2280000000001</v>
      </c>
      <c r="Y235" s="2">
        <v>5062.299</v>
      </c>
      <c r="Z235" s="236">
        <v>7864.1570000000002</v>
      </c>
      <c r="AA235" s="2"/>
    </row>
    <row r="236" spans="1:27" ht="15" customHeight="1">
      <c r="A236" s="196">
        <v>41</v>
      </c>
      <c r="B236" s="201">
        <v>6</v>
      </c>
      <c r="C236" s="2">
        <v>2667392.6889999998</v>
      </c>
      <c r="D236" s="2">
        <v>1897845.5660000001</v>
      </c>
      <c r="E236" s="2">
        <v>1246384.8859999999</v>
      </c>
      <c r="F236" s="2">
        <v>869221.45</v>
      </c>
      <c r="G236" s="2">
        <v>582394.66899999999</v>
      </c>
      <c r="H236" s="2">
        <v>431303.12900000002</v>
      </c>
      <c r="I236" s="2">
        <v>300788.25199999998</v>
      </c>
      <c r="J236" s="2">
        <v>205609.64300000001</v>
      </c>
      <c r="K236" s="2">
        <v>137762.31599999999</v>
      </c>
      <c r="L236" s="2">
        <v>98017.664000000004</v>
      </c>
      <c r="M236" s="2">
        <v>69739.409</v>
      </c>
      <c r="N236" s="2">
        <v>51646.807000000001</v>
      </c>
      <c r="O236" s="2">
        <v>36018.178</v>
      </c>
      <c r="P236" s="2">
        <v>27213.387999999999</v>
      </c>
      <c r="Q236" s="2">
        <v>19362.280999999999</v>
      </c>
      <c r="R236" s="2">
        <v>13235.463</v>
      </c>
      <c r="S236" s="2">
        <v>10202.243</v>
      </c>
      <c r="T236" s="2">
        <v>7555.4589999999998</v>
      </c>
      <c r="U236" s="2">
        <v>5269.1329999999998</v>
      </c>
      <c r="V236" s="2">
        <v>3902.1529999999998</v>
      </c>
      <c r="W236" s="2">
        <v>3194.0949999999998</v>
      </c>
      <c r="X236" s="34">
        <v>1683.011</v>
      </c>
      <c r="Y236" s="34">
        <v>2832.5259999999998</v>
      </c>
      <c r="Z236" s="237">
        <v>4672.6710000000003</v>
      </c>
      <c r="AA236" s="2"/>
    </row>
    <row r="237" spans="1:27" ht="15" customHeight="1">
      <c r="A237" s="199">
        <v>42</v>
      </c>
      <c r="B237" s="200" t="s">
        <v>221</v>
      </c>
      <c r="C237" s="234">
        <v>293.44900000000001</v>
      </c>
      <c r="D237" s="234">
        <v>361.77800000000002</v>
      </c>
      <c r="E237" s="234">
        <v>411.83100000000002</v>
      </c>
      <c r="F237" s="234">
        <v>454.99700000000001</v>
      </c>
      <c r="G237" s="234">
        <v>483.04</v>
      </c>
      <c r="H237" s="234">
        <v>497.702</v>
      </c>
      <c r="I237" s="234">
        <v>533.66999999999996</v>
      </c>
      <c r="J237" s="234">
        <v>549.87</v>
      </c>
      <c r="K237" s="234">
        <v>566.56100000000004</v>
      </c>
      <c r="L237" s="234">
        <v>555.37800000000004</v>
      </c>
      <c r="M237" s="234">
        <v>566.56100000000004</v>
      </c>
      <c r="N237" s="234">
        <v>566.56100000000004</v>
      </c>
      <c r="O237" s="234">
        <v>549.87</v>
      </c>
      <c r="P237" s="234">
        <v>539.01599999999996</v>
      </c>
      <c r="Q237" s="234">
        <v>528.37699999999995</v>
      </c>
      <c r="R237" s="234">
        <v>483.04</v>
      </c>
      <c r="S237" s="234">
        <v>441.59199999999998</v>
      </c>
      <c r="T237" s="234">
        <v>365.40199999999999</v>
      </c>
      <c r="U237" s="234">
        <v>299.358</v>
      </c>
      <c r="V237" s="234">
        <v>242.81800000000001</v>
      </c>
      <c r="W237" s="235">
        <v>204.96899999999999</v>
      </c>
      <c r="X237" s="2"/>
      <c r="Y237" s="2"/>
      <c r="Z237" s="2"/>
    </row>
    <row r="238" spans="1:27" ht="15" customHeight="1">
      <c r="A238" s="196">
        <v>42</v>
      </c>
      <c r="B238" s="201" t="s">
        <v>222</v>
      </c>
      <c r="C238" s="2">
        <v>533.66999999999996</v>
      </c>
      <c r="D238" s="2">
        <v>625.94600000000003</v>
      </c>
      <c r="E238" s="2">
        <v>698.48299999999995</v>
      </c>
      <c r="F238" s="2">
        <v>756.46299999999997</v>
      </c>
      <c r="G238" s="2">
        <v>779.42600000000004</v>
      </c>
      <c r="H238" s="2">
        <v>779.42600000000004</v>
      </c>
      <c r="I238" s="2">
        <v>795.12</v>
      </c>
      <c r="J238" s="2">
        <v>764.04100000000005</v>
      </c>
      <c r="K238" s="2">
        <v>764.04100000000005</v>
      </c>
      <c r="L238" s="2">
        <v>734.17700000000002</v>
      </c>
      <c r="M238" s="2">
        <v>719.68600000000004</v>
      </c>
      <c r="N238" s="2">
        <v>698.48299999999995</v>
      </c>
      <c r="O238" s="2">
        <v>671.18100000000004</v>
      </c>
      <c r="P238" s="2">
        <v>651.40800000000002</v>
      </c>
      <c r="Q238" s="2">
        <v>607.505</v>
      </c>
      <c r="R238" s="2">
        <v>595.51400000000001</v>
      </c>
      <c r="S238" s="2">
        <v>533.66999999999996</v>
      </c>
      <c r="T238" s="2">
        <v>459.55500000000001</v>
      </c>
      <c r="U238" s="2">
        <v>340.77499999999998</v>
      </c>
      <c r="V238" s="2">
        <v>284.80399999999997</v>
      </c>
      <c r="W238" s="236">
        <v>235.66499999999999</v>
      </c>
      <c r="X238" s="2"/>
    </row>
    <row r="239" spans="1:27" ht="15" customHeight="1">
      <c r="A239" s="196">
        <v>42</v>
      </c>
      <c r="B239" s="201" t="s">
        <v>223</v>
      </c>
      <c r="C239" s="2">
        <v>21330.662</v>
      </c>
      <c r="D239" s="2">
        <v>9051.2790000000005</v>
      </c>
      <c r="E239" s="2">
        <v>4328.7610000000004</v>
      </c>
      <c r="F239" s="2">
        <v>2876.567</v>
      </c>
      <c r="G239" s="2">
        <v>2404.0990000000002</v>
      </c>
      <c r="H239" s="2">
        <v>2242.0709999999999</v>
      </c>
      <c r="I239" s="2">
        <v>2049.6909999999998</v>
      </c>
      <c r="J239" s="2">
        <v>1911.548</v>
      </c>
      <c r="K239" s="2">
        <v>1836.8309999999999</v>
      </c>
      <c r="L239" s="2">
        <v>1679.222</v>
      </c>
      <c r="M239" s="2">
        <v>1613.586</v>
      </c>
      <c r="N239" s="2">
        <v>1519.9110000000001</v>
      </c>
      <c r="O239" s="2">
        <v>1389.4949999999999</v>
      </c>
      <c r="P239" s="2">
        <v>1308.83</v>
      </c>
      <c r="Q239" s="2">
        <v>1184.6579999999999</v>
      </c>
      <c r="R239" s="2">
        <v>960.91300000000001</v>
      </c>
      <c r="S239" s="2">
        <v>756.46299999999997</v>
      </c>
      <c r="T239" s="2">
        <v>589.60699999999997</v>
      </c>
      <c r="U239" s="2">
        <v>265.60899999999998</v>
      </c>
      <c r="V239" s="2">
        <v>337.39499999999998</v>
      </c>
      <c r="W239" s="236">
        <v>183.68299999999999</v>
      </c>
      <c r="X239" s="2"/>
    </row>
    <row r="240" spans="1:27" ht="15" customHeight="1">
      <c r="A240" s="196">
        <v>42</v>
      </c>
      <c r="B240" s="201" t="s">
        <v>225</v>
      </c>
      <c r="C240" s="2"/>
      <c r="D240" s="116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36"/>
      <c r="X240" s="2"/>
    </row>
    <row r="241" spans="1:24" ht="15" customHeight="1">
      <c r="A241" s="196">
        <v>42</v>
      </c>
      <c r="B241" s="201" t="s">
        <v>226</v>
      </c>
      <c r="C241" s="2"/>
      <c r="D241" s="116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36"/>
      <c r="X241" s="2"/>
    </row>
    <row r="242" spans="1:24" ht="15" customHeight="1">
      <c r="A242" s="196">
        <v>42</v>
      </c>
      <c r="B242" s="201" t="s">
        <v>227</v>
      </c>
      <c r="C242" s="2"/>
      <c r="D242" s="116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34"/>
      <c r="T242" s="34"/>
      <c r="U242" s="34"/>
      <c r="V242" s="34"/>
      <c r="W242" s="237"/>
      <c r="X242" s="2"/>
    </row>
    <row r="243" spans="1:24" ht="15" customHeight="1">
      <c r="A243" s="229">
        <v>43</v>
      </c>
      <c r="B243" s="74">
        <v>1</v>
      </c>
      <c r="C243" s="234">
        <v>385.43599999999998</v>
      </c>
      <c r="D243" s="234">
        <v>400.48599999999999</v>
      </c>
      <c r="E243" s="234">
        <v>361.59800000000001</v>
      </c>
      <c r="F243" s="234">
        <v>322.34300000000002</v>
      </c>
      <c r="G243" s="234">
        <v>287.34899999999999</v>
      </c>
      <c r="H243" s="234">
        <v>266.15699999999998</v>
      </c>
      <c r="I243" s="234">
        <v>259.447</v>
      </c>
      <c r="J243" s="234">
        <v>252.905</v>
      </c>
      <c r="K243" s="234">
        <v>243.40100000000001</v>
      </c>
      <c r="L243" s="234">
        <v>237.26400000000001</v>
      </c>
      <c r="M243" s="234">
        <v>225.45</v>
      </c>
      <c r="N243" s="234">
        <v>214.22399999999999</v>
      </c>
      <c r="O243" s="234">
        <v>211.506</v>
      </c>
      <c r="P243" s="234">
        <v>195.90799999999999</v>
      </c>
      <c r="Q243" s="234">
        <v>179.15700000000001</v>
      </c>
      <c r="R243" s="235">
        <v>161.76</v>
      </c>
      <c r="S243" s="2"/>
      <c r="T243" s="2"/>
      <c r="U243" s="2"/>
      <c r="V243" s="2"/>
      <c r="W243" s="2"/>
    </row>
    <row r="244" spans="1:24" ht="15" customHeight="1">
      <c r="A244" s="228">
        <v>43</v>
      </c>
      <c r="B244" s="75">
        <v>2</v>
      </c>
      <c r="C244" s="2">
        <v>142.37</v>
      </c>
      <c r="D244" s="2">
        <v>138.78100000000001</v>
      </c>
      <c r="E244" s="2">
        <v>133.565</v>
      </c>
      <c r="F244" s="2">
        <v>120.595</v>
      </c>
      <c r="G244" s="2">
        <v>102.151</v>
      </c>
      <c r="H244" s="2">
        <v>99.575000000000003</v>
      </c>
      <c r="I244" s="2">
        <v>98.311999999999998</v>
      </c>
      <c r="J244" s="2">
        <v>98.311999999999998</v>
      </c>
      <c r="K244" s="2">
        <v>93.417000000000002</v>
      </c>
      <c r="L244" s="2">
        <v>95.832999999999998</v>
      </c>
      <c r="M244" s="2">
        <v>88.765000000000001</v>
      </c>
      <c r="N244" s="2">
        <v>84.346000000000004</v>
      </c>
      <c r="O244" s="2">
        <v>83.275999999999996</v>
      </c>
      <c r="P244" s="2">
        <v>80.146000000000001</v>
      </c>
      <c r="Q244" s="2">
        <v>77.134</v>
      </c>
      <c r="R244" s="236">
        <v>73.293000000000006</v>
      </c>
      <c r="S244" s="2"/>
    </row>
    <row r="245" spans="1:24" ht="15" customHeight="1">
      <c r="A245" s="230">
        <v>43</v>
      </c>
      <c r="B245" s="231">
        <v>3</v>
      </c>
      <c r="C245" s="34">
        <v>4829.683</v>
      </c>
      <c r="D245" s="34">
        <v>4196.8220000000001</v>
      </c>
      <c r="E245" s="34">
        <v>3089.1120000000001</v>
      </c>
      <c r="F245" s="34">
        <v>1950.758</v>
      </c>
      <c r="G245" s="34">
        <v>1247.723</v>
      </c>
      <c r="H245" s="34">
        <v>930.20100000000002</v>
      </c>
      <c r="I245" s="34">
        <v>748.69799999999998</v>
      </c>
      <c r="J245" s="34">
        <v>565.34100000000001</v>
      </c>
      <c r="K245" s="34">
        <v>416.125</v>
      </c>
      <c r="L245" s="34">
        <v>322.34300000000002</v>
      </c>
      <c r="M245" s="34">
        <v>262.78100000000001</v>
      </c>
      <c r="N245" s="34">
        <v>211.506</v>
      </c>
      <c r="O245" s="34">
        <v>181.46</v>
      </c>
      <c r="P245" s="34">
        <v>153.70599999999999</v>
      </c>
      <c r="Q245" s="34">
        <v>133.565</v>
      </c>
      <c r="R245" s="237">
        <v>110.28400000000001</v>
      </c>
      <c r="S245" s="2"/>
    </row>
    <row r="246" spans="1:24" ht="15" customHeight="1">
      <c r="A246" s="228">
        <v>44</v>
      </c>
      <c r="B246" s="75" t="s">
        <v>221</v>
      </c>
      <c r="C246" s="22">
        <v>3.3570000000000002</v>
      </c>
      <c r="D246" s="22">
        <v>3.6349999999999998</v>
      </c>
      <c r="E246" s="22">
        <v>3.8130000000000002</v>
      </c>
      <c r="F246" s="22">
        <v>3.9369999999999998</v>
      </c>
      <c r="G246" s="22">
        <v>4.13</v>
      </c>
      <c r="H246" s="22">
        <v>4.3319999999999999</v>
      </c>
      <c r="I246" s="22">
        <v>4.4720000000000004</v>
      </c>
      <c r="J246" s="22">
        <v>4.5439999999999996</v>
      </c>
      <c r="K246" s="22">
        <v>4.7670000000000003</v>
      </c>
      <c r="L246" s="22">
        <v>4.9210000000000003</v>
      </c>
      <c r="M246" s="226">
        <v>4.9210000000000003</v>
      </c>
      <c r="N246" s="2"/>
      <c r="O246" s="2"/>
      <c r="P246" s="2"/>
      <c r="Q246" s="2"/>
      <c r="R246" s="2"/>
    </row>
    <row r="247" spans="1:24" ht="15" customHeight="1">
      <c r="A247" s="228">
        <v>44</v>
      </c>
      <c r="B247" s="75" t="s">
        <v>222</v>
      </c>
      <c r="C247" s="22">
        <v>17.327999999999999</v>
      </c>
      <c r="D247" s="22">
        <v>18.469000000000001</v>
      </c>
      <c r="E247" s="22">
        <v>18.469000000000001</v>
      </c>
      <c r="F247" s="22">
        <v>19.373000000000001</v>
      </c>
      <c r="G247" s="22">
        <v>20.648</v>
      </c>
      <c r="H247" s="22">
        <v>20.98</v>
      </c>
      <c r="I247" s="22">
        <v>22.007000000000001</v>
      </c>
      <c r="J247" s="22">
        <v>20.98</v>
      </c>
      <c r="K247" s="22">
        <v>21.317</v>
      </c>
      <c r="L247" s="22">
        <v>21.658999999999999</v>
      </c>
      <c r="M247" s="226">
        <v>18.765000000000001</v>
      </c>
      <c r="N247" s="2"/>
    </row>
    <row r="248" spans="1:24" ht="15" customHeight="1">
      <c r="A248" s="228">
        <v>44</v>
      </c>
      <c r="B248" s="75" t="s">
        <v>223</v>
      </c>
      <c r="C248" s="22">
        <v>11.090999999999999</v>
      </c>
      <c r="D248" s="22">
        <v>12.4</v>
      </c>
      <c r="E248" s="22">
        <v>12.010999999999999</v>
      </c>
      <c r="F248" s="22">
        <v>12.599</v>
      </c>
      <c r="G248" s="22">
        <v>13.215999999999999</v>
      </c>
      <c r="H248" s="22">
        <v>13.644</v>
      </c>
      <c r="I248" s="22">
        <v>14.542</v>
      </c>
      <c r="J248" s="22">
        <v>14.542</v>
      </c>
      <c r="K248" s="22">
        <v>14.776</v>
      </c>
      <c r="L248" s="22">
        <v>14.311999999999999</v>
      </c>
      <c r="M248" s="226">
        <v>13.007</v>
      </c>
      <c r="N248" s="2"/>
    </row>
    <row r="249" spans="1:24" ht="15" customHeight="1">
      <c r="A249" s="228">
        <v>44</v>
      </c>
      <c r="B249" s="75" t="s">
        <v>224</v>
      </c>
      <c r="C249" s="22">
        <v>7.9370000000000003</v>
      </c>
      <c r="D249" s="22">
        <v>8.5950000000000006</v>
      </c>
      <c r="E249" s="22">
        <v>9.016</v>
      </c>
      <c r="F249" s="22">
        <v>9.1609999999999996</v>
      </c>
      <c r="G249" s="22">
        <v>9.3079999999999998</v>
      </c>
      <c r="H249" s="22">
        <v>9.9209999999999994</v>
      </c>
      <c r="I249" s="22">
        <v>10.08</v>
      </c>
      <c r="J249" s="22">
        <v>10.242000000000001</v>
      </c>
      <c r="K249" s="22">
        <v>9.9209999999999994</v>
      </c>
      <c r="L249" s="22">
        <v>10.406000000000001</v>
      </c>
      <c r="M249" s="226">
        <v>9.609</v>
      </c>
      <c r="N249" s="2"/>
    </row>
    <row r="250" spans="1:24" ht="15" customHeight="1">
      <c r="A250" s="228">
        <v>44</v>
      </c>
      <c r="B250" s="75" t="s">
        <v>229</v>
      </c>
      <c r="C250" s="30">
        <v>6.7679999999999998</v>
      </c>
      <c r="D250" s="30">
        <v>7.5659999999999998</v>
      </c>
      <c r="E250" s="30">
        <v>7.5659999999999998</v>
      </c>
      <c r="F250" s="30">
        <v>8.0640000000000001</v>
      </c>
      <c r="G250" s="30">
        <v>8.0640000000000001</v>
      </c>
      <c r="H250" s="30">
        <v>8.3260000000000005</v>
      </c>
      <c r="I250" s="30">
        <v>8.5950000000000006</v>
      </c>
      <c r="J250" s="30">
        <v>8.4589999999999996</v>
      </c>
      <c r="K250" s="30">
        <v>8.4589999999999996</v>
      </c>
      <c r="L250" s="30">
        <v>8.3260000000000005</v>
      </c>
      <c r="M250" s="232">
        <v>7.4470000000000001</v>
      </c>
      <c r="N250" s="2"/>
    </row>
    <row r="251" spans="1:24" ht="15" customHeight="1">
      <c r="A251" s="228">
        <v>44</v>
      </c>
      <c r="B251" s="75" t="s">
        <v>225</v>
      </c>
      <c r="C251" s="22">
        <v>300.53100000000001</v>
      </c>
      <c r="D251" s="22">
        <v>243.55099999999999</v>
      </c>
      <c r="E251" s="22">
        <v>182.41300000000001</v>
      </c>
      <c r="F251" s="22">
        <v>140.26</v>
      </c>
      <c r="G251" s="22">
        <v>122.991</v>
      </c>
      <c r="H251" s="22">
        <v>103.679</v>
      </c>
      <c r="I251" s="22">
        <v>94.569000000000003</v>
      </c>
      <c r="J251" s="22">
        <v>89.727000000000004</v>
      </c>
      <c r="K251" s="22"/>
      <c r="L251" s="22"/>
      <c r="M251" s="2"/>
    </row>
    <row r="252" spans="1:24" ht="15" customHeight="1">
      <c r="A252" s="228">
        <v>44</v>
      </c>
      <c r="B252" s="75" t="s">
        <v>226</v>
      </c>
      <c r="C252" s="22">
        <v>652.45500000000004</v>
      </c>
      <c r="D252" s="22">
        <v>542.83100000000002</v>
      </c>
      <c r="E252" s="22">
        <v>380.714</v>
      </c>
      <c r="F252" s="22">
        <v>308.53300000000002</v>
      </c>
      <c r="G252" s="22">
        <v>246.77199999999999</v>
      </c>
      <c r="H252" s="22">
        <v>210.77699999999999</v>
      </c>
      <c r="I252" s="22">
        <v>187.27</v>
      </c>
      <c r="J252" s="22">
        <v>234.13800000000001</v>
      </c>
      <c r="K252" s="22"/>
      <c r="L252" s="22"/>
    </row>
    <row r="253" spans="1:24" ht="15" customHeight="1">
      <c r="A253" s="228">
        <v>44</v>
      </c>
      <c r="B253" s="75" t="s">
        <v>227</v>
      </c>
      <c r="C253" s="22">
        <v>342.72800000000001</v>
      </c>
      <c r="D253" s="22">
        <v>267.01400000000001</v>
      </c>
      <c r="E253" s="22">
        <v>208.02600000000001</v>
      </c>
      <c r="F253" s="22">
        <v>170.815</v>
      </c>
      <c r="G253" s="22">
        <v>140.26</v>
      </c>
      <c r="H253" s="22">
        <v>118.23699999999999</v>
      </c>
      <c r="I253" s="22">
        <v>110.71899999999999</v>
      </c>
      <c r="J253" s="22">
        <v>134.839</v>
      </c>
      <c r="K253" s="22"/>
      <c r="L253" s="22"/>
    </row>
    <row r="254" spans="1:24" ht="15" customHeight="1">
      <c r="A254" s="228">
        <v>44</v>
      </c>
      <c r="B254" s="75" t="s">
        <v>228</v>
      </c>
      <c r="C254" s="22">
        <v>380.714</v>
      </c>
      <c r="D254" s="22">
        <v>270.54500000000002</v>
      </c>
      <c r="E254" s="22">
        <v>168.58500000000001</v>
      </c>
      <c r="F254" s="22">
        <v>140.26</v>
      </c>
      <c r="G254" s="22">
        <v>109.274</v>
      </c>
      <c r="H254" s="22">
        <v>92.116</v>
      </c>
      <c r="I254" s="22">
        <v>86.259</v>
      </c>
      <c r="J254" s="22">
        <v>97.087000000000003</v>
      </c>
      <c r="K254" s="22"/>
      <c r="L254" s="22"/>
    </row>
    <row r="255" spans="1:24" ht="15" customHeight="1">
      <c r="A255" s="233">
        <v>44</v>
      </c>
      <c r="B255" s="75" t="s">
        <v>230</v>
      </c>
      <c r="C255" s="22">
        <v>177.68199999999999</v>
      </c>
      <c r="D255" s="22">
        <v>143.994</v>
      </c>
      <c r="E255" s="22">
        <v>102.32599999999999</v>
      </c>
      <c r="F255" s="22">
        <v>82.924999999999997</v>
      </c>
      <c r="G255" s="22">
        <v>70.828999999999994</v>
      </c>
      <c r="H255" s="22">
        <v>59.707999999999998</v>
      </c>
      <c r="I255" s="22">
        <v>53.750999999999998</v>
      </c>
      <c r="J255" s="22">
        <v>54.462000000000003</v>
      </c>
      <c r="K255" s="22"/>
      <c r="L255" s="22"/>
    </row>
    <row r="256" spans="1:24" ht="15" customHeight="1">
      <c r="A256" s="199">
        <v>45</v>
      </c>
      <c r="B256" s="200" t="s">
        <v>221</v>
      </c>
      <c r="C256" s="222">
        <v>28.597999999999999</v>
      </c>
      <c r="D256" s="222">
        <v>26.457000000000001</v>
      </c>
      <c r="E256" s="222">
        <v>23.541</v>
      </c>
      <c r="F256" s="222">
        <v>24.004000000000001</v>
      </c>
      <c r="G256" s="222">
        <v>24.956</v>
      </c>
      <c r="H256" s="222">
        <v>22.643000000000001</v>
      </c>
      <c r="I256" s="222">
        <v>20.148</v>
      </c>
      <c r="J256" s="222">
        <v>17.928000000000001</v>
      </c>
      <c r="K256" s="222">
        <v>10.808999999999999</v>
      </c>
      <c r="L256" s="225">
        <v>4.1660000000000004</v>
      </c>
      <c r="M256" s="2"/>
    </row>
    <row r="257" spans="1:22" ht="15" customHeight="1">
      <c r="A257" s="196">
        <v>45</v>
      </c>
      <c r="B257" s="201" t="s">
        <v>222</v>
      </c>
      <c r="C257" s="22">
        <v>204.108</v>
      </c>
      <c r="D257" s="22">
        <v>178.11699999999999</v>
      </c>
      <c r="E257" s="22">
        <v>161.60300000000001</v>
      </c>
      <c r="F257" s="22">
        <v>133.02799999999999</v>
      </c>
      <c r="G257" s="22">
        <v>113.851</v>
      </c>
      <c r="H257" s="22">
        <v>91.914000000000001</v>
      </c>
      <c r="I257" s="22">
        <v>74.203000000000003</v>
      </c>
      <c r="J257" s="22">
        <v>53.304000000000002</v>
      </c>
      <c r="K257" s="22">
        <v>23.088000000000001</v>
      </c>
      <c r="L257" s="226">
        <v>6.5179999999999998</v>
      </c>
      <c r="M257" s="2"/>
    </row>
    <row r="258" spans="1:22" ht="15" customHeight="1">
      <c r="A258" s="196">
        <v>45</v>
      </c>
      <c r="B258" s="201" t="s">
        <v>223</v>
      </c>
      <c r="C258" s="22">
        <v>453.25</v>
      </c>
      <c r="D258" s="22">
        <v>411.23</v>
      </c>
      <c r="E258" s="22">
        <v>358.86399999999998</v>
      </c>
      <c r="F258" s="22">
        <v>295.40800000000002</v>
      </c>
      <c r="G258" s="22">
        <v>243.173</v>
      </c>
      <c r="H258" s="22">
        <v>185.185</v>
      </c>
      <c r="I258" s="22">
        <v>138.30699999999999</v>
      </c>
      <c r="J258" s="22">
        <v>80.209000000000003</v>
      </c>
      <c r="K258" s="22">
        <v>32.14</v>
      </c>
      <c r="L258" s="226">
        <v>7.9180000000000001</v>
      </c>
      <c r="M258" s="2"/>
    </row>
    <row r="259" spans="1:22" ht="15" customHeight="1">
      <c r="A259" s="196">
        <v>45</v>
      </c>
      <c r="B259" s="201" t="s">
        <v>224</v>
      </c>
      <c r="C259" s="22">
        <v>1006.5069999999999</v>
      </c>
      <c r="D259" s="22">
        <v>987.11099999999999</v>
      </c>
      <c r="E259" s="22">
        <v>949.43399999999997</v>
      </c>
      <c r="F259" s="22">
        <v>737.23400000000004</v>
      </c>
      <c r="G259" s="22">
        <v>618.79899999999998</v>
      </c>
      <c r="H259" s="22">
        <v>489.93799999999999</v>
      </c>
      <c r="I259" s="22">
        <v>373.10500000000002</v>
      </c>
      <c r="J259" s="22">
        <v>247.95099999999999</v>
      </c>
      <c r="K259" s="22">
        <v>91.914000000000001</v>
      </c>
      <c r="L259" s="226">
        <v>17.582000000000001</v>
      </c>
      <c r="M259" s="2"/>
    </row>
    <row r="260" spans="1:22" ht="15" customHeight="1">
      <c r="A260" s="196">
        <v>45</v>
      </c>
      <c r="B260" s="201" t="s">
        <v>225</v>
      </c>
      <c r="C260" s="22"/>
      <c r="D260" s="22"/>
      <c r="E260" s="22"/>
      <c r="F260" s="22"/>
      <c r="G260" s="22"/>
      <c r="H260" s="22"/>
      <c r="I260" s="22"/>
      <c r="J260" s="22"/>
      <c r="K260" s="22"/>
      <c r="L260" s="226"/>
      <c r="M260" s="2"/>
    </row>
    <row r="261" spans="1:22" ht="15" customHeight="1">
      <c r="A261" s="196">
        <v>45</v>
      </c>
      <c r="B261" s="201" t="s">
        <v>226</v>
      </c>
      <c r="C261" s="22"/>
      <c r="D261" s="22"/>
      <c r="E261" s="22"/>
      <c r="F261" s="22"/>
      <c r="G261" s="22"/>
      <c r="H261" s="22"/>
      <c r="I261" s="22"/>
      <c r="J261" s="22"/>
      <c r="K261" s="22"/>
      <c r="L261" s="226"/>
      <c r="M261" s="2"/>
    </row>
    <row r="262" spans="1:22" ht="15" customHeight="1">
      <c r="A262" s="196">
        <v>45</v>
      </c>
      <c r="B262" s="201" t="s">
        <v>227</v>
      </c>
      <c r="C262" s="22"/>
      <c r="D262" s="22"/>
      <c r="E262" s="22"/>
      <c r="F262" s="22"/>
      <c r="G262" s="22"/>
      <c r="H262" s="22"/>
      <c r="I262" s="22"/>
      <c r="J262" s="22"/>
      <c r="K262" s="22"/>
      <c r="L262" s="226"/>
      <c r="M262" s="2"/>
    </row>
    <row r="263" spans="1:22" ht="15" customHeight="1">
      <c r="A263" s="196">
        <v>45</v>
      </c>
      <c r="B263" s="201" t="s">
        <v>228</v>
      </c>
      <c r="C263" s="22"/>
      <c r="D263" s="22"/>
      <c r="E263" s="22"/>
      <c r="F263" s="22"/>
      <c r="G263" s="22"/>
      <c r="H263" s="22"/>
      <c r="I263" s="22"/>
      <c r="J263" s="22"/>
      <c r="K263" s="22"/>
      <c r="L263" s="226"/>
      <c r="M263" s="2"/>
      <c r="N263" s="2"/>
      <c r="O263" s="2"/>
      <c r="P263" s="2"/>
      <c r="Q263" s="2"/>
      <c r="R263" s="2"/>
      <c r="S263" s="2"/>
      <c r="T263" s="2"/>
      <c r="U263" s="2"/>
    </row>
    <row r="264" spans="1:22" ht="15" customHeight="1">
      <c r="A264" s="199">
        <v>46</v>
      </c>
      <c r="B264" s="200">
        <v>1</v>
      </c>
      <c r="C264" s="234">
        <v>215.44300000000001</v>
      </c>
      <c r="D264" s="234">
        <v>129.155</v>
      </c>
      <c r="E264" s="234">
        <v>100</v>
      </c>
      <c r="F264" s="234">
        <v>66.691999999999993</v>
      </c>
      <c r="G264" s="234">
        <v>51.637</v>
      </c>
      <c r="H264" s="234">
        <v>39.981000000000002</v>
      </c>
      <c r="I264" s="234">
        <v>29.663</v>
      </c>
      <c r="J264" s="234">
        <v>25.012</v>
      </c>
      <c r="K264" s="234">
        <v>20.645</v>
      </c>
      <c r="L264" s="234">
        <v>17.783000000000001</v>
      </c>
      <c r="M264" s="234">
        <v>16.329000000000001</v>
      </c>
      <c r="N264" s="234">
        <v>14.678000000000001</v>
      </c>
      <c r="O264" s="234">
        <v>13.769</v>
      </c>
      <c r="P264" s="234">
        <v>13.769</v>
      </c>
      <c r="Q264" s="234">
        <v>12.914999999999999</v>
      </c>
      <c r="R264" s="234">
        <v>12.643000000000001</v>
      </c>
      <c r="S264" s="234">
        <v>12.115</v>
      </c>
      <c r="T264" s="234">
        <v>12.115</v>
      </c>
      <c r="U264" s="235">
        <v>11.86</v>
      </c>
      <c r="V264" s="2"/>
    </row>
    <row r="265" spans="1:22" ht="15" customHeight="1">
      <c r="A265" s="196">
        <v>46</v>
      </c>
      <c r="B265" s="201">
        <v>2</v>
      </c>
      <c r="C265" s="2">
        <v>116095.34699999999</v>
      </c>
      <c r="D265" s="2">
        <v>84319.092999999993</v>
      </c>
      <c r="E265" s="2">
        <v>61240.262000000002</v>
      </c>
      <c r="F265" s="2">
        <v>41722.504999999997</v>
      </c>
      <c r="G265" s="2">
        <v>28425.210999999999</v>
      </c>
      <c r="H265" s="2">
        <v>19783.188999999998</v>
      </c>
      <c r="I265" s="2">
        <v>13768.572</v>
      </c>
      <c r="J265" s="2">
        <v>9582.5589999999993</v>
      </c>
      <c r="K265" s="2">
        <v>6812.9210000000003</v>
      </c>
      <c r="L265" s="2">
        <v>4447.83</v>
      </c>
      <c r="M265" s="2">
        <v>3230.422</v>
      </c>
      <c r="N265" s="2">
        <v>2154.4349999999999</v>
      </c>
      <c r="O265" s="2">
        <v>1531.74</v>
      </c>
      <c r="P265" s="2">
        <v>1043.5630000000001</v>
      </c>
      <c r="Q265" s="2">
        <v>741.94299999999998</v>
      </c>
      <c r="R265" s="2">
        <v>527.5</v>
      </c>
      <c r="S265" s="2">
        <v>367.12599999999998</v>
      </c>
      <c r="T265" s="2">
        <v>266.64</v>
      </c>
      <c r="U265" s="236">
        <v>202.095</v>
      </c>
      <c r="V265" s="2"/>
    </row>
    <row r="266" spans="1:22" ht="15" customHeight="1">
      <c r="A266" s="196">
        <v>46</v>
      </c>
      <c r="B266" s="201">
        <v>3</v>
      </c>
      <c r="C266" s="2">
        <v>131938.144</v>
      </c>
      <c r="D266" s="2">
        <v>97890.543999999994</v>
      </c>
      <c r="E266" s="2">
        <v>65285.211000000003</v>
      </c>
      <c r="F266" s="2">
        <v>42621.588000000003</v>
      </c>
      <c r="G266" s="2">
        <v>28425.210999999999</v>
      </c>
      <c r="H266" s="2">
        <v>20209.499</v>
      </c>
      <c r="I266" s="2">
        <v>13768.572</v>
      </c>
      <c r="J266" s="2">
        <v>10000</v>
      </c>
      <c r="K266" s="2">
        <v>6812.9210000000003</v>
      </c>
      <c r="L266" s="2">
        <v>4641.5889999999999</v>
      </c>
      <c r="M266" s="2">
        <v>3162.2779999999998</v>
      </c>
      <c r="N266" s="2">
        <v>2200.8609999999999</v>
      </c>
      <c r="O266" s="2">
        <v>1564.748</v>
      </c>
      <c r="P266" s="2">
        <v>1066.05</v>
      </c>
      <c r="Q266" s="2">
        <v>825.404</v>
      </c>
      <c r="R266" s="2">
        <v>550.47900000000004</v>
      </c>
      <c r="S266" s="2">
        <v>399.80799999999999</v>
      </c>
      <c r="T266" s="2">
        <v>272.38600000000002</v>
      </c>
      <c r="U266" s="236">
        <v>220.08600000000001</v>
      </c>
      <c r="V266" s="2"/>
    </row>
    <row r="267" spans="1:22" ht="15" customHeight="1">
      <c r="A267" s="196">
        <v>46</v>
      </c>
      <c r="B267" s="201">
        <v>4</v>
      </c>
      <c r="C267" s="2">
        <v>181659.97899999999</v>
      </c>
      <c r="D267" s="2">
        <v>129155</v>
      </c>
      <c r="E267" s="2">
        <v>86136.096000000005</v>
      </c>
      <c r="F267" s="2">
        <v>58683.839</v>
      </c>
      <c r="G267" s="2">
        <v>42621.588000000003</v>
      </c>
      <c r="H267" s="2">
        <v>29663.488000000001</v>
      </c>
      <c r="I267" s="2">
        <v>19783.188999999998</v>
      </c>
      <c r="J267" s="2">
        <v>14065.272000000001</v>
      </c>
      <c r="K267" s="2">
        <v>9380.4189999999999</v>
      </c>
      <c r="L267" s="2">
        <v>6669.2049999999999</v>
      </c>
      <c r="M267" s="2">
        <v>4543.6769999999997</v>
      </c>
      <c r="N267" s="2">
        <v>3095.5709999999999</v>
      </c>
      <c r="O267" s="2">
        <v>2200.8609999999999</v>
      </c>
      <c r="P267" s="2">
        <v>1531.74</v>
      </c>
      <c r="Q267" s="2">
        <v>1066.05</v>
      </c>
      <c r="R267" s="2">
        <v>726.29200000000003</v>
      </c>
      <c r="S267" s="2">
        <v>538.86699999999996</v>
      </c>
      <c r="T267" s="2">
        <v>375.03699999999998</v>
      </c>
      <c r="U267" s="236">
        <v>278.25599999999997</v>
      </c>
      <c r="V267" s="2"/>
    </row>
    <row r="268" spans="1:22" ht="15" customHeight="1">
      <c r="A268" s="196">
        <v>46</v>
      </c>
      <c r="B268" s="201">
        <v>5</v>
      </c>
      <c r="C268" s="2">
        <v>89888.410999999993</v>
      </c>
      <c r="D268" s="2">
        <v>66692.051000000007</v>
      </c>
      <c r="E268" s="2">
        <v>44478.296999999999</v>
      </c>
      <c r="F268" s="2">
        <v>30302.710999999999</v>
      </c>
      <c r="G268" s="2">
        <v>21089.878000000001</v>
      </c>
      <c r="H268" s="2">
        <v>14677.993</v>
      </c>
      <c r="I268" s="2">
        <v>10215.491</v>
      </c>
      <c r="J268" s="2">
        <v>6669.2049999999999</v>
      </c>
      <c r="K268" s="2">
        <v>4641.5889999999999</v>
      </c>
      <c r="L268" s="2">
        <v>3300.0349999999999</v>
      </c>
      <c r="M268" s="2">
        <v>2296.7359999999999</v>
      </c>
      <c r="N268" s="2">
        <v>1632.913</v>
      </c>
      <c r="O268" s="2">
        <v>1160.953</v>
      </c>
      <c r="P268" s="2">
        <v>790.94799999999998</v>
      </c>
      <c r="Q268" s="2">
        <v>562.34100000000001</v>
      </c>
      <c r="R268" s="2">
        <v>408.42399999999998</v>
      </c>
      <c r="S268" s="2">
        <v>290.37799999999999</v>
      </c>
      <c r="T268" s="2">
        <v>215.44300000000001</v>
      </c>
      <c r="U268" s="236">
        <v>159.84700000000001</v>
      </c>
      <c r="V268" s="2"/>
    </row>
    <row r="269" spans="1:22" ht="15" customHeight="1">
      <c r="A269" s="197">
        <v>46</v>
      </c>
      <c r="B269" s="202">
        <v>6</v>
      </c>
      <c r="C269" s="34">
        <v>33000.347999999998</v>
      </c>
      <c r="D269" s="34">
        <v>24484.366999999998</v>
      </c>
      <c r="E269" s="34">
        <v>17040.467000000001</v>
      </c>
      <c r="F269" s="34">
        <v>11859.71</v>
      </c>
      <c r="G269" s="34">
        <v>8254.0419999999995</v>
      </c>
      <c r="H269" s="34">
        <v>5744.5929999999998</v>
      </c>
      <c r="I269" s="34">
        <v>4172.25</v>
      </c>
      <c r="J269" s="34">
        <v>2903.7750000000001</v>
      </c>
      <c r="K269" s="34">
        <v>1978.319</v>
      </c>
      <c r="L269" s="34">
        <v>1499.4290000000001</v>
      </c>
      <c r="M269" s="34">
        <v>1112.49</v>
      </c>
      <c r="N269" s="34">
        <v>825.404</v>
      </c>
      <c r="O269" s="34">
        <v>652.85199999999998</v>
      </c>
      <c r="P269" s="34">
        <v>516.37199999999996</v>
      </c>
      <c r="Q269" s="34">
        <v>399.80799999999999</v>
      </c>
      <c r="R269" s="34">
        <v>309.55700000000002</v>
      </c>
      <c r="S269" s="34">
        <v>239.679</v>
      </c>
      <c r="T269" s="34">
        <v>210.899</v>
      </c>
      <c r="U269" s="237">
        <v>166.81</v>
      </c>
      <c r="V269" s="2"/>
    </row>
    <row r="270" spans="1:22" ht="15" customHeight="1">
      <c r="A270" s="196">
        <v>47</v>
      </c>
      <c r="B270" s="201" t="s">
        <v>221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2" ht="15" customHeight="1">
      <c r="A271" s="196">
        <v>47</v>
      </c>
      <c r="B271" s="201">
        <v>2</v>
      </c>
    </row>
    <row r="272" spans="1:22" ht="15" customHeight="1">
      <c r="A272" s="196">
        <v>47</v>
      </c>
      <c r="B272" s="201">
        <v>3</v>
      </c>
    </row>
    <row r="273" spans="1:18" ht="15" customHeight="1">
      <c r="A273" s="196">
        <v>47</v>
      </c>
      <c r="B273" s="201" t="s">
        <v>224</v>
      </c>
    </row>
    <row r="274" spans="1:18" ht="15" customHeight="1">
      <c r="A274" s="196">
        <v>47</v>
      </c>
      <c r="B274" s="201">
        <v>5</v>
      </c>
    </row>
    <row r="275" spans="1:18" ht="15" customHeight="1">
      <c r="A275" s="196">
        <v>47</v>
      </c>
      <c r="B275" s="201" t="s">
        <v>225</v>
      </c>
    </row>
    <row r="276" spans="1:18" ht="15" customHeight="1">
      <c r="A276" s="196">
        <v>47</v>
      </c>
      <c r="B276" s="201" t="s">
        <v>228</v>
      </c>
      <c r="C276" s="2"/>
      <c r="D276" s="2"/>
      <c r="E276" s="2"/>
      <c r="F276" s="2"/>
      <c r="G276" s="2"/>
      <c r="H276" s="2"/>
      <c r="I276" s="2"/>
      <c r="J276" s="2"/>
    </row>
    <row r="277" spans="1:18" ht="15" customHeight="1">
      <c r="A277" s="199">
        <v>48</v>
      </c>
      <c r="B277" s="200">
        <v>1</v>
      </c>
      <c r="C277" s="234">
        <v>1214.6310000000001</v>
      </c>
      <c r="D277" s="234">
        <v>2068.0239999999999</v>
      </c>
      <c r="E277" s="234">
        <v>2362.2910000000002</v>
      </c>
      <c r="F277" s="234">
        <v>2726.1860000000001</v>
      </c>
      <c r="G277" s="234">
        <v>2563.828</v>
      </c>
      <c r="H277" s="234">
        <v>2026.127</v>
      </c>
      <c r="I277" s="234">
        <v>1373.3389999999999</v>
      </c>
      <c r="J277" s="235">
        <v>840.32</v>
      </c>
      <c r="K277" s="2"/>
    </row>
    <row r="278" spans="1:18" ht="15" customHeight="1">
      <c r="A278" s="196">
        <v>48</v>
      </c>
      <c r="B278" s="201">
        <v>2</v>
      </c>
      <c r="C278" s="2">
        <v>2132.4989999999998</v>
      </c>
      <c r="D278" s="2">
        <v>3485.1559999999999</v>
      </c>
      <c r="E278" s="2">
        <v>3630.7809999999999</v>
      </c>
      <c r="F278" s="2">
        <v>3311.3110000000001</v>
      </c>
      <c r="G278" s="2">
        <v>2176.596</v>
      </c>
      <c r="H278" s="2">
        <v>1387.4659999999999</v>
      </c>
      <c r="I278" s="2">
        <v>857.69600000000003</v>
      </c>
      <c r="J278" s="236">
        <v>519.46400000000006</v>
      </c>
      <c r="K278" s="2"/>
    </row>
    <row r="279" spans="1:18" ht="15" customHeight="1">
      <c r="A279" s="196">
        <v>48</v>
      </c>
      <c r="B279" s="201">
        <v>3</v>
      </c>
      <c r="C279" s="2">
        <v>4986.2929999999997</v>
      </c>
      <c r="D279" s="2">
        <v>7207.3860000000004</v>
      </c>
      <c r="E279" s="2">
        <v>7134.0039999999999</v>
      </c>
      <c r="F279" s="2">
        <v>5356.5959999999995</v>
      </c>
      <c r="G279" s="2">
        <v>2928.645</v>
      </c>
      <c r="H279" s="2">
        <v>1552.7840000000001</v>
      </c>
      <c r="I279" s="2">
        <v>806.61599999999999</v>
      </c>
      <c r="J279" s="236">
        <v>473.75700000000001</v>
      </c>
      <c r="K279" s="2"/>
    </row>
    <row r="280" spans="1:18" ht="15" customHeight="1">
      <c r="A280" s="196">
        <v>48</v>
      </c>
      <c r="B280" s="201">
        <v>4</v>
      </c>
      <c r="C280" s="2">
        <v>951.99</v>
      </c>
      <c r="D280" s="2">
        <v>1752.2239999999999</v>
      </c>
      <c r="E280" s="2">
        <v>2197.2539999999999</v>
      </c>
      <c r="F280" s="2">
        <v>2154.4349999999999</v>
      </c>
      <c r="G280" s="2">
        <v>1769.5519999999999</v>
      </c>
      <c r="H280" s="2">
        <v>1370.1</v>
      </c>
      <c r="I280" s="2">
        <v>933.43799999999999</v>
      </c>
      <c r="J280" s="236">
        <v>642.23299999999995</v>
      </c>
      <c r="K280" s="2"/>
    </row>
    <row r="281" spans="1:18" ht="15" customHeight="1">
      <c r="A281" s="196">
        <v>48</v>
      </c>
      <c r="B281" s="201">
        <v>5</v>
      </c>
      <c r="C281" s="2">
        <v>1356.684</v>
      </c>
      <c r="D281" s="2">
        <v>2218.982</v>
      </c>
      <c r="E281" s="2">
        <v>2728.3330000000001</v>
      </c>
      <c r="F281" s="2">
        <v>2597.3470000000002</v>
      </c>
      <c r="G281" s="2">
        <v>1991.3389999999999</v>
      </c>
      <c r="H281" s="2">
        <v>1467.799</v>
      </c>
      <c r="I281" s="2">
        <v>1040.145</v>
      </c>
      <c r="J281" s="236">
        <v>766.68200000000002</v>
      </c>
      <c r="K281" s="2"/>
    </row>
    <row r="282" spans="1:18" ht="15" customHeight="1">
      <c r="A282" s="196">
        <v>48</v>
      </c>
      <c r="B282" s="201">
        <v>6</v>
      </c>
      <c r="C282" s="2">
        <v>9152.473</v>
      </c>
      <c r="D282" s="2">
        <v>10000</v>
      </c>
      <c r="E282" s="2">
        <v>7156.5029999999997</v>
      </c>
      <c r="F282" s="2">
        <v>4332.6350000000002</v>
      </c>
      <c r="G282" s="2">
        <v>2448.4369999999999</v>
      </c>
      <c r="H282" s="2">
        <v>1526.7249999999999</v>
      </c>
      <c r="I282" s="2">
        <v>1029.96</v>
      </c>
      <c r="J282" s="236">
        <v>737.09100000000001</v>
      </c>
      <c r="K282" s="2"/>
    </row>
    <row r="283" spans="1:18" ht="15" customHeight="1">
      <c r="A283" s="196">
        <v>48</v>
      </c>
      <c r="B283" s="201">
        <v>7</v>
      </c>
      <c r="C283" s="2">
        <v>21757.392</v>
      </c>
      <c r="D283" s="2">
        <v>19334.136999999999</v>
      </c>
      <c r="E283" s="2">
        <v>11034.052</v>
      </c>
      <c r="F283" s="2">
        <v>5433.0379999999996</v>
      </c>
      <c r="G283" s="2">
        <v>2330.8879999999999</v>
      </c>
      <c r="H283" s="2">
        <v>1217.5029999999999</v>
      </c>
      <c r="I283" s="2">
        <v>774.26400000000001</v>
      </c>
      <c r="J283" s="236">
        <v>492.38799999999998</v>
      </c>
      <c r="K283" s="2"/>
    </row>
    <row r="284" spans="1:18" ht="15" customHeight="1">
      <c r="A284" s="196">
        <v>48</v>
      </c>
      <c r="B284" s="201">
        <v>8</v>
      </c>
      <c r="C284" s="2">
        <v>1194.684</v>
      </c>
      <c r="D284" s="2">
        <v>2271.0320000000002</v>
      </c>
      <c r="E284" s="2">
        <v>2767.3240000000001</v>
      </c>
      <c r="F284" s="2">
        <v>2660.0680000000002</v>
      </c>
      <c r="G284" s="2">
        <v>2183.0100000000002</v>
      </c>
      <c r="H284" s="2">
        <v>1455.761</v>
      </c>
      <c r="I284" s="2">
        <v>1040.3209999999999</v>
      </c>
      <c r="J284" s="236">
        <v>837.04100000000005</v>
      </c>
      <c r="K284" s="2"/>
    </row>
    <row r="285" spans="1:18" ht="15" customHeight="1">
      <c r="A285" s="196">
        <v>48</v>
      </c>
      <c r="B285" s="201">
        <v>9</v>
      </c>
      <c r="C285" s="2">
        <v>1345.1020000000001</v>
      </c>
      <c r="D285" s="2">
        <v>2582.3620000000001</v>
      </c>
      <c r="E285" s="2">
        <v>3024.7310000000002</v>
      </c>
      <c r="F285" s="2">
        <v>2878.9059999999999</v>
      </c>
      <c r="G285" s="2">
        <v>2037.1020000000001</v>
      </c>
      <c r="H285" s="2">
        <v>1358.461</v>
      </c>
      <c r="I285" s="2">
        <v>961.24199999999996</v>
      </c>
      <c r="J285" s="236">
        <v>765.80799999999999</v>
      </c>
      <c r="K285" s="2"/>
    </row>
    <row r="286" spans="1:18" ht="15" customHeight="1">
      <c r="A286" s="196">
        <v>48</v>
      </c>
      <c r="B286" s="201">
        <v>10</v>
      </c>
      <c r="C286" s="2">
        <v>7217.2060000000001</v>
      </c>
      <c r="D286" s="2">
        <v>7658.085</v>
      </c>
      <c r="E286" s="2">
        <v>7734.14</v>
      </c>
      <c r="F286" s="2">
        <v>6347.0969999999998</v>
      </c>
      <c r="G286" s="2">
        <v>4274.6570000000002</v>
      </c>
      <c r="H286" s="2">
        <v>2556.9679999999998</v>
      </c>
      <c r="I286" s="2">
        <v>1671.768</v>
      </c>
      <c r="J286" s="236">
        <v>1318.778</v>
      </c>
      <c r="K286" s="2"/>
    </row>
    <row r="287" spans="1:18" ht="15" customHeight="1">
      <c r="A287" s="196">
        <v>48</v>
      </c>
      <c r="B287" s="201">
        <v>11</v>
      </c>
      <c r="C287" s="2">
        <v>1827.269</v>
      </c>
      <c r="D287" s="2">
        <v>3054.77</v>
      </c>
      <c r="E287" s="2">
        <v>3508.0390000000002</v>
      </c>
      <c r="F287" s="2">
        <v>3306.08</v>
      </c>
      <c r="G287" s="2">
        <v>2362.6019999999999</v>
      </c>
      <c r="H287" s="2">
        <v>1529.5</v>
      </c>
      <c r="I287" s="2">
        <v>1114.8340000000001</v>
      </c>
      <c r="J287" s="236">
        <v>914.9</v>
      </c>
      <c r="K287" s="2"/>
    </row>
    <row r="288" spans="1:18" ht="15" customHeight="1">
      <c r="A288" s="197">
        <v>48</v>
      </c>
      <c r="B288" s="202">
        <v>12</v>
      </c>
      <c r="C288" s="34">
        <v>3306.08</v>
      </c>
      <c r="D288" s="34">
        <v>6222.88</v>
      </c>
      <c r="E288" s="34">
        <v>6869.259</v>
      </c>
      <c r="F288" s="34">
        <v>5637.3239999999996</v>
      </c>
      <c r="G288" s="34">
        <v>3834.3429999999998</v>
      </c>
      <c r="H288" s="34">
        <v>2248.6990000000001</v>
      </c>
      <c r="I288" s="34">
        <v>1427.271</v>
      </c>
      <c r="J288" s="237">
        <v>1125.9059999999999</v>
      </c>
      <c r="K288" s="2"/>
      <c r="L288" s="2"/>
      <c r="M288" s="2"/>
      <c r="N288" s="2"/>
      <c r="O288" s="2"/>
      <c r="P288" s="2"/>
      <c r="Q288" s="2"/>
      <c r="R288" s="2"/>
    </row>
    <row r="289" spans="1:19" ht="15" customHeight="1">
      <c r="A289" s="238">
        <v>49</v>
      </c>
      <c r="B289" s="75">
        <v>1</v>
      </c>
      <c r="C289" s="22">
        <v>58.539000000000001</v>
      </c>
      <c r="D289" s="22">
        <v>57.76</v>
      </c>
      <c r="E289" s="22">
        <v>88.649000000000001</v>
      </c>
      <c r="F289" s="22">
        <v>101.348</v>
      </c>
      <c r="G289" s="22">
        <v>109.824</v>
      </c>
      <c r="H289" s="22">
        <v>127.248</v>
      </c>
      <c r="I289" s="22">
        <v>145.476</v>
      </c>
      <c r="J289" s="22">
        <v>151.43700000000001</v>
      </c>
      <c r="K289" s="222">
        <v>155.547</v>
      </c>
      <c r="L289" s="222">
        <v>161.92099999999999</v>
      </c>
      <c r="M289" s="222">
        <v>159.767</v>
      </c>
      <c r="N289" s="222">
        <v>157.643</v>
      </c>
      <c r="O289" s="222">
        <v>153.47800000000001</v>
      </c>
      <c r="P289" s="222">
        <v>145.476</v>
      </c>
      <c r="Q289" s="222">
        <v>136.05699999999999</v>
      </c>
      <c r="R289" s="225">
        <v>125.556</v>
      </c>
      <c r="S289" s="2"/>
    </row>
    <row r="290" spans="1:19" ht="15" customHeight="1">
      <c r="A290" s="238">
        <v>49</v>
      </c>
      <c r="B290" s="75">
        <v>2</v>
      </c>
      <c r="C290" s="22">
        <v>164.10300000000001</v>
      </c>
      <c r="D290" s="22">
        <v>127.248</v>
      </c>
      <c r="E290" s="22">
        <v>77.542000000000002</v>
      </c>
      <c r="F290" s="22">
        <v>132.46299999999999</v>
      </c>
      <c r="G290" s="22">
        <v>123.886</v>
      </c>
      <c r="H290" s="22">
        <v>115.86499999999999</v>
      </c>
      <c r="I290" s="22">
        <v>127.248</v>
      </c>
      <c r="J290" s="22">
        <v>132.46299999999999</v>
      </c>
      <c r="K290" s="22">
        <v>132.46299999999999</v>
      </c>
      <c r="L290" s="22">
        <v>128.96299999999999</v>
      </c>
      <c r="M290" s="22">
        <v>127.248</v>
      </c>
      <c r="N290" s="22">
        <v>122.239</v>
      </c>
      <c r="O290" s="22">
        <v>115.86499999999999</v>
      </c>
      <c r="P290" s="22">
        <v>112.804</v>
      </c>
      <c r="Q290" s="22">
        <v>101.348</v>
      </c>
      <c r="R290" s="226">
        <v>94.786000000000001</v>
      </c>
      <c r="S290" s="2"/>
    </row>
    <row r="291" spans="1:19" ht="15" customHeight="1">
      <c r="A291" s="238">
        <v>49</v>
      </c>
      <c r="B291" s="75">
        <v>3</v>
      </c>
      <c r="C291" s="22">
        <v>1040.979</v>
      </c>
      <c r="D291" s="22">
        <v>886.49099999999999</v>
      </c>
      <c r="E291" s="22">
        <v>874.70299999999997</v>
      </c>
      <c r="F291" s="22">
        <v>796.45799999999997</v>
      </c>
      <c r="G291" s="22">
        <v>725.21199999999999</v>
      </c>
      <c r="H291" s="22">
        <v>796.45799999999997</v>
      </c>
      <c r="I291" s="22">
        <v>796.45799999999997</v>
      </c>
      <c r="J291" s="22">
        <v>785.86699999999996</v>
      </c>
      <c r="K291" s="22">
        <v>754.93100000000004</v>
      </c>
      <c r="L291" s="22">
        <v>687.4</v>
      </c>
      <c r="M291" s="22">
        <v>634.34500000000003</v>
      </c>
      <c r="N291" s="22">
        <v>554.86300000000006</v>
      </c>
      <c r="O291" s="22">
        <v>472.51799999999997</v>
      </c>
      <c r="P291" s="22">
        <v>402.39400000000001</v>
      </c>
      <c r="Q291" s="22">
        <v>316.22800000000001</v>
      </c>
      <c r="R291" s="226">
        <v>265.71699999999998</v>
      </c>
      <c r="S291" s="2"/>
    </row>
    <row r="292" spans="1:19" ht="15" customHeight="1">
      <c r="A292" s="311">
        <v>49</v>
      </c>
      <c r="B292" s="231">
        <v>4</v>
      </c>
      <c r="C292" s="30">
        <v>2729.27</v>
      </c>
      <c r="D292" s="30">
        <v>2552.5650000000001</v>
      </c>
      <c r="E292" s="30">
        <v>2355.5540000000001</v>
      </c>
      <c r="F292" s="30">
        <v>2116.3200000000002</v>
      </c>
      <c r="G292" s="30">
        <v>1927.009</v>
      </c>
      <c r="H292" s="30">
        <v>1754.6320000000001</v>
      </c>
      <c r="I292" s="30">
        <v>1534.7809999999999</v>
      </c>
      <c r="J292" s="30">
        <v>1324.625</v>
      </c>
      <c r="K292" s="30">
        <v>1128.0429999999999</v>
      </c>
      <c r="L292" s="30">
        <v>960.63400000000001</v>
      </c>
      <c r="M292" s="30">
        <v>807.19200000000001</v>
      </c>
      <c r="N292" s="30">
        <v>660.34</v>
      </c>
      <c r="O292" s="30">
        <v>540.20399999999995</v>
      </c>
      <c r="P292" s="30">
        <v>447.88099999999997</v>
      </c>
      <c r="Q292" s="30">
        <v>356.71800000000002</v>
      </c>
      <c r="R292" s="232">
        <v>291.82100000000003</v>
      </c>
      <c r="S292" s="2"/>
    </row>
    <row r="293" spans="1:19" ht="15" customHeight="1">
      <c r="A293" s="233">
        <v>50</v>
      </c>
      <c r="B293" s="75">
        <v>1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</row>
    <row r="294" spans="1:19" ht="15" customHeight="1">
      <c r="A294" s="233">
        <v>50</v>
      </c>
      <c r="B294" s="75">
        <v>2</v>
      </c>
    </row>
    <row r="295" spans="1:19" ht="15" customHeight="1">
      <c r="A295" s="233">
        <v>50</v>
      </c>
      <c r="B295" s="75">
        <v>3</v>
      </c>
    </row>
    <row r="296" spans="1:19" ht="15" customHeight="1">
      <c r="A296" s="233">
        <v>50</v>
      </c>
      <c r="B296" s="75">
        <v>4</v>
      </c>
    </row>
    <row r="297" spans="1:19" ht="15" customHeight="1">
      <c r="A297" s="229">
        <v>51</v>
      </c>
      <c r="B297" s="74">
        <v>1</v>
      </c>
    </row>
    <row r="298" spans="1:19" ht="15" customHeight="1">
      <c r="A298" s="228">
        <v>51</v>
      </c>
      <c r="B298" s="75">
        <v>2</v>
      </c>
    </row>
    <row r="299" spans="1:19" ht="15" customHeight="1">
      <c r="A299" s="228">
        <v>51</v>
      </c>
      <c r="B299" s="75">
        <v>3</v>
      </c>
    </row>
    <row r="300" spans="1:19" ht="15" customHeight="1">
      <c r="A300" s="228">
        <v>51</v>
      </c>
      <c r="B300" s="75">
        <v>4</v>
      </c>
    </row>
    <row r="301" spans="1:19" ht="15" customHeight="1">
      <c r="A301" s="228">
        <v>51</v>
      </c>
      <c r="B301" s="75">
        <v>5</v>
      </c>
    </row>
    <row r="302" spans="1:19" ht="15" customHeight="1">
      <c r="A302" s="228">
        <v>51</v>
      </c>
      <c r="B302" s="75">
        <v>6</v>
      </c>
    </row>
    <row r="303" spans="1:19" ht="15" customHeight="1">
      <c r="A303" s="228">
        <v>51</v>
      </c>
      <c r="B303" s="75">
        <v>7</v>
      </c>
    </row>
    <row r="304" spans="1:19" ht="15" customHeight="1">
      <c r="A304" s="272">
        <v>52</v>
      </c>
      <c r="B304" s="200">
        <v>1</v>
      </c>
    </row>
    <row r="305" spans="1:19" ht="15" customHeight="1">
      <c r="A305" s="233">
        <v>52</v>
      </c>
      <c r="B305" s="201">
        <v>2</v>
      </c>
    </row>
    <row r="306" spans="1:19" ht="15" customHeight="1">
      <c r="A306" s="233">
        <v>52</v>
      </c>
      <c r="B306" s="201">
        <v>3</v>
      </c>
    </row>
    <row r="307" spans="1:19" ht="15" customHeight="1">
      <c r="A307" s="233">
        <v>52</v>
      </c>
      <c r="B307" s="201">
        <v>4</v>
      </c>
      <c r="C307" s="2"/>
      <c r="D307" s="2"/>
      <c r="E307" s="2"/>
      <c r="F307" s="2"/>
      <c r="G307" s="2"/>
      <c r="H307" s="2"/>
    </row>
    <row r="308" spans="1:19" ht="15" customHeight="1">
      <c r="A308" s="229">
        <v>53</v>
      </c>
      <c r="B308" s="200">
        <v>1</v>
      </c>
      <c r="C308" s="234">
        <v>753.91099999999994</v>
      </c>
      <c r="D308" s="234">
        <v>856.36199999999997</v>
      </c>
      <c r="E308" s="234">
        <v>985.20899999999995</v>
      </c>
      <c r="F308" s="234">
        <v>1407.578</v>
      </c>
      <c r="G308" s="234">
        <v>1886.896</v>
      </c>
      <c r="H308" s="235">
        <v>494290.217</v>
      </c>
      <c r="I308" s="2"/>
    </row>
    <row r="309" spans="1:19" ht="15" customHeight="1">
      <c r="A309" s="228">
        <v>53</v>
      </c>
      <c r="B309" s="201">
        <v>2</v>
      </c>
      <c r="C309" s="2">
        <v>369.34500000000003</v>
      </c>
      <c r="D309" s="2">
        <v>476.548</v>
      </c>
      <c r="E309" s="2">
        <v>534.45399999999995</v>
      </c>
      <c r="F309" s="2">
        <v>680.84900000000005</v>
      </c>
      <c r="G309" s="2">
        <v>936.25400000000002</v>
      </c>
      <c r="H309" s="236">
        <v>613840.01500000001</v>
      </c>
      <c r="I309" s="2"/>
    </row>
    <row r="310" spans="1:19" ht="15" customHeight="1">
      <c r="A310" s="228">
        <v>53</v>
      </c>
      <c r="B310" s="201">
        <v>3</v>
      </c>
      <c r="C310" s="2">
        <v>190.405</v>
      </c>
      <c r="D310" s="2">
        <v>230.50700000000001</v>
      </c>
      <c r="E310" s="2">
        <v>268.58999999999997</v>
      </c>
      <c r="F310" s="2">
        <v>342.161</v>
      </c>
      <c r="G310" s="2">
        <v>555.279</v>
      </c>
      <c r="H310" s="236">
        <v>513550.51</v>
      </c>
      <c r="I310" s="2"/>
    </row>
    <row r="311" spans="1:19" ht="15" customHeight="1">
      <c r="A311" s="228">
        <v>53</v>
      </c>
      <c r="B311" s="201">
        <v>4</v>
      </c>
      <c r="C311" s="2">
        <v>140.239</v>
      </c>
      <c r="D311" s="2">
        <v>169.77600000000001</v>
      </c>
      <c r="E311" s="2">
        <v>210.83799999999999</v>
      </c>
      <c r="F311" s="2">
        <v>261.83100000000002</v>
      </c>
      <c r="G311" s="2">
        <v>337.82799999999997</v>
      </c>
      <c r="H311" s="236">
        <v>45044.66</v>
      </c>
      <c r="I311" s="2"/>
    </row>
    <row r="312" spans="1:19" ht="15" customHeight="1">
      <c r="A312" s="230">
        <v>53</v>
      </c>
      <c r="B312" s="202">
        <v>5</v>
      </c>
      <c r="C312" s="34">
        <v>140.239</v>
      </c>
      <c r="D312" s="34">
        <v>169.77600000000001</v>
      </c>
      <c r="E312" s="34">
        <v>210.83799999999999</v>
      </c>
      <c r="F312" s="34">
        <v>261.83100000000002</v>
      </c>
      <c r="G312" s="34">
        <v>337.82799999999997</v>
      </c>
      <c r="H312" s="237">
        <v>22067.603999999999</v>
      </c>
      <c r="I312" s="2"/>
    </row>
    <row r="313" spans="1:19" ht="15" customHeight="1">
      <c r="A313" s="229">
        <v>54</v>
      </c>
      <c r="B313" s="200">
        <v>1</v>
      </c>
      <c r="C313" s="2"/>
      <c r="D313" s="2"/>
      <c r="E313" s="2"/>
      <c r="F313" s="2"/>
      <c r="G313" s="2"/>
      <c r="H313" s="2"/>
    </row>
    <row r="314" spans="1:19" ht="15" customHeight="1">
      <c r="A314" s="228">
        <v>54</v>
      </c>
      <c r="B314" s="201">
        <v>2</v>
      </c>
    </row>
    <row r="315" spans="1:19" ht="15" customHeight="1">
      <c r="A315" s="228">
        <v>54</v>
      </c>
      <c r="B315" s="201">
        <v>3</v>
      </c>
    </row>
    <row r="316" spans="1:19" ht="15" customHeight="1">
      <c r="A316" s="228">
        <v>54</v>
      </c>
      <c r="B316" s="201">
        <v>4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</row>
    <row r="317" spans="1:19" ht="15" customHeight="1">
      <c r="A317" s="229">
        <v>55</v>
      </c>
      <c r="B317" s="200" t="s">
        <v>221</v>
      </c>
      <c r="C317" s="234">
        <v>462.04899999999998</v>
      </c>
      <c r="D317" s="234">
        <v>763.46500000000003</v>
      </c>
      <c r="E317" s="234">
        <v>1150.3520000000001</v>
      </c>
      <c r="F317" s="234">
        <v>1456.145</v>
      </c>
      <c r="G317" s="234">
        <v>1805.829</v>
      </c>
      <c r="H317" s="234">
        <v>1940.143</v>
      </c>
      <c r="I317" s="234">
        <v>2063.194</v>
      </c>
      <c r="J317" s="234">
        <v>2127.616</v>
      </c>
      <c r="K317" s="234">
        <v>2127.616</v>
      </c>
      <c r="L317" s="234">
        <v>2063.194</v>
      </c>
      <c r="M317" s="234">
        <v>1980.3219999999999</v>
      </c>
      <c r="N317" s="234">
        <v>1824.432</v>
      </c>
      <c r="O317" s="234">
        <v>1646.71</v>
      </c>
      <c r="P317" s="234">
        <v>1426.6010000000001</v>
      </c>
      <c r="Q317" s="234">
        <v>1186.271</v>
      </c>
      <c r="R317" s="235">
        <v>956.56</v>
      </c>
      <c r="S317" s="2"/>
    </row>
    <row r="318" spans="1:19" ht="15" customHeight="1">
      <c r="A318" s="228">
        <v>55</v>
      </c>
      <c r="B318" s="201" t="s">
        <v>222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36"/>
      <c r="S318" s="2"/>
    </row>
    <row r="319" spans="1:19" ht="15" customHeight="1">
      <c r="A319" s="228">
        <v>55</v>
      </c>
      <c r="B319" s="201" t="s">
        <v>223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36"/>
      <c r="S319" s="2"/>
    </row>
    <row r="320" spans="1:19" ht="15" customHeight="1">
      <c r="A320" s="228">
        <v>55</v>
      </c>
      <c r="B320" s="201" t="s">
        <v>225</v>
      </c>
      <c r="C320" s="2">
        <v>115.824</v>
      </c>
      <c r="D320" s="2">
        <v>201.44399999999999</v>
      </c>
      <c r="E320" s="2">
        <v>316.22800000000001</v>
      </c>
      <c r="F320" s="2">
        <v>438.96800000000002</v>
      </c>
      <c r="G320" s="2">
        <v>522.51800000000003</v>
      </c>
      <c r="H320" s="2">
        <v>596.98599999999999</v>
      </c>
      <c r="I320" s="2">
        <v>647.99699999999996</v>
      </c>
      <c r="J320" s="2">
        <v>668.23</v>
      </c>
      <c r="K320" s="2">
        <v>717.93200000000002</v>
      </c>
      <c r="L320" s="2">
        <v>740.34900000000005</v>
      </c>
      <c r="M320" s="2">
        <v>747.97500000000002</v>
      </c>
      <c r="N320" s="2">
        <v>740.34900000000005</v>
      </c>
      <c r="O320" s="2">
        <v>740.34900000000005</v>
      </c>
      <c r="P320" s="2">
        <v>675.11400000000003</v>
      </c>
      <c r="Q320" s="2">
        <v>590.899</v>
      </c>
      <c r="R320" s="236">
        <v>517.19000000000005</v>
      </c>
      <c r="S320" s="2"/>
    </row>
    <row r="321" spans="1:19" ht="15" customHeight="1">
      <c r="A321" s="228">
        <v>55</v>
      </c>
      <c r="B321" s="201" t="s">
        <v>226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36"/>
      <c r="S321" s="2"/>
    </row>
    <row r="322" spans="1:19" ht="15" customHeight="1">
      <c r="A322" s="228">
        <v>55</v>
      </c>
      <c r="B322" s="201" t="s">
        <v>227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36"/>
      <c r="S322" s="2"/>
    </row>
    <row r="323" spans="1:19" ht="15" customHeight="1">
      <c r="A323" s="228">
        <v>55</v>
      </c>
      <c r="B323" s="201" t="s">
        <v>231</v>
      </c>
      <c r="C323" s="2">
        <v>46.046999999999997</v>
      </c>
      <c r="D323" s="2">
        <v>53.152000000000001</v>
      </c>
      <c r="E323" s="2">
        <v>93.396000000000001</v>
      </c>
      <c r="F323" s="2">
        <v>143.63800000000001</v>
      </c>
      <c r="G323" s="2">
        <v>183.69399999999999</v>
      </c>
      <c r="H323" s="2">
        <v>214.22</v>
      </c>
      <c r="I323" s="2">
        <v>232.52500000000001</v>
      </c>
      <c r="J323" s="2">
        <v>244.751</v>
      </c>
      <c r="K323" s="2">
        <v>257.62</v>
      </c>
      <c r="L323" s="2">
        <v>282.51299999999998</v>
      </c>
      <c r="M323" s="2">
        <v>297.36799999999999</v>
      </c>
      <c r="N323" s="2">
        <v>313.00299999999999</v>
      </c>
      <c r="O323" s="2">
        <v>322.77699999999999</v>
      </c>
      <c r="P323" s="2">
        <v>326.10199999999998</v>
      </c>
      <c r="Q323" s="2">
        <v>306.65300000000002</v>
      </c>
      <c r="R323" s="236">
        <v>297.36799999999999</v>
      </c>
      <c r="S323" s="2"/>
    </row>
    <row r="324" spans="1:19" ht="15" customHeight="1">
      <c r="A324" s="228">
        <v>55</v>
      </c>
      <c r="B324" s="201" t="s">
        <v>232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36"/>
      <c r="S324" s="2"/>
    </row>
    <row r="325" spans="1:19" ht="15" customHeight="1">
      <c r="A325" s="228">
        <v>55</v>
      </c>
      <c r="B325" s="201" t="s">
        <v>233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36"/>
      <c r="S325" s="2"/>
    </row>
    <row r="326" spans="1:19" ht="15" customHeight="1">
      <c r="A326" s="199">
        <v>56</v>
      </c>
      <c r="B326" s="200" t="s">
        <v>221</v>
      </c>
      <c r="C326" s="234"/>
      <c r="D326" s="234"/>
      <c r="E326" s="234"/>
      <c r="F326" s="234"/>
      <c r="G326" s="234"/>
      <c r="H326" s="234"/>
      <c r="I326" s="234"/>
      <c r="J326" s="234"/>
      <c r="K326" s="234"/>
      <c r="L326" s="234"/>
      <c r="M326" s="234"/>
      <c r="N326" s="234"/>
      <c r="O326" s="234"/>
      <c r="P326" s="234"/>
      <c r="Q326" s="234"/>
      <c r="R326" s="235"/>
      <c r="S326" s="2"/>
    </row>
    <row r="327" spans="1:19" ht="15" customHeight="1">
      <c r="A327" s="197">
        <v>56</v>
      </c>
      <c r="B327" s="202" t="s">
        <v>225</v>
      </c>
      <c r="C327" s="34">
        <v>114.58799999999999</v>
      </c>
      <c r="D327" s="34">
        <v>78.067999999999998</v>
      </c>
      <c r="E327" s="34">
        <v>58.002000000000002</v>
      </c>
      <c r="F327" s="34">
        <v>42.563000000000002</v>
      </c>
      <c r="G327" s="34">
        <v>31.234000000000002</v>
      </c>
      <c r="H327" s="34">
        <v>23.206</v>
      </c>
      <c r="I327" s="34">
        <v>20.001999999999999</v>
      </c>
      <c r="J327" s="34">
        <v>15.233000000000001</v>
      </c>
      <c r="K327" s="34">
        <v>12.041</v>
      </c>
      <c r="L327" s="34">
        <v>10.125</v>
      </c>
      <c r="M327" s="34">
        <v>8.6199999999999992</v>
      </c>
      <c r="N327" s="34">
        <v>7.3380000000000001</v>
      </c>
      <c r="O327" s="34">
        <v>6.4039999999999999</v>
      </c>
      <c r="P327" s="34">
        <v>5.452</v>
      </c>
      <c r="Q327" s="34">
        <v>4.758</v>
      </c>
      <c r="R327" s="237">
        <v>4.3090000000000002</v>
      </c>
      <c r="S327" s="2"/>
    </row>
    <row r="328" spans="1:19" ht="15" customHeight="1">
      <c r="A328" s="199">
        <v>57</v>
      </c>
      <c r="B328" s="200">
        <v>1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</row>
    <row r="329" spans="1:19" ht="15" customHeight="1">
      <c r="A329" s="197">
        <v>57</v>
      </c>
      <c r="B329" s="202">
        <v>2</v>
      </c>
    </row>
    <row r="330" spans="1:19" ht="15" customHeight="1">
      <c r="A330" s="229">
        <v>58</v>
      </c>
      <c r="B330" s="74">
        <v>1</v>
      </c>
    </row>
    <row r="331" spans="1:19" ht="15" customHeight="1">
      <c r="A331" s="228">
        <v>58</v>
      </c>
      <c r="B331" s="75">
        <v>2</v>
      </c>
    </row>
    <row r="332" spans="1:19" ht="15" customHeight="1">
      <c r="A332" s="228">
        <v>58</v>
      </c>
      <c r="B332" s="75">
        <v>3</v>
      </c>
    </row>
    <row r="333" spans="1:19" ht="15" customHeight="1">
      <c r="A333" s="228">
        <v>58</v>
      </c>
      <c r="B333" s="75">
        <v>4</v>
      </c>
    </row>
    <row r="334" spans="1:19" ht="15" customHeight="1">
      <c r="A334" s="230">
        <v>58</v>
      </c>
      <c r="B334" s="231">
        <v>5</v>
      </c>
    </row>
    <row r="335" spans="1:19" ht="15" customHeight="1">
      <c r="A335" s="229">
        <v>59</v>
      </c>
      <c r="B335" s="74">
        <v>1</v>
      </c>
    </row>
    <row r="336" spans="1:19" ht="15" customHeight="1">
      <c r="A336" s="228">
        <v>59</v>
      </c>
      <c r="B336" s="75">
        <v>2</v>
      </c>
    </row>
    <row r="337" spans="1:2" ht="15" customHeight="1">
      <c r="A337" s="228">
        <v>59</v>
      </c>
      <c r="B337" s="75">
        <v>3</v>
      </c>
    </row>
    <row r="338" spans="1:2" ht="15" customHeight="1">
      <c r="A338" s="228">
        <v>59</v>
      </c>
      <c r="B338" s="75">
        <v>4</v>
      </c>
    </row>
    <row r="339" spans="1:2" ht="15" customHeight="1">
      <c r="A339" s="228">
        <v>59</v>
      </c>
      <c r="B339" s="75">
        <v>5</v>
      </c>
    </row>
    <row r="340" spans="1:2" ht="15" customHeight="1">
      <c r="A340" s="230">
        <v>59</v>
      </c>
      <c r="B340" s="231">
        <v>6</v>
      </c>
    </row>
    <row r="341" spans="1:2" ht="15" customHeight="1">
      <c r="A341" s="233">
        <v>60</v>
      </c>
      <c r="B341" s="74">
        <v>1</v>
      </c>
    </row>
    <row r="342" spans="1:2" ht="15" customHeight="1">
      <c r="A342" s="233">
        <v>60</v>
      </c>
      <c r="B342" s="75">
        <v>2</v>
      </c>
    </row>
    <row r="343" spans="1:2" ht="15" customHeight="1">
      <c r="A343" s="233">
        <v>60</v>
      </c>
      <c r="B343" s="75">
        <v>3</v>
      </c>
    </row>
    <row r="344" spans="1:2" ht="15" customHeight="1">
      <c r="A344" s="233">
        <v>60</v>
      </c>
      <c r="B344" s="75">
        <v>4</v>
      </c>
    </row>
    <row r="345" spans="1:2" ht="15" customHeight="1">
      <c r="A345" s="233">
        <v>60</v>
      </c>
      <c r="B345" s="75">
        <v>5</v>
      </c>
    </row>
    <row r="346" spans="1:2" ht="15" customHeight="1">
      <c r="A346" s="233">
        <v>60</v>
      </c>
      <c r="B346" s="75">
        <v>6</v>
      </c>
    </row>
    <row r="347" spans="1:2" ht="15" customHeight="1">
      <c r="A347" s="233">
        <v>60</v>
      </c>
      <c r="B347" s="75">
        <v>7</v>
      </c>
    </row>
    <row r="348" spans="1:2" ht="15" customHeight="1">
      <c r="A348" s="241">
        <v>60</v>
      </c>
      <c r="B348" s="231">
        <v>8</v>
      </c>
    </row>
    <row r="349" spans="1:2" ht="15" customHeight="1">
      <c r="A349" s="241">
        <v>61</v>
      </c>
      <c r="B349" s="281">
        <v>1</v>
      </c>
    </row>
  </sheetData>
  <pageMargins left="0.7" right="0.7" top="0.75" bottom="0.75" header="0" footer="0"/>
  <pageSetup orientation="landscape"/>
  <tableParts count="2"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997"/>
  <sheetViews>
    <sheetView topLeftCell="A300" workbookViewId="0">
      <selection activeCell="I48" sqref="I48"/>
    </sheetView>
  </sheetViews>
  <sheetFormatPr defaultColWidth="12.5546875" defaultRowHeight="15" customHeight="1"/>
  <cols>
    <col min="1" max="2" width="8.5546875" customWidth="1"/>
    <col min="3" max="3" width="8.5546875" style="475" customWidth="1"/>
    <col min="4" max="4" width="8.5546875" customWidth="1"/>
    <col min="5" max="5" width="8.33203125" customWidth="1"/>
    <col min="6" max="26" width="8.5546875" customWidth="1"/>
  </cols>
  <sheetData>
    <row r="1" spans="1:9" ht="14.4">
      <c r="A1" s="16" t="s">
        <v>219</v>
      </c>
      <c r="B1" s="15" t="s">
        <v>220</v>
      </c>
    </row>
    <row r="2" spans="1:9" ht="14.4">
      <c r="A2" s="380">
        <v>1</v>
      </c>
      <c r="B2" s="295">
        <v>1</v>
      </c>
    </row>
    <row r="3" spans="1:9" ht="14.4">
      <c r="A3" s="380">
        <v>1</v>
      </c>
      <c r="B3" s="295">
        <v>2</v>
      </c>
    </row>
    <row r="4" spans="1:9" ht="14.4">
      <c r="A4" s="381">
        <v>1</v>
      </c>
      <c r="B4" s="295">
        <v>3</v>
      </c>
    </row>
    <row r="5" spans="1:9" ht="14.4">
      <c r="A5" s="381">
        <v>1</v>
      </c>
      <c r="B5" s="295">
        <v>4</v>
      </c>
    </row>
    <row r="6" spans="1:9" ht="14.4">
      <c r="A6" s="381">
        <v>1</v>
      </c>
      <c r="B6" s="295">
        <v>5</v>
      </c>
    </row>
    <row r="7" spans="1:9" ht="14.4">
      <c r="A7" s="199">
        <v>2</v>
      </c>
      <c r="B7" s="200">
        <v>1</v>
      </c>
    </row>
    <row r="8" spans="1:9" ht="14.4">
      <c r="A8" s="196">
        <v>2</v>
      </c>
      <c r="B8" s="201">
        <v>2</v>
      </c>
    </row>
    <row r="9" spans="1:9" ht="14.4">
      <c r="A9" s="196">
        <v>2</v>
      </c>
      <c r="B9" s="201">
        <v>3</v>
      </c>
    </row>
    <row r="10" spans="1:9" ht="14.4">
      <c r="A10" s="197">
        <v>2</v>
      </c>
      <c r="B10" s="202">
        <v>4</v>
      </c>
      <c r="I10" s="475"/>
    </row>
    <row r="11" spans="1:9" ht="14.4">
      <c r="A11" s="203">
        <v>3</v>
      </c>
      <c r="B11" s="200">
        <v>1</v>
      </c>
    </row>
    <row r="12" spans="1:9" ht="14.4">
      <c r="A12" s="204">
        <v>3</v>
      </c>
      <c r="B12" s="201">
        <v>2</v>
      </c>
    </row>
    <row r="13" spans="1:9" ht="14.4">
      <c r="A13" s="204">
        <v>3</v>
      </c>
      <c r="B13" s="201">
        <v>3</v>
      </c>
    </row>
    <row r="14" spans="1:9" ht="14.4">
      <c r="A14" s="205">
        <v>3</v>
      </c>
      <c r="B14" s="202">
        <v>4</v>
      </c>
    </row>
    <row r="15" spans="1:9" ht="14.4">
      <c r="A15" s="204">
        <v>4</v>
      </c>
      <c r="B15" s="201">
        <v>1</v>
      </c>
    </row>
    <row r="16" spans="1:9" ht="14.4">
      <c r="A16" s="204">
        <v>4</v>
      </c>
      <c r="B16" s="201">
        <v>2</v>
      </c>
    </row>
    <row r="17" spans="1:22" ht="14.4">
      <c r="A17" s="204">
        <v>4</v>
      </c>
      <c r="B17" s="201">
        <v>3</v>
      </c>
    </row>
    <row r="18" spans="1:22" ht="14.4">
      <c r="A18" s="203">
        <v>5</v>
      </c>
      <c r="B18" s="200">
        <v>1</v>
      </c>
    </row>
    <row r="19" spans="1:22" ht="14.4">
      <c r="A19" s="204">
        <v>5</v>
      </c>
      <c r="B19" s="201">
        <v>2</v>
      </c>
    </row>
    <row r="20" spans="1:22" ht="14.4">
      <c r="A20" s="204">
        <v>5</v>
      </c>
      <c r="B20" s="201">
        <v>3</v>
      </c>
    </row>
    <row r="21" spans="1:22" ht="15.75" customHeight="1">
      <c r="A21" s="204">
        <v>5</v>
      </c>
      <c r="B21" s="201">
        <v>4</v>
      </c>
    </row>
    <row r="22" spans="1:22" ht="15.75" customHeight="1">
      <c r="A22" s="204">
        <v>5</v>
      </c>
      <c r="B22" s="201">
        <v>5</v>
      </c>
    </row>
    <row r="23" spans="1:22" ht="15.75" customHeight="1">
      <c r="A23" s="205">
        <v>5</v>
      </c>
      <c r="B23" s="202">
        <v>6</v>
      </c>
    </row>
    <row r="24" spans="1:22" ht="15.75" customHeight="1">
      <c r="A24" s="203">
        <v>6</v>
      </c>
      <c r="B24" s="200">
        <v>1</v>
      </c>
      <c r="C24" s="487"/>
      <c r="D24" s="259"/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Q24" s="259"/>
      <c r="R24" s="259"/>
      <c r="S24" s="259"/>
      <c r="T24" s="259"/>
      <c r="U24" s="259"/>
      <c r="V24" s="259"/>
    </row>
    <row r="25" spans="1:22" ht="15.75" customHeight="1">
      <c r="A25" s="204">
        <v>6</v>
      </c>
      <c r="B25" s="201">
        <v>2</v>
      </c>
      <c r="C25" s="488"/>
      <c r="D25" s="369"/>
      <c r="E25" s="369"/>
      <c r="F25" s="369"/>
      <c r="G25" s="369"/>
      <c r="H25" s="369"/>
      <c r="I25" s="369"/>
      <c r="J25" s="369"/>
      <c r="K25" s="369"/>
      <c r="L25" s="369"/>
      <c r="M25" s="369"/>
      <c r="N25" s="369"/>
      <c r="O25" s="369"/>
      <c r="P25" s="369"/>
      <c r="Q25" s="369"/>
      <c r="R25" s="369"/>
      <c r="S25" s="369"/>
      <c r="T25" s="369"/>
      <c r="U25" s="369"/>
      <c r="V25" s="369"/>
    </row>
    <row r="26" spans="1:22" ht="15.75" customHeight="1">
      <c r="A26" s="204">
        <v>6</v>
      </c>
      <c r="B26" s="201">
        <v>3</v>
      </c>
      <c r="C26" s="487"/>
      <c r="D26" s="259"/>
      <c r="E26" s="259"/>
      <c r="F26" s="259"/>
      <c r="G26" s="259"/>
      <c r="H26" s="259"/>
      <c r="I26" s="259"/>
      <c r="J26" s="259"/>
      <c r="K26" s="259"/>
      <c r="L26" s="259"/>
      <c r="M26" s="259"/>
      <c r="N26" s="259"/>
      <c r="O26" s="259"/>
      <c r="P26" s="259"/>
      <c r="Q26" s="259"/>
      <c r="R26" s="259"/>
      <c r="S26" s="259"/>
      <c r="T26" s="259"/>
      <c r="U26" s="259"/>
      <c r="V26" s="259"/>
    </row>
    <row r="27" spans="1:22" ht="15.75" customHeight="1">
      <c r="A27" s="204">
        <v>6</v>
      </c>
      <c r="B27" s="201">
        <v>4</v>
      </c>
      <c r="C27" s="488"/>
      <c r="D27" s="369"/>
      <c r="E27" s="369"/>
      <c r="F27" s="369"/>
      <c r="G27" s="369"/>
      <c r="H27" s="369"/>
      <c r="I27" s="369"/>
      <c r="J27" s="369"/>
      <c r="K27" s="369"/>
      <c r="L27" s="369"/>
      <c r="M27" s="369"/>
      <c r="N27" s="369"/>
      <c r="O27" s="369"/>
      <c r="P27" s="369"/>
      <c r="Q27" s="369"/>
      <c r="R27" s="369"/>
      <c r="S27" s="369"/>
      <c r="T27" s="369"/>
      <c r="U27" s="369"/>
      <c r="V27" s="369"/>
    </row>
    <row r="28" spans="1:22" ht="15.75" customHeight="1">
      <c r="A28" s="203">
        <v>7</v>
      </c>
      <c r="B28" s="200">
        <v>1</v>
      </c>
      <c r="C28" s="487"/>
      <c r="D28" s="259"/>
      <c r="E28" s="259"/>
      <c r="F28" s="259"/>
      <c r="G28" s="259"/>
      <c r="H28" s="259"/>
      <c r="I28" s="259"/>
      <c r="J28" s="259"/>
      <c r="K28" s="259"/>
      <c r="L28" s="259"/>
      <c r="M28" s="259"/>
      <c r="N28" s="259"/>
      <c r="O28" s="259"/>
      <c r="P28" s="259"/>
      <c r="Q28" s="259"/>
      <c r="R28" s="259"/>
      <c r="S28" s="259"/>
      <c r="T28" s="259"/>
      <c r="U28" s="259"/>
      <c r="V28" s="259"/>
    </row>
    <row r="29" spans="1:22" ht="15.75" customHeight="1">
      <c r="A29" s="204">
        <v>7</v>
      </c>
      <c r="B29" s="201">
        <v>2</v>
      </c>
      <c r="C29" s="489"/>
      <c r="D29" s="421"/>
      <c r="E29" s="421"/>
      <c r="F29" s="421"/>
      <c r="G29" s="421"/>
      <c r="H29" s="421"/>
      <c r="I29" s="421"/>
      <c r="J29" s="421"/>
      <c r="K29" s="421"/>
      <c r="L29" s="421"/>
      <c r="M29" s="421"/>
      <c r="N29" s="421"/>
      <c r="O29" s="421"/>
      <c r="P29" s="421"/>
      <c r="Q29" s="421"/>
      <c r="R29" s="421"/>
      <c r="S29" s="421"/>
      <c r="T29" s="421"/>
      <c r="U29" s="421"/>
      <c r="V29" s="421"/>
    </row>
    <row r="30" spans="1:22" ht="15.75" customHeight="1">
      <c r="A30" s="203">
        <v>8</v>
      </c>
      <c r="B30" s="200">
        <v>1</v>
      </c>
      <c r="C30" s="490">
        <v>6.3556797020484099E-2</v>
      </c>
      <c r="D30" s="422">
        <v>6.5232774674115396E-2</v>
      </c>
      <c r="E30" s="422">
        <v>6.9329608938547393E-2</v>
      </c>
      <c r="F30" s="422">
        <v>7.0353817504655497E-2</v>
      </c>
      <c r="G30" s="422">
        <v>5.97392923649906E-2</v>
      </c>
      <c r="H30" s="422">
        <v>4.6424581005586503E-2</v>
      </c>
      <c r="I30" s="422">
        <v>4.4748603351955303E-2</v>
      </c>
      <c r="J30" s="422">
        <v>4.9124767225325799E-2</v>
      </c>
      <c r="K30" s="422">
        <v>5.6014897579143297E-2</v>
      </c>
      <c r="L30" s="422">
        <v>6.4394785847299796E-2</v>
      </c>
      <c r="M30" s="422">
        <v>7.3798882681564204E-2</v>
      </c>
      <c r="N30" s="422">
        <v>8.2085661080074396E-2</v>
      </c>
      <c r="O30" s="422">
        <v>8.7206703910614497E-2</v>
      </c>
      <c r="P30" s="422">
        <v>8.6741154562383599E-2</v>
      </c>
      <c r="Q30" s="340"/>
      <c r="R30" s="274"/>
      <c r="S30" s="274"/>
      <c r="T30" s="423"/>
      <c r="U30" s="423"/>
      <c r="V30" s="274"/>
    </row>
    <row r="31" spans="1:22" ht="15.75" customHeight="1">
      <c r="A31" s="204">
        <v>8</v>
      </c>
      <c r="B31" s="201">
        <v>2</v>
      </c>
      <c r="C31" s="491">
        <v>6.1135940409683398E-2</v>
      </c>
      <c r="D31" s="424">
        <v>6.3649906890130295E-2</v>
      </c>
      <c r="E31" s="424">
        <v>6.7374301675977605E-2</v>
      </c>
      <c r="F31" s="424">
        <v>6.8305400372439401E-2</v>
      </c>
      <c r="G31" s="424">
        <v>5.97392923649906E-2</v>
      </c>
      <c r="H31" s="424">
        <v>4.8379888268156403E-2</v>
      </c>
      <c r="I31" s="424">
        <v>4.7914338919925498E-2</v>
      </c>
      <c r="J31" s="424">
        <v>5.2383612662942197E-2</v>
      </c>
      <c r="K31" s="424">
        <v>5.7411545623836102E-2</v>
      </c>
      <c r="L31" s="424">
        <v>6.2253258845437601E-2</v>
      </c>
      <c r="M31" s="424">
        <v>6.8770949720670299E-2</v>
      </c>
      <c r="N31" s="424">
        <v>7.5102420856610799E-2</v>
      </c>
      <c r="O31" s="424">
        <v>8.2644320297951504E-2</v>
      </c>
      <c r="P31" s="424">
        <v>8.7579143389199199E-2</v>
      </c>
      <c r="Q31" s="338"/>
      <c r="R31" s="326"/>
      <c r="S31" s="326"/>
      <c r="T31" s="424"/>
      <c r="U31" s="424"/>
      <c r="V31" s="326"/>
    </row>
    <row r="32" spans="1:22" ht="15.75" customHeight="1">
      <c r="A32" s="204">
        <v>8</v>
      </c>
      <c r="B32" s="201">
        <v>3</v>
      </c>
      <c r="C32" s="492">
        <v>5.3035381750465502E-2</v>
      </c>
      <c r="D32" s="423">
        <v>5.4338919925512097E-2</v>
      </c>
      <c r="E32" s="423">
        <v>6.0763500931098599E-2</v>
      </c>
      <c r="F32" s="423">
        <v>6.58845437616387E-2</v>
      </c>
      <c r="G32" s="423">
        <v>6.3649906890130295E-2</v>
      </c>
      <c r="H32" s="423">
        <v>5.2942271880819299E-2</v>
      </c>
      <c r="I32" s="423">
        <v>5.0335195530726198E-2</v>
      </c>
      <c r="J32" s="423">
        <v>5.9459962756052101E-2</v>
      </c>
      <c r="K32" s="423">
        <v>6.8491620111731794E-2</v>
      </c>
      <c r="L32" s="423">
        <v>7.5940409683426399E-2</v>
      </c>
      <c r="M32" s="423">
        <v>8.4785847299813699E-2</v>
      </c>
      <c r="N32" s="423">
        <v>9.2979515828677806E-2</v>
      </c>
      <c r="O32" s="423">
        <v>0.100800744878957</v>
      </c>
      <c r="P32" s="423">
        <v>0.104432029795158</v>
      </c>
      <c r="Q32" s="340"/>
      <c r="R32" s="274"/>
      <c r="S32" s="423"/>
      <c r="T32" s="423"/>
      <c r="U32" s="425"/>
      <c r="V32" s="274"/>
    </row>
    <row r="33" spans="1:22" ht="15.75" customHeight="1">
      <c r="A33" s="204">
        <v>8</v>
      </c>
      <c r="B33" s="201">
        <v>4</v>
      </c>
      <c r="C33" s="491">
        <v>5.7411545623836102E-2</v>
      </c>
      <c r="D33" s="424">
        <v>5.9553072625698297E-2</v>
      </c>
      <c r="E33" s="424">
        <v>6.4860335195530694E-2</v>
      </c>
      <c r="F33" s="424">
        <v>6.6163873370577206E-2</v>
      </c>
      <c r="G33" s="424">
        <v>6.0856610800744802E-2</v>
      </c>
      <c r="H33" s="424">
        <v>5.24767225325884E-2</v>
      </c>
      <c r="I33" s="424">
        <v>4.7355679702048403E-2</v>
      </c>
      <c r="J33" s="424">
        <v>4.5214152700186201E-2</v>
      </c>
      <c r="K33" s="424">
        <v>4.6052141527001801E-2</v>
      </c>
      <c r="L33" s="424">
        <v>5.1731843575418997E-2</v>
      </c>
      <c r="M33" s="424">
        <v>6.2625698324022303E-2</v>
      </c>
      <c r="N33" s="424">
        <v>7.6033519553072595E-2</v>
      </c>
      <c r="O33" s="424">
        <v>8.9348230912476706E-2</v>
      </c>
      <c r="P33" s="424">
        <v>9.5493482309124703E-2</v>
      </c>
      <c r="Q33" s="338"/>
      <c r="R33" s="326"/>
      <c r="S33" s="426"/>
      <c r="T33" s="426"/>
      <c r="U33" s="426"/>
      <c r="V33" s="326"/>
    </row>
    <row r="34" spans="1:22" ht="15.75" customHeight="1">
      <c r="A34" s="203">
        <v>9</v>
      </c>
      <c r="B34" s="200">
        <v>1</v>
      </c>
      <c r="C34" s="490">
        <v>0.101851851851851</v>
      </c>
      <c r="D34" s="422">
        <v>0.103988603988603</v>
      </c>
      <c r="E34" s="422">
        <v>0.106837606837606</v>
      </c>
      <c r="F34" s="422">
        <v>0.10933048433048401</v>
      </c>
      <c r="G34" s="422">
        <v>0.115384615384615</v>
      </c>
      <c r="H34" s="422">
        <v>0.15527065527065501</v>
      </c>
      <c r="I34" s="422">
        <v>0.19871794871794801</v>
      </c>
      <c r="J34" s="422">
        <v>0.161324786324786</v>
      </c>
      <c r="K34" s="422">
        <v>0.11502849002849</v>
      </c>
      <c r="L34" s="422">
        <v>8.26210826210826E-2</v>
      </c>
      <c r="M34" s="422">
        <v>8.0840455840455794E-2</v>
      </c>
      <c r="N34" s="422">
        <v>8.5826210826210794E-2</v>
      </c>
      <c r="O34" s="422">
        <v>9.3304843304843302E-2</v>
      </c>
      <c r="P34" s="422">
        <v>0.107905982905982</v>
      </c>
      <c r="Q34" s="427"/>
      <c r="R34" s="428"/>
      <c r="S34" s="429"/>
      <c r="T34" s="429"/>
      <c r="U34" s="259"/>
      <c r="V34" s="259"/>
    </row>
    <row r="35" spans="1:22" ht="15.75" customHeight="1">
      <c r="A35" s="204">
        <v>9</v>
      </c>
      <c r="B35" s="201">
        <v>2</v>
      </c>
      <c r="C35" s="491">
        <v>2.02991452991453E-2</v>
      </c>
      <c r="D35" s="424">
        <v>1.9943019943019901E-2</v>
      </c>
      <c r="E35" s="424">
        <v>2.2792022792022699E-2</v>
      </c>
      <c r="F35" s="424">
        <v>2.3860398860398799E-2</v>
      </c>
      <c r="G35" s="424">
        <v>3.5612535612535599E-2</v>
      </c>
      <c r="H35" s="424">
        <v>7.6566951566951494E-2</v>
      </c>
      <c r="I35" s="424">
        <v>0.144943019943019</v>
      </c>
      <c r="J35" s="424">
        <v>0.12606837606837601</v>
      </c>
      <c r="K35" s="424">
        <v>8.7606837606837601E-2</v>
      </c>
      <c r="L35" s="424">
        <v>5.2350427350427303E-2</v>
      </c>
      <c r="M35" s="424">
        <v>5.2350427350427303E-2</v>
      </c>
      <c r="N35" s="424">
        <v>6.4458689458689405E-2</v>
      </c>
      <c r="O35" s="424">
        <v>7.3717948717948706E-2</v>
      </c>
      <c r="P35" s="424">
        <v>8.5113960113960094E-2</v>
      </c>
      <c r="Q35" s="338"/>
      <c r="R35" s="326"/>
      <c r="S35" s="426"/>
      <c r="T35" s="426"/>
      <c r="U35" s="326"/>
      <c r="V35" s="326"/>
    </row>
    <row r="36" spans="1:22" ht="15.75" customHeight="1">
      <c r="A36" s="204">
        <v>9</v>
      </c>
      <c r="B36" s="201">
        <v>3</v>
      </c>
      <c r="C36" s="492">
        <v>6.4102564102564097E-2</v>
      </c>
      <c r="D36" s="423">
        <v>6.1965811965811898E-2</v>
      </c>
      <c r="E36" s="423">
        <v>6.2678062678062599E-2</v>
      </c>
      <c r="F36" s="423">
        <v>6.3390313390313396E-2</v>
      </c>
      <c r="G36" s="423">
        <v>7.2293447293447194E-2</v>
      </c>
      <c r="H36" s="423">
        <v>0.113960113960113</v>
      </c>
      <c r="I36" s="423">
        <v>0.187678062678062</v>
      </c>
      <c r="J36" s="423">
        <v>0.17236467236467201</v>
      </c>
      <c r="K36" s="423">
        <v>0.12678062678062599</v>
      </c>
      <c r="L36" s="423">
        <v>9.9358974358974297E-2</v>
      </c>
      <c r="M36" s="423">
        <v>9.7578347578347505E-2</v>
      </c>
      <c r="N36" s="423">
        <v>0.102207977207977</v>
      </c>
      <c r="O36" s="423">
        <v>0.112179487179487</v>
      </c>
      <c r="P36" s="423">
        <v>0.12250712250712199</v>
      </c>
      <c r="Q36" s="340"/>
      <c r="R36" s="274"/>
      <c r="S36" s="425"/>
      <c r="T36" s="425"/>
      <c r="U36" s="274"/>
      <c r="V36" s="274"/>
    </row>
    <row r="37" spans="1:22" ht="15.75" customHeight="1">
      <c r="A37" s="204">
        <v>9</v>
      </c>
      <c r="B37" s="201">
        <v>4</v>
      </c>
      <c r="C37" s="491">
        <v>5.5199430199430202E-2</v>
      </c>
      <c r="D37" s="424">
        <v>5.6267806267806197E-2</v>
      </c>
      <c r="E37" s="424">
        <v>5.5555555555555497E-2</v>
      </c>
      <c r="F37" s="424">
        <v>5.9472934472934398E-2</v>
      </c>
      <c r="G37" s="424">
        <v>7.1581196581196493E-2</v>
      </c>
      <c r="H37" s="424">
        <v>0.112891737891737</v>
      </c>
      <c r="I37" s="424">
        <v>0.187321937321937</v>
      </c>
      <c r="J37" s="424">
        <v>0.17236467236467201</v>
      </c>
      <c r="K37" s="424">
        <v>0.12749287749287699</v>
      </c>
      <c r="L37" s="424">
        <v>9.5085470085470095E-2</v>
      </c>
      <c r="M37" s="424">
        <v>9.1168091168091103E-2</v>
      </c>
      <c r="N37" s="424">
        <v>0.119658119658119</v>
      </c>
      <c r="O37" s="424">
        <v>0.15242165242165201</v>
      </c>
      <c r="P37" s="395"/>
      <c r="Q37" s="326"/>
      <c r="R37" s="326"/>
      <c r="S37" s="426"/>
      <c r="T37" s="426"/>
      <c r="U37" s="326"/>
      <c r="V37" s="326"/>
    </row>
    <row r="38" spans="1:22" ht="15.75" customHeight="1">
      <c r="A38" s="203">
        <v>11</v>
      </c>
      <c r="B38" s="200" t="s">
        <v>221</v>
      </c>
      <c r="C38" s="493"/>
      <c r="D38" s="422"/>
      <c r="E38" s="422"/>
      <c r="F38" s="422"/>
      <c r="G38" s="422"/>
      <c r="H38" s="244"/>
      <c r="I38" s="244"/>
      <c r="J38" s="422"/>
      <c r="K38" s="422"/>
      <c r="L38" s="422"/>
      <c r="M38" s="244"/>
      <c r="N38" s="244"/>
      <c r="O38" s="244"/>
      <c r="P38" s="244"/>
      <c r="Q38" s="244"/>
      <c r="R38" s="274"/>
      <c r="S38" s="425"/>
      <c r="T38" s="425"/>
      <c r="U38" s="274"/>
      <c r="V38" s="274"/>
    </row>
    <row r="39" spans="1:22" ht="15.75" customHeight="1">
      <c r="A39" s="204">
        <v>11</v>
      </c>
      <c r="B39" s="201" t="s">
        <v>222</v>
      </c>
      <c r="C39" s="481"/>
      <c r="D39" s="424"/>
      <c r="E39" s="424"/>
      <c r="F39" s="424"/>
      <c r="G39" s="424"/>
      <c r="H39" s="326"/>
      <c r="I39" s="326"/>
      <c r="J39" s="424"/>
      <c r="K39" s="424"/>
      <c r="L39" s="424"/>
      <c r="M39" s="326"/>
      <c r="N39" s="326"/>
      <c r="O39" s="326"/>
      <c r="P39" s="326"/>
      <c r="Q39" s="326"/>
      <c r="R39" s="326"/>
      <c r="S39" s="426"/>
      <c r="T39" s="426"/>
      <c r="U39" s="326"/>
      <c r="V39" s="326"/>
    </row>
    <row r="40" spans="1:22" ht="15.75" customHeight="1">
      <c r="A40" s="204">
        <v>11</v>
      </c>
      <c r="B40" s="201" t="s">
        <v>223</v>
      </c>
      <c r="C40" s="480"/>
      <c r="D40" s="423"/>
      <c r="E40" s="423"/>
      <c r="F40" s="423"/>
      <c r="G40" s="423"/>
      <c r="H40" s="274"/>
      <c r="I40" s="274"/>
      <c r="J40" s="423"/>
      <c r="K40" s="423"/>
      <c r="L40" s="423"/>
      <c r="M40" s="274"/>
      <c r="N40" s="274"/>
      <c r="O40" s="274"/>
      <c r="P40" s="274"/>
      <c r="Q40" s="274"/>
      <c r="R40" s="274"/>
      <c r="S40" s="425"/>
      <c r="T40" s="425"/>
      <c r="U40" s="274"/>
      <c r="V40" s="274"/>
    </row>
    <row r="41" spans="1:22" ht="15.75" customHeight="1">
      <c r="A41" s="204">
        <v>11</v>
      </c>
      <c r="B41" s="201" t="s">
        <v>224</v>
      </c>
      <c r="C41" s="481"/>
      <c r="D41" s="424"/>
      <c r="E41" s="424"/>
      <c r="F41" s="424"/>
      <c r="G41" s="424"/>
      <c r="H41" s="326"/>
      <c r="I41" s="326"/>
      <c r="J41" s="424"/>
      <c r="K41" s="424"/>
      <c r="L41" s="424"/>
      <c r="M41" s="326"/>
      <c r="N41" s="326"/>
      <c r="O41" s="326"/>
      <c r="P41" s="326"/>
      <c r="Q41" s="326"/>
      <c r="R41" s="326"/>
      <c r="S41" s="426"/>
      <c r="T41" s="426"/>
      <c r="U41" s="326"/>
      <c r="V41" s="326"/>
    </row>
    <row r="42" spans="1:22" ht="15.75" customHeight="1">
      <c r="A42" s="203">
        <v>11</v>
      </c>
      <c r="B42" s="200" t="s">
        <v>225</v>
      </c>
      <c r="C42" s="490">
        <v>1.37042459736456E-2</v>
      </c>
      <c r="D42" s="422">
        <v>1.55490483162518E-2</v>
      </c>
      <c r="E42" s="422">
        <v>2.0029282576866699E-2</v>
      </c>
      <c r="F42" s="422">
        <v>2.5036603221083399E-2</v>
      </c>
      <c r="G42" s="422">
        <v>2.47730600292825E-2</v>
      </c>
      <c r="H42" s="422">
        <v>2.1610541727672E-2</v>
      </c>
      <c r="I42" s="422">
        <v>2.2137628111273702E-2</v>
      </c>
      <c r="J42" s="422">
        <v>2.95168374816983E-2</v>
      </c>
      <c r="K42" s="422">
        <v>4.9546120058565103E-2</v>
      </c>
      <c r="L42" s="422">
        <v>7.8799414348462604E-2</v>
      </c>
      <c r="M42" s="422">
        <v>9.9092240117130304E-2</v>
      </c>
      <c r="N42" s="422">
        <v>0.109370424597364</v>
      </c>
      <c r="O42" s="422">
        <v>0.115168374816983</v>
      </c>
      <c r="P42" s="340"/>
      <c r="Q42" s="274"/>
      <c r="R42" s="274"/>
      <c r="S42" s="425"/>
      <c r="T42" s="425"/>
      <c r="U42" s="274"/>
      <c r="V42" s="274"/>
    </row>
    <row r="43" spans="1:22" ht="15.75" customHeight="1">
      <c r="A43" s="204">
        <v>11</v>
      </c>
      <c r="B43" s="201" t="s">
        <v>226</v>
      </c>
      <c r="C43" s="491">
        <v>1.5285505124450901E-2</v>
      </c>
      <c r="D43" s="424">
        <v>1.9502196193265001E-2</v>
      </c>
      <c r="E43" s="424">
        <v>2.4509516837481701E-2</v>
      </c>
      <c r="F43" s="424">
        <v>3.2942898975109797E-2</v>
      </c>
      <c r="G43" s="424">
        <v>3.3733528550512398E-2</v>
      </c>
      <c r="H43" s="424">
        <v>3.3469985358711499E-2</v>
      </c>
      <c r="I43" s="424">
        <v>3.4787701317715899E-2</v>
      </c>
      <c r="J43" s="424">
        <v>4.2957540263543197E-2</v>
      </c>
      <c r="K43" s="424">
        <v>6.5622254758418694E-2</v>
      </c>
      <c r="L43" s="424">
        <v>8.9604685212298599E-2</v>
      </c>
      <c r="M43" s="424">
        <v>0.106734992679355</v>
      </c>
      <c r="N43" s="424">
        <v>0.11701317715959</v>
      </c>
      <c r="O43" s="424">
        <v>0.119385065885797</v>
      </c>
      <c r="P43" s="338"/>
      <c r="Q43" s="326"/>
      <c r="R43" s="326"/>
      <c r="S43" s="426"/>
      <c r="T43" s="426"/>
      <c r="U43" s="326"/>
      <c r="V43" s="326"/>
    </row>
    <row r="44" spans="1:22" ht="15.75" customHeight="1">
      <c r="A44" s="204">
        <v>11</v>
      </c>
      <c r="B44" s="201" t="s">
        <v>227</v>
      </c>
      <c r="C44" s="492">
        <v>1.5021961932649999E-2</v>
      </c>
      <c r="D44" s="423">
        <v>1.8711566617862298E-2</v>
      </c>
      <c r="E44" s="423">
        <v>2.3718887262078998E-2</v>
      </c>
      <c r="F44" s="423">
        <v>3.1625183016105403E-2</v>
      </c>
      <c r="G44" s="423">
        <v>3.0043923865300099E-2</v>
      </c>
      <c r="H44" s="423">
        <v>2.8199121522694E-2</v>
      </c>
      <c r="I44" s="423">
        <v>2.95168374816983E-2</v>
      </c>
      <c r="J44" s="423">
        <v>3.8740849194729102E-2</v>
      </c>
      <c r="K44" s="423">
        <v>6.4831625183016106E-2</v>
      </c>
      <c r="L44" s="423">
        <v>8.8814055636895997E-2</v>
      </c>
      <c r="M44" s="423">
        <v>0.105680819912152</v>
      </c>
      <c r="N44" s="423">
        <v>0.115431918008784</v>
      </c>
      <c r="O44" s="423">
        <v>0.117540263543191</v>
      </c>
      <c r="P44" s="340"/>
      <c r="Q44" s="274"/>
      <c r="R44" s="274"/>
      <c r="S44" s="425"/>
      <c r="T44" s="425"/>
      <c r="U44" s="274"/>
      <c r="V44" s="274"/>
    </row>
    <row r="45" spans="1:22" ht="15.75" customHeight="1">
      <c r="A45" s="204">
        <v>11</v>
      </c>
      <c r="B45" s="201" t="s">
        <v>228</v>
      </c>
      <c r="C45" s="491">
        <v>2.1610541727672E-2</v>
      </c>
      <c r="D45" s="424">
        <v>2.4245973645680801E-2</v>
      </c>
      <c r="E45" s="424">
        <v>3.0834553440702701E-2</v>
      </c>
      <c r="F45" s="424">
        <v>3.9795021961932603E-2</v>
      </c>
      <c r="G45" s="424">
        <v>4.2693997071742297E-2</v>
      </c>
      <c r="H45" s="424">
        <v>4.8491947291361602E-2</v>
      </c>
      <c r="I45" s="424">
        <v>5.8243045387994102E-2</v>
      </c>
      <c r="J45" s="424">
        <v>6.9838945827232796E-2</v>
      </c>
      <c r="K45" s="424">
        <v>9.8301610541727605E-2</v>
      </c>
      <c r="L45" s="424">
        <v>0.12017569546119999</v>
      </c>
      <c r="M45" s="424">
        <v>0.130980966325036</v>
      </c>
      <c r="N45" s="424">
        <v>0.140204978038067</v>
      </c>
      <c r="O45" s="424">
        <v>0.14442166910688101</v>
      </c>
      <c r="P45" s="338"/>
      <c r="Q45" s="326"/>
      <c r="R45" s="326"/>
      <c r="S45" s="426"/>
      <c r="T45" s="426"/>
      <c r="U45" s="326"/>
      <c r="V45" s="326"/>
    </row>
    <row r="46" spans="1:22" ht="15.75" customHeight="1">
      <c r="A46" s="203">
        <v>12</v>
      </c>
      <c r="B46" s="200" t="s">
        <v>221</v>
      </c>
      <c r="C46" s="490"/>
      <c r="D46" s="422"/>
      <c r="E46" s="422"/>
      <c r="F46" s="422"/>
      <c r="G46" s="422"/>
      <c r="H46" s="244"/>
      <c r="I46" s="244"/>
      <c r="J46" s="422"/>
      <c r="K46" s="422"/>
      <c r="L46" s="422"/>
      <c r="M46" s="422"/>
      <c r="N46" s="422"/>
      <c r="O46" s="244"/>
      <c r="P46" s="274"/>
      <c r="Q46" s="274"/>
      <c r="R46" s="274"/>
      <c r="S46" s="274"/>
      <c r="T46" s="274"/>
      <c r="U46" s="274"/>
      <c r="V46" s="274"/>
    </row>
    <row r="47" spans="1:22" ht="15.75" customHeight="1">
      <c r="A47" s="204">
        <v>12</v>
      </c>
      <c r="B47" s="201" t="s">
        <v>222</v>
      </c>
      <c r="C47" s="491"/>
      <c r="D47" s="356"/>
      <c r="E47" s="424"/>
      <c r="F47" s="424"/>
      <c r="G47" s="424"/>
      <c r="H47" s="326"/>
      <c r="I47" s="326"/>
      <c r="J47" s="424"/>
      <c r="K47" s="424"/>
      <c r="L47" s="424"/>
      <c r="M47" s="424"/>
      <c r="N47" s="424"/>
      <c r="O47" s="326"/>
      <c r="P47" s="326"/>
      <c r="Q47" s="326"/>
      <c r="R47" s="326"/>
      <c r="S47" s="326"/>
      <c r="T47" s="326"/>
      <c r="U47" s="326"/>
      <c r="V47" s="326"/>
    </row>
    <row r="48" spans="1:22" ht="15.75" customHeight="1">
      <c r="A48" s="204">
        <v>12</v>
      </c>
      <c r="B48" s="201" t="s">
        <v>223</v>
      </c>
      <c r="C48" s="492"/>
      <c r="D48" s="423"/>
      <c r="E48" s="274"/>
      <c r="F48" s="274"/>
      <c r="G48" s="274"/>
      <c r="H48" s="274"/>
      <c r="I48" s="274"/>
      <c r="J48" s="274"/>
      <c r="K48" s="274"/>
      <c r="L48" s="274"/>
      <c r="M48" s="423"/>
      <c r="N48" s="423"/>
      <c r="O48" s="274"/>
      <c r="P48" s="274"/>
      <c r="Q48" s="274"/>
      <c r="R48" s="274"/>
      <c r="S48" s="274"/>
      <c r="T48" s="274"/>
      <c r="U48" s="274"/>
      <c r="V48" s="274"/>
    </row>
    <row r="49" spans="1:22" ht="15.75" customHeight="1">
      <c r="A49" s="204">
        <v>12</v>
      </c>
      <c r="B49" s="201" t="s">
        <v>224</v>
      </c>
      <c r="C49" s="491"/>
      <c r="D49" s="424"/>
      <c r="E49" s="326"/>
      <c r="F49" s="326"/>
      <c r="G49" s="326"/>
      <c r="H49" s="326"/>
      <c r="I49" s="326"/>
      <c r="J49" s="326"/>
      <c r="K49" s="326"/>
      <c r="L49" s="326"/>
      <c r="M49" s="424"/>
      <c r="N49" s="424"/>
      <c r="O49" s="424"/>
      <c r="P49" s="326"/>
      <c r="Q49" s="326"/>
      <c r="R49" s="326"/>
      <c r="S49" s="326"/>
      <c r="T49" s="424"/>
      <c r="U49" s="424"/>
      <c r="V49" s="326"/>
    </row>
    <row r="50" spans="1:22" ht="15.75" customHeight="1">
      <c r="A50" s="204">
        <v>12</v>
      </c>
      <c r="B50" s="201" t="s">
        <v>229</v>
      </c>
      <c r="C50" s="492"/>
      <c r="D50" s="423"/>
      <c r="E50" s="274"/>
      <c r="F50" s="274"/>
      <c r="G50" s="274"/>
      <c r="H50" s="274"/>
      <c r="I50" s="274"/>
      <c r="J50" s="274"/>
      <c r="K50" s="274"/>
      <c r="L50" s="274"/>
      <c r="M50" s="423"/>
      <c r="N50" s="423"/>
      <c r="O50" s="423"/>
      <c r="P50" s="274"/>
      <c r="Q50" s="274"/>
      <c r="R50" s="274"/>
      <c r="S50" s="274"/>
      <c r="T50" s="423"/>
      <c r="U50" s="423"/>
      <c r="V50" s="274"/>
    </row>
    <row r="51" spans="1:22" ht="15.75" customHeight="1">
      <c r="A51" s="199">
        <v>12</v>
      </c>
      <c r="B51" s="200" t="s">
        <v>225</v>
      </c>
      <c r="C51" s="494">
        <v>1.46125515014933E-2</v>
      </c>
      <c r="D51" s="430">
        <v>1.59409445436965E-2</v>
      </c>
      <c r="E51" s="430">
        <v>1.99261996827255E-2</v>
      </c>
      <c r="F51" s="430">
        <v>4.7490760708012003E-2</v>
      </c>
      <c r="G51" s="430">
        <v>6.1771213948954601E-2</v>
      </c>
      <c r="H51" s="430">
        <v>5.0811793988466199E-2</v>
      </c>
      <c r="I51" s="430">
        <v>8.8339480192588707E-2</v>
      </c>
      <c r="J51" s="163">
        <v>0.11457564817567201</v>
      </c>
      <c r="K51" s="326"/>
      <c r="L51" s="326"/>
      <c r="M51" s="424"/>
      <c r="N51" s="424"/>
      <c r="O51" s="424"/>
      <c r="P51" s="326"/>
      <c r="Q51" s="326"/>
      <c r="R51" s="326"/>
      <c r="S51" s="326"/>
      <c r="T51" s="424"/>
      <c r="U51" s="424"/>
      <c r="V51" s="326"/>
    </row>
    <row r="52" spans="1:22" ht="15.75" customHeight="1">
      <c r="A52" s="196">
        <v>12</v>
      </c>
      <c r="B52" s="201" t="s">
        <v>226</v>
      </c>
      <c r="C52" s="492">
        <v>1.8265683042498398E-2</v>
      </c>
      <c r="D52" s="423">
        <v>1.6937264662821999E-2</v>
      </c>
      <c r="E52" s="423">
        <v>2.3579331223730501E-2</v>
      </c>
      <c r="F52" s="423">
        <v>7.7047974640286093E-2</v>
      </c>
      <c r="G52" s="423">
        <v>5.2472310628693397E-2</v>
      </c>
      <c r="H52" s="423">
        <v>5.3136532487268101E-2</v>
      </c>
      <c r="I52" s="423">
        <v>8.5682630764499404E-2</v>
      </c>
      <c r="J52" s="164">
        <v>0.11889298890651499</v>
      </c>
      <c r="K52" s="274"/>
      <c r="L52" s="274"/>
      <c r="M52" s="423"/>
      <c r="N52" s="423"/>
      <c r="O52" s="423"/>
      <c r="P52" s="274"/>
      <c r="Q52" s="274"/>
      <c r="R52" s="274"/>
      <c r="S52" s="274"/>
      <c r="T52" s="423"/>
      <c r="U52" s="423"/>
      <c r="V52" s="274"/>
    </row>
    <row r="53" spans="1:22" ht="15.75" customHeight="1">
      <c r="A53" s="196">
        <v>12</v>
      </c>
      <c r="B53" s="201" t="s">
        <v>227</v>
      </c>
      <c r="C53" s="491">
        <v>1.52767480225949E-2</v>
      </c>
      <c r="D53" s="424">
        <v>1.29520348612662E-2</v>
      </c>
      <c r="E53" s="424">
        <v>2.5571946124508499E-2</v>
      </c>
      <c r="F53" s="424">
        <v>9.4649448492946403E-2</v>
      </c>
      <c r="G53" s="424">
        <v>5.44649508669445E-2</v>
      </c>
      <c r="H53" s="424">
        <v>5.34686307478189E-2</v>
      </c>
      <c r="I53" s="424">
        <v>8.5018446912134393E-2</v>
      </c>
      <c r="J53" s="165">
        <v>0.113579340725283</v>
      </c>
      <c r="K53" s="326"/>
      <c r="L53" s="326"/>
      <c r="M53" s="424"/>
      <c r="N53" s="424"/>
      <c r="O53" s="424"/>
      <c r="P53" s="326"/>
      <c r="Q53" s="326"/>
      <c r="R53" s="326"/>
      <c r="S53" s="326"/>
      <c r="T53" s="424"/>
      <c r="U53" s="424"/>
      <c r="V53" s="326"/>
    </row>
    <row r="54" spans="1:22" ht="15.75" customHeight="1">
      <c r="A54" s="196">
        <v>12</v>
      </c>
      <c r="B54" s="201" t="s">
        <v>228</v>
      </c>
      <c r="C54" s="492">
        <v>1.59409445436965E-2</v>
      </c>
      <c r="D54" s="423">
        <v>1.4944649762044101E-2</v>
      </c>
      <c r="E54" s="423">
        <v>1.99261996827255E-2</v>
      </c>
      <c r="F54" s="423">
        <v>5.34686307478189E-2</v>
      </c>
      <c r="G54" s="423">
        <v>5.67896640282732E-2</v>
      </c>
      <c r="H54" s="423">
        <v>5.04796957279154E-2</v>
      </c>
      <c r="I54" s="423">
        <v>8.9003664044953704E-2</v>
      </c>
      <c r="J54" s="164">
        <v>0.13682657368846199</v>
      </c>
      <c r="K54" s="274"/>
      <c r="L54" s="274"/>
      <c r="M54" s="423"/>
      <c r="N54" s="423"/>
      <c r="O54" s="423"/>
      <c r="P54" s="274"/>
      <c r="Q54" s="423"/>
      <c r="R54" s="423"/>
      <c r="S54" s="274"/>
      <c r="T54" s="423"/>
      <c r="U54" s="423"/>
      <c r="V54" s="274"/>
    </row>
    <row r="55" spans="1:22" ht="15.75" customHeight="1">
      <c r="A55" s="197">
        <v>12</v>
      </c>
      <c r="B55" s="202" t="s">
        <v>230</v>
      </c>
      <c r="C55" s="495">
        <v>1.1623616481589801E-2</v>
      </c>
      <c r="D55" s="431">
        <v>1.5608846283145799E-2</v>
      </c>
      <c r="E55" s="431">
        <v>2.5904044385059301E-2</v>
      </c>
      <c r="F55" s="431">
        <v>8.4022114124272296E-2</v>
      </c>
      <c r="G55" s="431">
        <v>5.67896640282732E-2</v>
      </c>
      <c r="H55" s="431">
        <v>5.1476015847041E-2</v>
      </c>
      <c r="I55" s="431">
        <v>8.3025832011356507E-2</v>
      </c>
      <c r="J55" s="166">
        <v>0.12752767036820101</v>
      </c>
      <c r="K55" s="326"/>
      <c r="L55" s="326"/>
      <c r="M55" s="424"/>
      <c r="N55" s="424"/>
      <c r="O55" s="424"/>
      <c r="P55" s="326"/>
      <c r="Q55" s="424"/>
      <c r="R55" s="424"/>
      <c r="S55" s="326"/>
      <c r="T55" s="424"/>
      <c r="U55" s="424"/>
      <c r="V55" s="326"/>
    </row>
    <row r="56" spans="1:22" ht="15.75" customHeight="1">
      <c r="A56" s="204">
        <v>13</v>
      </c>
      <c r="B56" s="201">
        <v>1</v>
      </c>
      <c r="C56" s="492"/>
      <c r="D56" s="423"/>
      <c r="E56" s="274"/>
      <c r="F56" s="274"/>
      <c r="G56" s="274"/>
      <c r="H56" s="274"/>
      <c r="I56" s="274"/>
      <c r="J56" s="274"/>
      <c r="K56" s="274"/>
      <c r="L56" s="274"/>
      <c r="M56" s="423"/>
      <c r="N56" s="423"/>
      <c r="O56" s="423"/>
      <c r="P56" s="274"/>
      <c r="Q56" s="423"/>
      <c r="R56" s="423"/>
      <c r="S56" s="274"/>
      <c r="T56" s="423"/>
      <c r="U56" s="423"/>
      <c r="V56" s="274"/>
    </row>
    <row r="57" spans="1:22" ht="15.75" customHeight="1">
      <c r="A57" s="204">
        <v>13</v>
      </c>
      <c r="B57" s="201">
        <v>2</v>
      </c>
      <c r="C57" s="496"/>
      <c r="D57" s="424"/>
      <c r="E57" s="424"/>
      <c r="F57" s="326"/>
      <c r="G57" s="326"/>
      <c r="H57" s="326"/>
      <c r="I57" s="326"/>
      <c r="J57" s="326"/>
      <c r="K57" s="326"/>
      <c r="L57" s="326"/>
      <c r="M57" s="424"/>
      <c r="N57" s="424"/>
      <c r="O57" s="424"/>
      <c r="P57" s="326"/>
      <c r="Q57" s="424"/>
      <c r="R57" s="424"/>
      <c r="S57" s="326"/>
      <c r="T57" s="424"/>
      <c r="U57" s="424"/>
      <c r="V57" s="326"/>
    </row>
    <row r="58" spans="1:22" ht="15.75" customHeight="1">
      <c r="A58" s="204">
        <v>13</v>
      </c>
      <c r="B58" s="201">
        <v>3</v>
      </c>
      <c r="C58" s="497"/>
      <c r="D58" s="423"/>
      <c r="E58" s="423"/>
      <c r="F58" s="274"/>
      <c r="G58" s="423"/>
      <c r="H58" s="423"/>
      <c r="I58" s="274"/>
      <c r="J58" s="274"/>
      <c r="K58" s="274"/>
      <c r="L58" s="274"/>
      <c r="M58" s="274"/>
      <c r="N58" s="423"/>
      <c r="O58" s="423"/>
      <c r="P58" s="274"/>
      <c r="Q58" s="423"/>
      <c r="R58" s="423"/>
      <c r="S58" s="274"/>
      <c r="T58" s="423"/>
      <c r="U58" s="423"/>
      <c r="V58" s="274"/>
    </row>
    <row r="59" spans="1:22" ht="15.75" customHeight="1">
      <c r="A59" s="204">
        <v>13</v>
      </c>
      <c r="B59" s="201">
        <v>4</v>
      </c>
      <c r="C59" s="496"/>
      <c r="D59" s="424"/>
      <c r="E59" s="424"/>
      <c r="F59" s="326"/>
      <c r="G59" s="424"/>
      <c r="H59" s="424"/>
      <c r="I59" s="326"/>
      <c r="J59" s="326"/>
      <c r="K59" s="326"/>
      <c r="L59" s="326"/>
      <c r="M59" s="326"/>
      <c r="N59" s="424"/>
      <c r="O59" s="424"/>
      <c r="P59" s="326"/>
      <c r="Q59" s="424"/>
      <c r="R59" s="424"/>
      <c r="S59" s="326"/>
      <c r="T59" s="424"/>
      <c r="U59" s="424"/>
      <c r="V59" s="326"/>
    </row>
    <row r="60" spans="1:22" ht="15.75" customHeight="1">
      <c r="A60" s="204">
        <v>13</v>
      </c>
      <c r="B60" s="201">
        <v>5</v>
      </c>
      <c r="C60" s="497"/>
      <c r="D60" s="423"/>
      <c r="E60" s="423"/>
      <c r="F60" s="274"/>
      <c r="G60" s="423"/>
      <c r="H60" s="423"/>
      <c r="I60" s="274"/>
      <c r="J60" s="274"/>
      <c r="K60" s="274"/>
      <c r="L60" s="274"/>
      <c r="M60" s="274"/>
      <c r="N60" s="423"/>
      <c r="O60" s="423"/>
      <c r="P60" s="274"/>
      <c r="Q60" s="423"/>
      <c r="R60" s="423"/>
      <c r="S60" s="274"/>
      <c r="T60" s="423"/>
      <c r="U60" s="423"/>
      <c r="V60" s="274"/>
    </row>
    <row r="61" spans="1:22" ht="15.75" customHeight="1">
      <c r="A61" s="204">
        <v>13</v>
      </c>
      <c r="B61" s="201">
        <v>6</v>
      </c>
      <c r="C61" s="481"/>
      <c r="D61" s="424"/>
      <c r="E61" s="424"/>
      <c r="F61" s="326"/>
      <c r="G61" s="424"/>
      <c r="H61" s="424"/>
      <c r="I61" s="326"/>
      <c r="J61" s="326"/>
      <c r="K61" s="326"/>
      <c r="L61" s="326"/>
      <c r="M61" s="326"/>
      <c r="N61" s="424"/>
      <c r="O61" s="424"/>
      <c r="P61" s="326"/>
      <c r="Q61" s="424"/>
      <c r="R61" s="424"/>
      <c r="S61" s="326"/>
      <c r="T61" s="424"/>
      <c r="U61" s="424"/>
      <c r="V61" s="326"/>
    </row>
    <row r="62" spans="1:22" ht="15.75" customHeight="1">
      <c r="A62" s="204">
        <v>13</v>
      </c>
      <c r="B62" s="201">
        <v>7</v>
      </c>
      <c r="C62" s="480"/>
      <c r="D62" s="423"/>
      <c r="E62" s="423"/>
      <c r="F62" s="274"/>
      <c r="G62" s="423"/>
      <c r="H62" s="423"/>
      <c r="I62" s="274"/>
      <c r="J62" s="274"/>
      <c r="K62" s="274"/>
      <c r="L62" s="274"/>
      <c r="M62" s="274"/>
      <c r="N62" s="423"/>
      <c r="O62" s="423"/>
      <c r="P62" s="274"/>
      <c r="Q62" s="423"/>
      <c r="R62" s="423"/>
      <c r="S62" s="274"/>
      <c r="T62" s="423"/>
      <c r="U62" s="423"/>
      <c r="V62" s="274"/>
    </row>
    <row r="63" spans="1:22" ht="15.75" customHeight="1">
      <c r="A63" s="204">
        <v>13</v>
      </c>
      <c r="B63" s="201">
        <v>8</v>
      </c>
      <c r="C63" s="481"/>
      <c r="D63" s="424"/>
      <c r="E63" s="424"/>
      <c r="F63" s="326"/>
      <c r="G63" s="424"/>
      <c r="H63" s="424"/>
      <c r="I63" s="326"/>
      <c r="J63" s="326"/>
      <c r="K63" s="326"/>
      <c r="L63" s="326"/>
      <c r="M63" s="326"/>
      <c r="N63" s="326"/>
      <c r="O63" s="326"/>
      <c r="P63" s="326"/>
      <c r="Q63" s="424"/>
      <c r="R63" s="424"/>
      <c r="S63" s="326"/>
      <c r="T63" s="326"/>
      <c r="U63" s="326"/>
      <c r="V63" s="326"/>
    </row>
    <row r="64" spans="1:22" ht="15.75" customHeight="1">
      <c r="A64" s="203">
        <v>14</v>
      </c>
      <c r="B64" s="200">
        <v>1</v>
      </c>
      <c r="C64" s="480"/>
      <c r="D64" s="423"/>
      <c r="E64" s="423"/>
      <c r="F64" s="274"/>
      <c r="G64" s="423"/>
      <c r="H64" s="423"/>
      <c r="I64" s="274"/>
      <c r="J64" s="274"/>
      <c r="K64" s="274"/>
      <c r="L64" s="274"/>
      <c r="M64" s="274"/>
      <c r="N64" s="274"/>
      <c r="O64" s="274"/>
      <c r="P64" s="274"/>
      <c r="Q64" s="423"/>
      <c r="R64" s="423"/>
      <c r="S64" s="274"/>
      <c r="T64" s="274"/>
      <c r="U64" s="274"/>
      <c r="V64" s="274"/>
    </row>
    <row r="65" spans="1:22" ht="15.75" customHeight="1">
      <c r="A65" s="204">
        <v>14</v>
      </c>
      <c r="B65" s="201">
        <v>2</v>
      </c>
      <c r="C65" s="481"/>
      <c r="D65" s="424"/>
      <c r="E65" s="424"/>
      <c r="F65" s="326"/>
      <c r="G65" s="424"/>
      <c r="H65" s="424"/>
      <c r="I65" s="326"/>
      <c r="J65" s="326"/>
      <c r="K65" s="326"/>
      <c r="L65" s="326"/>
      <c r="M65" s="326"/>
      <c r="N65" s="326"/>
      <c r="O65" s="326"/>
      <c r="P65" s="326"/>
      <c r="Q65" s="424"/>
      <c r="R65" s="424"/>
      <c r="S65" s="326"/>
      <c r="T65" s="326"/>
      <c r="U65" s="326"/>
      <c r="V65" s="326"/>
    </row>
    <row r="66" spans="1:22" ht="15.75" customHeight="1">
      <c r="A66" s="204">
        <v>14</v>
      </c>
      <c r="B66" s="201">
        <v>3</v>
      </c>
      <c r="C66" s="480"/>
      <c r="D66" s="423"/>
      <c r="E66" s="423"/>
      <c r="F66" s="274"/>
      <c r="G66" s="423"/>
      <c r="H66" s="423"/>
      <c r="I66" s="274"/>
      <c r="J66" s="274"/>
      <c r="K66" s="274"/>
      <c r="L66" s="274"/>
      <c r="M66" s="274"/>
      <c r="N66" s="274"/>
      <c r="O66" s="274"/>
      <c r="P66" s="274"/>
      <c r="Q66" s="423"/>
      <c r="R66" s="423"/>
      <c r="S66" s="274"/>
      <c r="T66" s="274"/>
      <c r="U66" s="274"/>
      <c r="V66" s="274"/>
    </row>
    <row r="67" spans="1:22" ht="15.75" customHeight="1">
      <c r="A67" s="204">
        <v>14</v>
      </c>
      <c r="B67" s="201">
        <v>4</v>
      </c>
      <c r="C67" s="481"/>
      <c r="D67" s="424"/>
      <c r="E67" s="424"/>
      <c r="F67" s="326"/>
      <c r="G67" s="326"/>
      <c r="H67" s="326"/>
      <c r="I67" s="326"/>
      <c r="J67" s="326"/>
      <c r="K67" s="326"/>
      <c r="L67" s="326"/>
      <c r="M67" s="326"/>
      <c r="N67" s="326"/>
      <c r="O67" s="326"/>
      <c r="P67" s="326"/>
      <c r="Q67" s="424"/>
      <c r="R67" s="424"/>
      <c r="S67" s="326"/>
      <c r="T67" s="326"/>
      <c r="U67" s="326"/>
      <c r="V67" s="326"/>
    </row>
    <row r="68" spans="1:22" ht="15.75" customHeight="1">
      <c r="A68" s="204">
        <v>14</v>
      </c>
      <c r="B68" s="201">
        <v>5</v>
      </c>
      <c r="C68" s="480"/>
      <c r="D68" s="423"/>
      <c r="E68" s="423"/>
      <c r="F68" s="274"/>
      <c r="G68" s="274"/>
      <c r="H68" s="274"/>
      <c r="I68" s="274"/>
      <c r="J68" s="274"/>
      <c r="K68" s="274"/>
      <c r="L68" s="274"/>
      <c r="M68" s="274"/>
      <c r="N68" s="274"/>
      <c r="O68" s="274"/>
      <c r="P68" s="274"/>
      <c r="Q68" s="274"/>
      <c r="R68" s="274"/>
      <c r="S68" s="274"/>
      <c r="T68" s="274"/>
      <c r="U68" s="274"/>
      <c r="V68" s="274"/>
    </row>
    <row r="69" spans="1:22" ht="15.75" customHeight="1">
      <c r="A69" s="204">
        <v>14</v>
      </c>
      <c r="B69" s="201">
        <v>6</v>
      </c>
      <c r="C69" s="481"/>
      <c r="D69" s="424"/>
      <c r="E69" s="424"/>
      <c r="F69" s="326"/>
      <c r="G69" s="326"/>
      <c r="H69" s="326"/>
      <c r="I69" s="326"/>
      <c r="J69" s="326"/>
      <c r="K69" s="326"/>
      <c r="L69" s="326"/>
      <c r="M69" s="326"/>
      <c r="N69" s="326"/>
      <c r="O69" s="326"/>
      <c r="P69" s="326"/>
      <c r="Q69" s="326"/>
      <c r="R69" s="326"/>
      <c r="S69" s="326"/>
      <c r="T69" s="326"/>
      <c r="U69" s="326"/>
      <c r="V69" s="326"/>
    </row>
    <row r="70" spans="1:22" ht="15.75" customHeight="1">
      <c r="A70" s="204">
        <v>14</v>
      </c>
      <c r="B70" s="201">
        <v>7</v>
      </c>
      <c r="C70" s="480"/>
      <c r="D70" s="423"/>
      <c r="E70" s="423"/>
      <c r="F70" s="274"/>
      <c r="G70" s="274"/>
      <c r="H70" s="274"/>
      <c r="I70" s="274"/>
      <c r="J70" s="274"/>
      <c r="K70" s="274"/>
      <c r="L70" s="274"/>
      <c r="M70" s="274"/>
      <c r="N70" s="274"/>
      <c r="O70" s="274"/>
      <c r="P70" s="274"/>
      <c r="Q70" s="274"/>
      <c r="R70" s="274"/>
      <c r="S70" s="274"/>
      <c r="T70" s="274"/>
      <c r="U70" s="274"/>
      <c r="V70" s="274"/>
    </row>
    <row r="71" spans="1:22" ht="15.75" customHeight="1">
      <c r="A71" s="204">
        <v>14</v>
      </c>
      <c r="B71" s="201">
        <v>8</v>
      </c>
      <c r="C71" s="481"/>
      <c r="D71" s="424"/>
      <c r="E71" s="424"/>
      <c r="F71" s="326"/>
      <c r="G71" s="326"/>
      <c r="H71" s="326"/>
      <c r="I71" s="326"/>
      <c r="J71" s="326"/>
      <c r="K71" s="326"/>
      <c r="L71" s="326"/>
      <c r="M71" s="326"/>
      <c r="N71" s="326"/>
      <c r="O71" s="326"/>
      <c r="P71" s="326"/>
      <c r="Q71" s="326"/>
      <c r="R71" s="326"/>
      <c r="S71" s="326"/>
      <c r="T71" s="326"/>
      <c r="U71" s="326"/>
      <c r="V71" s="326"/>
    </row>
    <row r="72" spans="1:22" ht="15.75" customHeight="1">
      <c r="A72" s="204">
        <v>14</v>
      </c>
      <c r="B72" s="201">
        <v>9</v>
      </c>
      <c r="C72" s="480"/>
      <c r="D72" s="423"/>
      <c r="E72" s="423"/>
      <c r="F72" s="274"/>
      <c r="G72" s="274"/>
      <c r="H72" s="274"/>
      <c r="I72" s="274"/>
      <c r="J72" s="274"/>
      <c r="K72" s="274"/>
      <c r="L72" s="274"/>
      <c r="M72" s="274"/>
      <c r="N72" s="274"/>
      <c r="O72" s="274"/>
      <c r="P72" s="274"/>
      <c r="Q72" s="274"/>
      <c r="R72" s="274"/>
      <c r="S72" s="274"/>
      <c r="T72" s="274"/>
      <c r="U72" s="274"/>
      <c r="V72" s="274"/>
    </row>
    <row r="73" spans="1:22" ht="15.75" customHeight="1">
      <c r="A73" s="204">
        <v>14</v>
      </c>
      <c r="B73" s="201">
        <v>10</v>
      </c>
      <c r="C73" s="481"/>
      <c r="D73" s="424"/>
      <c r="E73" s="424"/>
      <c r="F73" s="326"/>
      <c r="G73" s="326"/>
      <c r="H73" s="326"/>
      <c r="I73" s="326"/>
      <c r="J73" s="326"/>
      <c r="K73" s="326"/>
      <c r="L73" s="326"/>
      <c r="M73" s="326"/>
      <c r="N73" s="326"/>
      <c r="O73" s="326"/>
      <c r="P73" s="326"/>
      <c r="Q73" s="326"/>
      <c r="R73" s="326"/>
      <c r="S73" s="326"/>
      <c r="T73" s="326"/>
      <c r="U73" s="326"/>
      <c r="V73" s="326"/>
    </row>
    <row r="74" spans="1:22" ht="15.75" customHeight="1">
      <c r="A74" s="203">
        <v>15</v>
      </c>
      <c r="B74" s="200">
        <v>1</v>
      </c>
      <c r="C74" s="480"/>
      <c r="D74" s="423"/>
      <c r="E74" s="423"/>
      <c r="F74" s="274"/>
      <c r="G74" s="274"/>
      <c r="H74" s="274"/>
      <c r="I74" s="274"/>
      <c r="J74" s="274"/>
      <c r="K74" s="274"/>
      <c r="L74" s="274"/>
      <c r="M74" s="274"/>
      <c r="N74" s="274"/>
      <c r="O74" s="274"/>
      <c r="P74" s="274"/>
      <c r="Q74" s="274"/>
      <c r="R74" s="274"/>
      <c r="S74" s="274"/>
      <c r="T74" s="274"/>
      <c r="U74" s="274"/>
      <c r="V74" s="274"/>
    </row>
    <row r="75" spans="1:22" ht="15.75" customHeight="1">
      <c r="A75" s="204">
        <v>15</v>
      </c>
      <c r="B75" s="201">
        <v>2</v>
      </c>
      <c r="C75" s="481"/>
      <c r="D75" s="424"/>
      <c r="E75" s="424"/>
      <c r="F75" s="326"/>
      <c r="G75" s="326"/>
      <c r="H75" s="326"/>
      <c r="I75" s="326"/>
      <c r="J75" s="326"/>
      <c r="K75" s="326"/>
      <c r="L75" s="326"/>
      <c r="M75" s="326"/>
      <c r="N75" s="326"/>
      <c r="O75" s="326"/>
      <c r="P75" s="326"/>
      <c r="Q75" s="326"/>
      <c r="R75" s="326"/>
      <c r="S75" s="326"/>
      <c r="T75" s="326"/>
      <c r="U75" s="326"/>
      <c r="V75" s="326"/>
    </row>
    <row r="76" spans="1:22" ht="15.75" customHeight="1">
      <c r="A76" s="204">
        <v>15</v>
      </c>
      <c r="B76" s="201">
        <v>3</v>
      </c>
      <c r="C76" s="480"/>
      <c r="D76" s="423"/>
      <c r="E76" s="423"/>
      <c r="F76" s="274"/>
      <c r="G76" s="274"/>
      <c r="H76" s="274"/>
      <c r="I76" s="274"/>
      <c r="J76" s="274"/>
      <c r="K76" s="274"/>
      <c r="L76" s="274"/>
      <c r="M76" s="274"/>
      <c r="N76" s="274"/>
      <c r="O76" s="274"/>
      <c r="P76" s="274"/>
      <c r="Q76" s="274"/>
      <c r="R76" s="274"/>
      <c r="S76" s="274"/>
      <c r="T76" s="274"/>
      <c r="U76" s="274"/>
      <c r="V76" s="274"/>
    </row>
    <row r="77" spans="1:22" ht="15.75" customHeight="1">
      <c r="A77" s="204">
        <v>15</v>
      </c>
      <c r="B77" s="201">
        <v>4</v>
      </c>
      <c r="C77" s="481"/>
      <c r="D77" s="424"/>
      <c r="E77" s="424"/>
      <c r="F77" s="326"/>
      <c r="G77" s="326"/>
      <c r="H77" s="326"/>
      <c r="I77" s="326"/>
      <c r="J77" s="326"/>
      <c r="K77" s="326"/>
      <c r="L77" s="326"/>
      <c r="M77" s="326"/>
      <c r="N77" s="326"/>
      <c r="O77" s="326"/>
      <c r="P77" s="326"/>
      <c r="Q77" s="326"/>
      <c r="R77" s="326"/>
      <c r="S77" s="326"/>
      <c r="T77" s="326"/>
      <c r="U77" s="326"/>
      <c r="V77" s="326"/>
    </row>
    <row r="78" spans="1:22" ht="15.75" customHeight="1">
      <c r="A78" s="204">
        <v>15</v>
      </c>
      <c r="B78" s="201">
        <v>5</v>
      </c>
      <c r="C78" s="480"/>
      <c r="D78" s="423"/>
      <c r="E78" s="423"/>
      <c r="F78" s="274"/>
      <c r="G78" s="274"/>
      <c r="H78" s="274"/>
      <c r="I78" s="274"/>
      <c r="J78" s="274"/>
      <c r="K78" s="274"/>
      <c r="L78" s="274"/>
      <c r="M78" s="274"/>
      <c r="N78" s="274"/>
      <c r="O78" s="274"/>
      <c r="P78" s="274"/>
      <c r="Q78" s="274"/>
      <c r="R78" s="274"/>
      <c r="S78" s="274"/>
      <c r="T78" s="274"/>
      <c r="U78" s="274"/>
      <c r="V78" s="274"/>
    </row>
    <row r="79" spans="1:22" ht="15.75" customHeight="1">
      <c r="A79" s="204">
        <v>15</v>
      </c>
      <c r="B79" s="201">
        <v>6</v>
      </c>
      <c r="C79" s="481"/>
      <c r="D79" s="424"/>
      <c r="E79" s="424"/>
      <c r="F79" s="326"/>
      <c r="G79" s="326"/>
      <c r="H79" s="326"/>
      <c r="I79" s="326"/>
      <c r="J79" s="326"/>
      <c r="K79" s="326"/>
      <c r="L79" s="326"/>
      <c r="M79" s="326"/>
      <c r="N79" s="326"/>
      <c r="O79" s="326"/>
      <c r="P79" s="326"/>
      <c r="Q79" s="326"/>
      <c r="R79" s="326"/>
      <c r="S79" s="326"/>
      <c r="T79" s="326"/>
      <c r="U79" s="326"/>
      <c r="V79" s="326"/>
    </row>
    <row r="80" spans="1:22" ht="15.75" customHeight="1">
      <c r="A80" s="199">
        <v>16</v>
      </c>
      <c r="B80" s="74">
        <v>1</v>
      </c>
      <c r="C80" s="480"/>
      <c r="D80" s="423"/>
      <c r="E80" s="423"/>
      <c r="F80" s="274"/>
      <c r="G80" s="274"/>
      <c r="H80" s="274"/>
      <c r="I80" s="274"/>
      <c r="J80" s="274"/>
      <c r="K80" s="274"/>
      <c r="L80" s="274"/>
      <c r="M80" s="274"/>
      <c r="N80" s="274"/>
      <c r="O80" s="274"/>
      <c r="P80" s="274"/>
      <c r="Q80" s="274"/>
      <c r="R80" s="274"/>
      <c r="S80" s="274"/>
      <c r="T80" s="274"/>
      <c r="U80" s="274"/>
      <c r="V80" s="274"/>
    </row>
    <row r="81" spans="1:22" ht="15.75" customHeight="1">
      <c r="A81" s="196">
        <v>16</v>
      </c>
      <c r="B81" s="75">
        <v>2</v>
      </c>
      <c r="C81" s="488"/>
      <c r="D81" s="369"/>
      <c r="E81" s="369"/>
      <c r="F81" s="369"/>
      <c r="G81" s="369"/>
      <c r="H81" s="369"/>
      <c r="I81" s="369"/>
      <c r="J81" s="369"/>
      <c r="K81" s="369"/>
      <c r="L81" s="369"/>
      <c r="M81" s="369"/>
      <c r="N81" s="369"/>
      <c r="O81" s="369"/>
      <c r="P81" s="369"/>
      <c r="Q81" s="369"/>
      <c r="R81" s="369"/>
      <c r="S81" s="369"/>
      <c r="T81" s="369"/>
      <c r="U81" s="369"/>
      <c r="V81" s="369"/>
    </row>
    <row r="82" spans="1:22" ht="15.75" customHeight="1">
      <c r="A82" s="228">
        <v>16</v>
      </c>
      <c r="B82" s="75">
        <v>3</v>
      </c>
      <c r="C82" s="487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</row>
    <row r="83" spans="1:22" ht="15.75" customHeight="1">
      <c r="A83" s="229">
        <v>17</v>
      </c>
      <c r="B83" s="74">
        <v>1</v>
      </c>
      <c r="C83" s="488"/>
      <c r="D83" s="369"/>
      <c r="E83" s="369"/>
      <c r="F83" s="369"/>
      <c r="G83" s="369"/>
      <c r="H83" s="369"/>
      <c r="I83" s="369"/>
      <c r="J83" s="369"/>
      <c r="K83" s="369"/>
      <c r="L83" s="369"/>
      <c r="M83" s="369"/>
      <c r="N83" s="369"/>
      <c r="O83" s="369"/>
      <c r="P83" s="369"/>
      <c r="Q83" s="369"/>
      <c r="R83" s="369"/>
      <c r="S83" s="369"/>
      <c r="T83" s="369"/>
      <c r="U83" s="369"/>
      <c r="V83" s="369"/>
    </row>
    <row r="84" spans="1:22" ht="15.75" customHeight="1">
      <c r="A84" s="228">
        <v>17</v>
      </c>
      <c r="B84" s="75">
        <v>2</v>
      </c>
      <c r="C84" s="487"/>
      <c r="D84" s="259"/>
      <c r="E84" s="259"/>
      <c r="F84" s="259"/>
      <c r="G84" s="259"/>
      <c r="H84" s="259"/>
      <c r="I84" s="259"/>
      <c r="J84" s="259"/>
      <c r="K84" s="259"/>
      <c r="L84" s="259"/>
      <c r="M84" s="259"/>
      <c r="N84" s="259"/>
      <c r="O84" s="259"/>
      <c r="P84" s="259"/>
      <c r="Q84" s="259"/>
      <c r="R84" s="259"/>
      <c r="S84" s="259"/>
      <c r="T84" s="259"/>
      <c r="U84" s="259"/>
      <c r="V84" s="259"/>
    </row>
    <row r="85" spans="1:22" ht="15.75" customHeight="1">
      <c r="A85" s="228">
        <v>17</v>
      </c>
      <c r="B85" s="75">
        <v>3</v>
      </c>
      <c r="C85" s="488"/>
      <c r="D85" s="369"/>
      <c r="E85" s="369"/>
      <c r="F85" s="369"/>
      <c r="G85" s="369"/>
      <c r="H85" s="369"/>
      <c r="I85" s="369"/>
      <c r="J85" s="369"/>
      <c r="K85" s="369"/>
      <c r="L85" s="369"/>
      <c r="M85" s="369"/>
      <c r="N85" s="369"/>
      <c r="O85" s="369"/>
      <c r="P85" s="369"/>
      <c r="Q85" s="369"/>
      <c r="R85" s="369"/>
      <c r="S85" s="369"/>
      <c r="T85" s="369"/>
      <c r="U85" s="369"/>
      <c r="V85" s="369"/>
    </row>
    <row r="86" spans="1:22" ht="15.75" customHeight="1">
      <c r="A86" s="228">
        <v>17</v>
      </c>
      <c r="B86" s="75">
        <v>4</v>
      </c>
      <c r="C86" s="487"/>
      <c r="D86" s="259"/>
      <c r="E86" s="259"/>
      <c r="F86" s="259"/>
      <c r="G86" s="259"/>
      <c r="H86" s="259"/>
      <c r="I86" s="259"/>
      <c r="J86" s="259"/>
      <c r="K86" s="259"/>
      <c r="L86" s="259"/>
      <c r="M86" s="259"/>
      <c r="N86" s="259"/>
      <c r="O86" s="259"/>
      <c r="P86" s="259"/>
      <c r="Q86" s="259"/>
      <c r="R86" s="259"/>
      <c r="S86" s="259"/>
      <c r="T86" s="259"/>
      <c r="U86" s="259"/>
      <c r="V86" s="259"/>
    </row>
    <row r="87" spans="1:22" ht="15.75" customHeight="1">
      <c r="A87" s="229">
        <v>18</v>
      </c>
      <c r="B87" s="74">
        <v>1</v>
      </c>
      <c r="C87" s="488"/>
      <c r="D87" s="369"/>
      <c r="E87" s="369"/>
      <c r="F87" s="369"/>
      <c r="G87" s="369"/>
      <c r="H87" s="369"/>
      <c r="I87" s="369"/>
      <c r="J87" s="369"/>
      <c r="K87" s="369"/>
      <c r="L87" s="369"/>
      <c r="M87" s="369"/>
      <c r="N87" s="369"/>
      <c r="O87" s="369"/>
      <c r="P87" s="369"/>
      <c r="Q87" s="369"/>
      <c r="R87" s="369"/>
      <c r="S87" s="369"/>
      <c r="T87" s="369"/>
      <c r="U87" s="369"/>
      <c r="V87" s="369"/>
    </row>
    <row r="88" spans="1:22" ht="15.75" customHeight="1">
      <c r="A88" s="228">
        <v>18</v>
      </c>
      <c r="B88" s="75">
        <v>2</v>
      </c>
      <c r="C88" s="487"/>
      <c r="D88" s="259"/>
      <c r="E88" s="259"/>
      <c r="F88" s="259"/>
      <c r="G88" s="259"/>
      <c r="H88" s="259"/>
      <c r="I88" s="259"/>
      <c r="J88" s="259"/>
      <c r="K88" s="259"/>
      <c r="L88" s="259"/>
      <c r="M88" s="259"/>
      <c r="N88" s="259"/>
      <c r="O88" s="259"/>
      <c r="P88" s="259"/>
      <c r="Q88" s="259"/>
      <c r="R88" s="259"/>
      <c r="S88" s="259"/>
      <c r="T88" s="259"/>
      <c r="U88" s="259"/>
      <c r="V88" s="259"/>
    </row>
    <row r="89" spans="1:22" ht="15.75" customHeight="1">
      <c r="A89" s="229">
        <v>19</v>
      </c>
      <c r="B89" s="74">
        <v>1</v>
      </c>
      <c r="C89" s="488"/>
      <c r="D89" s="369"/>
      <c r="E89" s="369"/>
      <c r="F89" s="369"/>
      <c r="G89" s="369"/>
      <c r="H89" s="369"/>
      <c r="I89" s="369"/>
      <c r="J89" s="369"/>
      <c r="K89" s="369"/>
      <c r="L89" s="369"/>
      <c r="M89" s="369"/>
      <c r="N89" s="369"/>
      <c r="O89" s="369"/>
      <c r="P89" s="369"/>
      <c r="Q89" s="369"/>
      <c r="R89" s="369"/>
      <c r="S89" s="369"/>
      <c r="T89" s="369"/>
      <c r="U89" s="369"/>
      <c r="V89" s="369"/>
    </row>
    <row r="90" spans="1:22" ht="15.75" customHeight="1">
      <c r="A90" s="228">
        <v>19</v>
      </c>
      <c r="B90" s="75">
        <v>2</v>
      </c>
      <c r="C90" s="487"/>
      <c r="D90" s="259"/>
      <c r="E90" s="259"/>
      <c r="F90" s="259"/>
      <c r="G90" s="259"/>
      <c r="H90" s="259"/>
      <c r="I90" s="259"/>
      <c r="J90" s="259"/>
      <c r="K90" s="259"/>
      <c r="L90" s="259"/>
      <c r="M90" s="259"/>
      <c r="N90" s="259"/>
      <c r="O90" s="259"/>
      <c r="P90" s="259"/>
      <c r="Q90" s="259"/>
      <c r="R90" s="259"/>
      <c r="S90" s="259"/>
      <c r="T90" s="259"/>
      <c r="U90" s="259"/>
      <c r="V90" s="259"/>
    </row>
    <row r="91" spans="1:22" ht="15.75" customHeight="1">
      <c r="A91" s="228">
        <v>19</v>
      </c>
      <c r="B91" s="75">
        <v>3</v>
      </c>
      <c r="C91" s="488"/>
      <c r="D91" s="369"/>
      <c r="E91" s="369"/>
      <c r="F91" s="369"/>
      <c r="G91" s="369"/>
      <c r="H91" s="369"/>
      <c r="I91" s="369"/>
      <c r="J91" s="369"/>
      <c r="K91" s="369"/>
      <c r="L91" s="369"/>
      <c r="M91" s="369"/>
      <c r="N91" s="369"/>
      <c r="O91" s="369"/>
      <c r="P91" s="369"/>
      <c r="Q91" s="369"/>
      <c r="R91" s="369"/>
      <c r="S91" s="369"/>
      <c r="T91" s="369"/>
      <c r="U91" s="369"/>
      <c r="V91" s="369"/>
    </row>
    <row r="92" spans="1:22" ht="15.75" customHeight="1">
      <c r="A92" s="228">
        <v>19</v>
      </c>
      <c r="B92" s="75">
        <v>4</v>
      </c>
      <c r="C92" s="487"/>
      <c r="D92" s="259"/>
      <c r="E92" s="259"/>
      <c r="F92" s="259"/>
      <c r="G92" s="259"/>
      <c r="H92" s="259"/>
      <c r="I92" s="259"/>
      <c r="J92" s="259"/>
      <c r="K92" s="259"/>
      <c r="L92" s="259"/>
      <c r="M92" s="259"/>
      <c r="N92" s="259"/>
      <c r="O92" s="259"/>
      <c r="P92" s="259"/>
      <c r="Q92" s="259"/>
      <c r="R92" s="259"/>
      <c r="S92" s="259"/>
      <c r="T92" s="259"/>
      <c r="U92" s="259"/>
      <c r="V92" s="259"/>
    </row>
    <row r="93" spans="1:22" ht="15.75" customHeight="1">
      <c r="A93" s="230">
        <v>19</v>
      </c>
      <c r="B93" s="231">
        <v>5</v>
      </c>
      <c r="C93" s="488"/>
      <c r="D93" s="369"/>
      <c r="E93" s="369"/>
      <c r="F93" s="369"/>
      <c r="G93" s="369"/>
      <c r="H93" s="369"/>
      <c r="I93" s="369"/>
      <c r="J93" s="369"/>
      <c r="K93" s="369"/>
      <c r="L93" s="369"/>
      <c r="M93" s="369"/>
      <c r="N93" s="369"/>
      <c r="O93" s="369"/>
      <c r="P93" s="369"/>
      <c r="Q93" s="369"/>
      <c r="R93" s="369"/>
      <c r="S93" s="369"/>
      <c r="T93" s="369"/>
      <c r="U93" s="369"/>
      <c r="V93" s="369"/>
    </row>
    <row r="94" spans="1:22" ht="15.75" customHeight="1">
      <c r="A94" s="272">
        <v>20</v>
      </c>
      <c r="B94" s="200" t="s">
        <v>221</v>
      </c>
    </row>
    <row r="95" spans="1:22" ht="15.75" customHeight="1">
      <c r="A95" s="233">
        <v>20</v>
      </c>
      <c r="B95" s="201" t="s">
        <v>222</v>
      </c>
    </row>
    <row r="96" spans="1:22" ht="15.75" customHeight="1">
      <c r="A96" s="233">
        <v>20</v>
      </c>
      <c r="B96" s="201" t="s">
        <v>223</v>
      </c>
    </row>
    <row r="97" spans="1:24" ht="15.75" customHeight="1">
      <c r="A97" s="233">
        <v>20</v>
      </c>
      <c r="B97" s="201" t="s">
        <v>224</v>
      </c>
    </row>
    <row r="98" spans="1:24" ht="15.75" customHeight="1">
      <c r="A98" s="233">
        <v>20</v>
      </c>
      <c r="B98" s="201" t="s">
        <v>225</v>
      </c>
    </row>
    <row r="99" spans="1:24" ht="15.75" customHeight="1">
      <c r="A99" s="233">
        <v>20</v>
      </c>
      <c r="B99" s="201" t="s">
        <v>226</v>
      </c>
    </row>
    <row r="100" spans="1:24" ht="15.75" customHeight="1">
      <c r="A100" s="233">
        <v>20</v>
      </c>
      <c r="B100" s="201" t="s">
        <v>227</v>
      </c>
    </row>
    <row r="101" spans="1:24" ht="15.75" customHeight="1">
      <c r="A101" s="233">
        <v>20</v>
      </c>
      <c r="B101" s="201" t="s">
        <v>228</v>
      </c>
    </row>
    <row r="102" spans="1:24" ht="15.75" customHeight="1">
      <c r="A102" s="233">
        <v>20</v>
      </c>
      <c r="B102" s="201" t="s">
        <v>231</v>
      </c>
    </row>
    <row r="103" spans="1:24" ht="15.75" customHeight="1">
      <c r="A103" s="233">
        <v>20</v>
      </c>
      <c r="B103" s="201" t="s">
        <v>232</v>
      </c>
    </row>
    <row r="104" spans="1:24" ht="15.75" customHeight="1">
      <c r="A104" s="233">
        <v>20</v>
      </c>
      <c r="B104" s="201" t="s">
        <v>233</v>
      </c>
    </row>
    <row r="105" spans="1:24" ht="15.75" customHeight="1">
      <c r="A105" s="233">
        <v>20</v>
      </c>
      <c r="B105" s="201" t="s">
        <v>234</v>
      </c>
    </row>
    <row r="106" spans="1:24" ht="15.75" customHeight="1">
      <c r="A106" s="228">
        <v>20</v>
      </c>
      <c r="B106" s="75" t="s">
        <v>235</v>
      </c>
    </row>
    <row r="107" spans="1:24" ht="15.75" customHeight="1">
      <c r="A107" s="228">
        <v>20</v>
      </c>
      <c r="B107" s="75" t="s">
        <v>236</v>
      </c>
    </row>
    <row r="108" spans="1:24" ht="15.75" customHeight="1">
      <c r="A108" s="228">
        <v>20</v>
      </c>
      <c r="B108" s="75" t="s">
        <v>237</v>
      </c>
    </row>
    <row r="109" spans="1:24" ht="15.75" customHeight="1">
      <c r="A109" s="228">
        <v>20</v>
      </c>
      <c r="B109" s="75" t="s">
        <v>238</v>
      </c>
    </row>
    <row r="110" spans="1:24" ht="15.75" customHeight="1">
      <c r="A110" s="233">
        <v>20</v>
      </c>
      <c r="B110" s="75" t="s">
        <v>239</v>
      </c>
      <c r="C110" s="475">
        <v>1.41918525406695E-2</v>
      </c>
      <c r="D110" s="8">
        <v>1.5637308977659699E-2</v>
      </c>
      <c r="E110" s="153">
        <v>2.1999999999999999E-2</v>
      </c>
      <c r="F110" s="8">
        <v>2.99605805935035E-2</v>
      </c>
      <c r="G110" s="8">
        <v>3.9290396545442301E-2</v>
      </c>
      <c r="H110" s="8">
        <v>5.6898820214915498E-2</v>
      </c>
      <c r="I110" s="8">
        <v>6.6491456271329005E-2</v>
      </c>
      <c r="J110" s="8">
        <v>7.7266751217600196E-2</v>
      </c>
      <c r="K110" s="8">
        <v>8.5282520784786098E-2</v>
      </c>
      <c r="L110" s="8">
        <v>8.9487511623798296E-2</v>
      </c>
      <c r="M110" s="8">
        <v>8.1865963190387706E-2</v>
      </c>
      <c r="N110" s="8">
        <v>6.5571612974477902E-2</v>
      </c>
      <c r="O110" s="8">
        <v>5.3350857079748099E-2</v>
      </c>
      <c r="P110" s="8">
        <v>4.2444147569771197E-2</v>
      </c>
      <c r="Q110" s="8">
        <v>3.8764783405303198E-2</v>
      </c>
      <c r="R110" s="8">
        <v>4.4152433134172997E-2</v>
      </c>
      <c r="S110" s="8">
        <v>5.0328507084719698E-2</v>
      </c>
      <c r="T110" s="8">
        <v>5.78186544888298E-2</v>
      </c>
      <c r="U110" s="8">
        <v>6.7674110649718205E-2</v>
      </c>
      <c r="V110" s="8">
        <v>7.9369248892840499E-2</v>
      </c>
      <c r="W110" s="8">
        <v>9.10643826244944E-2</v>
      </c>
      <c r="X110" s="8">
        <v>9.8948746650911398E-2</v>
      </c>
    </row>
    <row r="111" spans="1:24" ht="15.75" customHeight="1">
      <c r="A111" s="233">
        <v>20</v>
      </c>
      <c r="B111" s="75" t="s">
        <v>240</v>
      </c>
      <c r="C111" s="475">
        <v>3.1800258164268999E-2</v>
      </c>
      <c r="D111" s="8">
        <v>3.2325889350281703E-2</v>
      </c>
      <c r="E111" s="8">
        <v>3.6925087788663997E-2</v>
      </c>
      <c r="F111" s="8">
        <v>5.2431013782896899E-2</v>
      </c>
      <c r="G111" s="8">
        <v>6.6622866323566399E-2</v>
      </c>
      <c r="H111" s="8">
        <v>7.3718788082432804E-2</v>
      </c>
      <c r="I111" s="8">
        <v>5.86070877334436E-2</v>
      </c>
      <c r="J111" s="8">
        <v>4.5597889571163203E-2</v>
      </c>
      <c r="K111" s="8">
        <v>3.8633373353065797E-2</v>
      </c>
      <c r="L111" s="8">
        <v>4.4152433134172997E-2</v>
      </c>
      <c r="M111" s="8">
        <v>5.5190534650513601E-2</v>
      </c>
      <c r="N111" s="8">
        <v>6.6754267352867006E-2</v>
      </c>
      <c r="O111" s="8">
        <v>8.1471746568080802E-2</v>
      </c>
      <c r="P111" s="8">
        <v>9.5532193567981399E-2</v>
      </c>
    </row>
    <row r="112" spans="1:24" ht="15.75" customHeight="1">
      <c r="A112" s="233">
        <v>20</v>
      </c>
      <c r="B112" s="75" t="s">
        <v>241</v>
      </c>
      <c r="C112" s="475">
        <v>3.5742433410274901E-2</v>
      </c>
      <c r="D112" s="8">
        <v>4.9934285950944401E-2</v>
      </c>
      <c r="E112" s="8">
        <v>6.3337714269937007E-2</v>
      </c>
      <c r="F112" s="8">
        <v>8.0157686648922699E-2</v>
      </c>
      <c r="G112" s="8">
        <v>8.8436267297646601E-2</v>
      </c>
      <c r="H112" s="8">
        <v>7.5295663594597204E-2</v>
      </c>
      <c r="I112" s="8">
        <v>6.3074903188399103E-2</v>
      </c>
      <c r="J112" s="8">
        <v>4.7831797298640899E-2</v>
      </c>
      <c r="K112" s="8">
        <v>4.3101179785084397E-2</v>
      </c>
      <c r="L112" s="8">
        <v>4.82260184324163E-2</v>
      </c>
      <c r="M112" s="8">
        <v>6.2286460920848399E-2</v>
      </c>
      <c r="N112" s="8">
        <v>8.1340341027311802E-2</v>
      </c>
      <c r="O112" s="8">
        <v>9.9868594459231005E-2</v>
      </c>
    </row>
    <row r="113" spans="1:27" ht="15.75" customHeight="1">
      <c r="A113" s="241">
        <v>20</v>
      </c>
      <c r="B113" s="231" t="s">
        <v>242</v>
      </c>
      <c r="C113" s="478">
        <v>1.1038110539277401E-2</v>
      </c>
      <c r="D113" s="34">
        <v>1.27463870807424E-2</v>
      </c>
      <c r="E113" s="34">
        <v>2.50985440047727E-2</v>
      </c>
      <c r="F113" s="34">
        <v>4.5860709675638003E-2</v>
      </c>
      <c r="G113" s="34">
        <v>3.7976350160689398E-2</v>
      </c>
      <c r="H113" s="34">
        <v>2.96977695119655E-2</v>
      </c>
      <c r="I113" s="34">
        <v>2.91721383259528E-2</v>
      </c>
      <c r="J113" s="34">
        <v>3.8896184434603798E-2</v>
      </c>
      <c r="K113" s="34">
        <v>6.6228645189791102E-2</v>
      </c>
      <c r="L113" s="34">
        <v>8.9618921676035704E-2</v>
      </c>
      <c r="M113" s="34">
        <v>9.8948746650911398E-2</v>
      </c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</row>
    <row r="114" spans="1:27" ht="15.75" customHeight="1">
      <c r="A114" s="233">
        <v>21</v>
      </c>
      <c r="B114" s="75" t="s">
        <v>221</v>
      </c>
      <c r="C114" s="476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5.75" customHeight="1">
      <c r="A115" s="233">
        <v>21</v>
      </c>
      <c r="B115" s="75" t="s">
        <v>222</v>
      </c>
    </row>
    <row r="116" spans="1:27" ht="15.75" customHeight="1">
      <c r="A116" s="233">
        <v>21</v>
      </c>
      <c r="B116" s="75" t="s">
        <v>223</v>
      </c>
    </row>
    <row r="117" spans="1:27" ht="15.75" customHeight="1">
      <c r="A117" s="233">
        <v>21</v>
      </c>
      <c r="B117" s="75" t="s">
        <v>224</v>
      </c>
    </row>
    <row r="118" spans="1:27" ht="15.75" customHeight="1">
      <c r="A118" s="233">
        <v>21</v>
      </c>
      <c r="B118" s="75" t="s">
        <v>229</v>
      </c>
    </row>
    <row r="119" spans="1:27" ht="15.75" customHeight="1">
      <c r="A119" s="233">
        <v>21</v>
      </c>
      <c r="B119" s="75" t="s">
        <v>243</v>
      </c>
    </row>
    <row r="120" spans="1:27" ht="15.75" customHeight="1">
      <c r="A120" s="233">
        <v>21</v>
      </c>
      <c r="B120" s="75" t="s">
        <v>244</v>
      </c>
    </row>
    <row r="121" spans="1:27" ht="15.75" customHeight="1">
      <c r="A121" s="233">
        <v>21</v>
      </c>
      <c r="B121" s="75" t="s">
        <v>245</v>
      </c>
      <c r="C121" s="476"/>
    </row>
    <row r="122" spans="1:27" ht="15.75" customHeight="1">
      <c r="A122" s="228">
        <v>21</v>
      </c>
      <c r="B122" s="75" t="s">
        <v>225</v>
      </c>
    </row>
    <row r="123" spans="1:27" ht="15.75" customHeight="1">
      <c r="A123" s="228">
        <v>21</v>
      </c>
      <c r="B123" s="75" t="s">
        <v>226</v>
      </c>
    </row>
    <row r="124" spans="1:27" ht="15.75" customHeight="1">
      <c r="A124" s="228">
        <v>21</v>
      </c>
      <c r="B124" s="75" t="s">
        <v>227</v>
      </c>
    </row>
    <row r="125" spans="1:27" ht="15.75" customHeight="1">
      <c r="A125" s="228">
        <v>21</v>
      </c>
      <c r="B125" s="75" t="s">
        <v>228</v>
      </c>
    </row>
    <row r="126" spans="1:27" ht="15.75" customHeight="1">
      <c r="A126" s="228">
        <v>21</v>
      </c>
      <c r="B126" s="75" t="s">
        <v>230</v>
      </c>
    </row>
    <row r="127" spans="1:27" ht="15.75" customHeight="1">
      <c r="A127" s="228">
        <v>21</v>
      </c>
      <c r="B127" s="75" t="s">
        <v>246</v>
      </c>
    </row>
    <row r="128" spans="1:27" ht="15.75" customHeight="1">
      <c r="A128" s="228">
        <v>21</v>
      </c>
      <c r="B128" s="75" t="s">
        <v>247</v>
      </c>
    </row>
    <row r="129" spans="1:2" ht="15.75" customHeight="1">
      <c r="A129" s="230">
        <v>21</v>
      </c>
      <c r="B129" s="231" t="s">
        <v>248</v>
      </c>
    </row>
    <row r="130" spans="1:2" ht="15.75" customHeight="1">
      <c r="A130" s="228">
        <v>22</v>
      </c>
      <c r="B130" s="75">
        <v>1</v>
      </c>
    </row>
    <row r="131" spans="1:2" ht="15.75" customHeight="1">
      <c r="A131" s="228">
        <v>22</v>
      </c>
      <c r="B131" s="75">
        <v>2</v>
      </c>
    </row>
    <row r="132" spans="1:2" ht="15.75" customHeight="1">
      <c r="A132" s="228">
        <v>22</v>
      </c>
      <c r="B132" s="75">
        <v>3</v>
      </c>
    </row>
    <row r="133" spans="1:2" ht="15.75" customHeight="1">
      <c r="A133" s="228">
        <v>22</v>
      </c>
      <c r="B133" s="75">
        <v>4</v>
      </c>
    </row>
    <row r="134" spans="1:2" ht="15.75" customHeight="1">
      <c r="A134" s="228">
        <v>22</v>
      </c>
      <c r="B134" s="75">
        <v>5</v>
      </c>
    </row>
    <row r="135" spans="1:2" ht="15.75" customHeight="1">
      <c r="A135" s="228">
        <v>22</v>
      </c>
      <c r="B135" s="75">
        <v>6</v>
      </c>
    </row>
    <row r="136" spans="1:2" ht="15.75" customHeight="1">
      <c r="A136" s="228">
        <v>22</v>
      </c>
      <c r="B136" s="75">
        <v>7</v>
      </c>
    </row>
    <row r="137" spans="1:2" ht="15.75" customHeight="1">
      <c r="A137" s="230">
        <v>22</v>
      </c>
      <c r="B137" s="231">
        <v>8</v>
      </c>
    </row>
    <row r="138" spans="1:2" ht="15.75" customHeight="1">
      <c r="A138" s="229">
        <v>23</v>
      </c>
      <c r="B138" s="74">
        <v>1</v>
      </c>
    </row>
    <row r="139" spans="1:2" ht="15.75" customHeight="1">
      <c r="A139" s="228">
        <v>23</v>
      </c>
      <c r="B139" s="75">
        <v>2</v>
      </c>
    </row>
    <row r="140" spans="1:2" ht="15.75" customHeight="1">
      <c r="A140" s="228">
        <v>23</v>
      </c>
      <c r="B140" s="75">
        <v>3</v>
      </c>
    </row>
    <row r="141" spans="1:2" ht="15.75" customHeight="1">
      <c r="A141" s="228">
        <v>23</v>
      </c>
      <c r="B141" s="75">
        <v>4</v>
      </c>
    </row>
    <row r="142" spans="1:2" ht="15.75" customHeight="1">
      <c r="A142" s="230">
        <v>23</v>
      </c>
      <c r="B142" s="231">
        <v>5</v>
      </c>
    </row>
    <row r="143" spans="1:2" ht="15.75" customHeight="1">
      <c r="A143" s="238">
        <v>24</v>
      </c>
      <c r="B143" s="239">
        <v>1</v>
      </c>
    </row>
    <row r="144" spans="1:2" ht="15.75" customHeight="1">
      <c r="A144" s="238">
        <v>24</v>
      </c>
      <c r="B144" s="239">
        <v>2</v>
      </c>
    </row>
    <row r="145" spans="1:15" ht="15.75" customHeight="1">
      <c r="A145" s="238">
        <v>24</v>
      </c>
      <c r="B145" s="239">
        <v>3</v>
      </c>
    </row>
    <row r="146" spans="1:15" ht="15.75" customHeight="1">
      <c r="A146" s="238">
        <v>24</v>
      </c>
      <c r="B146" s="239">
        <v>4</v>
      </c>
    </row>
    <row r="147" spans="1:15" ht="15.75" customHeight="1">
      <c r="A147" s="238">
        <v>24</v>
      </c>
      <c r="B147" s="239">
        <v>5</v>
      </c>
    </row>
    <row r="148" spans="1:15" ht="15.75" customHeight="1">
      <c r="A148" s="238">
        <v>24</v>
      </c>
      <c r="B148" s="239">
        <v>6</v>
      </c>
    </row>
    <row r="149" spans="1:15" ht="15.75" customHeight="1">
      <c r="A149" s="238">
        <v>24</v>
      </c>
      <c r="B149" s="239">
        <v>7</v>
      </c>
    </row>
    <row r="150" spans="1:15" ht="15.75" customHeight="1">
      <c r="A150" s="229">
        <v>25</v>
      </c>
      <c r="B150" s="74">
        <v>1</v>
      </c>
    </row>
    <row r="151" spans="1:15" ht="15.75" customHeight="1">
      <c r="A151" s="228">
        <v>25</v>
      </c>
      <c r="B151" s="75">
        <v>2</v>
      </c>
    </row>
    <row r="152" spans="1:15" ht="15.75" customHeight="1">
      <c r="A152" s="228">
        <v>25</v>
      </c>
      <c r="B152" s="75">
        <v>3</v>
      </c>
    </row>
    <row r="153" spans="1:15" ht="15.75" customHeight="1">
      <c r="A153" s="230">
        <v>25</v>
      </c>
      <c r="B153" s="231">
        <v>4</v>
      </c>
      <c r="C153" s="476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</row>
    <row r="154" spans="1:15" ht="15.75" customHeight="1">
      <c r="A154" s="228">
        <v>26</v>
      </c>
      <c r="B154" s="200" t="s">
        <v>221</v>
      </c>
      <c r="C154" s="477"/>
      <c r="D154" s="234"/>
      <c r="E154" s="234"/>
      <c r="F154" s="234"/>
      <c r="G154" s="234"/>
      <c r="H154" s="234"/>
      <c r="I154" s="234"/>
      <c r="J154" s="234"/>
      <c r="K154" s="234"/>
      <c r="L154" s="234"/>
      <c r="M154" s="234"/>
      <c r="N154" s="235"/>
      <c r="O154" s="2"/>
    </row>
    <row r="155" spans="1:15" ht="15.75" customHeight="1">
      <c r="A155" s="228">
        <v>26</v>
      </c>
      <c r="B155" s="201" t="s">
        <v>222</v>
      </c>
      <c r="C155" s="476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36"/>
      <c r="O155" s="2"/>
    </row>
    <row r="156" spans="1:15" ht="15.75" customHeight="1">
      <c r="A156" s="228">
        <v>26</v>
      </c>
      <c r="B156" s="201" t="s">
        <v>223</v>
      </c>
      <c r="C156" s="476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36"/>
      <c r="O156" s="2"/>
    </row>
    <row r="157" spans="1:15" ht="15.75" customHeight="1">
      <c r="A157" s="228">
        <v>26</v>
      </c>
      <c r="B157" s="201" t="s">
        <v>224</v>
      </c>
      <c r="C157" s="476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36"/>
      <c r="O157" s="2"/>
    </row>
    <row r="158" spans="1:15" ht="15.75" customHeight="1">
      <c r="A158" s="228">
        <v>26</v>
      </c>
      <c r="B158" s="201" t="s">
        <v>229</v>
      </c>
      <c r="C158" s="476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36"/>
      <c r="O158" s="2"/>
    </row>
    <row r="159" spans="1:15" ht="15.75" customHeight="1">
      <c r="A159" s="228">
        <v>26</v>
      </c>
      <c r="B159" s="201" t="s">
        <v>225</v>
      </c>
      <c r="C159" s="498">
        <v>8.5333374023437505E-3</v>
      </c>
      <c r="D159" s="153">
        <v>1.4577770996093699E-2</v>
      </c>
      <c r="E159" s="153">
        <v>2.38222167968749E-2</v>
      </c>
      <c r="F159" s="153">
        <v>4.3377770996093697E-2</v>
      </c>
      <c r="G159" s="153">
        <v>5.2088891601562499E-2</v>
      </c>
      <c r="H159" s="153">
        <v>4.1599999999999901E-2</v>
      </c>
      <c r="I159" s="153">
        <v>2.73777709960937E-2</v>
      </c>
      <c r="J159" s="153">
        <v>1.8844433593749901E-2</v>
      </c>
      <c r="K159" s="153">
        <v>2.0622216796874999E-2</v>
      </c>
      <c r="L159" s="153">
        <v>3.3955554199218703E-2</v>
      </c>
      <c r="M159" s="153">
        <v>4.78222167968749E-2</v>
      </c>
      <c r="N159" s="391">
        <v>6.2933337402343706E-2</v>
      </c>
      <c r="O159" s="2"/>
    </row>
    <row r="160" spans="1:15" ht="15.75" customHeight="1">
      <c r="A160" s="228">
        <v>26</v>
      </c>
      <c r="B160" s="201" t="s">
        <v>226</v>
      </c>
      <c r="C160" s="476">
        <v>4.1000000000000003E-3</v>
      </c>
      <c r="D160" s="2">
        <v>8.6999999999999994E-3</v>
      </c>
      <c r="E160" s="2">
        <v>2.0969999999999999E-2</v>
      </c>
      <c r="F160" s="2">
        <v>5.0299999999999997E-2</v>
      </c>
      <c r="G160" s="2">
        <v>6.6299999999999998E-2</v>
      </c>
      <c r="H160" s="2">
        <v>5.9549999999999999E-2</v>
      </c>
      <c r="I160" s="2">
        <v>4.3729999999999998E-2</v>
      </c>
      <c r="J160" s="2">
        <v>3.27E-2</v>
      </c>
      <c r="K160" s="2">
        <v>3.039E-2</v>
      </c>
      <c r="L160" s="2">
        <v>3.6798999999999998E-2</v>
      </c>
      <c r="M160" s="2">
        <v>4.5865999999999997E-2</v>
      </c>
      <c r="N160" s="236">
        <v>5.6710000000000003E-2</v>
      </c>
      <c r="O160" s="2"/>
    </row>
    <row r="161" spans="1:15" ht="15.75" customHeight="1">
      <c r="A161" s="228">
        <v>26</v>
      </c>
      <c r="B161" s="201" t="s">
        <v>227</v>
      </c>
      <c r="C161" s="476">
        <v>4.0000000000000001E-3</v>
      </c>
      <c r="D161" s="2">
        <v>6.0000000000000001E-3</v>
      </c>
      <c r="E161" s="2">
        <v>1.4E-2</v>
      </c>
      <c r="F161" s="2">
        <v>2.7E-2</v>
      </c>
      <c r="G161" s="2">
        <v>4.7E-2</v>
      </c>
      <c r="H161" s="2">
        <v>5.0999999999999997E-2</v>
      </c>
      <c r="I161" s="2">
        <v>3.9E-2</v>
      </c>
      <c r="J161" s="2">
        <v>2.7E-2</v>
      </c>
      <c r="K161" s="2">
        <v>2.5000000000000001E-2</v>
      </c>
      <c r="L161" s="2">
        <v>3.3000000000000002E-2</v>
      </c>
      <c r="M161" s="2">
        <v>4.9000000000000002E-2</v>
      </c>
      <c r="N161" s="236">
        <v>6.5000000000000002E-2</v>
      </c>
      <c r="O161" s="2"/>
    </row>
    <row r="162" spans="1:15" ht="15.75" customHeight="1">
      <c r="A162" s="228">
        <v>26</v>
      </c>
      <c r="B162" s="201" t="s">
        <v>228</v>
      </c>
      <c r="C162" s="476">
        <v>4.0000000000000001E-3</v>
      </c>
      <c r="D162" s="2">
        <v>7.0000000000000001E-3</v>
      </c>
      <c r="E162" s="2">
        <v>1.6E-2</v>
      </c>
      <c r="F162" s="2">
        <v>3.4000000000000002E-2</v>
      </c>
      <c r="G162" s="2">
        <v>4.3999999999999997E-2</v>
      </c>
      <c r="H162" s="2">
        <v>3.7999999999999999E-2</v>
      </c>
      <c r="I162" s="2">
        <v>2.4E-2</v>
      </c>
      <c r="J162" s="2">
        <v>1.7999999999999999E-2</v>
      </c>
      <c r="K162" s="2">
        <v>2.1999999999999999E-2</v>
      </c>
      <c r="L162" s="2">
        <v>3.3000000000000002E-2</v>
      </c>
      <c r="M162" s="2">
        <v>4.3999999999999997E-2</v>
      </c>
      <c r="N162" s="236">
        <v>5.6000000000000001E-2</v>
      </c>
      <c r="O162" s="2"/>
    </row>
    <row r="163" spans="1:15" ht="15.75" customHeight="1">
      <c r="A163" s="230">
        <v>26</v>
      </c>
      <c r="B163" s="231" t="s">
        <v>230</v>
      </c>
      <c r="C163" s="499">
        <v>5.0000000000000001E-3</v>
      </c>
      <c r="D163" s="456">
        <v>0.01</v>
      </c>
      <c r="E163" s="456">
        <v>1.7000000000000001E-2</v>
      </c>
      <c r="F163" s="456">
        <v>3.5000000000000003E-2</v>
      </c>
      <c r="G163" s="456">
        <v>5.5E-2</v>
      </c>
      <c r="H163" s="456">
        <v>5.0999999999999997E-2</v>
      </c>
      <c r="I163" s="456">
        <v>3.3000000000000002E-2</v>
      </c>
      <c r="J163" s="456">
        <v>2.1000000000000001E-2</v>
      </c>
      <c r="K163" s="456">
        <v>2.1000000000000001E-2</v>
      </c>
      <c r="L163" s="456">
        <v>3.3000000000000002E-2</v>
      </c>
      <c r="M163" s="456">
        <v>4.7E-2</v>
      </c>
      <c r="N163" s="236">
        <v>5.8000000000000003E-2</v>
      </c>
      <c r="O163" s="2"/>
    </row>
    <row r="164" spans="1:15" ht="15.75" customHeight="1">
      <c r="A164" s="199">
        <v>27</v>
      </c>
      <c r="B164" s="200">
        <v>1</v>
      </c>
      <c r="C164" s="500">
        <v>2.1999999999999999E-2</v>
      </c>
      <c r="D164" s="452">
        <v>2.3E-2</v>
      </c>
      <c r="E164" s="452">
        <v>2.4E-2</v>
      </c>
      <c r="F164" s="452">
        <v>2.4E-2</v>
      </c>
      <c r="G164" s="452">
        <v>0.02</v>
      </c>
      <c r="H164" s="452">
        <v>1.6E-2</v>
      </c>
      <c r="I164" s="452">
        <v>1.6E-2</v>
      </c>
      <c r="J164" s="452">
        <v>1.7999999999999999E-2</v>
      </c>
      <c r="K164" s="452">
        <v>2.1999999999999999E-2</v>
      </c>
      <c r="L164" s="452">
        <v>2.7E-2</v>
      </c>
      <c r="M164" s="452">
        <v>3.4000000000000002E-2</v>
      </c>
      <c r="N164" s="453">
        <v>4.1000000000000002E-2</v>
      </c>
      <c r="O164" s="451"/>
    </row>
    <row r="165" spans="1:15" ht="15.75" customHeight="1">
      <c r="A165" s="196">
        <v>27</v>
      </c>
      <c r="B165" s="201">
        <v>2</v>
      </c>
      <c r="C165" s="501">
        <v>3.2000000000000001E-2</v>
      </c>
      <c r="D165" s="449">
        <v>3.5999999999999997E-2</v>
      </c>
      <c r="E165" s="449">
        <v>3.6999999999999998E-2</v>
      </c>
      <c r="F165" s="449">
        <v>3.6999999999999998E-2</v>
      </c>
      <c r="G165" s="449">
        <v>3.2000000000000001E-2</v>
      </c>
      <c r="H165" s="449">
        <v>2.5999999999999999E-2</v>
      </c>
      <c r="I165" s="449">
        <v>2.4E-2</v>
      </c>
      <c r="J165" s="449">
        <v>0.03</v>
      </c>
      <c r="K165" s="449">
        <v>3.9E-2</v>
      </c>
      <c r="L165" s="449">
        <v>4.9000000000000002E-2</v>
      </c>
      <c r="M165" s="449">
        <v>5.7000000000000002E-2</v>
      </c>
      <c r="N165" s="454">
        <v>6.9000000000000006E-2</v>
      </c>
      <c r="O165" s="451"/>
    </row>
    <row r="166" spans="1:15" ht="15.75" customHeight="1">
      <c r="A166" s="196">
        <v>27</v>
      </c>
      <c r="B166" s="201">
        <v>3</v>
      </c>
      <c r="C166" s="501">
        <v>3.5000000000000003E-2</v>
      </c>
      <c r="D166" s="449">
        <v>3.7999999999999999E-2</v>
      </c>
      <c r="E166" s="449">
        <v>4.2000000000000003E-2</v>
      </c>
      <c r="F166" s="449">
        <v>4.2000000000000003E-2</v>
      </c>
      <c r="G166" s="449">
        <v>3.7999999999999999E-2</v>
      </c>
      <c r="H166" s="449">
        <v>0.03</v>
      </c>
      <c r="I166" s="449">
        <v>2.8000000000000001E-2</v>
      </c>
      <c r="J166" s="449">
        <v>3.5000000000000003E-2</v>
      </c>
      <c r="K166" s="449">
        <v>4.4999999999999998E-2</v>
      </c>
      <c r="L166" s="449">
        <v>0.06</v>
      </c>
      <c r="M166" s="449">
        <v>7.3999999999999996E-2</v>
      </c>
      <c r="N166" s="454">
        <v>8.7999999999999995E-2</v>
      </c>
      <c r="O166" s="451"/>
    </row>
    <row r="167" spans="1:15" ht="15.75" customHeight="1">
      <c r="A167" s="197">
        <v>27</v>
      </c>
      <c r="B167" s="202">
        <v>4</v>
      </c>
      <c r="C167" s="502">
        <v>0.04</v>
      </c>
      <c r="D167" s="450">
        <v>0.04</v>
      </c>
      <c r="E167" s="450">
        <v>4.2000000000000003E-2</v>
      </c>
      <c r="F167" s="450">
        <v>4.5999999999999999E-2</v>
      </c>
      <c r="G167" s="450">
        <v>4.5999999999999999E-2</v>
      </c>
      <c r="H167" s="450">
        <v>4.2999999999999997E-2</v>
      </c>
      <c r="I167" s="450">
        <v>3.9E-2</v>
      </c>
      <c r="J167" s="450">
        <v>4.1000000000000002E-2</v>
      </c>
      <c r="K167" s="450">
        <v>4.3999999999999997E-2</v>
      </c>
      <c r="L167" s="450">
        <v>5.2999999999999999E-2</v>
      </c>
      <c r="M167" s="450">
        <v>6.5000000000000002E-2</v>
      </c>
      <c r="N167" s="455">
        <v>8.2000000000000003E-2</v>
      </c>
      <c r="O167" s="451"/>
    </row>
    <row r="168" spans="1:15" ht="15.75" customHeight="1">
      <c r="A168" s="229">
        <v>28</v>
      </c>
      <c r="B168" s="74">
        <v>1</v>
      </c>
      <c r="C168" s="501"/>
      <c r="D168" s="451"/>
      <c r="E168" s="451"/>
      <c r="F168" s="451"/>
      <c r="G168" s="451"/>
      <c r="H168" s="451"/>
      <c r="I168" s="451"/>
      <c r="J168" s="451"/>
      <c r="K168" s="451"/>
      <c r="L168" s="451"/>
      <c r="M168" s="451"/>
      <c r="N168" s="451"/>
    </row>
    <row r="169" spans="1:15" ht="15.75" customHeight="1">
      <c r="A169" s="228">
        <v>28</v>
      </c>
      <c r="B169" s="75">
        <v>2</v>
      </c>
    </row>
    <row r="170" spans="1:15" ht="15.75" customHeight="1">
      <c r="A170" s="228">
        <v>28</v>
      </c>
      <c r="B170" s="75">
        <v>3</v>
      </c>
    </row>
    <row r="171" spans="1:15" ht="15.75" customHeight="1">
      <c r="A171" s="228">
        <v>28</v>
      </c>
      <c r="B171" s="75">
        <v>4</v>
      </c>
    </row>
    <row r="172" spans="1:15" ht="15.75" customHeight="1">
      <c r="A172" s="228">
        <v>28</v>
      </c>
      <c r="B172" s="75">
        <v>5</v>
      </c>
    </row>
    <row r="173" spans="1:15" ht="15.75" customHeight="1">
      <c r="A173" s="230">
        <v>28</v>
      </c>
      <c r="B173" s="231">
        <v>6</v>
      </c>
    </row>
    <row r="174" spans="1:15" ht="15.75" customHeight="1">
      <c r="A174" s="233">
        <v>29</v>
      </c>
      <c r="B174" s="75">
        <v>1</v>
      </c>
    </row>
    <row r="175" spans="1:15" ht="15.75" customHeight="1">
      <c r="A175" s="233">
        <v>29</v>
      </c>
      <c r="B175" s="75">
        <v>2</v>
      </c>
    </row>
    <row r="176" spans="1:15" ht="15.75" customHeight="1">
      <c r="A176" s="233">
        <v>29</v>
      </c>
      <c r="B176" s="75">
        <v>3</v>
      </c>
    </row>
    <row r="177" spans="1:11" ht="15.75" customHeight="1">
      <c r="A177" s="233">
        <v>29</v>
      </c>
      <c r="B177" s="75">
        <v>4</v>
      </c>
    </row>
    <row r="178" spans="1:11" ht="15.75" customHeight="1">
      <c r="A178" s="233">
        <v>29</v>
      </c>
      <c r="B178" s="75">
        <v>5</v>
      </c>
    </row>
    <row r="179" spans="1:11" ht="15.75" customHeight="1">
      <c r="A179" s="228">
        <v>30</v>
      </c>
      <c r="B179" s="75">
        <v>1</v>
      </c>
    </row>
    <row r="180" spans="1:11" ht="15.75" customHeight="1">
      <c r="A180" s="228">
        <v>30</v>
      </c>
      <c r="B180" s="75">
        <v>2</v>
      </c>
    </row>
    <row r="181" spans="1:11" ht="15.75" customHeight="1">
      <c r="A181" s="228">
        <v>30</v>
      </c>
      <c r="B181" s="75">
        <v>3</v>
      </c>
    </row>
    <row r="182" spans="1:11" ht="15.75" customHeight="1">
      <c r="A182" s="229">
        <v>31</v>
      </c>
      <c r="B182" s="74">
        <v>1</v>
      </c>
    </row>
    <row r="183" spans="1:11" ht="15.75" customHeight="1">
      <c r="A183" s="228">
        <v>31</v>
      </c>
      <c r="B183" s="75">
        <v>2</v>
      </c>
    </row>
    <row r="184" spans="1:11" ht="15.75" customHeight="1">
      <c r="A184" s="228">
        <v>31</v>
      </c>
      <c r="B184" s="75">
        <v>3</v>
      </c>
    </row>
    <row r="185" spans="1:11" ht="15.75" customHeight="1">
      <c r="A185" s="228">
        <v>31</v>
      </c>
      <c r="B185" s="75">
        <v>4</v>
      </c>
    </row>
    <row r="186" spans="1:11" ht="15.75" customHeight="1">
      <c r="A186" s="228">
        <v>31</v>
      </c>
      <c r="B186" s="75">
        <v>5</v>
      </c>
      <c r="C186" s="476"/>
      <c r="D186" s="2"/>
      <c r="E186" s="2"/>
      <c r="F186" s="2"/>
      <c r="G186" s="2"/>
      <c r="H186" s="2"/>
      <c r="I186" s="2"/>
      <c r="J186" s="2"/>
    </row>
    <row r="187" spans="1:11" ht="15.75" customHeight="1">
      <c r="A187" s="199">
        <v>32</v>
      </c>
      <c r="B187" s="200">
        <v>1</v>
      </c>
      <c r="C187" s="477"/>
      <c r="D187" s="234"/>
      <c r="E187" s="234"/>
      <c r="F187" s="234"/>
      <c r="G187" s="234"/>
      <c r="H187" s="234"/>
      <c r="I187" s="234"/>
      <c r="J187" s="235"/>
      <c r="K187" s="2"/>
    </row>
    <row r="188" spans="1:11" ht="15.75" customHeight="1">
      <c r="A188" s="197">
        <v>32</v>
      </c>
      <c r="B188" s="202">
        <v>2</v>
      </c>
      <c r="C188" s="478">
        <v>3.2000000000000001E-2</v>
      </c>
      <c r="D188" s="34">
        <v>3.2000000000000001E-2</v>
      </c>
      <c r="E188" s="34">
        <v>3.7999999999999999E-2</v>
      </c>
      <c r="F188" s="34">
        <v>4.7E-2</v>
      </c>
      <c r="G188" s="34">
        <v>7.1999999999999995E-2</v>
      </c>
      <c r="H188" s="34">
        <v>4.2000000000000003E-2</v>
      </c>
      <c r="I188" s="34">
        <v>4.5999999999999999E-2</v>
      </c>
      <c r="J188" s="237">
        <v>6.9000000000000006E-2</v>
      </c>
      <c r="K188" s="2"/>
    </row>
    <row r="189" spans="1:11" ht="15.75" customHeight="1">
      <c r="A189" s="229">
        <v>33</v>
      </c>
      <c r="B189" s="200">
        <v>1</v>
      </c>
      <c r="C189" s="476"/>
      <c r="D189" s="2"/>
      <c r="E189" s="2"/>
      <c r="F189" s="2"/>
      <c r="G189" s="2"/>
      <c r="H189" s="2"/>
      <c r="I189" s="2"/>
      <c r="J189" s="2"/>
    </row>
    <row r="190" spans="1:11" ht="15.75" customHeight="1">
      <c r="A190" s="228">
        <v>33</v>
      </c>
      <c r="B190" s="201">
        <v>2</v>
      </c>
    </row>
    <row r="191" spans="1:11" ht="15.75" customHeight="1">
      <c r="A191" s="228">
        <v>33</v>
      </c>
      <c r="B191" s="201">
        <v>3</v>
      </c>
    </row>
    <row r="192" spans="1:11" ht="15.75" customHeight="1">
      <c r="A192" s="230">
        <v>33</v>
      </c>
      <c r="B192" s="202">
        <v>4</v>
      </c>
    </row>
    <row r="193" spans="1:16" ht="15.75" customHeight="1">
      <c r="A193" s="199">
        <v>34</v>
      </c>
      <c r="B193" s="200">
        <v>1</v>
      </c>
    </row>
    <row r="194" spans="1:16" ht="15.75" customHeight="1">
      <c r="A194" s="196">
        <v>34</v>
      </c>
      <c r="B194" s="201">
        <v>2</v>
      </c>
    </row>
    <row r="195" spans="1:16" ht="15.75" customHeight="1">
      <c r="A195" s="196">
        <v>34</v>
      </c>
      <c r="B195" s="201">
        <v>3</v>
      </c>
    </row>
    <row r="196" spans="1:16" ht="15.75" customHeight="1">
      <c r="A196" s="197">
        <v>34</v>
      </c>
      <c r="B196" s="202">
        <v>4</v>
      </c>
    </row>
    <row r="197" spans="1:16" ht="15.75" customHeight="1">
      <c r="A197" s="233">
        <v>35</v>
      </c>
      <c r="B197" s="75">
        <v>1</v>
      </c>
    </row>
    <row r="198" spans="1:16" ht="15.75" customHeight="1">
      <c r="A198" s="233">
        <v>35</v>
      </c>
      <c r="B198" s="75">
        <v>2</v>
      </c>
    </row>
    <row r="199" spans="1:16" ht="15.75" customHeight="1">
      <c r="A199" s="233">
        <v>35</v>
      </c>
      <c r="B199" s="75">
        <v>3</v>
      </c>
    </row>
    <row r="200" spans="1:16" ht="15.75" customHeight="1">
      <c r="A200" s="233">
        <v>35</v>
      </c>
      <c r="B200" s="75">
        <v>4</v>
      </c>
    </row>
    <row r="201" spans="1:16" ht="15.75" customHeight="1">
      <c r="A201" s="229">
        <v>36</v>
      </c>
      <c r="B201" s="74">
        <v>1</v>
      </c>
      <c r="D201" s="8">
        <v>5.2999999999999999E-2</v>
      </c>
      <c r="E201" s="8">
        <v>7.2999999999999995E-2</v>
      </c>
      <c r="F201" s="8">
        <v>7.4999999999999997E-2</v>
      </c>
      <c r="G201" s="8">
        <v>5.6000000000000001E-2</v>
      </c>
      <c r="H201" s="8">
        <v>4.8000000000000001E-2</v>
      </c>
      <c r="I201" s="8">
        <v>5.5E-2</v>
      </c>
      <c r="J201" s="8">
        <v>7.8E-2</v>
      </c>
    </row>
    <row r="202" spans="1:16" ht="15.75" customHeight="1">
      <c r="A202" s="228">
        <v>36</v>
      </c>
      <c r="B202" s="75">
        <v>2</v>
      </c>
      <c r="D202" s="8">
        <v>1.6E-2</v>
      </c>
      <c r="E202" s="8">
        <v>3.5000000000000003E-2</v>
      </c>
      <c r="F202" s="8">
        <v>5.2999999999999999E-2</v>
      </c>
      <c r="G202" s="8">
        <v>4.2000000000000003E-2</v>
      </c>
      <c r="H202" s="8">
        <v>3.6999999999999998E-2</v>
      </c>
      <c r="I202" s="8">
        <v>4.9000000000000002E-2</v>
      </c>
      <c r="J202" s="8">
        <v>7.0999999999999994E-2</v>
      </c>
    </row>
    <row r="203" spans="1:16" ht="15.75" customHeight="1">
      <c r="A203" s="228">
        <v>36</v>
      </c>
      <c r="B203" s="75">
        <v>3</v>
      </c>
      <c r="D203" s="8">
        <v>4.3999999999999997E-2</v>
      </c>
      <c r="E203" s="8">
        <v>5.7000000000000002E-2</v>
      </c>
      <c r="F203" s="8">
        <v>5.8000000000000003E-2</v>
      </c>
      <c r="G203" s="8">
        <v>0.05</v>
      </c>
      <c r="H203" s="8">
        <v>5.2999999999999999E-2</v>
      </c>
      <c r="I203" s="8">
        <v>6.8000000000000005E-2</v>
      </c>
      <c r="J203" s="8">
        <v>8.4000000000000005E-2</v>
      </c>
    </row>
    <row r="204" spans="1:16" ht="15.75" customHeight="1">
      <c r="A204" s="228">
        <v>36</v>
      </c>
      <c r="B204" s="75">
        <v>4</v>
      </c>
      <c r="C204" s="476"/>
      <c r="D204" s="2">
        <v>1.7000000000000001E-2</v>
      </c>
      <c r="E204" s="2">
        <v>3.3000000000000002E-2</v>
      </c>
      <c r="F204" s="2">
        <v>5.0999999999999997E-2</v>
      </c>
      <c r="G204" s="2">
        <v>3.7999999999999999E-2</v>
      </c>
      <c r="H204" s="2">
        <v>0.03</v>
      </c>
      <c r="I204" s="2">
        <v>4.4999999999999998E-2</v>
      </c>
      <c r="J204" s="2">
        <v>6.7000000000000004E-2</v>
      </c>
      <c r="K204" s="2"/>
      <c r="L204" s="2"/>
      <c r="M204" s="2"/>
      <c r="N204" s="2"/>
      <c r="O204" s="2"/>
    </row>
    <row r="205" spans="1:16" ht="15.75" customHeight="1">
      <c r="A205" s="229">
        <v>37</v>
      </c>
      <c r="B205" s="200">
        <v>1</v>
      </c>
      <c r="C205" s="477">
        <v>3.6999999999999998E-2</v>
      </c>
      <c r="D205" s="234">
        <v>3.9E-2</v>
      </c>
      <c r="E205" s="234">
        <v>4.2000000000000003E-2</v>
      </c>
      <c r="F205" s="234">
        <v>3.7999999999999999E-2</v>
      </c>
      <c r="G205" s="234">
        <v>3.1E-2</v>
      </c>
      <c r="H205" s="234">
        <v>2.9000000000000001E-2</v>
      </c>
      <c r="I205" s="234">
        <v>3.6999999999999998E-2</v>
      </c>
      <c r="J205" s="234">
        <v>5.3999999999999999E-2</v>
      </c>
      <c r="K205" s="234">
        <v>7.1999999999999995E-2</v>
      </c>
      <c r="L205" s="234">
        <v>8.8999999999999996E-2</v>
      </c>
      <c r="M205" s="234">
        <v>0.1</v>
      </c>
      <c r="N205" s="234">
        <v>0.10299999999999999</v>
      </c>
      <c r="O205" s="235">
        <v>0.1</v>
      </c>
      <c r="P205" s="2"/>
    </row>
    <row r="206" spans="1:16" ht="15.75" customHeight="1">
      <c r="A206" s="228">
        <v>37</v>
      </c>
      <c r="B206" s="201">
        <v>2</v>
      </c>
      <c r="C206" s="476">
        <v>3.4000000000000002E-2</v>
      </c>
      <c r="D206" s="2">
        <v>3.5000000000000003E-2</v>
      </c>
      <c r="E206" s="2">
        <v>3.7999999999999999E-2</v>
      </c>
      <c r="F206" s="2">
        <v>3.5999999999999997E-2</v>
      </c>
      <c r="G206" s="2">
        <v>0.03</v>
      </c>
      <c r="H206" s="2">
        <v>2.7E-2</v>
      </c>
      <c r="I206" s="2">
        <v>3.5000000000000003E-2</v>
      </c>
      <c r="J206" s="2">
        <v>0.05</v>
      </c>
      <c r="K206" s="2">
        <v>6.6000000000000003E-2</v>
      </c>
      <c r="L206" s="2">
        <v>8.1000000000000003E-2</v>
      </c>
      <c r="M206" s="2">
        <v>9.0999999999999998E-2</v>
      </c>
      <c r="N206" s="2">
        <v>9.4E-2</v>
      </c>
      <c r="O206" s="236">
        <v>9.5000000000000001E-2</v>
      </c>
      <c r="P206" s="2"/>
    </row>
    <row r="207" spans="1:16" ht="15.75" customHeight="1">
      <c r="A207" s="228">
        <v>37</v>
      </c>
      <c r="B207" s="201">
        <v>3</v>
      </c>
      <c r="C207" s="476">
        <v>4.2999999999999997E-2</v>
      </c>
      <c r="D207" s="2">
        <v>4.2999999999999997E-2</v>
      </c>
      <c r="E207" s="2">
        <v>4.3999999999999997E-2</v>
      </c>
      <c r="F207" s="2">
        <v>4.2000000000000003E-2</v>
      </c>
      <c r="G207" s="2">
        <v>3.5000000000000003E-2</v>
      </c>
      <c r="H207" s="2">
        <v>3.1E-2</v>
      </c>
      <c r="I207" s="2">
        <v>3.9E-2</v>
      </c>
      <c r="J207" s="2">
        <v>5.7000000000000002E-2</v>
      </c>
      <c r="K207" s="2">
        <v>7.5999999999999998E-2</v>
      </c>
      <c r="L207" s="2">
        <v>9.2999999999999999E-2</v>
      </c>
      <c r="M207" s="2">
        <v>0.106</v>
      </c>
      <c r="N207" s="2">
        <v>0.108</v>
      </c>
      <c r="O207" s="236">
        <v>0.104</v>
      </c>
      <c r="P207" s="2"/>
    </row>
    <row r="208" spans="1:16" ht="15.75" customHeight="1">
      <c r="A208" s="228">
        <v>37</v>
      </c>
      <c r="B208" s="201">
        <v>4</v>
      </c>
      <c r="C208" s="476">
        <v>3.9E-2</v>
      </c>
      <c r="D208" s="2">
        <v>3.7999999999999999E-2</v>
      </c>
      <c r="E208" s="2">
        <v>4.2000000000000003E-2</v>
      </c>
      <c r="F208" s="2">
        <v>0.04</v>
      </c>
      <c r="G208" s="2">
        <v>3.3000000000000002E-2</v>
      </c>
      <c r="H208" s="2">
        <v>3.1E-2</v>
      </c>
      <c r="I208" s="2">
        <v>3.5999999999999997E-2</v>
      </c>
      <c r="J208" s="2">
        <v>5.0999999999999997E-2</v>
      </c>
      <c r="K208" s="2">
        <v>6.7000000000000004E-2</v>
      </c>
      <c r="L208" s="2">
        <v>8.3000000000000004E-2</v>
      </c>
      <c r="M208" s="2">
        <v>9.4E-2</v>
      </c>
      <c r="N208" s="2">
        <v>9.7000000000000003E-2</v>
      </c>
      <c r="O208" s="236">
        <v>9.6000000000000002E-2</v>
      </c>
      <c r="P208" s="2"/>
    </row>
    <row r="209" spans="1:16" ht="15.75" customHeight="1">
      <c r="A209" s="228">
        <v>37</v>
      </c>
      <c r="B209" s="201">
        <v>5</v>
      </c>
      <c r="C209" s="476">
        <v>0.04</v>
      </c>
      <c r="D209" s="2">
        <v>0.04</v>
      </c>
      <c r="E209" s="2">
        <v>4.2999999999999997E-2</v>
      </c>
      <c r="F209" s="2">
        <v>0.04</v>
      </c>
      <c r="G209" s="2">
        <v>0.03</v>
      </c>
      <c r="H209" s="2">
        <v>2.8000000000000001E-2</v>
      </c>
      <c r="I209" s="2">
        <v>3.5999999999999997E-2</v>
      </c>
      <c r="J209" s="2">
        <v>5.2999999999999999E-2</v>
      </c>
      <c r="K209" s="2">
        <v>7.0999999999999994E-2</v>
      </c>
      <c r="L209" s="2">
        <v>8.8999999999999996E-2</v>
      </c>
      <c r="M209" s="2">
        <v>0.10299999999999999</v>
      </c>
      <c r="N209" s="2">
        <v>0.108</v>
      </c>
      <c r="O209" s="236">
        <v>0.104</v>
      </c>
      <c r="P209" s="2"/>
    </row>
    <row r="210" spans="1:16" ht="15.75" customHeight="1">
      <c r="A210" s="228">
        <v>37</v>
      </c>
      <c r="B210" s="201">
        <v>6</v>
      </c>
      <c r="C210" s="476">
        <v>3.9E-2</v>
      </c>
      <c r="D210" s="2">
        <v>3.9E-2</v>
      </c>
      <c r="E210" s="2">
        <v>4.1000000000000002E-2</v>
      </c>
      <c r="F210" s="2">
        <v>3.9E-2</v>
      </c>
      <c r="G210" s="2">
        <v>3.2000000000000001E-2</v>
      </c>
      <c r="H210" s="2">
        <v>0.03</v>
      </c>
      <c r="I210" s="2">
        <v>3.6999999999999998E-2</v>
      </c>
      <c r="J210" s="2">
        <v>5.1999999999999998E-2</v>
      </c>
      <c r="K210" s="2">
        <v>6.8000000000000005E-2</v>
      </c>
      <c r="L210" s="2">
        <v>8.7999999999999995E-2</v>
      </c>
      <c r="M210" s="2">
        <v>0.10100000000000001</v>
      </c>
      <c r="N210" s="2">
        <v>0.106</v>
      </c>
      <c r="O210" s="236">
        <v>0.10299999999999999</v>
      </c>
      <c r="P210" s="2"/>
    </row>
    <row r="211" spans="1:16" ht="15.75" customHeight="1">
      <c r="A211" s="230">
        <v>37</v>
      </c>
      <c r="B211" s="202">
        <v>7</v>
      </c>
      <c r="C211" s="478">
        <v>3.5000000000000003E-2</v>
      </c>
      <c r="D211" s="34">
        <v>3.5999999999999997E-2</v>
      </c>
      <c r="E211" s="34">
        <v>3.7999999999999999E-2</v>
      </c>
      <c r="F211" s="34">
        <v>3.5000000000000003E-2</v>
      </c>
      <c r="G211" s="34">
        <v>2.9000000000000001E-2</v>
      </c>
      <c r="H211" s="34">
        <v>2.5999999999999999E-2</v>
      </c>
      <c r="I211" s="34">
        <v>2.9000000000000001E-2</v>
      </c>
      <c r="J211" s="34">
        <v>4.1000000000000002E-2</v>
      </c>
      <c r="K211" s="34">
        <v>5.8999999999999997E-2</v>
      </c>
      <c r="L211" s="34">
        <v>7.9000000000000001E-2</v>
      </c>
      <c r="M211" s="34">
        <v>9.2999999999999999E-2</v>
      </c>
      <c r="N211" s="34">
        <v>0.1</v>
      </c>
      <c r="O211" s="237">
        <v>0.10299999999999999</v>
      </c>
      <c r="P211" s="2"/>
    </row>
    <row r="212" spans="1:16" ht="15.75" customHeight="1">
      <c r="A212" s="229">
        <v>38</v>
      </c>
      <c r="B212" s="74">
        <v>1</v>
      </c>
      <c r="C212" s="476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spans="1:16" ht="15.75" customHeight="1">
      <c r="A213" s="228">
        <v>38</v>
      </c>
      <c r="B213" s="75">
        <v>2</v>
      </c>
    </row>
    <row r="214" spans="1:16" ht="15.75" customHeight="1">
      <c r="A214" s="228">
        <v>38</v>
      </c>
      <c r="B214" s="75">
        <v>3</v>
      </c>
    </row>
    <row r="215" spans="1:16" ht="15.75" customHeight="1">
      <c r="A215" s="228">
        <v>38</v>
      </c>
      <c r="B215" s="75">
        <v>4</v>
      </c>
    </row>
    <row r="216" spans="1:16" ht="15.75" customHeight="1">
      <c r="A216" s="228">
        <v>38</v>
      </c>
      <c r="B216" s="75">
        <v>5</v>
      </c>
    </row>
    <row r="217" spans="1:16" ht="15.75" customHeight="1">
      <c r="A217" s="228">
        <v>38</v>
      </c>
      <c r="B217" s="75">
        <v>6</v>
      </c>
    </row>
    <row r="218" spans="1:16" ht="15.75" customHeight="1">
      <c r="A218" s="229">
        <v>39</v>
      </c>
      <c r="B218" s="74">
        <v>1</v>
      </c>
    </row>
    <row r="219" spans="1:16" ht="15.75" customHeight="1">
      <c r="A219" s="228">
        <v>39</v>
      </c>
      <c r="B219" s="75">
        <v>2</v>
      </c>
    </row>
    <row r="220" spans="1:16" ht="15.75" customHeight="1">
      <c r="A220" s="228">
        <v>39</v>
      </c>
      <c r="B220" s="75">
        <v>3</v>
      </c>
    </row>
    <row r="221" spans="1:16" ht="15.75" customHeight="1">
      <c r="A221" s="228">
        <v>39</v>
      </c>
      <c r="B221" s="75">
        <v>4</v>
      </c>
    </row>
    <row r="222" spans="1:16" ht="15.75" customHeight="1">
      <c r="A222" s="228">
        <v>39</v>
      </c>
      <c r="B222" s="75">
        <v>5</v>
      </c>
    </row>
    <row r="223" spans="1:16" ht="15.75" customHeight="1">
      <c r="A223" s="228">
        <v>39</v>
      </c>
      <c r="B223" s="75">
        <v>6</v>
      </c>
    </row>
    <row r="224" spans="1:16" ht="15.75" customHeight="1">
      <c r="A224" s="228">
        <v>39</v>
      </c>
      <c r="B224" s="75">
        <v>7</v>
      </c>
    </row>
    <row r="225" spans="1:24" ht="15.75" customHeight="1">
      <c r="A225" s="228">
        <v>39</v>
      </c>
      <c r="B225" s="75">
        <v>8</v>
      </c>
      <c r="C225" s="501"/>
      <c r="D225" s="451"/>
      <c r="E225" s="451"/>
      <c r="F225" s="451"/>
      <c r="G225" s="451"/>
      <c r="H225" s="451"/>
    </row>
    <row r="226" spans="1:24" ht="15.75" customHeight="1">
      <c r="A226" s="229">
        <v>40</v>
      </c>
      <c r="B226" s="74">
        <v>1</v>
      </c>
      <c r="C226" s="500">
        <v>7.3999999999999996E-2</v>
      </c>
      <c r="D226" s="452">
        <v>0.11600000000000001</v>
      </c>
      <c r="E226" s="452">
        <v>1.8029999999999999</v>
      </c>
      <c r="F226" s="452">
        <v>0.29099999999999998</v>
      </c>
      <c r="G226" s="452">
        <v>0.248</v>
      </c>
      <c r="H226" s="453">
        <v>0.36</v>
      </c>
      <c r="I226" s="451"/>
    </row>
    <row r="227" spans="1:24" ht="15.75" customHeight="1">
      <c r="A227" s="228">
        <v>40</v>
      </c>
      <c r="B227" s="75">
        <v>2</v>
      </c>
      <c r="C227" s="501">
        <v>0.127</v>
      </c>
      <c r="D227" s="449">
        <v>0.17399999999999999</v>
      </c>
      <c r="E227" s="449">
        <v>1.9139999999999999</v>
      </c>
      <c r="F227" s="449">
        <v>0.32300000000000001</v>
      </c>
      <c r="G227" s="449">
        <v>0.26400000000000001</v>
      </c>
      <c r="H227" s="454">
        <v>0.27500000000000002</v>
      </c>
      <c r="I227" s="451"/>
    </row>
    <row r="228" spans="1:24" ht="15.75" customHeight="1">
      <c r="A228" s="228">
        <v>40</v>
      </c>
      <c r="B228" s="75">
        <v>3</v>
      </c>
      <c r="C228" s="501">
        <v>8.5000000000000006E-2</v>
      </c>
      <c r="D228" s="449">
        <v>0.13200000000000001</v>
      </c>
      <c r="E228" s="449">
        <v>1.2789999999999999</v>
      </c>
      <c r="F228" s="449">
        <v>0.27</v>
      </c>
      <c r="G228" s="449">
        <v>0.22700000000000001</v>
      </c>
      <c r="H228" s="454">
        <v>0.317</v>
      </c>
      <c r="I228" s="451"/>
    </row>
    <row r="229" spans="1:24" ht="15.75" customHeight="1">
      <c r="A229" s="228">
        <v>40</v>
      </c>
      <c r="B229" s="75">
        <v>4</v>
      </c>
      <c r="C229" s="501">
        <v>9.5000000000000001E-2</v>
      </c>
      <c r="D229" s="449">
        <v>0.1</v>
      </c>
      <c r="E229" s="449">
        <v>0.89400000000000002</v>
      </c>
      <c r="F229" s="449">
        <v>0.23799999999999999</v>
      </c>
      <c r="G229" s="449">
        <v>0.20599999999999999</v>
      </c>
      <c r="H229" s="454">
        <v>0.25900000000000001</v>
      </c>
      <c r="I229" s="451"/>
    </row>
    <row r="230" spans="1:24" ht="15.75" customHeight="1">
      <c r="A230" s="230">
        <v>40</v>
      </c>
      <c r="B230" s="231">
        <v>5</v>
      </c>
      <c r="C230" s="502">
        <v>6.3E-2</v>
      </c>
      <c r="D230" s="450">
        <v>6.3E-2</v>
      </c>
      <c r="E230" s="450">
        <v>0.63400000000000001</v>
      </c>
      <c r="F230" s="450">
        <v>0.17399999999999999</v>
      </c>
      <c r="G230" s="450">
        <v>0.14799999999999999</v>
      </c>
      <c r="H230" s="455">
        <v>0.20100000000000001</v>
      </c>
      <c r="I230" s="451"/>
    </row>
    <row r="231" spans="1:24" ht="15.75" customHeight="1">
      <c r="A231" s="199">
        <v>41</v>
      </c>
      <c r="B231" s="200">
        <v>1</v>
      </c>
      <c r="C231" s="501"/>
      <c r="D231" s="451"/>
      <c r="E231" s="451"/>
      <c r="F231" s="451"/>
      <c r="G231" s="451"/>
      <c r="H231" s="451"/>
    </row>
    <row r="232" spans="1:24" ht="15.75" customHeight="1">
      <c r="A232" s="196">
        <v>41</v>
      </c>
      <c r="B232" s="201">
        <v>2</v>
      </c>
    </row>
    <row r="233" spans="1:24" ht="15.75" customHeight="1">
      <c r="A233" s="196">
        <v>41</v>
      </c>
      <c r="B233" s="201">
        <v>3</v>
      </c>
    </row>
    <row r="234" spans="1:24" ht="15.75" customHeight="1">
      <c r="A234" s="196">
        <v>41</v>
      </c>
      <c r="B234" s="201">
        <v>4</v>
      </c>
    </row>
    <row r="235" spans="1:24" ht="15.75" customHeight="1">
      <c r="A235" s="196">
        <v>41</v>
      </c>
      <c r="B235" s="201">
        <v>5</v>
      </c>
    </row>
    <row r="236" spans="1:24" ht="15.75" customHeight="1">
      <c r="A236" s="196">
        <v>41</v>
      </c>
      <c r="B236" s="201">
        <v>6</v>
      </c>
      <c r="C236" s="476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4" ht="15.75" customHeight="1">
      <c r="A237" s="199">
        <v>42</v>
      </c>
      <c r="B237" s="200" t="s">
        <v>221</v>
      </c>
      <c r="C237" s="477"/>
      <c r="D237" s="234"/>
      <c r="E237" s="234"/>
      <c r="F237" s="234"/>
      <c r="G237" s="234"/>
      <c r="H237" s="234"/>
      <c r="I237" s="234"/>
      <c r="J237" s="234"/>
      <c r="K237" s="234"/>
      <c r="L237" s="234"/>
      <c r="M237" s="234"/>
      <c r="N237" s="234"/>
      <c r="O237" s="234"/>
      <c r="P237" s="234"/>
      <c r="Q237" s="234"/>
      <c r="R237" s="234"/>
      <c r="S237" s="234"/>
      <c r="T237" s="234"/>
      <c r="U237" s="234"/>
      <c r="V237" s="234"/>
      <c r="W237" s="235"/>
      <c r="X237" s="2"/>
    </row>
    <row r="238" spans="1:24" ht="15.75" customHeight="1">
      <c r="A238" s="196">
        <v>42</v>
      </c>
      <c r="B238" s="201" t="s">
        <v>222</v>
      </c>
      <c r="C238" s="476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36"/>
      <c r="X238" s="2"/>
    </row>
    <row r="239" spans="1:24" ht="15.75" customHeight="1">
      <c r="A239" s="196">
        <v>42</v>
      </c>
      <c r="B239" s="201" t="s">
        <v>223</v>
      </c>
      <c r="C239" s="476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36"/>
      <c r="X239" s="2"/>
    </row>
    <row r="240" spans="1:24" ht="15.75" customHeight="1">
      <c r="A240" s="196">
        <v>42</v>
      </c>
      <c r="B240" s="201" t="s">
        <v>225</v>
      </c>
      <c r="C240" s="476">
        <v>9.9000000000000005E-2</v>
      </c>
      <c r="D240" s="2">
        <v>9.9000000000000005E-2</v>
      </c>
      <c r="E240" s="2">
        <v>9.8000000000000004E-2</v>
      </c>
      <c r="F240" s="2">
        <v>9.7000000000000003E-2</v>
      </c>
      <c r="G240" s="2">
        <v>9.4E-2</v>
      </c>
      <c r="H240" s="2">
        <v>9.1999999999999998E-2</v>
      </c>
      <c r="I240" s="2">
        <v>8.8999999999999996E-2</v>
      </c>
      <c r="J240" s="2">
        <v>8.5000000000000006E-2</v>
      </c>
      <c r="K240" s="2">
        <v>0.08</v>
      </c>
      <c r="L240" s="2">
        <v>7.2999999999999995E-2</v>
      </c>
      <c r="M240" s="2">
        <v>6.7000000000000004E-2</v>
      </c>
      <c r="N240" s="2">
        <v>6.2E-2</v>
      </c>
      <c r="O240" s="2">
        <v>5.7000000000000002E-2</v>
      </c>
      <c r="P240" s="2">
        <v>5.0999999999999997E-2</v>
      </c>
      <c r="Q240" s="2">
        <v>4.4999999999999998E-2</v>
      </c>
      <c r="R240" s="2"/>
      <c r="S240" s="2"/>
      <c r="T240" s="2"/>
      <c r="U240" s="2"/>
      <c r="V240" s="2"/>
      <c r="W240" s="236"/>
      <c r="X240" s="2"/>
    </row>
    <row r="241" spans="1:24" ht="15.75" customHeight="1">
      <c r="A241" s="196">
        <v>42</v>
      </c>
      <c r="B241" s="201" t="s">
        <v>226</v>
      </c>
      <c r="C241" s="476">
        <v>9.2999999999999999E-2</v>
      </c>
      <c r="D241" s="2">
        <v>9.1999999999999998E-2</v>
      </c>
      <c r="E241" s="2">
        <v>9.0999999999999998E-2</v>
      </c>
      <c r="F241" s="2">
        <v>8.8999999999999996E-2</v>
      </c>
      <c r="G241" s="2">
        <v>8.5999999999999993E-2</v>
      </c>
      <c r="H241" s="2">
        <v>8.3000000000000004E-2</v>
      </c>
      <c r="I241" s="2">
        <v>0.08</v>
      </c>
      <c r="J241" s="2">
        <v>7.4999999999999997E-2</v>
      </c>
      <c r="K241" s="2">
        <v>6.9000000000000006E-2</v>
      </c>
      <c r="L241" s="2">
        <v>6.2E-2</v>
      </c>
      <c r="M241" s="2">
        <v>5.6000000000000001E-2</v>
      </c>
      <c r="N241" s="2">
        <v>5.0999999999999997E-2</v>
      </c>
      <c r="O241" s="2">
        <v>4.4999999999999998E-2</v>
      </c>
      <c r="P241" s="2">
        <v>3.6999999999999998E-2</v>
      </c>
      <c r="Q241" s="2">
        <v>3.1E-2</v>
      </c>
      <c r="R241" s="2"/>
      <c r="S241" s="2"/>
      <c r="T241" s="2"/>
      <c r="U241" s="2"/>
      <c r="V241" s="2"/>
      <c r="W241" s="236"/>
      <c r="X241" s="2"/>
    </row>
    <row r="242" spans="1:24" ht="15.75" customHeight="1">
      <c r="A242" s="197">
        <v>42</v>
      </c>
      <c r="B242" s="202" t="s">
        <v>227</v>
      </c>
      <c r="C242" s="478">
        <v>9.2999999999999999E-2</v>
      </c>
      <c r="D242" s="34">
        <v>9.1999999999999998E-2</v>
      </c>
      <c r="E242" s="34">
        <v>9.0999999999999998E-2</v>
      </c>
      <c r="F242" s="34">
        <v>8.8999999999999996E-2</v>
      </c>
      <c r="G242" s="34">
        <v>8.5999999999999993E-2</v>
      </c>
      <c r="H242" s="34">
        <v>8.3000000000000004E-2</v>
      </c>
      <c r="I242" s="34">
        <v>0.08</v>
      </c>
      <c r="J242" s="34">
        <v>7.4999999999999997E-2</v>
      </c>
      <c r="K242" s="34">
        <v>6.9000000000000006E-2</v>
      </c>
      <c r="L242" s="34">
        <v>6.2E-2</v>
      </c>
      <c r="M242" s="34">
        <v>5.6000000000000001E-2</v>
      </c>
      <c r="N242" s="34">
        <v>5.0999999999999997E-2</v>
      </c>
      <c r="O242" s="34">
        <v>4.4999999999999998E-2</v>
      </c>
      <c r="P242" s="34">
        <v>3.6999999999999998E-2</v>
      </c>
      <c r="Q242" s="34">
        <v>3.1E-2</v>
      </c>
      <c r="R242" s="34"/>
      <c r="S242" s="34"/>
      <c r="T242" s="34"/>
      <c r="U242" s="34"/>
      <c r="V242" s="34"/>
      <c r="W242" s="237"/>
      <c r="X242" s="2"/>
    </row>
    <row r="243" spans="1:24" ht="15.75" customHeight="1">
      <c r="A243" s="229">
        <v>43</v>
      </c>
      <c r="B243" s="74">
        <v>1</v>
      </c>
      <c r="C243" s="476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4" ht="15.75" customHeight="1">
      <c r="A244" s="228">
        <v>43</v>
      </c>
      <c r="B244" s="75">
        <v>2</v>
      </c>
    </row>
    <row r="245" spans="1:24" ht="15.75" customHeight="1">
      <c r="A245" s="228">
        <v>43</v>
      </c>
      <c r="B245" s="75">
        <v>3</v>
      </c>
    </row>
    <row r="246" spans="1:24" ht="15.75" customHeight="1">
      <c r="A246" s="229">
        <v>44</v>
      </c>
      <c r="B246" s="74" t="s">
        <v>221</v>
      </c>
    </row>
    <row r="247" spans="1:24" ht="15.75" customHeight="1">
      <c r="A247" s="228">
        <v>44</v>
      </c>
      <c r="B247" s="75" t="s">
        <v>222</v>
      </c>
    </row>
    <row r="248" spans="1:24" ht="15.75" customHeight="1">
      <c r="A248" s="228">
        <v>44</v>
      </c>
      <c r="B248" s="75" t="s">
        <v>223</v>
      </c>
    </row>
    <row r="249" spans="1:24" ht="15.75" customHeight="1">
      <c r="A249" s="228">
        <v>44</v>
      </c>
      <c r="B249" s="75" t="s">
        <v>224</v>
      </c>
    </row>
    <row r="250" spans="1:24" ht="15.75" customHeight="1">
      <c r="A250" s="228">
        <v>44</v>
      </c>
      <c r="B250" s="75" t="s">
        <v>229</v>
      </c>
      <c r="N250" s="475"/>
    </row>
    <row r="251" spans="1:24" ht="15.75" customHeight="1">
      <c r="A251" s="228">
        <v>44</v>
      </c>
      <c r="B251" s="75" t="s">
        <v>225</v>
      </c>
    </row>
    <row r="252" spans="1:24" ht="15.75" customHeight="1">
      <c r="A252" s="228">
        <v>44</v>
      </c>
      <c r="B252" s="75" t="s">
        <v>226</v>
      </c>
    </row>
    <row r="253" spans="1:24" ht="15.75" customHeight="1">
      <c r="A253" s="228">
        <v>44</v>
      </c>
      <c r="B253" s="75" t="s">
        <v>227</v>
      </c>
    </row>
    <row r="254" spans="1:24" ht="15.75" customHeight="1">
      <c r="A254" s="228">
        <v>44</v>
      </c>
      <c r="B254" s="75" t="s">
        <v>228</v>
      </c>
    </row>
    <row r="255" spans="1:24" ht="15.75" customHeight="1">
      <c r="A255" s="228">
        <v>44</v>
      </c>
      <c r="B255" s="75" t="s">
        <v>230</v>
      </c>
      <c r="C255" s="476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</row>
    <row r="256" spans="1:24" ht="15.75" customHeight="1">
      <c r="A256" s="199">
        <v>45</v>
      </c>
      <c r="B256" s="200" t="s">
        <v>221</v>
      </c>
      <c r="C256" s="477"/>
      <c r="D256" s="234"/>
      <c r="E256" s="234"/>
      <c r="F256" s="234"/>
      <c r="G256" s="234"/>
      <c r="H256" s="234"/>
      <c r="I256" s="234"/>
      <c r="J256" s="234"/>
      <c r="K256" s="234"/>
      <c r="L256" s="234"/>
      <c r="M256" s="234"/>
      <c r="N256" s="234"/>
      <c r="O256" s="234"/>
      <c r="P256" s="234"/>
      <c r="Q256" s="234"/>
      <c r="R256" s="235"/>
      <c r="S256" s="2"/>
    </row>
    <row r="257" spans="1:22" ht="15.75" customHeight="1">
      <c r="A257" s="196">
        <v>45</v>
      </c>
      <c r="B257" s="201" t="s">
        <v>222</v>
      </c>
      <c r="C257" s="476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36"/>
      <c r="S257" s="2"/>
    </row>
    <row r="258" spans="1:22" ht="15.75" customHeight="1">
      <c r="A258" s="196">
        <v>45</v>
      </c>
      <c r="B258" s="201" t="s">
        <v>223</v>
      </c>
      <c r="C258" s="476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36"/>
      <c r="S258" s="2"/>
    </row>
    <row r="259" spans="1:22" ht="15.75" customHeight="1">
      <c r="A259" s="196">
        <v>45</v>
      </c>
      <c r="B259" s="201" t="s">
        <v>224</v>
      </c>
      <c r="C259" s="476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36"/>
      <c r="S259" s="2"/>
    </row>
    <row r="260" spans="1:22" ht="15.75" customHeight="1">
      <c r="A260" s="196">
        <v>45</v>
      </c>
      <c r="B260" s="201" t="s">
        <v>225</v>
      </c>
      <c r="C260" s="476">
        <v>4.1000000000000002E-2</v>
      </c>
      <c r="D260" s="2">
        <v>3.1E-2</v>
      </c>
      <c r="E260" s="2">
        <v>2.9000000000000001E-2</v>
      </c>
      <c r="F260" s="2">
        <v>3.3000000000000002E-2</v>
      </c>
      <c r="G260" s="2">
        <v>3.9E-2</v>
      </c>
      <c r="H260" s="2">
        <v>5.5E-2</v>
      </c>
      <c r="I260" s="2">
        <v>8.2000000000000003E-2</v>
      </c>
      <c r="J260" s="2">
        <v>7.5999999999999998E-2</v>
      </c>
      <c r="K260" s="2">
        <v>4.9000000000000002E-2</v>
      </c>
      <c r="L260" s="2">
        <v>3.7999999999999999E-2</v>
      </c>
      <c r="M260" s="2">
        <v>4.5999999999999999E-2</v>
      </c>
      <c r="N260" s="2">
        <v>6.2E-2</v>
      </c>
      <c r="O260" s="2">
        <v>8.1000000000000003E-2</v>
      </c>
      <c r="P260" s="2">
        <v>9.9000000000000005E-2</v>
      </c>
      <c r="Q260" s="2">
        <v>0.114</v>
      </c>
      <c r="R260" s="236">
        <v>0.123</v>
      </c>
      <c r="S260" s="2"/>
    </row>
    <row r="261" spans="1:22" ht="15.75" customHeight="1">
      <c r="A261" s="196">
        <v>45</v>
      </c>
      <c r="B261" s="201" t="s">
        <v>226</v>
      </c>
      <c r="C261" s="476">
        <v>3.1E-2</v>
      </c>
      <c r="D261" s="2">
        <v>2.3E-2</v>
      </c>
      <c r="E261" s="2">
        <v>2.3E-2</v>
      </c>
      <c r="F261" s="2">
        <v>2.7E-2</v>
      </c>
      <c r="G261" s="2">
        <v>4.2000000000000003E-2</v>
      </c>
      <c r="H261" s="2">
        <v>7.2999999999999995E-2</v>
      </c>
      <c r="I261" s="2">
        <v>0.126</v>
      </c>
      <c r="J261" s="2">
        <v>0.09</v>
      </c>
      <c r="K261" s="2">
        <v>4.4999999999999998E-2</v>
      </c>
      <c r="L261" s="2">
        <v>3.3000000000000002E-2</v>
      </c>
      <c r="M261" s="2">
        <v>3.9E-2</v>
      </c>
      <c r="N261" s="2">
        <v>5.1999999999999998E-2</v>
      </c>
      <c r="O261" s="2">
        <v>7.2999999999999995E-2</v>
      </c>
      <c r="P261" s="2">
        <v>0.09</v>
      </c>
      <c r="Q261" s="2">
        <v>0.10199999999999999</v>
      </c>
      <c r="R261" s="236"/>
      <c r="S261" s="2"/>
    </row>
    <row r="262" spans="1:22" ht="15.75" customHeight="1">
      <c r="A262" s="196">
        <v>45</v>
      </c>
      <c r="B262" s="201" t="s">
        <v>227</v>
      </c>
      <c r="C262" s="476">
        <v>6.6000000000000003E-2</v>
      </c>
      <c r="D262" s="2">
        <v>4.5999999999999999E-2</v>
      </c>
      <c r="E262" s="2">
        <v>4.3999999999999997E-2</v>
      </c>
      <c r="F262" s="2">
        <v>5.3999999999999999E-2</v>
      </c>
      <c r="G262" s="2">
        <v>7.0000000000000007E-2</v>
      </c>
      <c r="H262" s="2">
        <v>0.10100000000000001</v>
      </c>
      <c r="I262" s="2">
        <v>0.14199999999999999</v>
      </c>
      <c r="J262" s="2">
        <v>0.127</v>
      </c>
      <c r="K262" s="2">
        <v>8.5000000000000006E-2</v>
      </c>
      <c r="L262" s="2">
        <v>6.4000000000000001E-2</v>
      </c>
      <c r="M262" s="2">
        <v>5.8000000000000003E-2</v>
      </c>
      <c r="N262" s="2">
        <v>6.2E-2</v>
      </c>
      <c r="O262" s="2">
        <v>7.9000000000000001E-2</v>
      </c>
      <c r="P262" s="2">
        <v>9.6000000000000002E-2</v>
      </c>
      <c r="Q262" s="2">
        <v>8.8999999999999996E-2</v>
      </c>
      <c r="R262" s="236"/>
      <c r="S262" s="2"/>
    </row>
    <row r="263" spans="1:22" ht="15.75" customHeight="1">
      <c r="A263" s="196">
        <v>45</v>
      </c>
      <c r="B263" s="201" t="s">
        <v>228</v>
      </c>
      <c r="C263" s="476">
        <v>7.1999999999999995E-2</v>
      </c>
      <c r="D263" s="2">
        <v>4.5999999999999999E-2</v>
      </c>
      <c r="E263" s="2">
        <v>3.9E-2</v>
      </c>
      <c r="F263" s="2">
        <v>4.2000000000000003E-2</v>
      </c>
      <c r="G263" s="2">
        <v>6.6000000000000003E-2</v>
      </c>
      <c r="H263" s="2">
        <v>0.125</v>
      </c>
      <c r="I263" s="2">
        <v>0.17299999999999999</v>
      </c>
      <c r="J263" s="2">
        <v>0.11600000000000001</v>
      </c>
      <c r="K263" s="2">
        <v>6.4000000000000001E-2</v>
      </c>
      <c r="L263" s="2">
        <v>4.5999999999999999E-2</v>
      </c>
      <c r="M263" s="2">
        <v>4.4999999999999998E-2</v>
      </c>
      <c r="N263" s="2">
        <v>5.0999999999999997E-2</v>
      </c>
      <c r="O263" s="2">
        <v>6.7000000000000004E-2</v>
      </c>
      <c r="P263" s="2">
        <v>8.2000000000000003E-2</v>
      </c>
      <c r="Q263" s="2">
        <v>9.1999999999999998E-2</v>
      </c>
      <c r="R263" s="236">
        <v>9.8000000000000004E-2</v>
      </c>
      <c r="S263" s="2"/>
      <c r="T263" s="2"/>
      <c r="U263" s="2"/>
    </row>
    <row r="264" spans="1:22" ht="15.75" customHeight="1">
      <c r="A264" s="199">
        <v>46</v>
      </c>
      <c r="B264" s="200">
        <v>1</v>
      </c>
      <c r="C264" s="477">
        <v>1.389</v>
      </c>
      <c r="D264" s="234">
        <v>1.0660000000000001</v>
      </c>
      <c r="E264" s="234">
        <v>1.0660000000000001</v>
      </c>
      <c r="F264" s="234">
        <v>1.0109999999999999</v>
      </c>
      <c r="G264" s="234">
        <v>1.089</v>
      </c>
      <c r="H264" s="234">
        <v>1.2230000000000001</v>
      </c>
      <c r="I264" s="234">
        <v>1.4339999999999999</v>
      </c>
      <c r="J264" s="234">
        <v>1.718</v>
      </c>
      <c r="K264" s="234">
        <v>2.0579999999999998</v>
      </c>
      <c r="L264" s="234">
        <v>2.5710000000000002</v>
      </c>
      <c r="M264" s="234">
        <v>3.4239999999999999</v>
      </c>
      <c r="N264" s="234">
        <v>4.4169999999999998</v>
      </c>
      <c r="O264" s="234">
        <v>5.6379999999999999</v>
      </c>
      <c r="P264" s="234">
        <v>6.9710000000000001</v>
      </c>
      <c r="Q264" s="234">
        <v>7.1970000000000001</v>
      </c>
      <c r="R264" s="234">
        <v>6.4039999999999999</v>
      </c>
      <c r="S264" s="234">
        <v>7.43</v>
      </c>
      <c r="T264" s="234">
        <v>5.8209999999999997</v>
      </c>
      <c r="U264" s="235">
        <v>4.758</v>
      </c>
      <c r="V264" s="2"/>
    </row>
    <row r="265" spans="1:22" ht="15.75" customHeight="1">
      <c r="A265" s="196">
        <v>46</v>
      </c>
      <c r="B265" s="201">
        <v>2</v>
      </c>
      <c r="C265" s="476">
        <v>0.105</v>
      </c>
      <c r="D265" s="2">
        <v>7.3999999999999996E-2</v>
      </c>
      <c r="E265" s="2">
        <v>6.8000000000000005E-2</v>
      </c>
      <c r="F265" s="2">
        <v>6.3E-2</v>
      </c>
      <c r="G265" s="2">
        <v>6.3E-2</v>
      </c>
      <c r="H265" s="2">
        <v>6.2E-2</v>
      </c>
      <c r="I265" s="2">
        <v>6.5000000000000002E-2</v>
      </c>
      <c r="J265" s="2">
        <v>6.8000000000000005E-2</v>
      </c>
      <c r="K265" s="2">
        <v>7.2999999999999995E-2</v>
      </c>
      <c r="L265" s="2">
        <v>0.08</v>
      </c>
      <c r="M265" s="2">
        <v>9.0999999999999998E-2</v>
      </c>
      <c r="N265" s="2">
        <v>0.10199999999999999</v>
      </c>
      <c r="O265" s="2">
        <v>0.11899999999999999</v>
      </c>
      <c r="P265" s="2">
        <v>0.13600000000000001</v>
      </c>
      <c r="Q265" s="2">
        <v>0.16500000000000001</v>
      </c>
      <c r="R265" s="2">
        <v>0.193</v>
      </c>
      <c r="S265" s="2">
        <v>0.22900000000000001</v>
      </c>
      <c r="T265" s="2">
        <v>0.27100000000000002</v>
      </c>
      <c r="U265" s="236">
        <v>0.32100000000000001</v>
      </c>
      <c r="V265" s="2"/>
    </row>
    <row r="266" spans="1:22" ht="15.75" customHeight="1">
      <c r="A266" s="196">
        <v>46</v>
      </c>
      <c r="B266" s="201">
        <v>3</v>
      </c>
      <c r="C266" s="476">
        <v>0.122</v>
      </c>
      <c r="D266" s="2">
        <v>9.5000000000000001E-2</v>
      </c>
      <c r="E266" s="2">
        <v>8.3000000000000004E-2</v>
      </c>
      <c r="F266" s="2">
        <v>7.8E-2</v>
      </c>
      <c r="G266" s="2">
        <v>7.8E-2</v>
      </c>
      <c r="H266" s="2">
        <v>7.4999999999999997E-2</v>
      </c>
      <c r="I266" s="2">
        <v>8.1000000000000003E-2</v>
      </c>
      <c r="J266" s="2">
        <v>8.7999999999999995E-2</v>
      </c>
      <c r="K266" s="2">
        <v>9.0999999999999998E-2</v>
      </c>
      <c r="L266" s="2">
        <v>0.104</v>
      </c>
      <c r="M266" s="2">
        <v>0.11899999999999999</v>
      </c>
      <c r="N266" s="2">
        <v>0.13700000000000001</v>
      </c>
      <c r="O266" s="2">
        <v>0.16</v>
      </c>
      <c r="P266" s="2">
        <v>0.191</v>
      </c>
      <c r="Q266" s="2">
        <v>0.224</v>
      </c>
      <c r="R266" s="2">
        <v>0.26</v>
      </c>
      <c r="S266" s="2">
        <v>0.311</v>
      </c>
      <c r="T266" s="2">
        <v>0.35699999999999998</v>
      </c>
      <c r="U266" s="236">
        <v>0.42299999999999999</v>
      </c>
      <c r="V266" s="2"/>
    </row>
    <row r="267" spans="1:22" ht="15.75" customHeight="1">
      <c r="A267" s="196">
        <v>46</v>
      </c>
      <c r="B267" s="201">
        <v>4</v>
      </c>
      <c r="C267" s="476">
        <v>0.122</v>
      </c>
      <c r="D267" s="2">
        <v>0.09</v>
      </c>
      <c r="E267" s="2">
        <v>7.9000000000000001E-2</v>
      </c>
      <c r="F267" s="2">
        <v>7.1999999999999995E-2</v>
      </c>
      <c r="G267" s="2">
        <v>7.0000000000000007E-2</v>
      </c>
      <c r="H267" s="2">
        <v>6.9000000000000006E-2</v>
      </c>
      <c r="I267" s="2">
        <v>7.4999999999999997E-2</v>
      </c>
      <c r="J267" s="2">
        <v>7.8E-2</v>
      </c>
      <c r="K267" s="2">
        <v>8.3000000000000004E-2</v>
      </c>
      <c r="L267" s="2">
        <v>9.1999999999999998E-2</v>
      </c>
      <c r="M267" s="2">
        <v>0.105</v>
      </c>
      <c r="N267" s="2">
        <v>0.121</v>
      </c>
      <c r="O267" s="2">
        <v>0.14299999999999999</v>
      </c>
      <c r="P267" s="2">
        <v>0.158</v>
      </c>
      <c r="Q267" s="2">
        <v>0.189</v>
      </c>
      <c r="R267" s="2">
        <v>0.22600000000000001</v>
      </c>
      <c r="S267" s="2">
        <v>0.26500000000000001</v>
      </c>
      <c r="T267" s="2">
        <v>0.311</v>
      </c>
      <c r="U267" s="236">
        <v>0.36099999999999999</v>
      </c>
      <c r="V267" s="2"/>
    </row>
    <row r="268" spans="1:22" ht="15.75" customHeight="1">
      <c r="A268" s="196">
        <v>46</v>
      </c>
      <c r="B268" s="201">
        <v>5</v>
      </c>
      <c r="C268" s="476">
        <v>0.13700000000000001</v>
      </c>
      <c r="D268" s="2">
        <v>8.3000000000000004E-2</v>
      </c>
      <c r="E268" s="2">
        <v>7.8E-2</v>
      </c>
      <c r="F268" s="2">
        <v>8.1000000000000003E-2</v>
      </c>
      <c r="G268" s="2">
        <v>7.5999999999999998E-2</v>
      </c>
      <c r="H268" s="2">
        <v>8.2000000000000003E-2</v>
      </c>
      <c r="I268" s="2">
        <v>8.7999999999999995E-2</v>
      </c>
      <c r="J268" s="2">
        <v>9.8000000000000004E-2</v>
      </c>
      <c r="K268" s="2">
        <v>0.104</v>
      </c>
      <c r="L268" s="2">
        <v>0.11600000000000001</v>
      </c>
      <c r="M268" s="2">
        <v>0.13600000000000001</v>
      </c>
      <c r="N268" s="2">
        <v>0.158</v>
      </c>
      <c r="O268" s="2">
        <v>0.191</v>
      </c>
      <c r="P268" s="2">
        <v>0.219</v>
      </c>
      <c r="Q268" s="2">
        <v>0.26500000000000001</v>
      </c>
      <c r="R268" s="2">
        <v>0.311</v>
      </c>
      <c r="S268" s="2">
        <v>0.36899999999999999</v>
      </c>
      <c r="T268" s="2">
        <v>0.44600000000000001</v>
      </c>
      <c r="U268" s="236">
        <v>0.50700000000000001</v>
      </c>
      <c r="V268" s="2"/>
    </row>
    <row r="269" spans="1:22" ht="15.75" customHeight="1">
      <c r="A269" s="196">
        <v>46</v>
      </c>
      <c r="B269" s="201">
        <v>6</v>
      </c>
      <c r="C269" s="476">
        <v>0.751</v>
      </c>
      <c r="D269" s="2">
        <v>0.496</v>
      </c>
      <c r="E269" s="2">
        <v>0.42299999999999999</v>
      </c>
      <c r="F269" s="2">
        <v>0.38900000000000001</v>
      </c>
      <c r="G269" s="2">
        <v>0.38900000000000001</v>
      </c>
      <c r="H269" s="2">
        <v>0.38900000000000001</v>
      </c>
      <c r="I269" s="2">
        <v>0.42299999999999999</v>
      </c>
      <c r="J269" s="2">
        <v>0.45100000000000001</v>
      </c>
      <c r="K269" s="2">
        <v>0.496</v>
      </c>
      <c r="L269" s="2">
        <v>0.56999999999999995</v>
      </c>
      <c r="M269" s="2">
        <v>0.62</v>
      </c>
      <c r="N269" s="2">
        <v>0.70499999999999996</v>
      </c>
      <c r="O269" s="2">
        <v>0.76700000000000002</v>
      </c>
      <c r="P269" s="34">
        <v>0.86199999999999999</v>
      </c>
      <c r="Q269" s="34">
        <v>0.94799999999999995</v>
      </c>
      <c r="R269" s="34">
        <v>1.21</v>
      </c>
      <c r="S269" s="34">
        <v>1.173</v>
      </c>
      <c r="T269" s="34">
        <v>1.276</v>
      </c>
      <c r="U269" s="237">
        <v>1.4039999999999999</v>
      </c>
      <c r="V269" s="2"/>
    </row>
    <row r="270" spans="1:22" ht="15.75" customHeight="1">
      <c r="A270" s="199">
        <v>47</v>
      </c>
      <c r="B270" s="200" t="s">
        <v>221</v>
      </c>
      <c r="C270" s="477"/>
      <c r="D270" s="234"/>
      <c r="E270" s="234"/>
      <c r="F270" s="234"/>
      <c r="G270" s="234"/>
      <c r="H270" s="234"/>
      <c r="I270" s="234"/>
      <c r="J270" s="234"/>
      <c r="K270" s="234"/>
      <c r="L270" s="234"/>
      <c r="M270" s="234"/>
      <c r="N270" s="234"/>
      <c r="O270" s="235"/>
      <c r="P270" s="2"/>
      <c r="Q270" s="2"/>
      <c r="R270" s="2"/>
      <c r="S270" s="2"/>
      <c r="T270" s="2"/>
      <c r="U270" s="2"/>
    </row>
    <row r="271" spans="1:22" ht="15.75" customHeight="1">
      <c r="A271" s="196">
        <v>47</v>
      </c>
      <c r="B271" s="201">
        <v>2</v>
      </c>
      <c r="C271" s="476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36"/>
      <c r="P271" s="2"/>
    </row>
    <row r="272" spans="1:22" ht="15.75" customHeight="1">
      <c r="A272" s="196">
        <v>47</v>
      </c>
      <c r="B272" s="201">
        <v>3</v>
      </c>
      <c r="C272" s="476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36"/>
      <c r="P272" s="2"/>
    </row>
    <row r="273" spans="1:16" ht="15.75" customHeight="1">
      <c r="A273" s="196">
        <v>47</v>
      </c>
      <c r="B273" s="201" t="s">
        <v>224</v>
      </c>
      <c r="C273" s="476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36"/>
      <c r="P273" s="2"/>
    </row>
    <row r="274" spans="1:16" ht="15.75" customHeight="1">
      <c r="A274" s="196">
        <v>47</v>
      </c>
      <c r="B274" s="201">
        <v>5</v>
      </c>
      <c r="C274" s="476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36"/>
      <c r="P274" s="2"/>
    </row>
    <row r="275" spans="1:16" ht="15.75" customHeight="1">
      <c r="A275" s="196">
        <v>47</v>
      </c>
      <c r="B275" s="201" t="s">
        <v>225</v>
      </c>
      <c r="C275" s="476">
        <v>2.3E-2</v>
      </c>
      <c r="D275" s="2">
        <v>2.5999999999999999E-2</v>
      </c>
      <c r="E275" s="2">
        <v>2.7E-2</v>
      </c>
      <c r="F275" s="2">
        <v>2.9000000000000001E-2</v>
      </c>
      <c r="G275" s="2">
        <v>3.5999999999999997E-2</v>
      </c>
      <c r="H275" s="2">
        <v>0.05</v>
      </c>
      <c r="I275" s="2">
        <v>5.1999999999999998E-2</v>
      </c>
      <c r="J275" s="2">
        <v>4.2999999999999997E-2</v>
      </c>
      <c r="K275" s="2">
        <v>3.4000000000000002E-2</v>
      </c>
      <c r="L275" s="2">
        <v>3.4000000000000002E-2</v>
      </c>
      <c r="M275" s="2">
        <v>4.5999999999999999E-2</v>
      </c>
      <c r="N275" s="2">
        <v>7.8E-2</v>
      </c>
      <c r="O275" s="236">
        <v>0.105</v>
      </c>
      <c r="P275" s="2"/>
    </row>
    <row r="276" spans="1:16" ht="15.75" customHeight="1">
      <c r="A276" s="197">
        <v>47</v>
      </c>
      <c r="B276" s="202" t="s">
        <v>228</v>
      </c>
      <c r="C276" s="478">
        <v>1.2999999999999999E-2</v>
      </c>
      <c r="D276" s="34">
        <v>1.4999999999999999E-2</v>
      </c>
      <c r="E276" s="34">
        <v>1.4999999999999999E-2</v>
      </c>
      <c r="F276" s="34">
        <v>1.7999999999999999E-2</v>
      </c>
      <c r="G276" s="34">
        <v>2.3E-2</v>
      </c>
      <c r="H276" s="34">
        <v>2.8000000000000001E-2</v>
      </c>
      <c r="I276" s="34">
        <v>3.3000000000000002E-2</v>
      </c>
      <c r="J276" s="34">
        <v>3.2000000000000001E-2</v>
      </c>
      <c r="K276" s="34">
        <v>2.9000000000000001E-2</v>
      </c>
      <c r="L276" s="34">
        <v>3.3000000000000002E-2</v>
      </c>
      <c r="M276" s="34">
        <v>5.3999999999999999E-2</v>
      </c>
      <c r="N276" s="34">
        <v>7.6999999999999999E-2</v>
      </c>
      <c r="O276" s="237">
        <v>0.105</v>
      </c>
      <c r="P276" s="2"/>
    </row>
    <row r="277" spans="1:16" ht="15.75" customHeight="1">
      <c r="A277" s="199">
        <v>48</v>
      </c>
      <c r="B277" s="200">
        <v>1</v>
      </c>
      <c r="C277" s="476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spans="1:16" ht="15.75" customHeight="1">
      <c r="A278" s="196">
        <v>48</v>
      </c>
      <c r="B278" s="201">
        <v>2</v>
      </c>
    </row>
    <row r="279" spans="1:16" ht="15.75" customHeight="1">
      <c r="A279" s="196">
        <v>48</v>
      </c>
      <c r="B279" s="201">
        <v>3</v>
      </c>
    </row>
    <row r="280" spans="1:16" ht="15.75" customHeight="1">
      <c r="A280" s="196">
        <v>48</v>
      </c>
      <c r="B280" s="201">
        <v>4</v>
      </c>
    </row>
    <row r="281" spans="1:16" ht="15.75" customHeight="1">
      <c r="A281" s="196">
        <v>48</v>
      </c>
      <c r="B281" s="201">
        <v>5</v>
      </c>
    </row>
    <row r="282" spans="1:16" ht="15.75" customHeight="1">
      <c r="A282" s="196">
        <v>48</v>
      </c>
      <c r="B282" s="201">
        <v>6</v>
      </c>
    </row>
    <row r="283" spans="1:16" ht="15.75" customHeight="1">
      <c r="A283" s="196">
        <v>48</v>
      </c>
      <c r="B283" s="201">
        <v>7</v>
      </c>
    </row>
    <row r="284" spans="1:16" ht="15.75" customHeight="1">
      <c r="A284" s="196">
        <v>48</v>
      </c>
      <c r="B284" s="201">
        <v>8</v>
      </c>
    </row>
    <row r="285" spans="1:16" ht="15.75" customHeight="1">
      <c r="A285" s="196">
        <v>48</v>
      </c>
      <c r="B285" s="201">
        <v>9</v>
      </c>
    </row>
    <row r="286" spans="1:16" ht="15.75" customHeight="1">
      <c r="A286" s="196">
        <v>48</v>
      </c>
      <c r="B286" s="201">
        <v>10</v>
      </c>
    </row>
    <row r="287" spans="1:16" ht="15.75" customHeight="1">
      <c r="A287" s="196">
        <v>48</v>
      </c>
      <c r="B287" s="201">
        <v>11</v>
      </c>
    </row>
    <row r="288" spans="1:16" ht="15.75" customHeight="1">
      <c r="A288" s="196">
        <v>48</v>
      </c>
      <c r="B288" s="201">
        <v>12</v>
      </c>
    </row>
    <row r="289" spans="1:10" ht="15.75" customHeight="1">
      <c r="A289" s="309">
        <v>49</v>
      </c>
      <c r="B289" s="74">
        <v>1</v>
      </c>
    </row>
    <row r="290" spans="1:10" ht="15.75" customHeight="1">
      <c r="A290" s="238">
        <v>49</v>
      </c>
      <c r="B290" s="75">
        <v>2</v>
      </c>
    </row>
    <row r="291" spans="1:10" ht="15.75" customHeight="1">
      <c r="A291" s="238">
        <v>49</v>
      </c>
      <c r="B291" s="75">
        <v>3</v>
      </c>
    </row>
    <row r="292" spans="1:10" ht="15.75" customHeight="1">
      <c r="A292" s="311">
        <v>49</v>
      </c>
      <c r="B292" s="231">
        <v>4</v>
      </c>
    </row>
    <row r="293" spans="1:10" ht="15.75" customHeight="1">
      <c r="A293" s="233">
        <v>50</v>
      </c>
      <c r="B293" s="75">
        <v>1</v>
      </c>
    </row>
    <row r="294" spans="1:10" ht="15.75" customHeight="1">
      <c r="A294" s="233">
        <v>50</v>
      </c>
      <c r="B294" s="75">
        <v>2</v>
      </c>
    </row>
    <row r="295" spans="1:10" ht="15.75" customHeight="1">
      <c r="A295" s="233">
        <v>50</v>
      </c>
      <c r="B295" s="75">
        <v>3</v>
      </c>
    </row>
    <row r="296" spans="1:10" ht="15.75" customHeight="1">
      <c r="A296" s="233">
        <v>50</v>
      </c>
      <c r="B296" s="75">
        <v>4</v>
      </c>
      <c r="C296" s="476"/>
      <c r="D296" s="2"/>
      <c r="E296" s="2"/>
      <c r="F296" s="2"/>
      <c r="G296" s="2"/>
      <c r="H296" s="2"/>
      <c r="I296" s="2"/>
    </row>
    <row r="297" spans="1:10" ht="15.75" customHeight="1">
      <c r="A297" s="229">
        <v>51</v>
      </c>
      <c r="B297" s="74">
        <v>1</v>
      </c>
      <c r="C297" s="477">
        <v>2.4E-2</v>
      </c>
      <c r="D297" s="234">
        <v>3.5999999999999997E-2</v>
      </c>
      <c r="E297" s="234">
        <v>0.08</v>
      </c>
      <c r="F297" s="234">
        <v>9.2999999999999999E-2</v>
      </c>
      <c r="G297" s="234">
        <v>0.06</v>
      </c>
      <c r="H297" s="234">
        <v>0.09</v>
      </c>
      <c r="I297" s="235">
        <v>0.112</v>
      </c>
      <c r="J297" s="2"/>
    </row>
    <row r="298" spans="1:10" ht="15.75" customHeight="1">
      <c r="A298" s="228">
        <v>51</v>
      </c>
      <c r="B298" s="75">
        <v>2</v>
      </c>
      <c r="C298" s="476">
        <v>3.5000000000000003E-2</v>
      </c>
      <c r="D298" s="2">
        <v>4.2000000000000003E-2</v>
      </c>
      <c r="E298" s="2">
        <v>6.6000000000000003E-2</v>
      </c>
      <c r="F298" s="2">
        <v>6.5000000000000002E-2</v>
      </c>
      <c r="G298" s="2">
        <v>5.1999999999999998E-2</v>
      </c>
      <c r="H298" s="2">
        <v>7.5999999999999998E-2</v>
      </c>
      <c r="I298" s="236">
        <v>9.8000000000000004E-2</v>
      </c>
      <c r="J298" s="2"/>
    </row>
    <row r="299" spans="1:10" ht="15.75" customHeight="1">
      <c r="A299" s="228">
        <v>51</v>
      </c>
      <c r="B299" s="75">
        <v>3</v>
      </c>
      <c r="C299" s="476">
        <v>3.3000000000000002E-2</v>
      </c>
      <c r="D299" s="2">
        <v>0.04</v>
      </c>
      <c r="E299" s="2">
        <v>6.5000000000000002E-2</v>
      </c>
      <c r="F299" s="2">
        <v>6.7000000000000004E-2</v>
      </c>
      <c r="G299" s="2">
        <v>5.3999999999999999E-2</v>
      </c>
      <c r="H299" s="2">
        <v>7.1999999999999995E-2</v>
      </c>
      <c r="I299" s="236">
        <v>9.4E-2</v>
      </c>
      <c r="J299" s="2"/>
    </row>
    <row r="300" spans="1:10" ht="15.75" customHeight="1">
      <c r="A300" s="228">
        <v>51</v>
      </c>
      <c r="B300" s="75">
        <v>4</v>
      </c>
      <c r="C300" s="476">
        <v>3.5000000000000003E-2</v>
      </c>
      <c r="D300" s="2">
        <v>4.1000000000000002E-2</v>
      </c>
      <c r="E300" s="2">
        <v>7.8E-2</v>
      </c>
      <c r="F300" s="2">
        <v>8.5999999999999993E-2</v>
      </c>
      <c r="G300" s="2">
        <v>5.6000000000000001E-2</v>
      </c>
      <c r="H300" s="2">
        <v>7.1999999999999995E-2</v>
      </c>
      <c r="I300" s="236">
        <v>8.8999999999999996E-2</v>
      </c>
      <c r="J300" s="2"/>
    </row>
    <row r="301" spans="1:10" ht="15.75" customHeight="1">
      <c r="A301" s="228">
        <v>51</v>
      </c>
      <c r="B301" s="75">
        <v>5</v>
      </c>
      <c r="C301" s="476">
        <v>3.6999999999999998E-2</v>
      </c>
      <c r="D301" s="2">
        <v>4.5999999999999999E-2</v>
      </c>
      <c r="E301" s="2">
        <v>7.2999999999999995E-2</v>
      </c>
      <c r="F301" s="2">
        <v>6.7000000000000004E-2</v>
      </c>
      <c r="G301" s="2">
        <v>5.0999999999999997E-2</v>
      </c>
      <c r="H301" s="2">
        <v>6.8000000000000005E-2</v>
      </c>
      <c r="I301" s="236">
        <v>8.6999999999999994E-2</v>
      </c>
      <c r="J301" s="2"/>
    </row>
    <row r="302" spans="1:10" ht="15.75" customHeight="1">
      <c r="A302" s="228">
        <v>51</v>
      </c>
      <c r="B302" s="75">
        <v>6</v>
      </c>
      <c r="C302" s="476">
        <v>2.9000000000000001E-2</v>
      </c>
      <c r="D302" s="2">
        <v>3.9E-2</v>
      </c>
      <c r="E302" s="2">
        <v>7.4999999999999997E-2</v>
      </c>
      <c r="F302" s="2">
        <v>6.9000000000000006E-2</v>
      </c>
      <c r="G302" s="2">
        <v>5.3999999999999999E-2</v>
      </c>
      <c r="H302" s="2">
        <v>7.0000000000000007E-2</v>
      </c>
      <c r="I302" s="236">
        <v>8.8999999999999996E-2</v>
      </c>
      <c r="J302" s="2"/>
    </row>
    <row r="303" spans="1:10" ht="15.75" customHeight="1">
      <c r="A303" s="230">
        <v>51</v>
      </c>
      <c r="B303" s="231">
        <v>7</v>
      </c>
      <c r="C303" s="478">
        <v>3.9E-2</v>
      </c>
      <c r="D303" s="34">
        <v>4.8000000000000001E-2</v>
      </c>
      <c r="E303" s="34">
        <v>8.1000000000000003E-2</v>
      </c>
      <c r="F303" s="34">
        <v>7.9000000000000001E-2</v>
      </c>
      <c r="G303" s="34">
        <v>5.8999999999999997E-2</v>
      </c>
      <c r="H303" s="34">
        <v>7.0999999999999994E-2</v>
      </c>
      <c r="I303" s="237">
        <v>8.6999999999999994E-2</v>
      </c>
      <c r="J303" s="2"/>
    </row>
    <row r="304" spans="1:10" ht="15.75" customHeight="1">
      <c r="A304" s="233">
        <v>52</v>
      </c>
      <c r="B304" s="201">
        <v>1</v>
      </c>
      <c r="C304" s="476"/>
      <c r="D304" s="2"/>
      <c r="E304" s="2"/>
      <c r="F304" s="2"/>
      <c r="G304" s="2"/>
      <c r="H304" s="2"/>
      <c r="I304" s="2"/>
    </row>
    <row r="305" spans="1:10" ht="15.75" customHeight="1">
      <c r="A305" s="233">
        <v>52</v>
      </c>
      <c r="B305" s="201">
        <v>2</v>
      </c>
    </row>
    <row r="306" spans="1:10" ht="15.75" customHeight="1">
      <c r="A306" s="233">
        <v>52</v>
      </c>
      <c r="B306" s="201">
        <v>3</v>
      </c>
    </row>
    <row r="307" spans="1:10" ht="15.75" customHeight="1">
      <c r="A307" s="241">
        <v>52</v>
      </c>
      <c r="B307" s="202">
        <v>4</v>
      </c>
    </row>
    <row r="308" spans="1:10" ht="15.75" customHeight="1">
      <c r="A308" s="233">
        <v>53</v>
      </c>
      <c r="B308" s="201">
        <v>1</v>
      </c>
    </row>
    <row r="309" spans="1:10" ht="15.75" customHeight="1">
      <c r="A309" s="233">
        <v>53</v>
      </c>
      <c r="B309" s="201">
        <v>2</v>
      </c>
    </row>
    <row r="310" spans="1:10" ht="15.75" customHeight="1">
      <c r="A310" s="233">
        <v>53</v>
      </c>
      <c r="B310" s="201">
        <v>3</v>
      </c>
    </row>
    <row r="311" spans="1:10" ht="15.75" customHeight="1">
      <c r="A311" s="233">
        <v>53</v>
      </c>
      <c r="B311" s="201">
        <v>4</v>
      </c>
    </row>
    <row r="312" spans="1:10" ht="15.75" customHeight="1">
      <c r="A312" s="233">
        <v>53</v>
      </c>
      <c r="B312" s="201">
        <v>5</v>
      </c>
      <c r="C312" s="476"/>
      <c r="D312" s="2"/>
      <c r="E312" s="2"/>
      <c r="F312" s="2"/>
      <c r="G312" s="2"/>
      <c r="H312" s="2"/>
      <c r="I312" s="2"/>
    </row>
    <row r="313" spans="1:10" ht="15.75" customHeight="1">
      <c r="A313" s="229">
        <v>54</v>
      </c>
      <c r="B313" s="200">
        <v>1</v>
      </c>
      <c r="C313" s="477">
        <v>9.9000000000000005E-2</v>
      </c>
      <c r="D313" s="234">
        <v>9.6000000000000002E-2</v>
      </c>
      <c r="E313" s="234">
        <v>0.112</v>
      </c>
      <c r="F313" s="234">
        <v>0.11</v>
      </c>
      <c r="G313" s="234">
        <v>9.6000000000000002E-2</v>
      </c>
      <c r="H313" s="234">
        <v>9.6000000000000002E-2</v>
      </c>
      <c r="I313" s="235">
        <v>0.11700000000000001</v>
      </c>
      <c r="J313" s="2"/>
    </row>
    <row r="314" spans="1:10" ht="15.75" customHeight="1">
      <c r="A314" s="228">
        <v>54</v>
      </c>
      <c r="B314" s="201">
        <v>2</v>
      </c>
      <c r="C314" s="476">
        <v>3.6999999999999998E-2</v>
      </c>
      <c r="D314" s="2">
        <v>4.3999999999999997E-2</v>
      </c>
      <c r="E314" s="2">
        <v>9.0999999999999998E-2</v>
      </c>
      <c r="F314" s="2">
        <v>8.4000000000000005E-2</v>
      </c>
      <c r="G314" s="2">
        <v>5.7000000000000002E-2</v>
      </c>
      <c r="H314" s="2">
        <v>5.8000000000000003E-2</v>
      </c>
      <c r="I314" s="236">
        <v>7.2999999999999995E-2</v>
      </c>
      <c r="J314" s="2"/>
    </row>
    <row r="315" spans="1:10" ht="15.75" customHeight="1">
      <c r="A315" s="228">
        <v>54</v>
      </c>
      <c r="B315" s="201">
        <v>3</v>
      </c>
      <c r="C315" s="476">
        <v>2.5999999999999999E-2</v>
      </c>
      <c r="D315" s="2">
        <v>3.5000000000000003E-2</v>
      </c>
      <c r="E315" s="2">
        <v>7.5999999999999998E-2</v>
      </c>
      <c r="F315" s="2">
        <v>7.5999999999999998E-2</v>
      </c>
      <c r="G315" s="2">
        <v>6.0999999999999999E-2</v>
      </c>
      <c r="H315" s="2">
        <v>5.8999999999999997E-2</v>
      </c>
      <c r="I315" s="236">
        <v>7.0999999999999994E-2</v>
      </c>
      <c r="J315" s="2"/>
    </row>
    <row r="316" spans="1:10" ht="15.75" customHeight="1">
      <c r="A316" s="230">
        <v>54</v>
      </c>
      <c r="B316" s="202">
        <v>4</v>
      </c>
      <c r="C316" s="478">
        <v>7.0000000000000007E-2</v>
      </c>
      <c r="D316" s="34">
        <v>8.8999999999999996E-2</v>
      </c>
      <c r="E316" s="34">
        <v>0.10199999999999999</v>
      </c>
      <c r="F316" s="34">
        <v>9.0999999999999998E-2</v>
      </c>
      <c r="G316" s="34">
        <v>0.09</v>
      </c>
      <c r="H316" s="34">
        <v>0.1</v>
      </c>
      <c r="I316" s="237">
        <v>0.11899999999999999</v>
      </c>
      <c r="J316" s="2"/>
    </row>
    <row r="317" spans="1:10" ht="15.75" customHeight="1">
      <c r="A317" s="228">
        <v>55</v>
      </c>
      <c r="B317" s="201" t="s">
        <v>221</v>
      </c>
      <c r="C317" s="476"/>
      <c r="D317" s="2"/>
      <c r="E317" s="2"/>
      <c r="F317" s="2"/>
      <c r="G317" s="2"/>
      <c r="H317" s="2"/>
      <c r="I317" s="2"/>
    </row>
    <row r="318" spans="1:10" ht="15.75" customHeight="1">
      <c r="A318" s="228">
        <v>55</v>
      </c>
      <c r="B318" s="201" t="s">
        <v>222</v>
      </c>
    </row>
    <row r="319" spans="1:10" ht="15.75" customHeight="1">
      <c r="A319" s="228">
        <v>55</v>
      </c>
      <c r="B319" s="201" t="s">
        <v>223</v>
      </c>
    </row>
    <row r="320" spans="1:10" ht="15.75" customHeight="1">
      <c r="A320" s="228">
        <v>55</v>
      </c>
      <c r="B320" s="201" t="s">
        <v>225</v>
      </c>
    </row>
    <row r="321" spans="1:20" ht="15.75" customHeight="1">
      <c r="A321" s="228">
        <v>55</v>
      </c>
      <c r="B321" s="201" t="s">
        <v>226</v>
      </c>
    </row>
    <row r="322" spans="1:20" ht="15.75" customHeight="1">
      <c r="A322" s="228">
        <v>55</v>
      </c>
      <c r="B322" s="201" t="s">
        <v>227</v>
      </c>
    </row>
    <row r="323" spans="1:20" ht="15.75" customHeight="1">
      <c r="A323" s="228">
        <v>55</v>
      </c>
      <c r="B323" s="201" t="s">
        <v>231</v>
      </c>
    </row>
    <row r="324" spans="1:20" ht="15.75" customHeight="1">
      <c r="A324" s="228">
        <v>55</v>
      </c>
      <c r="B324" s="201" t="s">
        <v>232</v>
      </c>
    </row>
    <row r="325" spans="1:20" ht="15.75" customHeight="1">
      <c r="A325" s="228">
        <v>55</v>
      </c>
      <c r="B325" s="201" t="s">
        <v>233</v>
      </c>
      <c r="C325" s="476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spans="1:20" ht="15.75" customHeight="1">
      <c r="A326" s="199">
        <v>56</v>
      </c>
      <c r="B326" s="200" t="s">
        <v>221</v>
      </c>
      <c r="C326" s="477">
        <v>8.5000000000000006E-2</v>
      </c>
      <c r="D326" s="234">
        <v>9.0999999999999998E-2</v>
      </c>
      <c r="E326" s="234">
        <v>9.9000000000000005E-2</v>
      </c>
      <c r="F326" s="234">
        <v>0.10299999999999999</v>
      </c>
      <c r="G326" s="234">
        <v>9.5000000000000001E-2</v>
      </c>
      <c r="H326" s="234">
        <v>8.3000000000000004E-2</v>
      </c>
      <c r="I326" s="234">
        <v>7.6999999999999999E-2</v>
      </c>
      <c r="J326" s="234">
        <v>8.2000000000000003E-2</v>
      </c>
      <c r="K326" s="234">
        <v>8.5000000000000006E-2</v>
      </c>
      <c r="L326" s="234">
        <v>9.4E-2</v>
      </c>
      <c r="M326" s="234">
        <v>0.108</v>
      </c>
      <c r="N326" s="234">
        <v>0.126</v>
      </c>
      <c r="O326" s="234">
        <v>0.14299999999999999</v>
      </c>
      <c r="P326" s="234">
        <v>0.157</v>
      </c>
      <c r="Q326" s="235">
        <v>0.17100000000000001</v>
      </c>
      <c r="R326" s="2"/>
    </row>
    <row r="327" spans="1:20" ht="15.75" customHeight="1">
      <c r="A327" s="197">
        <v>56</v>
      </c>
      <c r="B327" s="202" t="s">
        <v>225</v>
      </c>
      <c r="C327" s="478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237"/>
      <c r="R327" s="2"/>
    </row>
    <row r="328" spans="1:20" ht="15.75" customHeight="1">
      <c r="A328" s="199">
        <v>57</v>
      </c>
      <c r="B328" s="200">
        <v>1</v>
      </c>
      <c r="C328" s="476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spans="1:20" ht="15.75" customHeight="1">
      <c r="A329" s="197">
        <v>57</v>
      </c>
      <c r="B329" s="202">
        <v>2</v>
      </c>
    </row>
    <row r="330" spans="1:20" ht="15.75" customHeight="1">
      <c r="A330" s="229">
        <v>58</v>
      </c>
      <c r="B330" s="74">
        <v>1</v>
      </c>
    </row>
    <row r="331" spans="1:20" ht="15.75" customHeight="1">
      <c r="A331" s="228">
        <v>58</v>
      </c>
      <c r="B331" s="75">
        <v>2</v>
      </c>
    </row>
    <row r="332" spans="1:20" ht="15.75" customHeight="1">
      <c r="A332" s="228">
        <v>58</v>
      </c>
      <c r="B332" s="75">
        <v>3</v>
      </c>
    </row>
    <row r="333" spans="1:20" ht="15.75" customHeight="1">
      <c r="A333" s="228">
        <v>58</v>
      </c>
      <c r="B333" s="75">
        <v>4</v>
      </c>
    </row>
    <row r="334" spans="1:20" ht="15.75" customHeight="1">
      <c r="A334" s="228">
        <v>58</v>
      </c>
      <c r="B334" s="75">
        <v>5</v>
      </c>
      <c r="C334" s="476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20" ht="15.75" customHeight="1">
      <c r="A335" s="229">
        <v>59</v>
      </c>
      <c r="B335" s="74">
        <v>1</v>
      </c>
      <c r="C335" s="477">
        <v>0.02</v>
      </c>
      <c r="D335" s="234">
        <v>2.7E-2</v>
      </c>
      <c r="E335" s="234">
        <v>3.4000000000000002E-2</v>
      </c>
      <c r="F335" s="234">
        <v>4.1000000000000002E-2</v>
      </c>
      <c r="G335" s="234">
        <v>0.05</v>
      </c>
      <c r="H335" s="234">
        <v>5.3999999999999999E-2</v>
      </c>
      <c r="I335" s="234">
        <v>5.8999999999999997E-2</v>
      </c>
      <c r="J335" s="234">
        <v>5.8999999999999997E-2</v>
      </c>
      <c r="K335" s="234">
        <v>5.5E-2</v>
      </c>
      <c r="L335" s="234">
        <v>5.7000000000000002E-2</v>
      </c>
      <c r="M335" s="234">
        <v>6.3E-2</v>
      </c>
      <c r="N335" s="234">
        <v>7.1999999999999995E-2</v>
      </c>
      <c r="O335" s="234">
        <v>7.3999999999999996E-2</v>
      </c>
      <c r="P335" s="234">
        <v>7.9000000000000001E-2</v>
      </c>
      <c r="Q335" s="234">
        <v>8.8999999999999996E-2</v>
      </c>
      <c r="R335" s="234">
        <v>0.1</v>
      </c>
      <c r="S335" s="235">
        <v>0.112</v>
      </c>
      <c r="T335" s="2"/>
    </row>
    <row r="336" spans="1:20" ht="15.75" customHeight="1">
      <c r="A336" s="228">
        <v>59</v>
      </c>
      <c r="B336" s="75">
        <v>2</v>
      </c>
      <c r="C336" s="476">
        <v>0.02</v>
      </c>
      <c r="D336" s="2">
        <v>2.7E-2</v>
      </c>
      <c r="E336" s="2">
        <v>3.4000000000000002E-2</v>
      </c>
      <c r="F336" s="2">
        <v>4.1000000000000002E-2</v>
      </c>
      <c r="G336" s="2">
        <v>0.05</v>
      </c>
      <c r="H336" s="2">
        <v>5.3999999999999999E-2</v>
      </c>
      <c r="I336" s="2">
        <v>5.8999999999999997E-2</v>
      </c>
      <c r="J336" s="2">
        <v>5.8999999999999997E-2</v>
      </c>
      <c r="K336" s="2">
        <v>5.8999999999999997E-2</v>
      </c>
      <c r="L336" s="2">
        <v>6.2E-2</v>
      </c>
      <c r="M336" s="2">
        <v>6.8000000000000005E-2</v>
      </c>
      <c r="N336" s="2">
        <v>7.5999999999999998E-2</v>
      </c>
      <c r="O336" s="2">
        <v>8.1000000000000003E-2</v>
      </c>
      <c r="P336" s="2">
        <v>8.3000000000000004E-2</v>
      </c>
      <c r="Q336" s="2">
        <v>9.2999999999999999E-2</v>
      </c>
      <c r="R336" s="2">
        <v>0.104</v>
      </c>
      <c r="S336" s="236">
        <v>0.11700000000000001</v>
      </c>
      <c r="T336" s="2"/>
    </row>
    <row r="337" spans="1:20" ht="15.75" customHeight="1">
      <c r="A337" s="228">
        <v>59</v>
      </c>
      <c r="B337" s="75">
        <v>3</v>
      </c>
      <c r="C337" s="476">
        <v>2.4E-2</v>
      </c>
      <c r="D337" s="2">
        <v>0.03</v>
      </c>
      <c r="E337" s="2">
        <v>3.4000000000000002E-2</v>
      </c>
      <c r="F337" s="2">
        <v>3.9E-2</v>
      </c>
      <c r="G337" s="2">
        <v>0.05</v>
      </c>
      <c r="H337" s="2">
        <v>5.8999999999999997E-2</v>
      </c>
      <c r="I337" s="2">
        <v>6.6000000000000003E-2</v>
      </c>
      <c r="J337" s="2">
        <v>7.0000000000000007E-2</v>
      </c>
      <c r="K337" s="2">
        <v>6.8000000000000005E-2</v>
      </c>
      <c r="L337" s="2">
        <v>6.9000000000000006E-2</v>
      </c>
      <c r="M337" s="2">
        <v>7.9000000000000001E-2</v>
      </c>
      <c r="N337" s="2">
        <v>9.1999999999999998E-2</v>
      </c>
      <c r="O337" s="2">
        <v>9.2999999999999999E-2</v>
      </c>
      <c r="P337" s="2">
        <v>0.10299999999999999</v>
      </c>
      <c r="Q337" s="2">
        <v>0.114</v>
      </c>
      <c r="R337" s="2">
        <v>0.126</v>
      </c>
      <c r="S337" s="236">
        <v>0.13600000000000001</v>
      </c>
      <c r="T337" s="2"/>
    </row>
    <row r="338" spans="1:20" ht="15.75" customHeight="1">
      <c r="A338" s="228">
        <v>59</v>
      </c>
      <c r="B338" s="75">
        <v>4</v>
      </c>
      <c r="C338" s="476">
        <v>3.4000000000000002E-2</v>
      </c>
      <c r="D338" s="2">
        <v>4.5999999999999999E-2</v>
      </c>
      <c r="E338" s="2">
        <v>4.7E-2</v>
      </c>
      <c r="F338" s="2">
        <v>4.9000000000000002E-2</v>
      </c>
      <c r="G338" s="2">
        <v>5.8000000000000003E-2</v>
      </c>
      <c r="H338" s="2">
        <v>6.4000000000000001E-2</v>
      </c>
      <c r="I338" s="2">
        <v>7.0999999999999994E-2</v>
      </c>
      <c r="J338" s="2">
        <v>7.3999999999999996E-2</v>
      </c>
      <c r="K338" s="2">
        <v>7.3999999999999996E-2</v>
      </c>
      <c r="L338" s="2">
        <v>7.6999999999999999E-2</v>
      </c>
      <c r="M338" s="2">
        <v>9.1999999999999998E-2</v>
      </c>
      <c r="N338" s="2">
        <v>0.104</v>
      </c>
      <c r="O338" s="2">
        <v>0.113</v>
      </c>
      <c r="P338" s="2">
        <v>0.122</v>
      </c>
      <c r="Q338" s="2">
        <v>0.13</v>
      </c>
      <c r="R338" s="2">
        <v>0.13900000000000001</v>
      </c>
      <c r="S338" s="236">
        <v>0.14899999999999999</v>
      </c>
      <c r="T338" s="2"/>
    </row>
    <row r="339" spans="1:20" ht="15.75" customHeight="1">
      <c r="A339" s="228">
        <v>59</v>
      </c>
      <c r="B339" s="75">
        <v>5</v>
      </c>
      <c r="C339" s="476">
        <v>3.2000000000000001E-2</v>
      </c>
      <c r="D339" s="2">
        <v>3.6999999999999998E-2</v>
      </c>
      <c r="E339" s="2">
        <v>4.1000000000000002E-2</v>
      </c>
      <c r="F339" s="2">
        <v>4.5999999999999999E-2</v>
      </c>
      <c r="G339" s="2">
        <v>5.7000000000000002E-2</v>
      </c>
      <c r="H339" s="2">
        <v>6.9000000000000006E-2</v>
      </c>
      <c r="I339" s="2">
        <v>7.5999999999999998E-2</v>
      </c>
      <c r="J339" s="2">
        <v>7.9000000000000001E-2</v>
      </c>
      <c r="K339" s="2">
        <v>7.6999999999999999E-2</v>
      </c>
      <c r="L339" s="2">
        <v>7.2999999999999995E-2</v>
      </c>
      <c r="M339" s="2">
        <v>7.4999999999999997E-2</v>
      </c>
      <c r="N339" s="2">
        <v>8.2000000000000003E-2</v>
      </c>
      <c r="O339" s="2">
        <v>0.09</v>
      </c>
      <c r="P339" s="2">
        <v>9.6000000000000002E-2</v>
      </c>
      <c r="Q339" s="2">
        <v>0.105</v>
      </c>
      <c r="R339" s="2">
        <v>0.115</v>
      </c>
      <c r="S339" s="236">
        <v>0.125</v>
      </c>
      <c r="T339" s="2"/>
    </row>
    <row r="340" spans="1:20" ht="15.75" customHeight="1">
      <c r="A340" s="230">
        <v>59</v>
      </c>
      <c r="B340" s="231">
        <v>6</v>
      </c>
      <c r="C340" s="478">
        <v>3.7999999999999999E-2</v>
      </c>
      <c r="D340" s="34">
        <v>4.1000000000000002E-2</v>
      </c>
      <c r="E340" s="34">
        <v>4.2999999999999997E-2</v>
      </c>
      <c r="F340" s="34">
        <v>4.8000000000000001E-2</v>
      </c>
      <c r="G340" s="34">
        <v>0.06</v>
      </c>
      <c r="H340" s="34">
        <v>7.2999999999999995E-2</v>
      </c>
      <c r="I340" s="34">
        <v>0.08</v>
      </c>
      <c r="J340" s="34">
        <v>8.3000000000000004E-2</v>
      </c>
      <c r="K340" s="34">
        <v>0.08</v>
      </c>
      <c r="L340" s="34">
        <v>7.9000000000000001E-2</v>
      </c>
      <c r="M340" s="34">
        <v>8.5000000000000006E-2</v>
      </c>
      <c r="N340" s="34">
        <v>8.8999999999999996E-2</v>
      </c>
      <c r="O340" s="34">
        <v>9.5000000000000001E-2</v>
      </c>
      <c r="P340" s="34">
        <v>0.1</v>
      </c>
      <c r="Q340" s="34">
        <v>0.109</v>
      </c>
      <c r="R340" s="34">
        <v>0.11799999999999999</v>
      </c>
      <c r="S340" s="237">
        <v>0.128</v>
      </c>
      <c r="T340" s="2"/>
    </row>
    <row r="341" spans="1:20" ht="15.75" customHeight="1">
      <c r="A341" s="233">
        <v>60</v>
      </c>
      <c r="B341" s="74">
        <v>1</v>
      </c>
      <c r="C341" s="476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20" ht="15.75" customHeight="1">
      <c r="A342" s="233">
        <v>60</v>
      </c>
      <c r="B342" s="75">
        <v>2</v>
      </c>
    </row>
    <row r="343" spans="1:20" ht="15.75" customHeight="1">
      <c r="A343" s="233">
        <v>60</v>
      </c>
      <c r="B343" s="75">
        <v>3</v>
      </c>
    </row>
    <row r="344" spans="1:20" ht="15.75" customHeight="1">
      <c r="A344" s="233">
        <v>60</v>
      </c>
      <c r="B344" s="75">
        <v>4</v>
      </c>
    </row>
    <row r="345" spans="1:20" ht="15.75" customHeight="1">
      <c r="A345" s="233">
        <v>60</v>
      </c>
      <c r="B345" s="75">
        <v>5</v>
      </c>
    </row>
    <row r="346" spans="1:20" ht="15.75" customHeight="1">
      <c r="A346" s="233">
        <v>60</v>
      </c>
      <c r="B346" s="75">
        <v>6</v>
      </c>
    </row>
    <row r="347" spans="1:20" ht="15.75" customHeight="1">
      <c r="A347" s="233">
        <v>60</v>
      </c>
      <c r="B347" s="75">
        <v>7</v>
      </c>
    </row>
    <row r="348" spans="1:20" ht="15.75" customHeight="1">
      <c r="A348" s="241">
        <v>60</v>
      </c>
      <c r="B348" s="231">
        <v>8</v>
      </c>
    </row>
    <row r="349" spans="1:20" ht="15.75" customHeight="1">
      <c r="A349" s="241">
        <v>61</v>
      </c>
      <c r="B349" s="281">
        <v>1</v>
      </c>
    </row>
    <row r="350" spans="1:20" ht="15.75" customHeight="1"/>
    <row r="351" spans="1:20" ht="15.75" customHeight="1"/>
    <row r="352" spans="1:20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landscape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A996"/>
  <sheetViews>
    <sheetView workbookViewId="0">
      <pane ySplit="1" topLeftCell="A7" activePane="bottomLeft" state="frozen"/>
      <selection pane="bottomLeft" activeCell="G11" sqref="G11"/>
    </sheetView>
  </sheetViews>
  <sheetFormatPr defaultColWidth="12.5546875" defaultRowHeight="15" customHeight="1"/>
  <cols>
    <col min="1" max="1" width="9.44140625" customWidth="1"/>
    <col min="2" max="2" width="23.33203125" bestFit="1" customWidth="1"/>
    <col min="3" max="3" width="5.88671875" bestFit="1" customWidth="1"/>
    <col min="4" max="4" width="54.109375" customWidth="1"/>
    <col min="5" max="5" width="56.6640625" customWidth="1"/>
    <col min="6" max="6" width="28.109375" customWidth="1"/>
    <col min="7" max="7" width="25.33203125" customWidth="1"/>
    <col min="8" max="27" width="9.44140625" customWidth="1"/>
  </cols>
  <sheetData>
    <row r="1" spans="1:12" ht="14.4">
      <c r="A1" s="120" t="s">
        <v>398</v>
      </c>
      <c r="B1" s="167" t="s">
        <v>399</v>
      </c>
      <c r="C1" s="15" t="s">
        <v>400</v>
      </c>
      <c r="D1" s="168" t="s">
        <v>401</v>
      </c>
      <c r="E1" s="15" t="s">
        <v>402</v>
      </c>
      <c r="F1" s="168"/>
      <c r="G1" s="167"/>
      <c r="H1" s="22"/>
      <c r="I1" s="15"/>
      <c r="J1" s="15"/>
    </row>
    <row r="2" spans="1:12" ht="14.4">
      <c r="A2" s="120">
        <v>1</v>
      </c>
      <c r="B2" s="87" t="s">
        <v>403</v>
      </c>
      <c r="C2" s="87">
        <v>2013</v>
      </c>
      <c r="D2" s="169" t="s">
        <v>404</v>
      </c>
      <c r="E2" s="86" t="s">
        <v>405</v>
      </c>
      <c r="F2" s="170"/>
      <c r="G2" s="86"/>
      <c r="H2" s="22"/>
      <c r="I2" s="22"/>
      <c r="J2" s="22"/>
      <c r="K2" s="22"/>
      <c r="L2" s="22"/>
    </row>
    <row r="3" spans="1:12" ht="14.4">
      <c r="A3" s="120">
        <v>2</v>
      </c>
      <c r="B3" s="87" t="s">
        <v>406</v>
      </c>
      <c r="C3" s="87">
        <v>2013</v>
      </c>
      <c r="D3" s="170" t="s">
        <v>407</v>
      </c>
      <c r="E3" s="22" t="s">
        <v>408</v>
      </c>
      <c r="F3" s="170"/>
      <c r="G3" s="86"/>
      <c r="H3" s="22"/>
      <c r="I3" s="22"/>
      <c r="J3" s="22"/>
      <c r="K3" s="22"/>
      <c r="L3" s="22"/>
    </row>
    <row r="4" spans="1:12" ht="66" customHeight="1">
      <c r="A4" s="120">
        <v>3</v>
      </c>
      <c r="B4" s="12" t="s">
        <v>409</v>
      </c>
      <c r="C4" s="12">
        <v>2016</v>
      </c>
      <c r="D4" s="171" t="s">
        <v>410</v>
      </c>
      <c r="E4" s="172" t="s">
        <v>411</v>
      </c>
      <c r="F4" s="170"/>
      <c r="G4" s="86"/>
      <c r="H4" s="22"/>
      <c r="I4" s="22"/>
      <c r="J4" s="22"/>
      <c r="K4" s="22"/>
      <c r="L4" s="22"/>
    </row>
    <row r="5" spans="1:12" ht="41.4">
      <c r="A5" s="120">
        <v>4</v>
      </c>
      <c r="B5" s="87" t="s">
        <v>412</v>
      </c>
      <c r="C5" s="87">
        <v>2023</v>
      </c>
      <c r="D5" s="169" t="s">
        <v>413</v>
      </c>
      <c r="E5" s="169" t="s">
        <v>414</v>
      </c>
      <c r="F5" s="170"/>
      <c r="G5" s="86"/>
      <c r="H5" s="22"/>
      <c r="I5" s="22"/>
      <c r="J5" s="22"/>
      <c r="K5" s="22"/>
      <c r="L5" s="22"/>
    </row>
    <row r="6" spans="1:12" ht="42">
      <c r="A6" s="120">
        <v>5</v>
      </c>
      <c r="B6" s="12" t="s">
        <v>415</v>
      </c>
      <c r="C6" s="12">
        <v>2016</v>
      </c>
      <c r="D6" s="171" t="s">
        <v>416</v>
      </c>
      <c r="E6" s="173" t="s">
        <v>417</v>
      </c>
      <c r="F6" s="170"/>
      <c r="G6" s="86"/>
      <c r="H6" s="22"/>
      <c r="I6" s="22"/>
      <c r="J6" s="22"/>
      <c r="K6" s="22"/>
      <c r="L6" s="22"/>
    </row>
    <row r="7" spans="1:12" ht="42">
      <c r="A7" s="120">
        <v>6</v>
      </c>
      <c r="B7" s="12" t="s">
        <v>418</v>
      </c>
      <c r="C7" s="12">
        <v>2020</v>
      </c>
      <c r="D7" s="171" t="s">
        <v>419</v>
      </c>
      <c r="E7" s="173" t="s">
        <v>420</v>
      </c>
      <c r="F7" s="170"/>
      <c r="G7" s="86"/>
      <c r="H7" s="22"/>
      <c r="I7" s="22"/>
      <c r="J7" s="22"/>
      <c r="K7" s="22"/>
      <c r="L7" s="22"/>
    </row>
    <row r="8" spans="1:12" ht="28.2">
      <c r="A8" s="120">
        <v>7</v>
      </c>
      <c r="B8" s="12" t="s">
        <v>409</v>
      </c>
      <c r="C8" s="12">
        <v>2014</v>
      </c>
      <c r="D8" s="171" t="s">
        <v>421</v>
      </c>
      <c r="E8" s="173" t="s">
        <v>422</v>
      </c>
      <c r="F8" s="170"/>
      <c r="G8" s="86"/>
      <c r="H8" s="22"/>
      <c r="I8" s="22"/>
      <c r="J8" s="22"/>
      <c r="K8" s="22"/>
      <c r="L8" s="22"/>
    </row>
    <row r="9" spans="1:12" ht="42">
      <c r="A9" s="120">
        <v>8</v>
      </c>
      <c r="B9" s="12" t="s">
        <v>423</v>
      </c>
      <c r="C9" s="12">
        <v>2019</v>
      </c>
      <c r="D9" s="171" t="s">
        <v>424</v>
      </c>
      <c r="E9" s="172" t="s">
        <v>425</v>
      </c>
      <c r="F9" s="170"/>
      <c r="G9" s="86"/>
      <c r="H9" s="22"/>
      <c r="I9" s="22"/>
      <c r="J9" s="22"/>
      <c r="K9" s="22"/>
      <c r="L9" s="22"/>
    </row>
    <row r="10" spans="1:12" ht="43.2">
      <c r="A10" s="120">
        <v>9</v>
      </c>
      <c r="B10" s="12" t="s">
        <v>426</v>
      </c>
      <c r="C10" s="12">
        <v>2015</v>
      </c>
      <c r="D10" s="69" t="s">
        <v>427</v>
      </c>
      <c r="E10" s="12" t="s">
        <v>428</v>
      </c>
      <c r="F10" s="170"/>
      <c r="G10" s="86"/>
      <c r="H10" s="22"/>
      <c r="I10" s="22"/>
      <c r="J10" s="22"/>
      <c r="K10" s="22"/>
      <c r="L10" s="22"/>
    </row>
    <row r="11" spans="1:12" ht="41.4">
      <c r="A11" s="120">
        <v>11</v>
      </c>
      <c r="B11" s="87" t="s">
        <v>430</v>
      </c>
      <c r="C11" s="87">
        <v>2019</v>
      </c>
      <c r="D11" s="169" t="s">
        <v>431</v>
      </c>
      <c r="E11" s="174" t="s">
        <v>432</v>
      </c>
      <c r="F11" s="170"/>
      <c r="G11" s="86"/>
      <c r="H11" s="22"/>
      <c r="I11" s="22"/>
      <c r="J11" s="22"/>
      <c r="K11" s="22"/>
      <c r="L11" s="22"/>
    </row>
    <row r="12" spans="1:12" ht="45.75" customHeight="1">
      <c r="A12" s="120">
        <v>12</v>
      </c>
      <c r="B12" s="87" t="s">
        <v>433</v>
      </c>
      <c r="C12" s="87">
        <v>2024</v>
      </c>
      <c r="D12" s="171" t="s">
        <v>434</v>
      </c>
      <c r="E12" s="174" t="s">
        <v>435</v>
      </c>
      <c r="F12" s="170"/>
      <c r="G12" s="86"/>
      <c r="H12" s="22"/>
      <c r="I12" s="22"/>
      <c r="J12" s="22"/>
      <c r="K12" s="22"/>
      <c r="L12" s="22"/>
    </row>
    <row r="13" spans="1:12" ht="78.75" customHeight="1">
      <c r="A13" s="120">
        <v>13</v>
      </c>
      <c r="B13" s="87" t="s">
        <v>436</v>
      </c>
      <c r="C13" s="87">
        <v>2022</v>
      </c>
      <c r="D13" s="169" t="s">
        <v>437</v>
      </c>
      <c r="E13" s="169" t="s">
        <v>438</v>
      </c>
      <c r="F13" s="170"/>
      <c r="G13" s="86"/>
      <c r="H13" s="22"/>
      <c r="I13" s="22"/>
      <c r="J13" s="22"/>
      <c r="K13" s="22"/>
      <c r="L13" s="22"/>
    </row>
    <row r="14" spans="1:12" ht="66.75" customHeight="1">
      <c r="A14" s="120">
        <v>14</v>
      </c>
      <c r="B14" s="87" t="s">
        <v>439</v>
      </c>
      <c r="C14" s="87">
        <v>2012</v>
      </c>
      <c r="D14" s="169" t="s">
        <v>440</v>
      </c>
      <c r="E14" s="174" t="s">
        <v>441</v>
      </c>
      <c r="F14" s="170"/>
      <c r="G14" s="86"/>
      <c r="H14" s="22"/>
      <c r="I14" s="22"/>
      <c r="J14" s="22"/>
      <c r="K14" s="22"/>
      <c r="L14" s="22"/>
    </row>
    <row r="15" spans="1:12" ht="50.25" customHeight="1">
      <c r="A15" s="120">
        <v>15</v>
      </c>
      <c r="B15" s="87" t="s">
        <v>439</v>
      </c>
      <c r="C15" s="87">
        <v>2013</v>
      </c>
      <c r="D15" s="169" t="s">
        <v>442</v>
      </c>
      <c r="E15" s="175" t="s">
        <v>443</v>
      </c>
      <c r="F15" s="170"/>
      <c r="G15" s="86"/>
      <c r="H15" s="22"/>
      <c r="I15" s="22"/>
      <c r="K15" s="22"/>
      <c r="L15" s="22"/>
    </row>
    <row r="16" spans="1:12" ht="45" customHeight="1">
      <c r="A16" s="120">
        <v>16</v>
      </c>
      <c r="B16" s="87" t="s">
        <v>439</v>
      </c>
      <c r="C16" s="87">
        <v>2010</v>
      </c>
      <c r="D16" s="169" t="s">
        <v>444</v>
      </c>
      <c r="E16" s="169" t="s">
        <v>445</v>
      </c>
      <c r="F16" s="170"/>
      <c r="G16" s="86"/>
      <c r="H16" s="22"/>
      <c r="I16" s="22"/>
      <c r="K16" s="22"/>
      <c r="L16" s="22"/>
    </row>
    <row r="17" spans="1:12" ht="52.5" customHeight="1">
      <c r="A17" s="16">
        <v>17</v>
      </c>
      <c r="B17" s="87" t="s">
        <v>446</v>
      </c>
      <c r="C17" s="86">
        <v>1999</v>
      </c>
      <c r="D17" s="176" t="s">
        <v>447</v>
      </c>
      <c r="E17" s="22" t="s">
        <v>448</v>
      </c>
      <c r="F17" s="170"/>
      <c r="G17" s="86"/>
      <c r="H17" s="22"/>
      <c r="I17" s="22"/>
      <c r="K17" s="22"/>
      <c r="L17" s="22"/>
    </row>
    <row r="18" spans="1:12" ht="51.75" customHeight="1">
      <c r="A18" s="177">
        <v>18</v>
      </c>
      <c r="B18" s="76" t="s">
        <v>449</v>
      </c>
      <c r="C18" s="58">
        <v>2012</v>
      </c>
      <c r="D18" s="178" t="s">
        <v>450</v>
      </c>
      <c r="E18" s="179" t="s">
        <v>451</v>
      </c>
      <c r="F18" s="178"/>
      <c r="G18" s="76"/>
      <c r="H18" s="22"/>
    </row>
    <row r="19" spans="1:12" ht="51.75" customHeight="1">
      <c r="A19" s="177">
        <v>19</v>
      </c>
      <c r="B19" s="12" t="s">
        <v>452</v>
      </c>
      <c r="C19" s="58">
        <v>2006</v>
      </c>
      <c r="D19" s="176" t="s">
        <v>453</v>
      </c>
      <c r="E19" s="180" t="s">
        <v>454</v>
      </c>
      <c r="F19" s="178"/>
      <c r="G19" s="76"/>
      <c r="H19" s="22"/>
    </row>
    <row r="20" spans="1:12" ht="51.75" customHeight="1">
      <c r="A20" s="177">
        <v>20</v>
      </c>
      <c r="B20" s="76" t="s">
        <v>455</v>
      </c>
      <c r="C20" s="58">
        <v>2011</v>
      </c>
      <c r="D20" s="70" t="s">
        <v>456</v>
      </c>
      <c r="E20" s="58" t="s">
        <v>457</v>
      </c>
      <c r="F20" s="178"/>
      <c r="G20" s="76"/>
      <c r="H20" s="22"/>
    </row>
    <row r="21" spans="1:12" ht="43.2">
      <c r="A21" s="177">
        <v>21</v>
      </c>
      <c r="B21" s="76" t="s">
        <v>458</v>
      </c>
      <c r="C21" s="58">
        <v>2022</v>
      </c>
      <c r="D21" s="176" t="s">
        <v>459</v>
      </c>
      <c r="E21" s="76" t="s">
        <v>460</v>
      </c>
      <c r="F21" s="178"/>
      <c r="G21" s="76"/>
      <c r="H21" s="22"/>
    </row>
    <row r="22" spans="1:12" ht="43.2">
      <c r="A22" s="16">
        <v>22</v>
      </c>
      <c r="B22" s="12" t="s">
        <v>461</v>
      </c>
      <c r="C22" s="22">
        <v>2021</v>
      </c>
      <c r="D22" s="181" t="s">
        <v>462</v>
      </c>
      <c r="E22" s="22" t="s">
        <v>463</v>
      </c>
      <c r="F22" s="70"/>
      <c r="G22" s="58"/>
      <c r="H22" s="22"/>
    </row>
    <row r="23" spans="1:12" ht="78" customHeight="1">
      <c r="A23" s="177">
        <v>23</v>
      </c>
      <c r="B23" s="12" t="s">
        <v>464</v>
      </c>
      <c r="C23" s="58">
        <v>2025</v>
      </c>
      <c r="D23" s="176" t="s">
        <v>465</v>
      </c>
      <c r="E23" s="179" t="s">
        <v>466</v>
      </c>
      <c r="F23" s="70"/>
      <c r="G23" s="58"/>
      <c r="H23" s="22"/>
    </row>
    <row r="24" spans="1:12" ht="84.75" customHeight="1">
      <c r="A24" s="177">
        <v>24</v>
      </c>
      <c r="B24" s="76" t="s">
        <v>415</v>
      </c>
      <c r="C24" s="58">
        <v>2021</v>
      </c>
      <c r="D24" s="176" t="s">
        <v>467</v>
      </c>
      <c r="E24" s="182" t="s">
        <v>468</v>
      </c>
      <c r="F24" s="70"/>
      <c r="G24" s="58"/>
      <c r="H24" s="22"/>
    </row>
    <row r="25" spans="1:12" ht="42">
      <c r="A25" s="177">
        <v>25</v>
      </c>
      <c r="B25" s="76" t="s">
        <v>469</v>
      </c>
      <c r="C25" s="58">
        <v>2013</v>
      </c>
      <c r="D25" s="183" t="s">
        <v>470</v>
      </c>
      <c r="E25" s="22" t="s">
        <v>471</v>
      </c>
      <c r="F25" s="70"/>
      <c r="G25" s="58"/>
      <c r="H25" s="22"/>
    </row>
    <row r="26" spans="1:12" ht="69">
      <c r="A26" s="177">
        <v>26</v>
      </c>
      <c r="B26" s="169" t="s">
        <v>472</v>
      </c>
      <c r="C26" s="87">
        <v>2021</v>
      </c>
      <c r="D26" s="169" t="s">
        <v>473</v>
      </c>
      <c r="E26" s="87" t="s">
        <v>474</v>
      </c>
      <c r="F26" s="70"/>
      <c r="G26" s="58"/>
      <c r="H26" s="22"/>
    </row>
    <row r="27" spans="1:12" ht="51.75" customHeight="1">
      <c r="A27" s="177">
        <v>27</v>
      </c>
      <c r="B27" s="169" t="s">
        <v>423</v>
      </c>
      <c r="C27" s="87">
        <v>2020</v>
      </c>
      <c r="D27" s="169" t="s">
        <v>475</v>
      </c>
      <c r="E27" s="87" t="s">
        <v>476</v>
      </c>
      <c r="F27" s="70"/>
      <c r="G27" s="58"/>
      <c r="H27" s="22"/>
    </row>
    <row r="28" spans="1:12" ht="81.75" customHeight="1">
      <c r="A28" s="120">
        <v>28</v>
      </c>
      <c r="B28" s="12" t="s">
        <v>469</v>
      </c>
      <c r="C28" s="12">
        <v>2023</v>
      </c>
      <c r="D28" s="176" t="s">
        <v>477</v>
      </c>
      <c r="E28" s="22" t="s">
        <v>478</v>
      </c>
      <c r="F28" s="184"/>
      <c r="G28" s="12"/>
    </row>
    <row r="29" spans="1:12" ht="83.25" customHeight="1">
      <c r="A29" s="120">
        <v>29</v>
      </c>
      <c r="B29" s="12" t="s">
        <v>479</v>
      </c>
      <c r="C29" s="12">
        <v>2023</v>
      </c>
      <c r="D29" s="176" t="s">
        <v>480</v>
      </c>
      <c r="E29" s="22" t="s">
        <v>481</v>
      </c>
      <c r="F29" s="22"/>
      <c r="G29" s="12"/>
    </row>
    <row r="30" spans="1:12" ht="52.5" customHeight="1">
      <c r="A30" s="120">
        <v>30</v>
      </c>
      <c r="B30" s="12" t="s">
        <v>452</v>
      </c>
      <c r="C30" s="12">
        <v>2007</v>
      </c>
      <c r="D30" s="69" t="s">
        <v>482</v>
      </c>
      <c r="E30" s="12" t="s">
        <v>483</v>
      </c>
      <c r="F30" s="69"/>
      <c r="G30" s="22"/>
    </row>
    <row r="31" spans="1:12" ht="28.2">
      <c r="A31" s="120">
        <v>31</v>
      </c>
      <c r="B31" s="12" t="s">
        <v>484</v>
      </c>
      <c r="C31" s="12">
        <v>2006</v>
      </c>
      <c r="D31" s="171" t="s">
        <v>485</v>
      </c>
      <c r="E31" s="22" t="s">
        <v>486</v>
      </c>
      <c r="F31" s="69"/>
      <c r="G31" s="22"/>
    </row>
    <row r="32" spans="1:12" ht="41.4">
      <c r="A32" s="120">
        <v>32</v>
      </c>
      <c r="B32" s="169" t="s">
        <v>487</v>
      </c>
      <c r="C32" s="87">
        <v>2024</v>
      </c>
      <c r="D32" s="169" t="s">
        <v>488</v>
      </c>
      <c r="E32" s="87" t="s">
        <v>489</v>
      </c>
      <c r="F32" s="69"/>
      <c r="G32" s="22"/>
    </row>
    <row r="33" spans="1:27" ht="41.4">
      <c r="A33" s="120">
        <v>33</v>
      </c>
      <c r="B33" s="169" t="s">
        <v>490</v>
      </c>
      <c r="C33" s="87">
        <v>2016</v>
      </c>
      <c r="D33" s="169" t="s">
        <v>491</v>
      </c>
      <c r="E33" s="87" t="s">
        <v>492</v>
      </c>
      <c r="F33" s="69"/>
      <c r="G33" s="22"/>
    </row>
    <row r="34" spans="1:27" ht="57.75" customHeight="1">
      <c r="A34" s="120">
        <v>34</v>
      </c>
      <c r="B34" s="169" t="s">
        <v>490</v>
      </c>
      <c r="C34" s="87">
        <v>2024</v>
      </c>
      <c r="D34" s="169" t="s">
        <v>493</v>
      </c>
      <c r="E34" s="87" t="s">
        <v>494</v>
      </c>
      <c r="F34" s="69"/>
      <c r="G34" s="22"/>
    </row>
    <row r="35" spans="1:27" ht="41.4">
      <c r="A35" s="120">
        <v>35</v>
      </c>
      <c r="B35" s="169" t="s">
        <v>495</v>
      </c>
      <c r="C35" s="87">
        <v>2015</v>
      </c>
      <c r="D35" s="169" t="s">
        <v>496</v>
      </c>
      <c r="E35" s="87" t="s">
        <v>497</v>
      </c>
      <c r="F35" s="69"/>
      <c r="G35" s="22"/>
    </row>
    <row r="36" spans="1:27" ht="55.8">
      <c r="A36" s="120">
        <v>36</v>
      </c>
      <c r="B36" s="12" t="s">
        <v>498</v>
      </c>
      <c r="C36" s="12">
        <v>2011</v>
      </c>
      <c r="D36" s="171" t="s">
        <v>499</v>
      </c>
      <c r="E36" s="22" t="s">
        <v>500</v>
      </c>
      <c r="F36" s="69"/>
      <c r="G36" s="22"/>
    </row>
    <row r="37" spans="1:27" ht="27.6">
      <c r="A37" s="185">
        <v>37</v>
      </c>
      <c r="B37" s="169" t="s">
        <v>423</v>
      </c>
      <c r="C37" s="87">
        <v>2018</v>
      </c>
      <c r="D37" s="169" t="s">
        <v>501</v>
      </c>
      <c r="E37" s="87" t="s">
        <v>502</v>
      </c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</row>
    <row r="38" spans="1:27" ht="28.8">
      <c r="A38" s="120">
        <v>38</v>
      </c>
      <c r="B38" s="12" t="s">
        <v>503</v>
      </c>
      <c r="C38" s="12">
        <v>2024</v>
      </c>
      <c r="D38" s="176" t="s">
        <v>504</v>
      </c>
      <c r="E38" s="22" t="s">
        <v>505</v>
      </c>
      <c r="F38" s="69"/>
      <c r="G38" s="22"/>
    </row>
    <row r="39" spans="1:27" ht="29.25" customHeight="1">
      <c r="A39" s="120">
        <v>39</v>
      </c>
      <c r="B39" s="12" t="s">
        <v>506</v>
      </c>
      <c r="C39" s="12">
        <v>2019</v>
      </c>
      <c r="D39" s="176" t="s">
        <v>507</v>
      </c>
      <c r="E39" s="186" t="s">
        <v>508</v>
      </c>
      <c r="F39" s="69"/>
      <c r="G39" s="22"/>
    </row>
    <row r="40" spans="1:27" ht="87" customHeight="1">
      <c r="A40" s="120">
        <v>40</v>
      </c>
      <c r="B40" s="12" t="s">
        <v>509</v>
      </c>
      <c r="C40" s="12">
        <v>2023</v>
      </c>
      <c r="D40" s="171" t="s">
        <v>510</v>
      </c>
      <c r="E40" s="179" t="s">
        <v>511</v>
      </c>
      <c r="F40" s="69"/>
      <c r="G40" s="22"/>
    </row>
    <row r="41" spans="1:27" ht="56.25" customHeight="1">
      <c r="A41" s="120">
        <v>41</v>
      </c>
      <c r="B41" s="169" t="s">
        <v>512</v>
      </c>
      <c r="C41" s="87">
        <v>2017</v>
      </c>
      <c r="D41" s="169" t="s">
        <v>513</v>
      </c>
      <c r="E41" s="87" t="s">
        <v>514</v>
      </c>
      <c r="F41" s="69"/>
      <c r="G41" s="22"/>
    </row>
    <row r="42" spans="1:27" ht="27.6">
      <c r="A42" s="120">
        <v>42</v>
      </c>
      <c r="B42" s="169" t="s">
        <v>515</v>
      </c>
      <c r="C42" s="87">
        <v>2022</v>
      </c>
      <c r="D42" s="169" t="s">
        <v>516</v>
      </c>
      <c r="E42" s="87" t="s">
        <v>517</v>
      </c>
      <c r="F42" s="176"/>
    </row>
    <row r="43" spans="1:27" ht="61.5" customHeight="1">
      <c r="A43" s="120">
        <v>43</v>
      </c>
      <c r="B43" s="12" t="s">
        <v>518</v>
      </c>
      <c r="C43" s="12">
        <v>2024</v>
      </c>
      <c r="D43" s="176" t="s">
        <v>519</v>
      </c>
      <c r="E43" s="179" t="s">
        <v>520</v>
      </c>
      <c r="F43" s="69"/>
      <c r="G43" s="22"/>
    </row>
    <row r="44" spans="1:27" ht="42" customHeight="1">
      <c r="A44" s="120">
        <v>44</v>
      </c>
      <c r="B44" s="12" t="s">
        <v>521</v>
      </c>
      <c r="C44" s="12">
        <v>2007</v>
      </c>
      <c r="D44" s="176" t="s">
        <v>522</v>
      </c>
      <c r="E44" s="22" t="s">
        <v>523</v>
      </c>
      <c r="F44" s="69"/>
      <c r="G44" s="22"/>
    </row>
    <row r="45" spans="1:27" ht="69">
      <c r="A45" s="120">
        <v>45</v>
      </c>
      <c r="B45" s="169" t="s">
        <v>524</v>
      </c>
      <c r="C45" s="87">
        <v>2015</v>
      </c>
      <c r="D45" s="169" t="s">
        <v>525</v>
      </c>
      <c r="E45" s="87" t="s">
        <v>526</v>
      </c>
      <c r="F45" s="69"/>
      <c r="G45" s="22"/>
    </row>
    <row r="46" spans="1:27" ht="55.2">
      <c r="A46" s="120">
        <v>46</v>
      </c>
      <c r="B46" s="169" t="s">
        <v>469</v>
      </c>
      <c r="C46" s="87">
        <v>2023</v>
      </c>
      <c r="D46" s="169" t="s">
        <v>527</v>
      </c>
      <c r="E46" s="87" t="s">
        <v>528</v>
      </c>
      <c r="F46" s="69"/>
      <c r="G46" s="22"/>
    </row>
    <row r="47" spans="1:27" ht="41.4">
      <c r="A47" s="120">
        <v>47</v>
      </c>
      <c r="B47" s="169" t="s">
        <v>529</v>
      </c>
      <c r="C47" s="87">
        <v>2013</v>
      </c>
      <c r="D47" s="169" t="s">
        <v>530</v>
      </c>
      <c r="E47" s="87" t="s">
        <v>531</v>
      </c>
      <c r="F47" s="69"/>
      <c r="G47" s="22"/>
    </row>
    <row r="48" spans="1:27" ht="33.75" customHeight="1">
      <c r="A48" s="120">
        <v>48</v>
      </c>
      <c r="B48" s="12" t="s">
        <v>532</v>
      </c>
      <c r="C48" s="12">
        <v>2019</v>
      </c>
      <c r="D48" s="176" t="s">
        <v>533</v>
      </c>
      <c r="E48" s="22" t="s">
        <v>534</v>
      </c>
      <c r="F48" s="69"/>
      <c r="G48" s="22"/>
    </row>
    <row r="49" spans="1:7" ht="42">
      <c r="A49" s="120">
        <v>49</v>
      </c>
      <c r="B49" s="12" t="s">
        <v>535</v>
      </c>
      <c r="C49" s="12">
        <v>2021</v>
      </c>
      <c r="D49" s="171" t="s">
        <v>536</v>
      </c>
      <c r="E49" s="22" t="s">
        <v>537</v>
      </c>
      <c r="F49" s="69"/>
      <c r="G49" s="22"/>
    </row>
    <row r="50" spans="1:7" ht="89.25" customHeight="1">
      <c r="A50" s="120">
        <v>50</v>
      </c>
      <c r="B50" s="12" t="s">
        <v>538</v>
      </c>
      <c r="C50" s="12">
        <v>2019</v>
      </c>
      <c r="D50" s="176" t="s">
        <v>539</v>
      </c>
      <c r="E50" s="22" t="s">
        <v>540</v>
      </c>
      <c r="F50" s="69"/>
      <c r="G50" s="22"/>
    </row>
    <row r="51" spans="1:7" ht="43.2">
      <c r="A51" s="120">
        <v>51</v>
      </c>
      <c r="B51" s="12" t="s">
        <v>541</v>
      </c>
      <c r="C51" s="12">
        <v>2016</v>
      </c>
      <c r="D51" s="69" t="s">
        <v>542</v>
      </c>
      <c r="E51" s="22" t="s">
        <v>543</v>
      </c>
      <c r="F51" s="69"/>
      <c r="G51" s="22"/>
    </row>
    <row r="52" spans="1:7" ht="54" customHeight="1">
      <c r="A52" s="120">
        <v>52</v>
      </c>
      <c r="B52" s="12" t="s">
        <v>544</v>
      </c>
      <c r="C52" s="12">
        <v>1992</v>
      </c>
      <c r="D52" s="171" t="s">
        <v>545</v>
      </c>
      <c r="E52" s="12" t="s">
        <v>546</v>
      </c>
      <c r="F52" s="69"/>
      <c r="G52" s="22"/>
    </row>
    <row r="53" spans="1:7" ht="41.4">
      <c r="A53" s="120">
        <v>53</v>
      </c>
      <c r="B53" s="169" t="s">
        <v>547</v>
      </c>
      <c r="C53" s="87">
        <v>2019</v>
      </c>
      <c r="D53" s="169" t="s">
        <v>548</v>
      </c>
      <c r="E53" s="87" t="s">
        <v>549</v>
      </c>
      <c r="F53" s="69"/>
      <c r="G53" s="22"/>
    </row>
    <row r="54" spans="1:7" ht="43.2">
      <c r="A54" s="120">
        <v>54</v>
      </c>
      <c r="B54" s="12" t="s">
        <v>550</v>
      </c>
      <c r="C54" s="12">
        <v>2014</v>
      </c>
      <c r="D54" s="176" t="s">
        <v>551</v>
      </c>
      <c r="E54" s="22" t="s">
        <v>552</v>
      </c>
      <c r="F54" s="69"/>
      <c r="G54" s="22"/>
    </row>
    <row r="55" spans="1:7" ht="42">
      <c r="A55" s="120">
        <v>55</v>
      </c>
      <c r="B55" s="12" t="s">
        <v>553</v>
      </c>
      <c r="C55" s="12">
        <v>2006</v>
      </c>
      <c r="D55" s="171" t="s">
        <v>554</v>
      </c>
      <c r="E55" s="22" t="s">
        <v>555</v>
      </c>
      <c r="F55" s="69"/>
      <c r="G55" s="22"/>
    </row>
    <row r="56" spans="1:7" ht="54.75" customHeight="1">
      <c r="A56" s="120">
        <v>56</v>
      </c>
      <c r="B56" s="12" t="s">
        <v>556</v>
      </c>
      <c r="C56" s="12">
        <v>2024</v>
      </c>
      <c r="D56" s="171" t="s">
        <v>557</v>
      </c>
      <c r="E56" s="22" t="s">
        <v>558</v>
      </c>
      <c r="F56" s="69"/>
      <c r="G56" s="22"/>
    </row>
    <row r="57" spans="1:7" ht="69.599999999999994">
      <c r="A57" s="120">
        <v>57</v>
      </c>
      <c r="B57" s="12" t="s">
        <v>559</v>
      </c>
      <c r="C57" s="12">
        <v>2018</v>
      </c>
      <c r="D57" s="171" t="s">
        <v>560</v>
      </c>
      <c r="E57" s="22" t="s">
        <v>561</v>
      </c>
      <c r="F57" s="69"/>
      <c r="G57" s="22"/>
    </row>
    <row r="58" spans="1:7" ht="72.75" customHeight="1">
      <c r="A58" s="120">
        <v>58</v>
      </c>
      <c r="B58" s="12" t="s">
        <v>446</v>
      </c>
      <c r="C58" s="12">
        <v>1995</v>
      </c>
      <c r="D58" s="176" t="s">
        <v>562</v>
      </c>
      <c r="E58" s="179" t="s">
        <v>563</v>
      </c>
      <c r="F58" s="69"/>
      <c r="G58" s="22"/>
    </row>
    <row r="59" spans="1:7" ht="57" customHeight="1">
      <c r="A59" s="120">
        <v>59</v>
      </c>
      <c r="B59" s="12" t="s">
        <v>423</v>
      </c>
      <c r="C59" s="12">
        <v>2023</v>
      </c>
      <c r="D59" s="171" t="s">
        <v>564</v>
      </c>
      <c r="E59" s="187" t="s">
        <v>429</v>
      </c>
      <c r="F59" s="69"/>
      <c r="G59" s="22"/>
    </row>
    <row r="60" spans="1:7" ht="71.25" customHeight="1">
      <c r="A60" s="120">
        <v>60</v>
      </c>
      <c r="B60" s="12" t="s">
        <v>565</v>
      </c>
      <c r="C60" s="12">
        <v>2000</v>
      </c>
      <c r="D60" s="171" t="s">
        <v>566</v>
      </c>
      <c r="E60" s="22" t="s">
        <v>567</v>
      </c>
      <c r="F60" s="69"/>
      <c r="G60" s="22"/>
    </row>
    <row r="61" spans="1:7" ht="66.75" customHeight="1">
      <c r="A61" s="120">
        <v>61</v>
      </c>
      <c r="B61" s="12" t="s">
        <v>512</v>
      </c>
      <c r="C61" s="12">
        <v>2011</v>
      </c>
      <c r="D61" s="171" t="s">
        <v>568</v>
      </c>
      <c r="E61" s="22" t="s">
        <v>569</v>
      </c>
      <c r="F61" s="69"/>
      <c r="G61" s="22"/>
    </row>
    <row r="62" spans="1:7" ht="63.75" customHeight="1">
      <c r="A62" s="120"/>
      <c r="B62" s="12"/>
      <c r="C62" s="12"/>
      <c r="D62" s="171"/>
      <c r="E62" s="187"/>
      <c r="F62" s="69"/>
      <c r="G62" s="22"/>
    </row>
    <row r="63" spans="1:7" ht="60" customHeight="1">
      <c r="A63" s="120"/>
      <c r="B63" s="12"/>
      <c r="C63" s="12"/>
      <c r="D63" s="171"/>
      <c r="E63" s="12"/>
      <c r="F63" s="69"/>
      <c r="G63" s="22"/>
    </row>
    <row r="64" spans="1:7" ht="27.75" customHeight="1">
      <c r="A64" s="120"/>
      <c r="B64" s="12"/>
      <c r="C64" s="12"/>
      <c r="D64" s="171"/>
      <c r="E64" s="12"/>
      <c r="F64" s="69"/>
      <c r="G64" s="22"/>
    </row>
    <row r="65" spans="1:7" ht="15.75" customHeight="1">
      <c r="A65" s="120"/>
      <c r="B65" s="12"/>
      <c r="C65" s="12"/>
      <c r="D65" s="171"/>
      <c r="E65" s="187"/>
      <c r="F65" s="69"/>
      <c r="G65" s="22"/>
    </row>
    <row r="66" spans="1:7" ht="41.25" customHeight="1">
      <c r="A66" s="120"/>
      <c r="B66" s="12"/>
      <c r="C66" s="12"/>
      <c r="D66" s="171"/>
      <c r="E66" s="187"/>
      <c r="F66" s="69"/>
      <c r="G66" s="22"/>
    </row>
    <row r="67" spans="1:7" ht="46.5" customHeight="1">
      <c r="A67" s="120"/>
      <c r="B67" s="12"/>
      <c r="C67" s="12"/>
      <c r="D67" s="171"/>
      <c r="E67" s="22"/>
      <c r="F67" s="69"/>
      <c r="G67" s="22"/>
    </row>
    <row r="68" spans="1:7" ht="42" customHeight="1">
      <c r="A68" s="120"/>
      <c r="B68" s="12"/>
      <c r="C68" s="12"/>
      <c r="D68" s="171"/>
      <c r="E68" s="187"/>
      <c r="F68" s="69"/>
      <c r="G68" s="22"/>
    </row>
    <row r="69" spans="1:7" ht="59.25" customHeight="1">
      <c r="A69" s="120"/>
      <c r="B69" s="12"/>
      <c r="C69" s="12"/>
      <c r="D69" s="171"/>
      <c r="E69" s="187"/>
      <c r="F69" s="69"/>
      <c r="G69" s="22"/>
    </row>
    <row r="70" spans="1:7" ht="62.25" customHeight="1">
      <c r="A70" s="120"/>
      <c r="B70" s="12"/>
      <c r="C70" s="12"/>
      <c r="D70" s="171"/>
      <c r="E70" s="12"/>
      <c r="F70" s="69"/>
      <c r="G70" s="22"/>
    </row>
    <row r="71" spans="1:7" ht="47.25" customHeight="1">
      <c r="A71" s="120"/>
      <c r="B71" s="12"/>
      <c r="C71" s="12"/>
      <c r="D71" s="171"/>
      <c r="E71" s="187"/>
      <c r="F71" s="69"/>
      <c r="G71" s="22"/>
    </row>
    <row r="72" spans="1:7" ht="30" customHeight="1">
      <c r="A72" s="120"/>
      <c r="B72" s="12"/>
      <c r="C72" s="12"/>
      <c r="D72" s="171"/>
      <c r="E72" s="22"/>
      <c r="F72" s="69"/>
      <c r="G72" s="22"/>
    </row>
    <row r="73" spans="1:7" ht="45" customHeight="1">
      <c r="A73" s="120"/>
      <c r="B73" s="12"/>
      <c r="C73" s="12"/>
      <c r="D73" s="171"/>
      <c r="E73" s="22"/>
      <c r="F73" s="69"/>
      <c r="G73" s="22"/>
    </row>
    <row r="74" spans="1:7" ht="57" customHeight="1">
      <c r="A74" s="120"/>
      <c r="B74" s="12"/>
      <c r="C74" s="12"/>
      <c r="D74" s="171"/>
      <c r="E74" s="187"/>
      <c r="F74" s="69"/>
      <c r="G74" s="22"/>
    </row>
    <row r="75" spans="1:7" ht="47.25" customHeight="1">
      <c r="A75" s="120"/>
      <c r="B75" s="12"/>
      <c r="C75" s="12"/>
      <c r="D75" s="171"/>
      <c r="E75" s="12"/>
      <c r="F75" s="69"/>
      <c r="G75" s="22"/>
    </row>
    <row r="76" spans="1:7" ht="30" customHeight="1">
      <c r="A76" s="120"/>
      <c r="B76" s="12"/>
      <c r="C76" s="12"/>
      <c r="D76" s="171"/>
      <c r="E76" s="22"/>
      <c r="F76" s="69"/>
      <c r="G76" s="22"/>
    </row>
    <row r="77" spans="1:7" ht="15.75" customHeight="1">
      <c r="A77" s="120"/>
      <c r="B77" s="12"/>
      <c r="C77" s="12"/>
      <c r="D77" s="171"/>
      <c r="E77" s="187"/>
      <c r="F77" s="69"/>
      <c r="G77" s="22"/>
    </row>
    <row r="78" spans="1:7" ht="57" customHeight="1">
      <c r="A78" s="120"/>
      <c r="B78" s="12"/>
      <c r="C78" s="12"/>
      <c r="D78" s="69"/>
      <c r="E78" s="22"/>
      <c r="F78" s="69"/>
      <c r="G78" s="22"/>
    </row>
    <row r="79" spans="1:7" ht="59.25" customHeight="1">
      <c r="A79" s="120"/>
      <c r="B79" s="12"/>
      <c r="C79" s="12"/>
      <c r="D79" s="69"/>
      <c r="E79" s="22"/>
      <c r="F79" s="69"/>
      <c r="G79" s="22"/>
    </row>
    <row r="80" spans="1:7" ht="45" customHeight="1">
      <c r="A80" s="120"/>
      <c r="B80" s="12"/>
      <c r="C80" s="12"/>
      <c r="D80" s="171"/>
      <c r="E80" s="187"/>
      <c r="F80" s="69"/>
      <c r="G80" s="22"/>
    </row>
    <row r="81" spans="1:27" ht="57.75" customHeight="1">
      <c r="A81" s="120"/>
      <c r="B81" s="12"/>
      <c r="C81" s="12"/>
      <c r="D81" s="171"/>
      <c r="E81" s="187"/>
      <c r="F81" s="69"/>
      <c r="G81" s="22"/>
    </row>
    <row r="82" spans="1:27" ht="57" customHeight="1">
      <c r="A82" s="120"/>
      <c r="B82" s="12"/>
      <c r="C82" s="12"/>
      <c r="D82" s="171"/>
      <c r="E82" s="22"/>
      <c r="F82" s="69"/>
      <c r="G82" s="22"/>
    </row>
    <row r="83" spans="1:27" ht="59.25" customHeight="1">
      <c r="A83" s="120"/>
      <c r="B83" s="12"/>
      <c r="C83" s="12"/>
      <c r="D83" s="171"/>
      <c r="E83" s="22"/>
      <c r="F83" s="69"/>
      <c r="G83" s="22"/>
    </row>
    <row r="84" spans="1:27" ht="60.75" customHeight="1">
      <c r="A84" s="120"/>
      <c r="B84" s="12"/>
      <c r="C84" s="12"/>
      <c r="D84" s="171"/>
      <c r="E84" s="22"/>
      <c r="F84" s="69"/>
      <c r="G84" s="22"/>
    </row>
    <row r="85" spans="1:27" ht="15.75" customHeight="1">
      <c r="A85" s="120"/>
      <c r="B85" s="12"/>
      <c r="C85" s="12"/>
      <c r="D85" s="171"/>
      <c r="E85" s="187"/>
      <c r="F85" s="69"/>
      <c r="G85" s="22"/>
    </row>
    <row r="86" spans="1:27" ht="29.25" customHeight="1">
      <c r="A86" s="120"/>
      <c r="B86" s="12"/>
      <c r="C86" s="12"/>
      <c r="D86" s="171"/>
      <c r="E86" s="187"/>
      <c r="F86" s="69"/>
      <c r="G86" s="22"/>
    </row>
    <row r="87" spans="1:27" ht="15.75" customHeight="1">
      <c r="A87" s="120"/>
      <c r="B87" s="12"/>
      <c r="C87" s="12"/>
      <c r="D87" s="188"/>
      <c r="E87" s="12"/>
      <c r="F87" s="176"/>
    </row>
    <row r="88" spans="1:27" ht="39.75" customHeight="1">
      <c r="A88" s="120"/>
      <c r="B88" s="12"/>
      <c r="C88" s="12"/>
      <c r="D88" s="171"/>
      <c r="E88" s="12"/>
      <c r="F88" s="176"/>
    </row>
    <row r="89" spans="1:27" ht="57" customHeight="1">
      <c r="A89" s="120"/>
      <c r="B89" s="12"/>
      <c r="C89" s="12"/>
      <c r="D89" s="171"/>
      <c r="E89" s="187"/>
      <c r="F89" s="69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</row>
    <row r="90" spans="1:27" ht="60" customHeight="1">
      <c r="A90" s="120"/>
      <c r="B90" s="12"/>
      <c r="C90" s="12"/>
      <c r="D90" s="171"/>
      <c r="E90" s="22"/>
      <c r="F90" s="176"/>
    </row>
    <row r="91" spans="1:27" ht="15.75" customHeight="1">
      <c r="B91" s="12"/>
      <c r="D91" s="188"/>
      <c r="E91" s="22"/>
      <c r="F91" s="176"/>
    </row>
    <row r="92" spans="1:27" ht="15.75" customHeight="1">
      <c r="B92" s="12"/>
      <c r="D92" s="181"/>
      <c r="E92" s="22"/>
      <c r="F92" s="176"/>
    </row>
    <row r="93" spans="1:27" ht="15.75" customHeight="1">
      <c r="B93" s="12"/>
      <c r="D93" s="181"/>
      <c r="E93" s="22"/>
      <c r="F93" s="176"/>
    </row>
    <row r="94" spans="1:27" ht="15.75" customHeight="1">
      <c r="B94" s="12"/>
      <c r="D94" s="181"/>
      <c r="E94" s="22"/>
      <c r="F94" s="176"/>
    </row>
    <row r="95" spans="1:27" ht="15.75" customHeight="1">
      <c r="B95" s="12"/>
      <c r="D95" s="181"/>
      <c r="E95" s="22"/>
      <c r="F95" s="176"/>
    </row>
    <row r="96" spans="1:27" ht="15.75" customHeight="1">
      <c r="B96" s="12"/>
      <c r="D96" s="181"/>
      <c r="E96" s="22"/>
      <c r="F96" s="176"/>
    </row>
    <row r="97" spans="2:6" ht="15.75" customHeight="1">
      <c r="B97" s="12"/>
      <c r="D97" s="181"/>
      <c r="E97" s="22"/>
      <c r="F97" s="176"/>
    </row>
    <row r="98" spans="2:6" ht="15.75" customHeight="1">
      <c r="B98" s="12"/>
      <c r="D98" s="181"/>
      <c r="E98" s="22"/>
      <c r="F98" s="176"/>
    </row>
    <row r="99" spans="2:6" ht="15.75" customHeight="1">
      <c r="B99" s="12"/>
      <c r="D99" s="181"/>
      <c r="E99" s="22"/>
      <c r="F99" s="176"/>
    </row>
    <row r="100" spans="2:6" ht="15.75" customHeight="1">
      <c r="B100" s="12"/>
      <c r="D100" s="181"/>
      <c r="E100" s="22"/>
      <c r="F100" s="176"/>
    </row>
    <row r="101" spans="2:6" ht="15.75" customHeight="1">
      <c r="B101" s="12"/>
      <c r="D101" s="181"/>
      <c r="E101" s="22"/>
      <c r="F101" s="176"/>
    </row>
    <row r="102" spans="2:6" ht="15.75" customHeight="1">
      <c r="B102" s="12"/>
      <c r="D102" s="181"/>
      <c r="E102" s="22"/>
      <c r="F102" s="176"/>
    </row>
    <row r="103" spans="2:6" ht="15.75" customHeight="1">
      <c r="B103" s="12"/>
      <c r="D103" s="181"/>
      <c r="E103" s="22"/>
      <c r="F103" s="176"/>
    </row>
    <row r="104" spans="2:6" ht="15.75" customHeight="1">
      <c r="B104" s="12"/>
      <c r="D104" s="181"/>
      <c r="E104" s="22"/>
      <c r="F104" s="176"/>
    </row>
    <row r="105" spans="2:6" ht="15.75" customHeight="1">
      <c r="B105" s="12"/>
      <c r="D105" s="181"/>
      <c r="E105" s="22"/>
      <c r="F105" s="176"/>
    </row>
    <row r="106" spans="2:6" ht="15.75" customHeight="1">
      <c r="B106" s="12"/>
      <c r="D106" s="181"/>
      <c r="E106" s="22"/>
      <c r="F106" s="176"/>
    </row>
    <row r="107" spans="2:6" ht="15.75" customHeight="1">
      <c r="B107" s="12"/>
      <c r="D107" s="181"/>
      <c r="E107" s="22"/>
      <c r="F107" s="176"/>
    </row>
    <row r="108" spans="2:6" ht="15.75" customHeight="1">
      <c r="B108" s="12"/>
      <c r="D108" s="181"/>
      <c r="E108" s="22"/>
      <c r="F108" s="176"/>
    </row>
    <row r="109" spans="2:6" ht="15.75" customHeight="1">
      <c r="B109" s="12"/>
      <c r="D109" s="181"/>
      <c r="E109" s="22"/>
      <c r="F109" s="176"/>
    </row>
    <row r="110" spans="2:6" ht="15.75" customHeight="1">
      <c r="B110" s="12"/>
      <c r="D110" s="181"/>
      <c r="E110" s="22"/>
      <c r="F110" s="176"/>
    </row>
    <row r="111" spans="2:6" ht="15.75" customHeight="1">
      <c r="B111" s="12"/>
      <c r="D111" s="181"/>
      <c r="E111" s="22"/>
      <c r="F111" s="176"/>
    </row>
    <row r="112" spans="2:6" ht="15.75" customHeight="1">
      <c r="B112" s="12"/>
      <c r="D112" s="181"/>
      <c r="E112" s="22"/>
      <c r="F112" s="176"/>
    </row>
    <row r="113" spans="2:6" ht="15.75" customHeight="1">
      <c r="B113" s="12"/>
      <c r="D113" s="181"/>
      <c r="E113" s="22"/>
      <c r="F113" s="176"/>
    </row>
    <row r="114" spans="2:6" ht="15.75" customHeight="1">
      <c r="B114" s="12"/>
      <c r="D114" s="181"/>
      <c r="E114" s="22"/>
      <c r="F114" s="176"/>
    </row>
    <row r="115" spans="2:6" ht="15.75" customHeight="1">
      <c r="B115" s="12"/>
      <c r="D115" s="181"/>
      <c r="E115" s="22"/>
      <c r="F115" s="176"/>
    </row>
    <row r="116" spans="2:6" ht="15.75" customHeight="1">
      <c r="B116" s="12"/>
      <c r="D116" s="181"/>
      <c r="E116" s="22"/>
      <c r="F116" s="176"/>
    </row>
    <row r="117" spans="2:6" ht="15.75" customHeight="1">
      <c r="B117" s="12"/>
      <c r="D117" s="181"/>
      <c r="E117" s="22"/>
      <c r="F117" s="176"/>
    </row>
    <row r="118" spans="2:6" ht="15.75" customHeight="1">
      <c r="B118" s="12"/>
      <c r="D118" s="181"/>
      <c r="E118" s="22"/>
      <c r="F118" s="176"/>
    </row>
    <row r="119" spans="2:6" ht="15.75" customHeight="1">
      <c r="B119" s="12"/>
      <c r="D119" s="181"/>
      <c r="E119" s="22"/>
      <c r="F119" s="176"/>
    </row>
    <row r="120" spans="2:6" ht="15.75" customHeight="1">
      <c r="B120" s="12"/>
      <c r="D120" s="181"/>
      <c r="E120" s="22"/>
      <c r="F120" s="176"/>
    </row>
    <row r="121" spans="2:6" ht="15.75" customHeight="1">
      <c r="B121" s="12"/>
      <c r="D121" s="181"/>
      <c r="E121" s="22"/>
      <c r="F121" s="176"/>
    </row>
    <row r="122" spans="2:6" ht="15.75" customHeight="1">
      <c r="B122" s="12"/>
      <c r="D122" s="181"/>
      <c r="E122" s="22"/>
      <c r="F122" s="176"/>
    </row>
    <row r="123" spans="2:6" ht="15.75" customHeight="1">
      <c r="B123" s="12"/>
      <c r="D123" s="181"/>
      <c r="E123" s="22"/>
      <c r="F123" s="176"/>
    </row>
    <row r="124" spans="2:6" ht="15.75" customHeight="1">
      <c r="B124" s="12"/>
      <c r="D124" s="181"/>
      <c r="E124" s="22"/>
      <c r="F124" s="176"/>
    </row>
    <row r="125" spans="2:6" ht="15.75" customHeight="1">
      <c r="B125" s="12"/>
      <c r="D125" s="181"/>
      <c r="E125" s="22"/>
      <c r="F125" s="176"/>
    </row>
    <row r="126" spans="2:6" ht="15.75" customHeight="1">
      <c r="B126" s="12"/>
      <c r="D126" s="181"/>
      <c r="E126" s="22"/>
      <c r="F126" s="176"/>
    </row>
    <row r="127" spans="2:6" ht="15.75" customHeight="1">
      <c r="B127" s="12"/>
      <c r="D127" s="181"/>
      <c r="E127" s="22"/>
      <c r="F127" s="176"/>
    </row>
    <row r="128" spans="2:6" ht="15.75" customHeight="1">
      <c r="B128" s="12"/>
      <c r="D128" s="181"/>
      <c r="E128" s="22"/>
      <c r="F128" s="176"/>
    </row>
    <row r="129" spans="2:6" ht="15.75" customHeight="1">
      <c r="B129" s="12"/>
      <c r="D129" s="181"/>
      <c r="E129" s="22"/>
      <c r="F129" s="176"/>
    </row>
    <row r="130" spans="2:6" ht="15.75" customHeight="1">
      <c r="B130" s="12"/>
      <c r="D130" s="181"/>
      <c r="E130" s="22"/>
      <c r="F130" s="176"/>
    </row>
    <row r="131" spans="2:6" ht="15.75" customHeight="1">
      <c r="B131" s="12"/>
      <c r="D131" s="181"/>
      <c r="E131" s="22"/>
      <c r="F131" s="176"/>
    </row>
    <row r="132" spans="2:6" ht="15.75" customHeight="1">
      <c r="B132" s="12"/>
      <c r="D132" s="181"/>
      <c r="E132" s="22"/>
      <c r="F132" s="176"/>
    </row>
    <row r="133" spans="2:6" ht="15.75" customHeight="1">
      <c r="B133" s="12"/>
      <c r="D133" s="181"/>
      <c r="E133" s="22"/>
      <c r="F133" s="176"/>
    </row>
    <row r="134" spans="2:6" ht="15.75" customHeight="1">
      <c r="B134" s="12"/>
      <c r="D134" s="181"/>
      <c r="E134" s="22"/>
      <c r="F134" s="176"/>
    </row>
    <row r="135" spans="2:6" ht="15.75" customHeight="1">
      <c r="B135" s="12"/>
      <c r="D135" s="181"/>
      <c r="E135" s="22"/>
      <c r="F135" s="176"/>
    </row>
    <row r="136" spans="2:6" ht="15.75" customHeight="1">
      <c r="B136" s="12"/>
      <c r="D136" s="181"/>
      <c r="E136" s="22"/>
      <c r="F136" s="176"/>
    </row>
    <row r="137" spans="2:6" ht="15.75" customHeight="1">
      <c r="B137" s="12"/>
      <c r="D137" s="181"/>
      <c r="E137" s="22"/>
      <c r="F137" s="176"/>
    </row>
    <row r="138" spans="2:6" ht="15.75" customHeight="1">
      <c r="B138" s="12"/>
      <c r="D138" s="181"/>
      <c r="E138" s="22"/>
      <c r="F138" s="176"/>
    </row>
    <row r="139" spans="2:6" ht="15.75" customHeight="1">
      <c r="B139" s="12"/>
      <c r="D139" s="181"/>
      <c r="E139" s="22"/>
      <c r="F139" s="176"/>
    </row>
    <row r="140" spans="2:6" ht="15.75" customHeight="1">
      <c r="B140" s="12"/>
      <c r="D140" s="181"/>
      <c r="E140" s="22"/>
      <c r="F140" s="176"/>
    </row>
    <row r="141" spans="2:6" ht="15.75" customHeight="1">
      <c r="B141" s="12"/>
      <c r="D141" s="181"/>
      <c r="E141" s="22"/>
      <c r="F141" s="176"/>
    </row>
    <row r="142" spans="2:6" ht="15.75" customHeight="1">
      <c r="B142" s="12"/>
      <c r="D142" s="181"/>
      <c r="E142" s="22"/>
      <c r="F142" s="176"/>
    </row>
    <row r="143" spans="2:6" ht="15.75" customHeight="1">
      <c r="B143" s="12"/>
      <c r="D143" s="181"/>
      <c r="E143" s="22"/>
      <c r="F143" s="176"/>
    </row>
    <row r="144" spans="2:6" ht="15.75" customHeight="1">
      <c r="B144" s="12"/>
      <c r="D144" s="181"/>
      <c r="E144" s="22"/>
      <c r="F144" s="176"/>
    </row>
    <row r="145" spans="2:6" ht="15.75" customHeight="1">
      <c r="B145" s="12"/>
      <c r="D145" s="181"/>
      <c r="E145" s="22"/>
      <c r="F145" s="176"/>
    </row>
    <row r="146" spans="2:6" ht="15.75" customHeight="1">
      <c r="B146" s="12"/>
      <c r="D146" s="181"/>
      <c r="E146" s="22"/>
      <c r="F146" s="176"/>
    </row>
    <row r="147" spans="2:6" ht="15.75" customHeight="1">
      <c r="B147" s="12"/>
      <c r="D147" s="181"/>
      <c r="E147" s="22"/>
      <c r="F147" s="176"/>
    </row>
    <row r="148" spans="2:6" ht="15.75" customHeight="1">
      <c r="B148" s="12"/>
      <c r="D148" s="181"/>
      <c r="E148" s="22"/>
      <c r="F148" s="176"/>
    </row>
    <row r="149" spans="2:6" ht="15.75" customHeight="1">
      <c r="B149" s="12"/>
      <c r="D149" s="181"/>
      <c r="E149" s="22"/>
      <c r="F149" s="176"/>
    </row>
    <row r="150" spans="2:6" ht="15.75" customHeight="1">
      <c r="B150" s="12"/>
      <c r="D150" s="181"/>
      <c r="E150" s="22"/>
      <c r="F150" s="176"/>
    </row>
    <row r="151" spans="2:6" ht="15.75" customHeight="1">
      <c r="B151" s="12"/>
      <c r="D151" s="181"/>
      <c r="E151" s="22"/>
      <c r="F151" s="176"/>
    </row>
    <row r="152" spans="2:6" ht="15.75" customHeight="1">
      <c r="B152" s="12"/>
      <c r="D152" s="181"/>
      <c r="E152" s="22"/>
      <c r="F152" s="176"/>
    </row>
    <row r="153" spans="2:6" ht="15.75" customHeight="1">
      <c r="B153" s="12"/>
      <c r="D153" s="181"/>
      <c r="E153" s="22"/>
      <c r="F153" s="176"/>
    </row>
    <row r="154" spans="2:6" ht="15.75" customHeight="1">
      <c r="B154" s="12"/>
      <c r="D154" s="181"/>
      <c r="E154" s="22"/>
      <c r="F154" s="176"/>
    </row>
    <row r="155" spans="2:6" ht="15.75" customHeight="1">
      <c r="B155" s="12"/>
      <c r="D155" s="181"/>
      <c r="E155" s="22"/>
      <c r="F155" s="176"/>
    </row>
    <row r="156" spans="2:6" ht="15.75" customHeight="1">
      <c r="B156" s="12"/>
      <c r="D156" s="181"/>
      <c r="E156" s="22"/>
      <c r="F156" s="176"/>
    </row>
    <row r="157" spans="2:6" ht="15.75" customHeight="1">
      <c r="B157" s="12"/>
      <c r="D157" s="181"/>
      <c r="E157" s="22"/>
      <c r="F157" s="176"/>
    </row>
    <row r="158" spans="2:6" ht="15.75" customHeight="1">
      <c r="B158" s="12"/>
      <c r="D158" s="181"/>
      <c r="E158" s="22"/>
      <c r="F158" s="176"/>
    </row>
    <row r="159" spans="2:6" ht="15.75" customHeight="1">
      <c r="B159" s="12"/>
      <c r="D159" s="181"/>
      <c r="E159" s="22"/>
      <c r="F159" s="176"/>
    </row>
    <row r="160" spans="2:6" ht="15.75" customHeight="1">
      <c r="B160" s="12"/>
      <c r="D160" s="181"/>
      <c r="E160" s="22"/>
      <c r="F160" s="176"/>
    </row>
    <row r="161" spans="2:6" ht="15.75" customHeight="1">
      <c r="B161" s="12"/>
      <c r="D161" s="181"/>
      <c r="E161" s="22"/>
      <c r="F161" s="176"/>
    </row>
    <row r="162" spans="2:6" ht="15.75" customHeight="1">
      <c r="B162" s="12"/>
      <c r="D162" s="181"/>
      <c r="E162" s="22"/>
      <c r="F162" s="176"/>
    </row>
    <row r="163" spans="2:6" ht="15.75" customHeight="1">
      <c r="B163" s="12"/>
      <c r="D163" s="181"/>
      <c r="E163" s="22"/>
      <c r="F163" s="176"/>
    </row>
    <row r="164" spans="2:6" ht="15.75" customHeight="1">
      <c r="B164" s="12"/>
      <c r="D164" s="181"/>
      <c r="E164" s="22"/>
      <c r="F164" s="176"/>
    </row>
    <row r="165" spans="2:6" ht="15.75" customHeight="1">
      <c r="B165" s="12"/>
      <c r="D165" s="181"/>
      <c r="E165" s="22"/>
      <c r="F165" s="176"/>
    </row>
    <row r="166" spans="2:6" ht="15.75" customHeight="1">
      <c r="B166" s="12"/>
      <c r="D166" s="181"/>
      <c r="E166" s="22"/>
      <c r="F166" s="176"/>
    </row>
    <row r="167" spans="2:6" ht="15.75" customHeight="1">
      <c r="B167" s="12"/>
      <c r="D167" s="181"/>
      <c r="E167" s="22"/>
      <c r="F167" s="176"/>
    </row>
    <row r="168" spans="2:6" ht="15.75" customHeight="1">
      <c r="B168" s="12"/>
      <c r="D168" s="181"/>
      <c r="E168" s="22"/>
      <c r="F168" s="176"/>
    </row>
    <row r="169" spans="2:6" ht="15.75" customHeight="1">
      <c r="B169" s="12"/>
      <c r="D169" s="181"/>
      <c r="E169" s="22"/>
      <c r="F169" s="176"/>
    </row>
    <row r="170" spans="2:6" ht="15.75" customHeight="1">
      <c r="B170" s="12"/>
      <c r="D170" s="181"/>
      <c r="E170" s="22"/>
      <c r="F170" s="176"/>
    </row>
    <row r="171" spans="2:6" ht="15.75" customHeight="1">
      <c r="B171" s="12"/>
      <c r="D171" s="181"/>
      <c r="E171" s="22"/>
      <c r="F171" s="176"/>
    </row>
    <row r="172" spans="2:6" ht="15.75" customHeight="1">
      <c r="B172" s="12"/>
      <c r="D172" s="181"/>
      <c r="E172" s="22"/>
      <c r="F172" s="176"/>
    </row>
    <row r="173" spans="2:6" ht="15.75" customHeight="1">
      <c r="B173" s="12"/>
      <c r="D173" s="181"/>
      <c r="E173" s="22"/>
      <c r="F173" s="176"/>
    </row>
    <row r="174" spans="2:6" ht="15.75" customHeight="1">
      <c r="B174" s="12"/>
      <c r="D174" s="181"/>
      <c r="E174" s="22"/>
      <c r="F174" s="176"/>
    </row>
    <row r="175" spans="2:6" ht="15.75" customHeight="1">
      <c r="B175" s="12"/>
      <c r="D175" s="181"/>
      <c r="E175" s="22"/>
      <c r="F175" s="176"/>
    </row>
    <row r="176" spans="2:6" ht="15.75" customHeight="1">
      <c r="B176" s="12"/>
      <c r="D176" s="181"/>
      <c r="E176" s="22"/>
      <c r="F176" s="176"/>
    </row>
    <row r="177" spans="2:6" ht="15.75" customHeight="1">
      <c r="B177" s="12"/>
      <c r="D177" s="181"/>
      <c r="E177" s="22"/>
      <c r="F177" s="176"/>
    </row>
    <row r="178" spans="2:6" ht="15.75" customHeight="1">
      <c r="B178" s="12"/>
      <c r="D178" s="181"/>
      <c r="E178" s="22"/>
      <c r="F178" s="176"/>
    </row>
    <row r="179" spans="2:6" ht="15.75" customHeight="1">
      <c r="B179" s="12"/>
      <c r="D179" s="181"/>
      <c r="E179" s="22"/>
      <c r="F179" s="176"/>
    </row>
    <row r="180" spans="2:6" ht="15.75" customHeight="1">
      <c r="B180" s="12"/>
      <c r="D180" s="181"/>
      <c r="E180" s="22"/>
      <c r="F180" s="176"/>
    </row>
    <row r="181" spans="2:6" ht="15.75" customHeight="1">
      <c r="B181" s="12"/>
      <c r="D181" s="181"/>
      <c r="E181" s="22"/>
      <c r="F181" s="176"/>
    </row>
    <row r="182" spans="2:6" ht="15.75" customHeight="1">
      <c r="B182" s="12"/>
      <c r="D182" s="181"/>
      <c r="E182" s="22"/>
      <c r="F182" s="176"/>
    </row>
    <row r="183" spans="2:6" ht="15.75" customHeight="1">
      <c r="B183" s="12"/>
      <c r="D183" s="181"/>
      <c r="E183" s="22"/>
      <c r="F183" s="176"/>
    </row>
    <row r="184" spans="2:6" ht="15.75" customHeight="1">
      <c r="B184" s="12"/>
      <c r="D184" s="181"/>
      <c r="E184" s="22"/>
      <c r="F184" s="176"/>
    </row>
    <row r="185" spans="2:6" ht="15.75" customHeight="1">
      <c r="B185" s="12"/>
      <c r="D185" s="181"/>
      <c r="E185" s="22"/>
      <c r="F185" s="176"/>
    </row>
    <row r="186" spans="2:6" ht="15.75" customHeight="1">
      <c r="B186" s="12"/>
      <c r="D186" s="181"/>
      <c r="E186" s="22"/>
      <c r="F186" s="176"/>
    </row>
    <row r="187" spans="2:6" ht="15.75" customHeight="1">
      <c r="B187" s="12"/>
      <c r="D187" s="181"/>
      <c r="E187" s="22"/>
      <c r="F187" s="176"/>
    </row>
    <row r="188" spans="2:6" ht="15.75" customHeight="1">
      <c r="B188" s="12"/>
      <c r="D188" s="181"/>
      <c r="E188" s="22"/>
      <c r="F188" s="176"/>
    </row>
    <row r="189" spans="2:6" ht="15.75" customHeight="1">
      <c r="B189" s="12"/>
      <c r="D189" s="181"/>
      <c r="E189" s="22"/>
      <c r="F189" s="176"/>
    </row>
    <row r="190" spans="2:6" ht="15.75" customHeight="1">
      <c r="B190" s="12"/>
      <c r="D190" s="181"/>
      <c r="E190" s="22"/>
      <c r="F190" s="176"/>
    </row>
    <row r="191" spans="2:6" ht="15.75" customHeight="1">
      <c r="B191" s="12"/>
      <c r="D191" s="181"/>
      <c r="E191" s="22"/>
      <c r="F191" s="176"/>
    </row>
    <row r="192" spans="2:6" ht="15.75" customHeight="1">
      <c r="B192" s="12"/>
      <c r="D192" s="181"/>
      <c r="E192" s="22"/>
      <c r="F192" s="176"/>
    </row>
    <row r="193" spans="2:6" ht="15.75" customHeight="1">
      <c r="B193" s="12"/>
      <c r="D193" s="181"/>
      <c r="E193" s="22"/>
      <c r="F193" s="176"/>
    </row>
    <row r="194" spans="2:6" ht="15.75" customHeight="1">
      <c r="B194" s="12"/>
      <c r="D194" s="181"/>
      <c r="E194" s="22"/>
      <c r="F194" s="176"/>
    </row>
    <row r="195" spans="2:6" ht="15.75" customHeight="1">
      <c r="B195" s="12"/>
      <c r="D195" s="181"/>
      <c r="E195" s="22"/>
      <c r="F195" s="176"/>
    </row>
    <row r="196" spans="2:6" ht="15.75" customHeight="1">
      <c r="B196" s="12"/>
      <c r="D196" s="181"/>
      <c r="E196" s="22"/>
      <c r="F196" s="176"/>
    </row>
    <row r="197" spans="2:6" ht="15.75" customHeight="1">
      <c r="B197" s="12"/>
      <c r="D197" s="181"/>
      <c r="E197" s="22"/>
      <c r="F197" s="176"/>
    </row>
    <row r="198" spans="2:6" ht="15.75" customHeight="1">
      <c r="B198" s="12"/>
      <c r="D198" s="181"/>
      <c r="E198" s="22"/>
      <c r="F198" s="176"/>
    </row>
    <row r="199" spans="2:6" ht="15.75" customHeight="1">
      <c r="B199" s="12"/>
      <c r="D199" s="181"/>
      <c r="E199" s="22"/>
      <c r="F199" s="176"/>
    </row>
    <row r="200" spans="2:6" ht="15.75" customHeight="1">
      <c r="B200" s="12"/>
      <c r="D200" s="181"/>
      <c r="E200" s="22"/>
      <c r="F200" s="176"/>
    </row>
    <row r="201" spans="2:6" ht="15.75" customHeight="1">
      <c r="B201" s="12"/>
      <c r="D201" s="181"/>
      <c r="E201" s="22"/>
      <c r="F201" s="176"/>
    </row>
    <row r="202" spans="2:6" ht="15.75" customHeight="1">
      <c r="B202" s="12"/>
      <c r="D202" s="181"/>
      <c r="E202" s="22"/>
      <c r="F202" s="176"/>
    </row>
    <row r="203" spans="2:6" ht="15.75" customHeight="1">
      <c r="B203" s="12"/>
      <c r="D203" s="181"/>
      <c r="E203" s="22"/>
      <c r="F203" s="176"/>
    </row>
    <row r="204" spans="2:6" ht="15.75" customHeight="1">
      <c r="B204" s="12"/>
      <c r="D204" s="181"/>
      <c r="E204" s="22"/>
      <c r="F204" s="176"/>
    </row>
    <row r="205" spans="2:6" ht="15.75" customHeight="1">
      <c r="B205" s="12"/>
      <c r="D205" s="181"/>
      <c r="E205" s="22"/>
      <c r="F205" s="176"/>
    </row>
    <row r="206" spans="2:6" ht="15.75" customHeight="1">
      <c r="B206" s="12"/>
      <c r="D206" s="181"/>
      <c r="E206" s="22"/>
      <c r="F206" s="176"/>
    </row>
    <row r="207" spans="2:6" ht="15.75" customHeight="1">
      <c r="B207" s="12"/>
      <c r="D207" s="181"/>
      <c r="E207" s="22"/>
      <c r="F207" s="176"/>
    </row>
    <row r="208" spans="2:6" ht="15.75" customHeight="1">
      <c r="B208" s="12"/>
      <c r="D208" s="181"/>
      <c r="E208" s="22"/>
      <c r="F208" s="176"/>
    </row>
    <row r="209" spans="2:6" ht="15.75" customHeight="1">
      <c r="B209" s="12"/>
      <c r="D209" s="181"/>
      <c r="E209" s="22"/>
      <c r="F209" s="176"/>
    </row>
    <row r="210" spans="2:6" ht="15.75" customHeight="1">
      <c r="B210" s="12"/>
      <c r="D210" s="181"/>
      <c r="E210" s="22"/>
      <c r="F210" s="176"/>
    </row>
    <row r="211" spans="2:6" ht="15.75" customHeight="1">
      <c r="B211" s="12"/>
      <c r="D211" s="181"/>
      <c r="E211" s="22"/>
      <c r="F211" s="176"/>
    </row>
    <row r="212" spans="2:6" ht="15.75" customHeight="1">
      <c r="B212" s="12"/>
      <c r="D212" s="181"/>
      <c r="E212" s="22"/>
      <c r="F212" s="176"/>
    </row>
    <row r="213" spans="2:6" ht="15.75" customHeight="1">
      <c r="B213" s="12"/>
      <c r="D213" s="181"/>
      <c r="E213" s="22"/>
      <c r="F213" s="176"/>
    </row>
    <row r="214" spans="2:6" ht="15.75" customHeight="1">
      <c r="B214" s="12"/>
      <c r="D214" s="181"/>
      <c r="E214" s="22"/>
      <c r="F214" s="176"/>
    </row>
    <row r="215" spans="2:6" ht="15.75" customHeight="1">
      <c r="B215" s="12"/>
      <c r="D215" s="181"/>
      <c r="E215" s="22"/>
      <c r="F215" s="176"/>
    </row>
    <row r="216" spans="2:6" ht="15.75" customHeight="1">
      <c r="B216" s="12"/>
      <c r="D216" s="181"/>
      <c r="E216" s="22"/>
      <c r="F216" s="176"/>
    </row>
    <row r="217" spans="2:6" ht="15.75" customHeight="1">
      <c r="B217" s="12"/>
      <c r="D217" s="181"/>
      <c r="E217" s="22"/>
      <c r="F217" s="176"/>
    </row>
    <row r="218" spans="2:6" ht="15.75" customHeight="1">
      <c r="B218" s="12"/>
      <c r="D218" s="181"/>
      <c r="E218" s="22"/>
      <c r="F218" s="176"/>
    </row>
    <row r="219" spans="2:6" ht="15.75" customHeight="1">
      <c r="B219" s="12"/>
      <c r="D219" s="181"/>
      <c r="E219" s="22"/>
      <c r="F219" s="176"/>
    </row>
    <row r="220" spans="2:6" ht="15.75" customHeight="1">
      <c r="B220" s="12"/>
      <c r="D220" s="181"/>
      <c r="E220" s="22"/>
      <c r="F220" s="176"/>
    </row>
    <row r="221" spans="2:6" ht="15.75" customHeight="1">
      <c r="B221" s="12"/>
      <c r="D221" s="181"/>
      <c r="E221" s="22"/>
      <c r="F221" s="176"/>
    </row>
    <row r="222" spans="2:6" ht="15.75" customHeight="1">
      <c r="B222" s="12"/>
      <c r="D222" s="181"/>
      <c r="E222" s="22"/>
      <c r="F222" s="176"/>
    </row>
    <row r="223" spans="2:6" ht="15.75" customHeight="1">
      <c r="B223" s="12"/>
      <c r="D223" s="181"/>
      <c r="E223" s="22"/>
      <c r="F223" s="176"/>
    </row>
    <row r="224" spans="2:6" ht="15.75" customHeight="1">
      <c r="B224" s="12"/>
      <c r="D224" s="181"/>
      <c r="E224" s="22"/>
      <c r="F224" s="176"/>
    </row>
    <row r="225" spans="2:6" ht="15.75" customHeight="1">
      <c r="B225" s="12"/>
      <c r="D225" s="181"/>
      <c r="E225" s="22"/>
      <c r="F225" s="176"/>
    </row>
    <row r="226" spans="2:6" ht="15.75" customHeight="1">
      <c r="B226" s="12"/>
      <c r="D226" s="181"/>
      <c r="E226" s="22"/>
      <c r="F226" s="176"/>
    </row>
    <row r="227" spans="2:6" ht="15.75" customHeight="1">
      <c r="B227" s="12"/>
      <c r="D227" s="181"/>
      <c r="E227" s="22"/>
      <c r="F227" s="176"/>
    </row>
    <row r="228" spans="2:6" ht="15.75" customHeight="1">
      <c r="B228" s="12"/>
      <c r="D228" s="181"/>
      <c r="E228" s="22"/>
      <c r="F228" s="176"/>
    </row>
    <row r="229" spans="2:6" ht="15.75" customHeight="1">
      <c r="B229" s="12"/>
      <c r="D229" s="181"/>
      <c r="E229" s="22"/>
      <c r="F229" s="176"/>
    </row>
    <row r="230" spans="2:6" ht="15.75" customHeight="1">
      <c r="B230" s="12"/>
      <c r="D230" s="181"/>
      <c r="E230" s="22"/>
      <c r="F230" s="176"/>
    </row>
    <row r="231" spans="2:6" ht="15.75" customHeight="1">
      <c r="B231" s="12"/>
      <c r="D231" s="181"/>
      <c r="E231" s="22"/>
      <c r="F231" s="176"/>
    </row>
    <row r="232" spans="2:6" ht="15.75" customHeight="1">
      <c r="B232" s="12"/>
      <c r="D232" s="181"/>
      <c r="E232" s="22"/>
      <c r="F232" s="176"/>
    </row>
    <row r="233" spans="2:6" ht="15.75" customHeight="1">
      <c r="B233" s="12"/>
      <c r="D233" s="181"/>
      <c r="E233" s="22"/>
      <c r="F233" s="176"/>
    </row>
    <row r="234" spans="2:6" ht="15.75" customHeight="1">
      <c r="B234" s="12"/>
      <c r="D234" s="181"/>
      <c r="E234" s="22"/>
      <c r="F234" s="176"/>
    </row>
    <row r="235" spans="2:6" ht="15.75" customHeight="1">
      <c r="B235" s="12"/>
      <c r="D235" s="181"/>
      <c r="E235" s="22"/>
      <c r="F235" s="176"/>
    </row>
    <row r="236" spans="2:6" ht="15.75" customHeight="1">
      <c r="B236" s="12"/>
      <c r="D236" s="181"/>
      <c r="E236" s="22"/>
      <c r="F236" s="176"/>
    </row>
    <row r="237" spans="2:6" ht="15.75" customHeight="1">
      <c r="B237" s="12"/>
      <c r="D237" s="181"/>
      <c r="E237" s="22"/>
      <c r="F237" s="176"/>
    </row>
    <row r="238" spans="2:6" ht="15.75" customHeight="1">
      <c r="B238" s="12"/>
      <c r="D238" s="181"/>
      <c r="E238" s="22"/>
      <c r="F238" s="176"/>
    </row>
    <row r="239" spans="2:6" ht="15.75" customHeight="1">
      <c r="B239" s="12"/>
      <c r="D239" s="181"/>
      <c r="E239" s="22"/>
      <c r="F239" s="176"/>
    </row>
    <row r="240" spans="2:6" ht="15.75" customHeight="1">
      <c r="B240" s="12"/>
      <c r="D240" s="181"/>
      <c r="E240" s="22"/>
      <c r="F240" s="176"/>
    </row>
    <row r="241" spans="2:6" ht="15.75" customHeight="1">
      <c r="B241" s="12"/>
      <c r="D241" s="181"/>
      <c r="E241" s="22"/>
      <c r="F241" s="176"/>
    </row>
    <row r="242" spans="2:6" ht="15.75" customHeight="1">
      <c r="B242" s="12"/>
      <c r="D242" s="181"/>
      <c r="E242" s="22"/>
      <c r="F242" s="176"/>
    </row>
    <row r="243" spans="2:6" ht="15.75" customHeight="1">
      <c r="B243" s="12"/>
      <c r="D243" s="181"/>
      <c r="E243" s="22"/>
      <c r="F243" s="176"/>
    </row>
    <row r="244" spans="2:6" ht="15.75" customHeight="1">
      <c r="B244" s="12"/>
      <c r="D244" s="181"/>
      <c r="E244" s="22"/>
      <c r="F244" s="176"/>
    </row>
    <row r="245" spans="2:6" ht="15.75" customHeight="1">
      <c r="B245" s="12"/>
      <c r="D245" s="181"/>
      <c r="E245" s="22"/>
      <c r="F245" s="176"/>
    </row>
    <row r="246" spans="2:6" ht="15.75" customHeight="1">
      <c r="B246" s="12"/>
      <c r="D246" s="181"/>
      <c r="E246" s="22"/>
      <c r="F246" s="176"/>
    </row>
    <row r="247" spans="2:6" ht="15.75" customHeight="1">
      <c r="B247" s="12"/>
      <c r="D247" s="181"/>
      <c r="E247" s="22"/>
      <c r="F247" s="176"/>
    </row>
    <row r="248" spans="2:6" ht="15.75" customHeight="1">
      <c r="B248" s="12"/>
      <c r="D248" s="181"/>
      <c r="E248" s="22"/>
      <c r="F248" s="176"/>
    </row>
    <row r="249" spans="2:6" ht="15.75" customHeight="1">
      <c r="B249" s="12"/>
      <c r="D249" s="181"/>
      <c r="E249" s="22"/>
      <c r="F249" s="176"/>
    </row>
    <row r="250" spans="2:6" ht="15.75" customHeight="1">
      <c r="B250" s="12"/>
      <c r="D250" s="181"/>
      <c r="E250" s="22"/>
      <c r="F250" s="176"/>
    </row>
    <row r="251" spans="2:6" ht="15.75" customHeight="1">
      <c r="B251" s="12"/>
      <c r="D251" s="181"/>
      <c r="E251" s="22"/>
      <c r="F251" s="176"/>
    </row>
    <row r="252" spans="2:6" ht="15.75" customHeight="1">
      <c r="B252" s="12"/>
      <c r="D252" s="181"/>
      <c r="E252" s="22"/>
      <c r="F252" s="176"/>
    </row>
    <row r="253" spans="2:6" ht="15.75" customHeight="1">
      <c r="B253" s="12"/>
      <c r="D253" s="181"/>
      <c r="E253" s="22"/>
      <c r="F253" s="176"/>
    </row>
    <row r="254" spans="2:6" ht="15.75" customHeight="1">
      <c r="B254" s="12"/>
      <c r="D254" s="181"/>
      <c r="E254" s="22"/>
      <c r="F254" s="176"/>
    </row>
    <row r="255" spans="2:6" ht="15.75" customHeight="1">
      <c r="B255" s="12"/>
      <c r="D255" s="181"/>
      <c r="E255" s="22"/>
      <c r="F255" s="176"/>
    </row>
    <row r="256" spans="2:6" ht="15.75" customHeight="1">
      <c r="B256" s="12"/>
      <c r="D256" s="181"/>
      <c r="E256" s="22"/>
      <c r="F256" s="176"/>
    </row>
    <row r="257" spans="2:6" ht="15.75" customHeight="1">
      <c r="B257" s="12"/>
      <c r="D257" s="181"/>
      <c r="E257" s="22"/>
      <c r="F257" s="176"/>
    </row>
    <row r="258" spans="2:6" ht="15.75" customHeight="1">
      <c r="B258" s="12"/>
      <c r="D258" s="181"/>
      <c r="E258" s="22"/>
      <c r="F258" s="176"/>
    </row>
    <row r="259" spans="2:6" ht="15.75" customHeight="1">
      <c r="B259" s="12"/>
      <c r="D259" s="181"/>
      <c r="E259" s="22"/>
      <c r="F259" s="176"/>
    </row>
    <row r="260" spans="2:6" ht="15.75" customHeight="1">
      <c r="B260" s="12"/>
      <c r="D260" s="181"/>
      <c r="E260" s="22"/>
      <c r="F260" s="176"/>
    </row>
    <row r="261" spans="2:6" ht="15.75" customHeight="1">
      <c r="B261" s="12"/>
      <c r="D261" s="181"/>
      <c r="E261" s="22"/>
      <c r="F261" s="176"/>
    </row>
    <row r="262" spans="2:6" ht="15.75" customHeight="1">
      <c r="B262" s="12"/>
      <c r="D262" s="181"/>
      <c r="E262" s="22"/>
      <c r="F262" s="176"/>
    </row>
    <row r="263" spans="2:6" ht="15.75" customHeight="1">
      <c r="B263" s="12"/>
      <c r="D263" s="181"/>
      <c r="E263" s="22"/>
      <c r="F263" s="176"/>
    </row>
    <row r="264" spans="2:6" ht="15.75" customHeight="1">
      <c r="B264" s="12"/>
      <c r="D264" s="181"/>
      <c r="E264" s="22"/>
      <c r="F264" s="176"/>
    </row>
    <row r="265" spans="2:6" ht="15.75" customHeight="1">
      <c r="B265" s="12"/>
      <c r="D265" s="181"/>
      <c r="E265" s="22"/>
      <c r="F265" s="176"/>
    </row>
    <row r="266" spans="2:6" ht="15.75" customHeight="1">
      <c r="B266" s="12"/>
      <c r="D266" s="181"/>
      <c r="E266" s="22"/>
      <c r="F266" s="176"/>
    </row>
    <row r="267" spans="2:6" ht="15.75" customHeight="1">
      <c r="B267" s="12"/>
      <c r="D267" s="181"/>
      <c r="E267" s="22"/>
      <c r="F267" s="176"/>
    </row>
    <row r="268" spans="2:6" ht="15.75" customHeight="1">
      <c r="B268" s="12"/>
      <c r="D268" s="181"/>
      <c r="E268" s="22"/>
      <c r="F268" s="176"/>
    </row>
    <row r="269" spans="2:6" ht="15.75" customHeight="1">
      <c r="B269" s="12"/>
      <c r="D269" s="181"/>
      <c r="E269" s="22"/>
      <c r="F269" s="176"/>
    </row>
    <row r="270" spans="2:6" ht="15.75" customHeight="1">
      <c r="B270" s="12"/>
      <c r="D270" s="181"/>
      <c r="E270" s="22"/>
      <c r="F270" s="176"/>
    </row>
    <row r="271" spans="2:6" ht="15.75" customHeight="1">
      <c r="B271" s="12"/>
      <c r="D271" s="181"/>
      <c r="E271" s="22"/>
      <c r="F271" s="176"/>
    </row>
    <row r="272" spans="2:6" ht="15.75" customHeight="1">
      <c r="B272" s="12"/>
      <c r="D272" s="181"/>
      <c r="E272" s="22"/>
      <c r="F272" s="176"/>
    </row>
    <row r="273" spans="2:6" ht="15.75" customHeight="1">
      <c r="B273" s="12"/>
      <c r="D273" s="181"/>
      <c r="E273" s="22"/>
      <c r="F273" s="176"/>
    </row>
    <row r="274" spans="2:6" ht="15.75" customHeight="1">
      <c r="B274" s="12"/>
      <c r="D274" s="181"/>
      <c r="E274" s="22"/>
      <c r="F274" s="176"/>
    </row>
    <row r="275" spans="2:6" ht="15.75" customHeight="1">
      <c r="B275" s="12"/>
      <c r="D275" s="181"/>
      <c r="E275" s="22"/>
      <c r="F275" s="176"/>
    </row>
    <row r="276" spans="2:6" ht="15.75" customHeight="1">
      <c r="B276" s="12"/>
      <c r="D276" s="181"/>
      <c r="E276" s="22"/>
      <c r="F276" s="176"/>
    </row>
    <row r="277" spans="2:6" ht="15.75" customHeight="1">
      <c r="B277" s="12"/>
      <c r="D277" s="181"/>
      <c r="E277" s="22"/>
      <c r="F277" s="176"/>
    </row>
    <row r="278" spans="2:6" ht="15.75" customHeight="1">
      <c r="B278" s="12"/>
      <c r="D278" s="181"/>
      <c r="E278" s="22"/>
      <c r="F278" s="176"/>
    </row>
    <row r="279" spans="2:6" ht="15.75" customHeight="1">
      <c r="B279" s="12"/>
      <c r="D279" s="181"/>
      <c r="E279" s="22"/>
      <c r="F279" s="176"/>
    </row>
    <row r="280" spans="2:6" ht="15.75" customHeight="1">
      <c r="B280" s="12"/>
      <c r="D280" s="181"/>
      <c r="E280" s="22"/>
      <c r="F280" s="176"/>
    </row>
    <row r="281" spans="2:6" ht="15.75" customHeight="1">
      <c r="B281" s="12"/>
      <c r="D281" s="181"/>
      <c r="E281" s="22"/>
      <c r="F281" s="176"/>
    </row>
    <row r="282" spans="2:6" ht="15.75" customHeight="1">
      <c r="B282" s="12"/>
      <c r="D282" s="181"/>
      <c r="E282" s="22"/>
      <c r="F282" s="176"/>
    </row>
    <row r="283" spans="2:6" ht="15.75" customHeight="1">
      <c r="B283" s="12"/>
      <c r="D283" s="181"/>
      <c r="E283" s="22"/>
      <c r="F283" s="176"/>
    </row>
    <row r="284" spans="2:6" ht="15.75" customHeight="1">
      <c r="B284" s="12"/>
      <c r="D284" s="181"/>
      <c r="E284" s="22"/>
      <c r="F284" s="176"/>
    </row>
    <row r="285" spans="2:6" ht="15.75" customHeight="1">
      <c r="B285" s="12"/>
      <c r="D285" s="181"/>
      <c r="E285" s="22"/>
      <c r="F285" s="176"/>
    </row>
    <row r="286" spans="2:6" ht="15.75" customHeight="1">
      <c r="B286" s="12"/>
      <c r="D286" s="181"/>
      <c r="E286" s="22"/>
      <c r="F286" s="176"/>
    </row>
    <row r="287" spans="2:6" ht="15.75" customHeight="1">
      <c r="B287" s="12"/>
      <c r="D287" s="181"/>
      <c r="E287" s="22"/>
      <c r="F287" s="176"/>
    </row>
    <row r="288" spans="2:6" ht="15.75" customHeight="1">
      <c r="B288" s="12"/>
      <c r="D288" s="181"/>
      <c r="E288" s="22"/>
      <c r="F288" s="176"/>
    </row>
    <row r="289" spans="2:6" ht="15.75" customHeight="1">
      <c r="B289" s="12"/>
      <c r="D289" s="181"/>
      <c r="E289" s="22"/>
      <c r="F289" s="176"/>
    </row>
    <row r="290" spans="2:6" ht="15.75" customHeight="1">
      <c r="B290" s="12"/>
      <c r="D290" s="181"/>
      <c r="E290" s="22"/>
      <c r="F290" s="176"/>
    </row>
    <row r="291" spans="2:6" ht="15.75" customHeight="1">
      <c r="B291" s="12"/>
      <c r="D291" s="181"/>
      <c r="E291" s="22"/>
      <c r="F291" s="176"/>
    </row>
    <row r="292" spans="2:6" ht="15.75" customHeight="1">
      <c r="B292" s="12"/>
      <c r="D292" s="181"/>
      <c r="E292" s="22"/>
      <c r="F292" s="176"/>
    </row>
    <row r="293" spans="2:6" ht="15.75" customHeight="1">
      <c r="B293" s="12"/>
      <c r="D293" s="181"/>
      <c r="E293" s="22"/>
      <c r="F293" s="176"/>
    </row>
    <row r="294" spans="2:6" ht="15.75" customHeight="1">
      <c r="B294" s="12"/>
      <c r="D294" s="181"/>
      <c r="E294" s="22"/>
      <c r="F294" s="176"/>
    </row>
    <row r="295" spans="2:6" ht="15.75" customHeight="1">
      <c r="B295" s="12"/>
      <c r="D295" s="181"/>
      <c r="E295" s="22"/>
      <c r="F295" s="176"/>
    </row>
    <row r="296" spans="2:6" ht="15.75" customHeight="1">
      <c r="B296" s="12"/>
      <c r="D296" s="181"/>
      <c r="E296" s="22"/>
      <c r="F296" s="176"/>
    </row>
    <row r="297" spans="2:6" ht="15.75" customHeight="1">
      <c r="B297" s="12"/>
      <c r="D297" s="181"/>
      <c r="E297" s="22"/>
      <c r="F297" s="176"/>
    </row>
    <row r="298" spans="2:6" ht="15.75" customHeight="1">
      <c r="B298" s="12"/>
      <c r="D298" s="181"/>
      <c r="E298" s="22"/>
      <c r="F298" s="176"/>
    </row>
    <row r="299" spans="2:6" ht="15.75" customHeight="1">
      <c r="B299" s="12"/>
      <c r="D299" s="181"/>
      <c r="E299" s="22"/>
      <c r="F299" s="176"/>
    </row>
    <row r="300" spans="2:6" ht="15.75" customHeight="1">
      <c r="B300" s="12"/>
      <c r="D300" s="181"/>
      <c r="E300" s="22"/>
      <c r="F300" s="176"/>
    </row>
    <row r="301" spans="2:6" ht="15.75" customHeight="1">
      <c r="B301" s="12"/>
      <c r="D301" s="181"/>
      <c r="E301" s="22"/>
      <c r="F301" s="176"/>
    </row>
    <row r="302" spans="2:6" ht="15.75" customHeight="1">
      <c r="B302" s="12"/>
      <c r="D302" s="181"/>
      <c r="E302" s="22"/>
      <c r="F302" s="176"/>
    </row>
    <row r="303" spans="2:6" ht="15.75" customHeight="1">
      <c r="B303" s="12"/>
      <c r="D303" s="181"/>
      <c r="E303" s="22"/>
      <c r="F303" s="176"/>
    </row>
    <row r="304" spans="2:6" ht="15.75" customHeight="1">
      <c r="B304" s="12"/>
      <c r="D304" s="181"/>
      <c r="E304" s="22"/>
      <c r="F304" s="176"/>
    </row>
    <row r="305" spans="2:6" ht="15.75" customHeight="1">
      <c r="B305" s="12"/>
      <c r="D305" s="181"/>
      <c r="E305" s="22"/>
      <c r="F305" s="176"/>
    </row>
    <row r="306" spans="2:6" ht="15.75" customHeight="1">
      <c r="B306" s="12"/>
      <c r="D306" s="181"/>
      <c r="E306" s="22"/>
      <c r="F306" s="176"/>
    </row>
    <row r="307" spans="2:6" ht="15.75" customHeight="1">
      <c r="B307" s="12"/>
      <c r="D307" s="181"/>
      <c r="E307" s="22"/>
      <c r="F307" s="176"/>
    </row>
    <row r="308" spans="2:6" ht="15.75" customHeight="1">
      <c r="B308" s="12"/>
      <c r="D308" s="181"/>
      <c r="E308" s="22"/>
      <c r="F308" s="176"/>
    </row>
    <row r="309" spans="2:6" ht="15.75" customHeight="1">
      <c r="B309" s="12"/>
      <c r="D309" s="181"/>
      <c r="E309" s="22"/>
      <c r="F309" s="176"/>
    </row>
    <row r="310" spans="2:6" ht="15.75" customHeight="1">
      <c r="B310" s="12"/>
      <c r="D310" s="181"/>
      <c r="E310" s="22"/>
      <c r="F310" s="176"/>
    </row>
    <row r="311" spans="2:6" ht="15.75" customHeight="1">
      <c r="B311" s="12"/>
      <c r="D311" s="181"/>
      <c r="E311" s="22"/>
      <c r="F311" s="176"/>
    </row>
    <row r="312" spans="2:6" ht="15.75" customHeight="1">
      <c r="B312" s="12"/>
      <c r="D312" s="181"/>
      <c r="E312" s="22"/>
      <c r="F312" s="176"/>
    </row>
    <row r="313" spans="2:6" ht="15.75" customHeight="1">
      <c r="B313" s="12"/>
      <c r="D313" s="181"/>
      <c r="E313" s="22"/>
      <c r="F313" s="176"/>
    </row>
    <row r="314" spans="2:6" ht="15.75" customHeight="1">
      <c r="B314" s="12"/>
      <c r="D314" s="181"/>
      <c r="E314" s="22"/>
      <c r="F314" s="176"/>
    </row>
    <row r="315" spans="2:6" ht="15.75" customHeight="1">
      <c r="B315" s="12"/>
      <c r="D315" s="181"/>
      <c r="E315" s="22"/>
      <c r="F315" s="176"/>
    </row>
    <row r="316" spans="2:6" ht="15.75" customHeight="1">
      <c r="B316" s="12"/>
      <c r="D316" s="181"/>
      <c r="E316" s="22"/>
      <c r="F316" s="176"/>
    </row>
    <row r="317" spans="2:6" ht="15.75" customHeight="1">
      <c r="B317" s="12"/>
      <c r="D317" s="181"/>
      <c r="E317" s="22"/>
      <c r="F317" s="176"/>
    </row>
    <row r="318" spans="2:6" ht="15.75" customHeight="1">
      <c r="B318" s="12"/>
      <c r="D318" s="181"/>
      <c r="E318" s="22"/>
      <c r="F318" s="176"/>
    </row>
    <row r="319" spans="2:6" ht="15.75" customHeight="1">
      <c r="B319" s="12"/>
      <c r="D319" s="181"/>
      <c r="E319" s="22"/>
      <c r="F319" s="176"/>
    </row>
    <row r="320" spans="2:6" ht="15.75" customHeight="1">
      <c r="B320" s="12"/>
      <c r="D320" s="181"/>
      <c r="E320" s="22"/>
      <c r="F320" s="176"/>
    </row>
    <row r="321" spans="2:6" ht="15.75" customHeight="1">
      <c r="B321" s="12"/>
      <c r="D321" s="181"/>
      <c r="E321" s="22"/>
      <c r="F321" s="176"/>
    </row>
    <row r="322" spans="2:6" ht="15.75" customHeight="1">
      <c r="B322" s="12"/>
      <c r="D322" s="181"/>
      <c r="E322" s="22"/>
      <c r="F322" s="176"/>
    </row>
    <row r="323" spans="2:6" ht="15.75" customHeight="1">
      <c r="B323" s="12"/>
      <c r="D323" s="181"/>
      <c r="E323" s="22"/>
      <c r="F323" s="176"/>
    </row>
    <row r="324" spans="2:6" ht="15.75" customHeight="1">
      <c r="B324" s="12"/>
      <c r="D324" s="181"/>
      <c r="E324" s="22"/>
      <c r="F324" s="176"/>
    </row>
    <row r="325" spans="2:6" ht="15.75" customHeight="1">
      <c r="B325" s="12"/>
      <c r="D325" s="181"/>
      <c r="E325" s="22"/>
      <c r="F325" s="176"/>
    </row>
    <row r="326" spans="2:6" ht="15.75" customHeight="1">
      <c r="B326" s="12"/>
      <c r="D326" s="181"/>
      <c r="E326" s="22"/>
      <c r="F326" s="176"/>
    </row>
    <row r="327" spans="2:6" ht="15.75" customHeight="1">
      <c r="B327" s="12"/>
      <c r="D327" s="181"/>
      <c r="E327" s="22"/>
      <c r="F327" s="176"/>
    </row>
    <row r="328" spans="2:6" ht="15.75" customHeight="1">
      <c r="B328" s="12"/>
      <c r="D328" s="181"/>
      <c r="E328" s="22"/>
      <c r="F328" s="176"/>
    </row>
    <row r="329" spans="2:6" ht="15.75" customHeight="1">
      <c r="B329" s="12"/>
      <c r="D329" s="181"/>
      <c r="E329" s="22"/>
      <c r="F329" s="176"/>
    </row>
    <row r="330" spans="2:6" ht="15.75" customHeight="1">
      <c r="B330" s="12"/>
      <c r="D330" s="181"/>
      <c r="E330" s="22"/>
      <c r="F330" s="176"/>
    </row>
    <row r="331" spans="2:6" ht="15.75" customHeight="1">
      <c r="B331" s="12"/>
      <c r="D331" s="181"/>
      <c r="E331" s="22"/>
      <c r="F331" s="176"/>
    </row>
    <row r="332" spans="2:6" ht="15.75" customHeight="1">
      <c r="B332" s="12"/>
      <c r="D332" s="181"/>
      <c r="E332" s="22"/>
      <c r="F332" s="176"/>
    </row>
    <row r="333" spans="2:6" ht="15.75" customHeight="1">
      <c r="B333" s="12"/>
      <c r="D333" s="181"/>
      <c r="E333" s="22"/>
      <c r="F333" s="176"/>
    </row>
    <row r="334" spans="2:6" ht="15.75" customHeight="1">
      <c r="B334" s="12"/>
      <c r="D334" s="181"/>
      <c r="E334" s="22"/>
      <c r="F334" s="176"/>
    </row>
    <row r="335" spans="2:6" ht="15.75" customHeight="1">
      <c r="B335" s="12"/>
      <c r="D335" s="181"/>
      <c r="E335" s="22"/>
      <c r="F335" s="176"/>
    </row>
    <row r="336" spans="2:6" ht="15.75" customHeight="1">
      <c r="B336" s="12"/>
      <c r="D336" s="181"/>
      <c r="E336" s="22"/>
      <c r="F336" s="176"/>
    </row>
    <row r="337" spans="2:6" ht="15.75" customHeight="1">
      <c r="B337" s="12"/>
      <c r="D337" s="181"/>
      <c r="E337" s="22"/>
      <c r="F337" s="176"/>
    </row>
    <row r="338" spans="2:6" ht="15.75" customHeight="1">
      <c r="B338" s="12"/>
      <c r="D338" s="181"/>
      <c r="E338" s="22"/>
      <c r="F338" s="176"/>
    </row>
    <row r="339" spans="2:6" ht="15.75" customHeight="1">
      <c r="B339" s="12"/>
      <c r="D339" s="181"/>
      <c r="E339" s="22"/>
      <c r="F339" s="176"/>
    </row>
    <row r="340" spans="2:6" ht="15.75" customHeight="1">
      <c r="B340" s="12"/>
      <c r="D340" s="181"/>
      <c r="E340" s="22"/>
      <c r="F340" s="176"/>
    </row>
    <row r="341" spans="2:6" ht="15.75" customHeight="1">
      <c r="B341" s="12"/>
      <c r="D341" s="181"/>
      <c r="E341" s="22"/>
      <c r="F341" s="176"/>
    </row>
    <row r="342" spans="2:6" ht="15.75" customHeight="1">
      <c r="B342" s="12"/>
      <c r="D342" s="181"/>
      <c r="E342" s="22"/>
      <c r="F342" s="176"/>
    </row>
    <row r="343" spans="2:6" ht="15.75" customHeight="1">
      <c r="B343" s="12"/>
      <c r="D343" s="181"/>
      <c r="E343" s="22"/>
      <c r="F343" s="176"/>
    </row>
    <row r="344" spans="2:6" ht="15.75" customHeight="1">
      <c r="B344" s="12"/>
      <c r="D344" s="181"/>
      <c r="E344" s="22"/>
      <c r="F344" s="176"/>
    </row>
    <row r="345" spans="2:6" ht="15.75" customHeight="1">
      <c r="B345" s="12"/>
      <c r="D345" s="181"/>
      <c r="E345" s="22"/>
      <c r="F345" s="176"/>
    </row>
    <row r="346" spans="2:6" ht="15.75" customHeight="1">
      <c r="B346" s="12"/>
      <c r="D346" s="181"/>
      <c r="E346" s="22"/>
      <c r="F346" s="176"/>
    </row>
    <row r="347" spans="2:6" ht="15.75" customHeight="1">
      <c r="B347" s="12"/>
      <c r="D347" s="181"/>
      <c r="E347" s="22"/>
      <c r="F347" s="176"/>
    </row>
    <row r="348" spans="2:6" ht="15.75" customHeight="1">
      <c r="B348" s="12"/>
      <c r="D348" s="181"/>
      <c r="E348" s="22"/>
      <c r="F348" s="176"/>
    </row>
    <row r="349" spans="2:6" ht="15.75" customHeight="1">
      <c r="B349" s="12"/>
      <c r="D349" s="181"/>
      <c r="E349" s="22"/>
      <c r="F349" s="176"/>
    </row>
    <row r="350" spans="2:6" ht="15.75" customHeight="1">
      <c r="B350" s="12"/>
      <c r="D350" s="181"/>
      <c r="E350" s="22"/>
      <c r="F350" s="176"/>
    </row>
    <row r="351" spans="2:6" ht="15.75" customHeight="1">
      <c r="B351" s="12"/>
      <c r="D351" s="181"/>
      <c r="E351" s="22"/>
      <c r="F351" s="176"/>
    </row>
    <row r="352" spans="2:6" ht="15.75" customHeight="1">
      <c r="B352" s="12"/>
      <c r="D352" s="181"/>
      <c r="E352" s="22"/>
      <c r="F352" s="176"/>
    </row>
    <row r="353" spans="2:6" ht="15.75" customHeight="1">
      <c r="B353" s="12"/>
      <c r="D353" s="181"/>
      <c r="E353" s="22"/>
      <c r="F353" s="176"/>
    </row>
    <row r="354" spans="2:6" ht="15.75" customHeight="1">
      <c r="B354" s="12"/>
      <c r="D354" s="181"/>
      <c r="E354" s="22"/>
      <c r="F354" s="176"/>
    </row>
    <row r="355" spans="2:6" ht="15.75" customHeight="1">
      <c r="B355" s="12"/>
      <c r="D355" s="181"/>
      <c r="E355" s="22"/>
      <c r="F355" s="176"/>
    </row>
    <row r="356" spans="2:6" ht="15.75" customHeight="1">
      <c r="B356" s="12"/>
      <c r="D356" s="181"/>
      <c r="E356" s="22"/>
      <c r="F356" s="176"/>
    </row>
    <row r="357" spans="2:6" ht="15.75" customHeight="1">
      <c r="B357" s="12"/>
      <c r="D357" s="181"/>
      <c r="E357" s="22"/>
      <c r="F357" s="176"/>
    </row>
    <row r="358" spans="2:6" ht="15.75" customHeight="1">
      <c r="B358" s="12"/>
      <c r="D358" s="181"/>
      <c r="E358" s="22"/>
      <c r="F358" s="176"/>
    </row>
    <row r="359" spans="2:6" ht="15.75" customHeight="1">
      <c r="B359" s="12"/>
      <c r="D359" s="181"/>
      <c r="E359" s="22"/>
      <c r="F359" s="176"/>
    </row>
    <row r="360" spans="2:6" ht="15.75" customHeight="1">
      <c r="B360" s="12"/>
      <c r="D360" s="181"/>
      <c r="E360" s="22"/>
      <c r="F360" s="176"/>
    </row>
    <row r="361" spans="2:6" ht="15.75" customHeight="1">
      <c r="B361" s="12"/>
      <c r="D361" s="181"/>
      <c r="E361" s="22"/>
      <c r="F361" s="176"/>
    </row>
    <row r="362" spans="2:6" ht="15.75" customHeight="1">
      <c r="B362" s="12"/>
      <c r="D362" s="181"/>
      <c r="E362" s="22"/>
      <c r="F362" s="176"/>
    </row>
    <row r="363" spans="2:6" ht="15.75" customHeight="1">
      <c r="B363" s="12"/>
      <c r="D363" s="181"/>
      <c r="E363" s="22"/>
      <c r="F363" s="176"/>
    </row>
    <row r="364" spans="2:6" ht="15.75" customHeight="1">
      <c r="B364" s="12"/>
      <c r="D364" s="181"/>
      <c r="E364" s="22"/>
      <c r="F364" s="176"/>
    </row>
    <row r="365" spans="2:6" ht="15.75" customHeight="1">
      <c r="B365" s="12"/>
      <c r="D365" s="181"/>
      <c r="E365" s="22"/>
      <c r="F365" s="176"/>
    </row>
    <row r="366" spans="2:6" ht="15.75" customHeight="1">
      <c r="B366" s="12"/>
      <c r="D366" s="181"/>
      <c r="E366" s="22"/>
      <c r="F366" s="176"/>
    </row>
    <row r="367" spans="2:6" ht="15.75" customHeight="1">
      <c r="B367" s="12"/>
      <c r="D367" s="181"/>
      <c r="E367" s="22"/>
      <c r="F367" s="176"/>
    </row>
    <row r="368" spans="2:6" ht="15.75" customHeight="1">
      <c r="B368" s="12"/>
      <c r="D368" s="181"/>
      <c r="E368" s="22"/>
      <c r="F368" s="176"/>
    </row>
    <row r="369" spans="2:6" ht="15.75" customHeight="1">
      <c r="B369" s="12"/>
      <c r="D369" s="181"/>
      <c r="E369" s="22"/>
      <c r="F369" s="176"/>
    </row>
    <row r="370" spans="2:6" ht="15.75" customHeight="1">
      <c r="B370" s="12"/>
      <c r="D370" s="181"/>
      <c r="E370" s="22"/>
      <c r="F370" s="176"/>
    </row>
    <row r="371" spans="2:6" ht="15.75" customHeight="1">
      <c r="B371" s="12"/>
      <c r="D371" s="181"/>
      <c r="E371" s="22"/>
      <c r="F371" s="176"/>
    </row>
    <row r="372" spans="2:6" ht="15.75" customHeight="1">
      <c r="B372" s="12"/>
      <c r="D372" s="181"/>
      <c r="E372" s="22"/>
      <c r="F372" s="176"/>
    </row>
    <row r="373" spans="2:6" ht="15.75" customHeight="1">
      <c r="B373" s="12"/>
      <c r="D373" s="181"/>
      <c r="E373" s="22"/>
      <c r="F373" s="176"/>
    </row>
    <row r="374" spans="2:6" ht="15.75" customHeight="1">
      <c r="B374" s="12"/>
      <c r="D374" s="181"/>
      <c r="E374" s="22"/>
      <c r="F374" s="176"/>
    </row>
    <row r="375" spans="2:6" ht="15.75" customHeight="1">
      <c r="B375" s="12"/>
      <c r="D375" s="181"/>
      <c r="E375" s="22"/>
      <c r="F375" s="176"/>
    </row>
    <row r="376" spans="2:6" ht="15.75" customHeight="1">
      <c r="B376" s="12"/>
      <c r="D376" s="181"/>
      <c r="E376" s="22"/>
      <c r="F376" s="176"/>
    </row>
    <row r="377" spans="2:6" ht="15.75" customHeight="1">
      <c r="B377" s="12"/>
      <c r="D377" s="181"/>
      <c r="E377" s="22"/>
      <c r="F377" s="176"/>
    </row>
    <row r="378" spans="2:6" ht="15.75" customHeight="1">
      <c r="B378" s="12"/>
      <c r="D378" s="181"/>
      <c r="E378" s="22"/>
      <c r="F378" s="176"/>
    </row>
    <row r="379" spans="2:6" ht="15.75" customHeight="1">
      <c r="B379" s="12"/>
      <c r="D379" s="181"/>
      <c r="E379" s="22"/>
      <c r="F379" s="176"/>
    </row>
    <row r="380" spans="2:6" ht="15.75" customHeight="1">
      <c r="B380" s="12"/>
      <c r="D380" s="181"/>
      <c r="E380" s="22"/>
      <c r="F380" s="176"/>
    </row>
    <row r="381" spans="2:6" ht="15.75" customHeight="1">
      <c r="B381" s="12"/>
      <c r="D381" s="181"/>
      <c r="E381" s="22"/>
      <c r="F381" s="176"/>
    </row>
    <row r="382" spans="2:6" ht="15.75" customHeight="1">
      <c r="B382" s="12"/>
      <c r="D382" s="181"/>
      <c r="E382" s="22"/>
      <c r="F382" s="176"/>
    </row>
    <row r="383" spans="2:6" ht="15.75" customHeight="1">
      <c r="B383" s="12"/>
      <c r="D383" s="181"/>
      <c r="E383" s="22"/>
      <c r="F383" s="176"/>
    </row>
    <row r="384" spans="2:6" ht="15.75" customHeight="1">
      <c r="B384" s="12"/>
      <c r="D384" s="181"/>
      <c r="E384" s="22"/>
      <c r="F384" s="176"/>
    </row>
    <row r="385" spans="2:6" ht="15.75" customHeight="1">
      <c r="B385" s="12"/>
      <c r="D385" s="181"/>
      <c r="E385" s="22"/>
      <c r="F385" s="176"/>
    </row>
    <row r="386" spans="2:6" ht="15.75" customHeight="1">
      <c r="B386" s="12"/>
      <c r="D386" s="181"/>
      <c r="E386" s="22"/>
      <c r="F386" s="176"/>
    </row>
    <row r="387" spans="2:6" ht="15.75" customHeight="1">
      <c r="B387" s="12"/>
      <c r="D387" s="181"/>
      <c r="E387" s="22"/>
      <c r="F387" s="176"/>
    </row>
    <row r="388" spans="2:6" ht="15.75" customHeight="1">
      <c r="B388" s="12"/>
      <c r="D388" s="181"/>
      <c r="E388" s="22"/>
      <c r="F388" s="176"/>
    </row>
    <row r="389" spans="2:6" ht="15.75" customHeight="1">
      <c r="B389" s="12"/>
      <c r="D389" s="181"/>
      <c r="E389" s="22"/>
      <c r="F389" s="176"/>
    </row>
    <row r="390" spans="2:6" ht="15.75" customHeight="1">
      <c r="B390" s="12"/>
      <c r="D390" s="181"/>
      <c r="E390" s="22"/>
      <c r="F390" s="176"/>
    </row>
    <row r="391" spans="2:6" ht="15.75" customHeight="1">
      <c r="B391" s="12"/>
      <c r="D391" s="181"/>
      <c r="E391" s="22"/>
      <c r="F391" s="176"/>
    </row>
    <row r="392" spans="2:6" ht="15.75" customHeight="1">
      <c r="B392" s="12"/>
      <c r="D392" s="181"/>
      <c r="E392" s="22"/>
      <c r="F392" s="176"/>
    </row>
    <row r="393" spans="2:6" ht="15.75" customHeight="1">
      <c r="B393" s="12"/>
      <c r="D393" s="181"/>
      <c r="E393" s="22"/>
      <c r="F393" s="176"/>
    </row>
    <row r="394" spans="2:6" ht="15.75" customHeight="1">
      <c r="B394" s="12"/>
      <c r="D394" s="181"/>
      <c r="E394" s="22"/>
      <c r="F394" s="176"/>
    </row>
    <row r="395" spans="2:6" ht="15.75" customHeight="1">
      <c r="B395" s="12"/>
      <c r="D395" s="181"/>
      <c r="E395" s="22"/>
      <c r="F395" s="176"/>
    </row>
    <row r="396" spans="2:6" ht="15.75" customHeight="1">
      <c r="B396" s="12"/>
      <c r="D396" s="181"/>
      <c r="E396" s="22"/>
      <c r="F396" s="176"/>
    </row>
    <row r="397" spans="2:6" ht="15.75" customHeight="1">
      <c r="B397" s="12"/>
      <c r="D397" s="181"/>
      <c r="E397" s="22"/>
      <c r="F397" s="176"/>
    </row>
    <row r="398" spans="2:6" ht="15.75" customHeight="1">
      <c r="B398" s="12"/>
      <c r="D398" s="181"/>
      <c r="E398" s="22"/>
      <c r="F398" s="176"/>
    </row>
    <row r="399" spans="2:6" ht="15.75" customHeight="1">
      <c r="B399" s="12"/>
      <c r="D399" s="181"/>
      <c r="E399" s="22"/>
      <c r="F399" s="176"/>
    </row>
    <row r="400" spans="2:6" ht="15.75" customHeight="1">
      <c r="B400" s="12"/>
      <c r="D400" s="181"/>
      <c r="E400" s="22"/>
      <c r="F400" s="176"/>
    </row>
    <row r="401" spans="2:6" ht="15.75" customHeight="1">
      <c r="B401" s="12"/>
      <c r="D401" s="181"/>
      <c r="E401" s="22"/>
      <c r="F401" s="176"/>
    </row>
    <row r="402" spans="2:6" ht="15.75" customHeight="1">
      <c r="B402" s="12"/>
      <c r="D402" s="181"/>
      <c r="E402" s="22"/>
      <c r="F402" s="176"/>
    </row>
    <row r="403" spans="2:6" ht="15.75" customHeight="1">
      <c r="B403" s="12"/>
      <c r="D403" s="181"/>
      <c r="E403" s="22"/>
      <c r="F403" s="176"/>
    </row>
    <row r="404" spans="2:6" ht="15.75" customHeight="1">
      <c r="B404" s="12"/>
      <c r="D404" s="181"/>
      <c r="E404" s="22"/>
      <c r="F404" s="176"/>
    </row>
    <row r="405" spans="2:6" ht="15.75" customHeight="1">
      <c r="B405" s="12"/>
      <c r="D405" s="181"/>
      <c r="E405" s="22"/>
      <c r="F405" s="176"/>
    </row>
    <row r="406" spans="2:6" ht="15.75" customHeight="1">
      <c r="B406" s="12"/>
      <c r="D406" s="181"/>
      <c r="E406" s="22"/>
      <c r="F406" s="176"/>
    </row>
    <row r="407" spans="2:6" ht="15.75" customHeight="1">
      <c r="B407" s="12"/>
      <c r="D407" s="181"/>
      <c r="E407" s="22"/>
      <c r="F407" s="176"/>
    </row>
    <row r="408" spans="2:6" ht="15.75" customHeight="1">
      <c r="B408" s="12"/>
      <c r="D408" s="181"/>
      <c r="E408" s="22"/>
      <c r="F408" s="176"/>
    </row>
    <row r="409" spans="2:6" ht="15.75" customHeight="1">
      <c r="B409" s="12"/>
      <c r="D409" s="181"/>
      <c r="E409" s="22"/>
      <c r="F409" s="176"/>
    </row>
    <row r="410" spans="2:6" ht="15.75" customHeight="1">
      <c r="B410" s="12"/>
      <c r="D410" s="181"/>
      <c r="E410" s="22"/>
      <c r="F410" s="176"/>
    </row>
    <row r="411" spans="2:6" ht="15.75" customHeight="1">
      <c r="B411" s="12"/>
      <c r="D411" s="181"/>
      <c r="E411" s="22"/>
      <c r="F411" s="176"/>
    </row>
    <row r="412" spans="2:6" ht="15.75" customHeight="1">
      <c r="B412" s="12"/>
      <c r="D412" s="181"/>
      <c r="E412" s="22"/>
      <c r="F412" s="176"/>
    </row>
    <row r="413" spans="2:6" ht="15.75" customHeight="1">
      <c r="B413" s="12"/>
      <c r="D413" s="181"/>
      <c r="E413" s="22"/>
      <c r="F413" s="176"/>
    </row>
    <row r="414" spans="2:6" ht="15.75" customHeight="1">
      <c r="B414" s="12"/>
      <c r="D414" s="181"/>
      <c r="E414" s="22"/>
      <c r="F414" s="176"/>
    </row>
    <row r="415" spans="2:6" ht="15.75" customHeight="1">
      <c r="B415" s="12"/>
      <c r="D415" s="181"/>
      <c r="E415" s="22"/>
      <c r="F415" s="176"/>
    </row>
    <row r="416" spans="2:6" ht="15.75" customHeight="1">
      <c r="B416" s="12"/>
      <c r="D416" s="181"/>
      <c r="E416" s="22"/>
      <c r="F416" s="176"/>
    </row>
    <row r="417" spans="2:6" ht="15.75" customHeight="1">
      <c r="B417" s="12"/>
      <c r="D417" s="181"/>
      <c r="E417" s="22"/>
      <c r="F417" s="176"/>
    </row>
    <row r="418" spans="2:6" ht="15.75" customHeight="1">
      <c r="B418" s="12"/>
      <c r="D418" s="181"/>
      <c r="E418" s="22"/>
      <c r="F418" s="176"/>
    </row>
    <row r="419" spans="2:6" ht="15.75" customHeight="1">
      <c r="B419" s="12"/>
      <c r="D419" s="181"/>
      <c r="E419" s="22"/>
      <c r="F419" s="176"/>
    </row>
    <row r="420" spans="2:6" ht="15.75" customHeight="1">
      <c r="B420" s="12"/>
      <c r="D420" s="181"/>
      <c r="E420" s="22"/>
      <c r="F420" s="176"/>
    </row>
    <row r="421" spans="2:6" ht="15.75" customHeight="1">
      <c r="B421" s="12"/>
      <c r="D421" s="181"/>
      <c r="E421" s="22"/>
      <c r="F421" s="176"/>
    </row>
    <row r="422" spans="2:6" ht="15.75" customHeight="1">
      <c r="B422" s="12"/>
      <c r="D422" s="181"/>
      <c r="E422" s="22"/>
      <c r="F422" s="176"/>
    </row>
    <row r="423" spans="2:6" ht="15.75" customHeight="1">
      <c r="B423" s="12"/>
      <c r="D423" s="181"/>
      <c r="E423" s="22"/>
      <c r="F423" s="176"/>
    </row>
    <row r="424" spans="2:6" ht="15.75" customHeight="1">
      <c r="B424" s="12"/>
      <c r="D424" s="181"/>
      <c r="E424" s="22"/>
      <c r="F424" s="176"/>
    </row>
    <row r="425" spans="2:6" ht="15.75" customHeight="1">
      <c r="B425" s="12"/>
      <c r="D425" s="181"/>
      <c r="E425" s="22"/>
      <c r="F425" s="176"/>
    </row>
    <row r="426" spans="2:6" ht="15.75" customHeight="1">
      <c r="B426" s="12"/>
      <c r="D426" s="181"/>
      <c r="E426" s="22"/>
      <c r="F426" s="176"/>
    </row>
    <row r="427" spans="2:6" ht="15.75" customHeight="1">
      <c r="B427" s="12"/>
      <c r="D427" s="181"/>
      <c r="E427" s="22"/>
      <c r="F427" s="176"/>
    </row>
    <row r="428" spans="2:6" ht="15.75" customHeight="1">
      <c r="B428" s="12"/>
      <c r="D428" s="181"/>
      <c r="E428" s="22"/>
      <c r="F428" s="176"/>
    </row>
    <row r="429" spans="2:6" ht="15.75" customHeight="1">
      <c r="B429" s="12"/>
      <c r="D429" s="181"/>
      <c r="E429" s="22"/>
      <c r="F429" s="176"/>
    </row>
    <row r="430" spans="2:6" ht="15.75" customHeight="1">
      <c r="B430" s="12"/>
      <c r="D430" s="181"/>
      <c r="E430" s="22"/>
      <c r="F430" s="176"/>
    </row>
    <row r="431" spans="2:6" ht="15.75" customHeight="1">
      <c r="B431" s="12"/>
      <c r="D431" s="181"/>
      <c r="E431" s="22"/>
      <c r="F431" s="176"/>
    </row>
    <row r="432" spans="2:6" ht="15.75" customHeight="1">
      <c r="B432" s="12"/>
      <c r="D432" s="181"/>
      <c r="E432" s="22"/>
      <c r="F432" s="176"/>
    </row>
    <row r="433" spans="2:6" ht="15.75" customHeight="1">
      <c r="B433" s="12"/>
      <c r="D433" s="181"/>
      <c r="E433" s="22"/>
      <c r="F433" s="176"/>
    </row>
    <row r="434" spans="2:6" ht="15.75" customHeight="1">
      <c r="B434" s="12"/>
      <c r="D434" s="181"/>
      <c r="E434" s="22"/>
      <c r="F434" s="176"/>
    </row>
    <row r="435" spans="2:6" ht="15.75" customHeight="1">
      <c r="B435" s="12"/>
      <c r="D435" s="181"/>
      <c r="E435" s="22"/>
      <c r="F435" s="176"/>
    </row>
    <row r="436" spans="2:6" ht="15.75" customHeight="1">
      <c r="B436" s="12"/>
      <c r="D436" s="181"/>
      <c r="E436" s="22"/>
      <c r="F436" s="176"/>
    </row>
    <row r="437" spans="2:6" ht="15.75" customHeight="1">
      <c r="B437" s="12"/>
      <c r="D437" s="181"/>
      <c r="E437" s="22"/>
      <c r="F437" s="176"/>
    </row>
    <row r="438" spans="2:6" ht="15.75" customHeight="1">
      <c r="B438" s="12"/>
      <c r="D438" s="181"/>
      <c r="E438" s="22"/>
      <c r="F438" s="176"/>
    </row>
    <row r="439" spans="2:6" ht="15.75" customHeight="1">
      <c r="B439" s="12"/>
      <c r="D439" s="181"/>
      <c r="E439" s="22"/>
      <c r="F439" s="176"/>
    </row>
    <row r="440" spans="2:6" ht="15.75" customHeight="1">
      <c r="B440" s="12"/>
      <c r="D440" s="181"/>
      <c r="E440" s="22"/>
      <c r="F440" s="176"/>
    </row>
    <row r="441" spans="2:6" ht="15.75" customHeight="1">
      <c r="B441" s="12"/>
      <c r="D441" s="181"/>
      <c r="E441" s="22"/>
      <c r="F441" s="176"/>
    </row>
    <row r="442" spans="2:6" ht="15.75" customHeight="1">
      <c r="B442" s="12"/>
      <c r="D442" s="181"/>
      <c r="E442" s="22"/>
      <c r="F442" s="176"/>
    </row>
    <row r="443" spans="2:6" ht="15.75" customHeight="1">
      <c r="B443" s="12"/>
      <c r="D443" s="181"/>
      <c r="E443" s="22"/>
      <c r="F443" s="176"/>
    </row>
    <row r="444" spans="2:6" ht="15.75" customHeight="1">
      <c r="B444" s="12"/>
      <c r="D444" s="181"/>
      <c r="E444" s="22"/>
      <c r="F444" s="176"/>
    </row>
    <row r="445" spans="2:6" ht="15.75" customHeight="1">
      <c r="B445" s="12"/>
      <c r="D445" s="181"/>
      <c r="E445" s="22"/>
      <c r="F445" s="176"/>
    </row>
    <row r="446" spans="2:6" ht="15.75" customHeight="1">
      <c r="B446" s="12"/>
      <c r="D446" s="181"/>
      <c r="E446" s="22"/>
      <c r="F446" s="176"/>
    </row>
    <row r="447" spans="2:6" ht="15.75" customHeight="1">
      <c r="B447" s="12"/>
      <c r="D447" s="181"/>
      <c r="E447" s="22"/>
      <c r="F447" s="176"/>
    </row>
    <row r="448" spans="2:6" ht="15.75" customHeight="1">
      <c r="B448" s="12"/>
      <c r="D448" s="181"/>
      <c r="E448" s="22"/>
      <c r="F448" s="176"/>
    </row>
    <row r="449" spans="2:6" ht="15.75" customHeight="1">
      <c r="B449" s="12"/>
      <c r="D449" s="181"/>
      <c r="E449" s="22"/>
      <c r="F449" s="176"/>
    </row>
    <row r="450" spans="2:6" ht="15.75" customHeight="1">
      <c r="B450" s="12"/>
      <c r="D450" s="181"/>
      <c r="E450" s="22"/>
      <c r="F450" s="176"/>
    </row>
    <row r="451" spans="2:6" ht="15.75" customHeight="1">
      <c r="B451" s="12"/>
      <c r="D451" s="181"/>
      <c r="E451" s="22"/>
      <c r="F451" s="176"/>
    </row>
    <row r="452" spans="2:6" ht="15.75" customHeight="1">
      <c r="B452" s="12"/>
      <c r="D452" s="181"/>
      <c r="E452" s="22"/>
      <c r="F452" s="176"/>
    </row>
    <row r="453" spans="2:6" ht="15.75" customHeight="1">
      <c r="B453" s="12"/>
      <c r="D453" s="181"/>
      <c r="E453" s="22"/>
      <c r="F453" s="176"/>
    </row>
    <row r="454" spans="2:6" ht="15.75" customHeight="1">
      <c r="B454" s="12"/>
      <c r="D454" s="181"/>
      <c r="E454" s="22"/>
      <c r="F454" s="176"/>
    </row>
    <row r="455" spans="2:6" ht="15.75" customHeight="1">
      <c r="B455" s="12"/>
      <c r="D455" s="181"/>
      <c r="E455" s="22"/>
      <c r="F455" s="176"/>
    </row>
    <row r="456" spans="2:6" ht="15.75" customHeight="1">
      <c r="B456" s="12"/>
      <c r="D456" s="181"/>
      <c r="E456" s="22"/>
      <c r="F456" s="176"/>
    </row>
    <row r="457" spans="2:6" ht="15.75" customHeight="1">
      <c r="B457" s="12"/>
      <c r="D457" s="181"/>
      <c r="E457" s="22"/>
      <c r="F457" s="176"/>
    </row>
    <row r="458" spans="2:6" ht="15.75" customHeight="1">
      <c r="B458" s="12"/>
      <c r="D458" s="181"/>
      <c r="E458" s="22"/>
      <c r="F458" s="176"/>
    </row>
    <row r="459" spans="2:6" ht="15.75" customHeight="1">
      <c r="B459" s="12"/>
      <c r="D459" s="181"/>
      <c r="E459" s="22"/>
      <c r="F459" s="176"/>
    </row>
    <row r="460" spans="2:6" ht="15.75" customHeight="1">
      <c r="B460" s="12"/>
      <c r="D460" s="181"/>
      <c r="E460" s="22"/>
      <c r="F460" s="176"/>
    </row>
    <row r="461" spans="2:6" ht="15.75" customHeight="1">
      <c r="B461" s="12"/>
      <c r="D461" s="181"/>
      <c r="E461" s="22"/>
      <c r="F461" s="176"/>
    </row>
    <row r="462" spans="2:6" ht="15.75" customHeight="1">
      <c r="B462" s="12"/>
      <c r="D462" s="181"/>
      <c r="E462" s="22"/>
      <c r="F462" s="176"/>
    </row>
    <row r="463" spans="2:6" ht="15.75" customHeight="1">
      <c r="B463" s="12"/>
      <c r="D463" s="181"/>
      <c r="E463" s="22"/>
      <c r="F463" s="176"/>
    </row>
    <row r="464" spans="2:6" ht="15.75" customHeight="1">
      <c r="B464" s="12"/>
      <c r="D464" s="181"/>
      <c r="E464" s="22"/>
      <c r="F464" s="176"/>
    </row>
    <row r="465" spans="2:6" ht="15.75" customHeight="1">
      <c r="B465" s="12"/>
      <c r="D465" s="181"/>
      <c r="E465" s="22"/>
      <c r="F465" s="176"/>
    </row>
    <row r="466" spans="2:6" ht="15.75" customHeight="1">
      <c r="B466" s="12"/>
      <c r="D466" s="181"/>
      <c r="E466" s="22"/>
      <c r="F466" s="176"/>
    </row>
    <row r="467" spans="2:6" ht="15.75" customHeight="1">
      <c r="B467" s="12"/>
      <c r="D467" s="181"/>
      <c r="E467" s="22"/>
      <c r="F467" s="176"/>
    </row>
    <row r="468" spans="2:6" ht="15.75" customHeight="1">
      <c r="B468" s="12"/>
      <c r="D468" s="181"/>
      <c r="E468" s="22"/>
      <c r="F468" s="176"/>
    </row>
    <row r="469" spans="2:6" ht="15.75" customHeight="1">
      <c r="B469" s="12"/>
      <c r="D469" s="181"/>
      <c r="E469" s="22"/>
      <c r="F469" s="176"/>
    </row>
    <row r="470" spans="2:6" ht="15.75" customHeight="1">
      <c r="B470" s="12"/>
      <c r="D470" s="181"/>
      <c r="E470" s="22"/>
      <c r="F470" s="176"/>
    </row>
    <row r="471" spans="2:6" ht="15.75" customHeight="1">
      <c r="B471" s="12"/>
      <c r="D471" s="181"/>
      <c r="E471" s="22"/>
      <c r="F471" s="176"/>
    </row>
    <row r="472" spans="2:6" ht="15.75" customHeight="1">
      <c r="B472" s="12"/>
      <c r="D472" s="181"/>
      <c r="E472" s="22"/>
      <c r="F472" s="176"/>
    </row>
    <row r="473" spans="2:6" ht="15.75" customHeight="1">
      <c r="B473" s="12"/>
      <c r="D473" s="181"/>
      <c r="E473" s="22"/>
      <c r="F473" s="176"/>
    </row>
    <row r="474" spans="2:6" ht="15.75" customHeight="1">
      <c r="B474" s="12"/>
      <c r="D474" s="181"/>
      <c r="E474" s="22"/>
      <c r="F474" s="176"/>
    </row>
    <row r="475" spans="2:6" ht="15.75" customHeight="1">
      <c r="B475" s="12"/>
      <c r="D475" s="181"/>
      <c r="E475" s="22"/>
      <c r="F475" s="176"/>
    </row>
    <row r="476" spans="2:6" ht="15.75" customHeight="1">
      <c r="B476" s="12"/>
      <c r="D476" s="181"/>
      <c r="E476" s="22"/>
      <c r="F476" s="176"/>
    </row>
    <row r="477" spans="2:6" ht="15.75" customHeight="1">
      <c r="B477" s="12"/>
      <c r="D477" s="181"/>
      <c r="E477" s="22"/>
      <c r="F477" s="176"/>
    </row>
    <row r="478" spans="2:6" ht="15.75" customHeight="1">
      <c r="B478" s="12"/>
      <c r="D478" s="181"/>
      <c r="E478" s="22"/>
      <c r="F478" s="176"/>
    </row>
    <row r="479" spans="2:6" ht="15.75" customHeight="1">
      <c r="B479" s="12"/>
      <c r="D479" s="181"/>
      <c r="E479" s="22"/>
      <c r="F479" s="176"/>
    </row>
    <row r="480" spans="2:6" ht="15.75" customHeight="1">
      <c r="B480" s="12"/>
      <c r="D480" s="181"/>
      <c r="E480" s="22"/>
      <c r="F480" s="176"/>
    </row>
    <row r="481" spans="2:6" ht="15.75" customHeight="1">
      <c r="B481" s="12"/>
      <c r="D481" s="181"/>
      <c r="E481" s="22"/>
      <c r="F481" s="176"/>
    </row>
    <row r="482" spans="2:6" ht="15.75" customHeight="1">
      <c r="B482" s="12"/>
      <c r="D482" s="181"/>
      <c r="E482" s="22"/>
      <c r="F482" s="176"/>
    </row>
    <row r="483" spans="2:6" ht="15.75" customHeight="1">
      <c r="B483" s="12"/>
      <c r="D483" s="181"/>
      <c r="E483" s="22"/>
      <c r="F483" s="176"/>
    </row>
    <row r="484" spans="2:6" ht="15.75" customHeight="1">
      <c r="B484" s="12"/>
      <c r="D484" s="181"/>
      <c r="E484" s="22"/>
      <c r="F484" s="176"/>
    </row>
    <row r="485" spans="2:6" ht="15.75" customHeight="1">
      <c r="B485" s="12"/>
      <c r="D485" s="181"/>
      <c r="E485" s="22"/>
      <c r="F485" s="176"/>
    </row>
    <row r="486" spans="2:6" ht="15.75" customHeight="1">
      <c r="B486" s="12"/>
      <c r="D486" s="181"/>
      <c r="E486" s="22"/>
      <c r="F486" s="176"/>
    </row>
    <row r="487" spans="2:6" ht="15.75" customHeight="1">
      <c r="B487" s="12"/>
      <c r="D487" s="181"/>
      <c r="E487" s="22"/>
      <c r="F487" s="176"/>
    </row>
    <row r="488" spans="2:6" ht="15.75" customHeight="1">
      <c r="B488" s="12"/>
      <c r="D488" s="181"/>
      <c r="E488" s="22"/>
      <c r="F488" s="176"/>
    </row>
    <row r="489" spans="2:6" ht="15.75" customHeight="1">
      <c r="B489" s="12"/>
      <c r="D489" s="181"/>
      <c r="E489" s="22"/>
      <c r="F489" s="176"/>
    </row>
    <row r="490" spans="2:6" ht="15.75" customHeight="1">
      <c r="B490" s="12"/>
      <c r="D490" s="181"/>
      <c r="E490" s="22"/>
      <c r="F490" s="176"/>
    </row>
    <row r="491" spans="2:6" ht="15.75" customHeight="1">
      <c r="B491" s="12"/>
      <c r="D491" s="181"/>
      <c r="E491" s="22"/>
      <c r="F491" s="176"/>
    </row>
    <row r="492" spans="2:6" ht="15.75" customHeight="1">
      <c r="B492" s="12"/>
      <c r="D492" s="181"/>
      <c r="E492" s="22"/>
      <c r="F492" s="176"/>
    </row>
    <row r="493" spans="2:6" ht="15.75" customHeight="1">
      <c r="B493" s="12"/>
      <c r="D493" s="181"/>
      <c r="E493" s="22"/>
      <c r="F493" s="176"/>
    </row>
    <row r="494" spans="2:6" ht="15.75" customHeight="1">
      <c r="B494" s="12"/>
      <c r="D494" s="181"/>
      <c r="E494" s="22"/>
      <c r="F494" s="176"/>
    </row>
    <row r="495" spans="2:6" ht="15.75" customHeight="1">
      <c r="B495" s="12"/>
      <c r="D495" s="181"/>
      <c r="E495" s="22"/>
      <c r="F495" s="176"/>
    </row>
    <row r="496" spans="2:6" ht="15.75" customHeight="1">
      <c r="B496" s="12"/>
      <c r="D496" s="181"/>
      <c r="E496" s="22"/>
      <c r="F496" s="176"/>
    </row>
    <row r="497" spans="2:6" ht="15.75" customHeight="1">
      <c r="B497" s="12"/>
      <c r="D497" s="181"/>
      <c r="E497" s="22"/>
      <c r="F497" s="176"/>
    </row>
    <row r="498" spans="2:6" ht="15.75" customHeight="1">
      <c r="B498" s="12"/>
      <c r="D498" s="181"/>
      <c r="E498" s="22"/>
      <c r="F498" s="176"/>
    </row>
    <row r="499" spans="2:6" ht="15.75" customHeight="1">
      <c r="B499" s="12"/>
      <c r="D499" s="181"/>
      <c r="E499" s="22"/>
      <c r="F499" s="176"/>
    </row>
    <row r="500" spans="2:6" ht="15.75" customHeight="1">
      <c r="B500" s="12"/>
      <c r="D500" s="181"/>
      <c r="E500" s="22"/>
      <c r="F500" s="176"/>
    </row>
    <row r="501" spans="2:6" ht="15.75" customHeight="1">
      <c r="B501" s="12"/>
      <c r="D501" s="181"/>
      <c r="E501" s="22"/>
      <c r="F501" s="176"/>
    </row>
    <row r="502" spans="2:6" ht="15.75" customHeight="1">
      <c r="B502" s="12"/>
      <c r="D502" s="181"/>
      <c r="E502" s="22"/>
      <c r="F502" s="176"/>
    </row>
    <row r="503" spans="2:6" ht="15.75" customHeight="1">
      <c r="B503" s="12"/>
      <c r="D503" s="181"/>
      <c r="E503" s="22"/>
      <c r="F503" s="176"/>
    </row>
    <row r="504" spans="2:6" ht="15.75" customHeight="1">
      <c r="B504" s="12"/>
      <c r="D504" s="181"/>
      <c r="E504" s="22"/>
      <c r="F504" s="176"/>
    </row>
    <row r="505" spans="2:6" ht="15.75" customHeight="1">
      <c r="B505" s="12"/>
      <c r="D505" s="181"/>
      <c r="E505" s="22"/>
      <c r="F505" s="176"/>
    </row>
    <row r="506" spans="2:6" ht="15.75" customHeight="1">
      <c r="B506" s="12"/>
      <c r="D506" s="181"/>
      <c r="E506" s="22"/>
      <c r="F506" s="176"/>
    </row>
    <row r="507" spans="2:6" ht="15.75" customHeight="1">
      <c r="B507" s="12"/>
      <c r="D507" s="181"/>
      <c r="E507" s="22"/>
      <c r="F507" s="176"/>
    </row>
    <row r="508" spans="2:6" ht="15.75" customHeight="1">
      <c r="B508" s="12"/>
      <c r="D508" s="181"/>
      <c r="E508" s="22"/>
      <c r="F508" s="176"/>
    </row>
    <row r="509" spans="2:6" ht="15.75" customHeight="1">
      <c r="B509" s="12"/>
      <c r="D509" s="181"/>
      <c r="E509" s="22"/>
      <c r="F509" s="176"/>
    </row>
    <row r="510" spans="2:6" ht="15.75" customHeight="1">
      <c r="B510" s="12"/>
      <c r="D510" s="181"/>
      <c r="E510" s="22"/>
      <c r="F510" s="176"/>
    </row>
    <row r="511" spans="2:6" ht="15.75" customHeight="1">
      <c r="B511" s="12"/>
      <c r="D511" s="181"/>
      <c r="E511" s="22"/>
      <c r="F511" s="176"/>
    </row>
    <row r="512" spans="2:6" ht="15.75" customHeight="1">
      <c r="B512" s="12"/>
      <c r="D512" s="181"/>
      <c r="E512" s="22"/>
      <c r="F512" s="176"/>
    </row>
    <row r="513" spans="2:6" ht="15.75" customHeight="1">
      <c r="B513" s="12"/>
      <c r="D513" s="181"/>
      <c r="E513" s="22"/>
      <c r="F513" s="176"/>
    </row>
    <row r="514" spans="2:6" ht="15.75" customHeight="1">
      <c r="B514" s="12"/>
      <c r="D514" s="181"/>
      <c r="E514" s="22"/>
      <c r="F514" s="176"/>
    </row>
    <row r="515" spans="2:6" ht="15.75" customHeight="1">
      <c r="B515" s="12"/>
      <c r="D515" s="181"/>
      <c r="E515" s="22"/>
      <c r="F515" s="176"/>
    </row>
    <row r="516" spans="2:6" ht="15.75" customHeight="1">
      <c r="B516" s="12"/>
      <c r="D516" s="181"/>
      <c r="E516" s="22"/>
      <c r="F516" s="176"/>
    </row>
    <row r="517" spans="2:6" ht="15.75" customHeight="1">
      <c r="B517" s="12"/>
      <c r="D517" s="181"/>
      <c r="E517" s="22"/>
      <c r="F517" s="176"/>
    </row>
    <row r="518" spans="2:6" ht="15.75" customHeight="1">
      <c r="B518" s="12"/>
      <c r="D518" s="181"/>
      <c r="E518" s="22"/>
      <c r="F518" s="176"/>
    </row>
    <row r="519" spans="2:6" ht="15.75" customHeight="1">
      <c r="B519" s="12"/>
      <c r="D519" s="181"/>
      <c r="E519" s="22"/>
      <c r="F519" s="176"/>
    </row>
    <row r="520" spans="2:6" ht="15.75" customHeight="1">
      <c r="B520" s="12"/>
      <c r="D520" s="181"/>
      <c r="E520" s="22"/>
      <c r="F520" s="176"/>
    </row>
    <row r="521" spans="2:6" ht="15.75" customHeight="1">
      <c r="B521" s="12"/>
      <c r="D521" s="181"/>
      <c r="E521" s="22"/>
      <c r="F521" s="176"/>
    </row>
    <row r="522" spans="2:6" ht="15.75" customHeight="1">
      <c r="B522" s="12"/>
      <c r="D522" s="181"/>
      <c r="E522" s="22"/>
      <c r="F522" s="176"/>
    </row>
    <row r="523" spans="2:6" ht="15.75" customHeight="1">
      <c r="B523" s="12"/>
      <c r="D523" s="181"/>
      <c r="E523" s="22"/>
      <c r="F523" s="176"/>
    </row>
    <row r="524" spans="2:6" ht="15.75" customHeight="1">
      <c r="B524" s="12"/>
      <c r="D524" s="181"/>
      <c r="E524" s="22"/>
      <c r="F524" s="176"/>
    </row>
    <row r="525" spans="2:6" ht="15.75" customHeight="1">
      <c r="B525" s="12"/>
      <c r="D525" s="181"/>
      <c r="E525" s="22"/>
      <c r="F525" s="176"/>
    </row>
    <row r="526" spans="2:6" ht="15.75" customHeight="1">
      <c r="B526" s="12"/>
      <c r="D526" s="181"/>
      <c r="E526" s="22"/>
      <c r="F526" s="176"/>
    </row>
    <row r="527" spans="2:6" ht="15.75" customHeight="1">
      <c r="B527" s="12"/>
      <c r="D527" s="181"/>
      <c r="E527" s="22"/>
      <c r="F527" s="176"/>
    </row>
    <row r="528" spans="2:6" ht="15.75" customHeight="1">
      <c r="B528" s="12"/>
      <c r="D528" s="181"/>
      <c r="E528" s="22"/>
      <c r="F528" s="176"/>
    </row>
    <row r="529" spans="2:6" ht="15.75" customHeight="1">
      <c r="B529" s="12"/>
      <c r="D529" s="181"/>
      <c r="E529" s="22"/>
      <c r="F529" s="176"/>
    </row>
    <row r="530" spans="2:6" ht="15.75" customHeight="1">
      <c r="B530" s="12"/>
      <c r="D530" s="181"/>
      <c r="E530" s="22"/>
      <c r="F530" s="176"/>
    </row>
    <row r="531" spans="2:6" ht="15.75" customHeight="1">
      <c r="B531" s="12"/>
      <c r="D531" s="181"/>
      <c r="E531" s="22"/>
      <c r="F531" s="176"/>
    </row>
    <row r="532" spans="2:6" ht="15.75" customHeight="1">
      <c r="B532" s="12"/>
      <c r="D532" s="181"/>
      <c r="E532" s="22"/>
      <c r="F532" s="176"/>
    </row>
    <row r="533" spans="2:6" ht="15.75" customHeight="1">
      <c r="B533" s="12"/>
      <c r="D533" s="181"/>
      <c r="E533" s="22"/>
      <c r="F533" s="176"/>
    </row>
    <row r="534" spans="2:6" ht="15.75" customHeight="1">
      <c r="B534" s="12"/>
      <c r="D534" s="181"/>
      <c r="E534" s="22"/>
      <c r="F534" s="176"/>
    </row>
    <row r="535" spans="2:6" ht="15.75" customHeight="1">
      <c r="B535" s="12"/>
      <c r="D535" s="181"/>
      <c r="E535" s="22"/>
      <c r="F535" s="176"/>
    </row>
    <row r="536" spans="2:6" ht="15.75" customHeight="1">
      <c r="B536" s="12"/>
      <c r="D536" s="181"/>
      <c r="E536" s="22"/>
      <c r="F536" s="176"/>
    </row>
    <row r="537" spans="2:6" ht="15.75" customHeight="1">
      <c r="B537" s="12"/>
      <c r="D537" s="181"/>
      <c r="E537" s="22"/>
      <c r="F537" s="176"/>
    </row>
    <row r="538" spans="2:6" ht="15.75" customHeight="1">
      <c r="B538" s="12"/>
      <c r="D538" s="181"/>
      <c r="E538" s="22"/>
      <c r="F538" s="176"/>
    </row>
    <row r="539" spans="2:6" ht="15.75" customHeight="1">
      <c r="B539" s="12"/>
      <c r="D539" s="181"/>
      <c r="E539" s="22"/>
      <c r="F539" s="176"/>
    </row>
    <row r="540" spans="2:6" ht="15.75" customHeight="1">
      <c r="B540" s="12"/>
      <c r="D540" s="181"/>
      <c r="E540" s="22"/>
      <c r="F540" s="176"/>
    </row>
    <row r="541" spans="2:6" ht="15.75" customHeight="1">
      <c r="B541" s="12"/>
      <c r="D541" s="181"/>
      <c r="E541" s="22"/>
      <c r="F541" s="176"/>
    </row>
    <row r="542" spans="2:6" ht="15.75" customHeight="1">
      <c r="B542" s="12"/>
      <c r="D542" s="181"/>
      <c r="E542" s="22"/>
      <c r="F542" s="176"/>
    </row>
    <row r="543" spans="2:6" ht="15.75" customHeight="1">
      <c r="B543" s="12"/>
      <c r="D543" s="181"/>
      <c r="E543" s="22"/>
      <c r="F543" s="176"/>
    </row>
    <row r="544" spans="2:6" ht="15.75" customHeight="1">
      <c r="B544" s="12"/>
      <c r="D544" s="181"/>
      <c r="E544" s="22"/>
      <c r="F544" s="176"/>
    </row>
    <row r="545" spans="2:6" ht="15.75" customHeight="1">
      <c r="B545" s="12"/>
      <c r="D545" s="181"/>
      <c r="E545" s="22"/>
      <c r="F545" s="176"/>
    </row>
    <row r="546" spans="2:6" ht="15.75" customHeight="1">
      <c r="B546" s="12"/>
      <c r="D546" s="181"/>
      <c r="E546" s="22"/>
      <c r="F546" s="176"/>
    </row>
    <row r="547" spans="2:6" ht="15.75" customHeight="1">
      <c r="B547" s="12"/>
      <c r="D547" s="181"/>
      <c r="E547" s="22"/>
      <c r="F547" s="176"/>
    </row>
    <row r="548" spans="2:6" ht="15.75" customHeight="1">
      <c r="B548" s="12"/>
      <c r="D548" s="181"/>
      <c r="E548" s="22"/>
      <c r="F548" s="176"/>
    </row>
    <row r="549" spans="2:6" ht="15.75" customHeight="1">
      <c r="B549" s="12"/>
      <c r="D549" s="181"/>
      <c r="E549" s="22"/>
      <c r="F549" s="176"/>
    </row>
    <row r="550" spans="2:6" ht="15.75" customHeight="1">
      <c r="B550" s="12"/>
      <c r="D550" s="181"/>
      <c r="E550" s="22"/>
      <c r="F550" s="176"/>
    </row>
    <row r="551" spans="2:6" ht="15.75" customHeight="1">
      <c r="B551" s="12"/>
      <c r="D551" s="181"/>
      <c r="E551" s="22"/>
      <c r="F551" s="176"/>
    </row>
    <row r="552" spans="2:6" ht="15.75" customHeight="1">
      <c r="B552" s="12"/>
      <c r="D552" s="181"/>
      <c r="E552" s="22"/>
      <c r="F552" s="176"/>
    </row>
    <row r="553" spans="2:6" ht="15.75" customHeight="1">
      <c r="B553" s="12"/>
      <c r="D553" s="181"/>
      <c r="E553" s="22"/>
      <c r="F553" s="176"/>
    </row>
    <row r="554" spans="2:6" ht="15.75" customHeight="1">
      <c r="B554" s="12"/>
      <c r="D554" s="181"/>
      <c r="E554" s="22"/>
      <c r="F554" s="176"/>
    </row>
    <row r="555" spans="2:6" ht="15.75" customHeight="1">
      <c r="B555" s="12"/>
      <c r="D555" s="181"/>
      <c r="E555" s="22"/>
      <c r="F555" s="176"/>
    </row>
    <row r="556" spans="2:6" ht="15.75" customHeight="1">
      <c r="B556" s="12"/>
      <c r="D556" s="181"/>
      <c r="E556" s="22"/>
      <c r="F556" s="176"/>
    </row>
    <row r="557" spans="2:6" ht="15.75" customHeight="1">
      <c r="B557" s="12"/>
      <c r="D557" s="181"/>
      <c r="E557" s="22"/>
      <c r="F557" s="176"/>
    </row>
    <row r="558" spans="2:6" ht="15.75" customHeight="1">
      <c r="B558" s="12"/>
      <c r="D558" s="181"/>
      <c r="E558" s="22"/>
      <c r="F558" s="176"/>
    </row>
    <row r="559" spans="2:6" ht="15.75" customHeight="1">
      <c r="B559" s="12"/>
      <c r="D559" s="181"/>
      <c r="E559" s="22"/>
      <c r="F559" s="176"/>
    </row>
    <row r="560" spans="2:6" ht="15.75" customHeight="1">
      <c r="B560" s="12"/>
      <c r="D560" s="181"/>
      <c r="E560" s="22"/>
      <c r="F560" s="176"/>
    </row>
    <row r="561" spans="2:6" ht="15.75" customHeight="1">
      <c r="B561" s="12"/>
      <c r="D561" s="181"/>
      <c r="E561" s="22"/>
      <c r="F561" s="176"/>
    </row>
    <row r="562" spans="2:6" ht="15.75" customHeight="1">
      <c r="B562" s="12"/>
      <c r="D562" s="181"/>
      <c r="E562" s="22"/>
      <c r="F562" s="176"/>
    </row>
    <row r="563" spans="2:6" ht="15.75" customHeight="1">
      <c r="B563" s="12"/>
      <c r="D563" s="181"/>
      <c r="E563" s="22"/>
      <c r="F563" s="176"/>
    </row>
    <row r="564" spans="2:6" ht="15.75" customHeight="1">
      <c r="B564" s="12"/>
      <c r="D564" s="181"/>
      <c r="E564" s="22"/>
      <c r="F564" s="176"/>
    </row>
    <row r="565" spans="2:6" ht="15.75" customHeight="1">
      <c r="B565" s="12"/>
      <c r="D565" s="181"/>
      <c r="E565" s="22"/>
      <c r="F565" s="176"/>
    </row>
    <row r="566" spans="2:6" ht="15.75" customHeight="1">
      <c r="B566" s="12"/>
      <c r="D566" s="181"/>
      <c r="E566" s="22"/>
      <c r="F566" s="176"/>
    </row>
    <row r="567" spans="2:6" ht="15.75" customHeight="1">
      <c r="B567" s="12"/>
      <c r="D567" s="181"/>
      <c r="E567" s="22"/>
      <c r="F567" s="176"/>
    </row>
    <row r="568" spans="2:6" ht="15.75" customHeight="1">
      <c r="B568" s="12"/>
      <c r="D568" s="181"/>
      <c r="E568" s="22"/>
      <c r="F568" s="176"/>
    </row>
    <row r="569" spans="2:6" ht="15.75" customHeight="1">
      <c r="B569" s="12"/>
      <c r="D569" s="181"/>
      <c r="E569" s="22"/>
      <c r="F569" s="176"/>
    </row>
    <row r="570" spans="2:6" ht="15.75" customHeight="1">
      <c r="B570" s="12"/>
      <c r="D570" s="181"/>
      <c r="E570" s="22"/>
      <c r="F570" s="176"/>
    </row>
    <row r="571" spans="2:6" ht="15.75" customHeight="1">
      <c r="B571" s="12"/>
      <c r="D571" s="181"/>
      <c r="E571" s="22"/>
      <c r="F571" s="176"/>
    </row>
    <row r="572" spans="2:6" ht="15.75" customHeight="1">
      <c r="B572" s="12"/>
      <c r="D572" s="181"/>
      <c r="E572" s="22"/>
      <c r="F572" s="176"/>
    </row>
    <row r="573" spans="2:6" ht="15.75" customHeight="1">
      <c r="B573" s="12"/>
      <c r="D573" s="181"/>
      <c r="E573" s="22"/>
      <c r="F573" s="176"/>
    </row>
    <row r="574" spans="2:6" ht="15.75" customHeight="1">
      <c r="B574" s="12"/>
      <c r="D574" s="181"/>
      <c r="E574" s="22"/>
      <c r="F574" s="176"/>
    </row>
    <row r="575" spans="2:6" ht="15.75" customHeight="1">
      <c r="B575" s="12"/>
      <c r="D575" s="181"/>
      <c r="E575" s="22"/>
      <c r="F575" s="176"/>
    </row>
    <row r="576" spans="2:6" ht="15.75" customHeight="1">
      <c r="B576" s="12"/>
      <c r="D576" s="181"/>
      <c r="E576" s="22"/>
      <c r="F576" s="176"/>
    </row>
    <row r="577" spans="2:6" ht="15.75" customHeight="1">
      <c r="B577" s="12"/>
      <c r="D577" s="181"/>
      <c r="E577" s="22"/>
      <c r="F577" s="176"/>
    </row>
    <row r="578" spans="2:6" ht="15.75" customHeight="1">
      <c r="B578" s="12"/>
      <c r="D578" s="181"/>
      <c r="E578" s="22"/>
      <c r="F578" s="176"/>
    </row>
    <row r="579" spans="2:6" ht="15.75" customHeight="1">
      <c r="B579" s="12"/>
      <c r="D579" s="181"/>
      <c r="E579" s="22"/>
      <c r="F579" s="176"/>
    </row>
    <row r="580" spans="2:6" ht="15.75" customHeight="1">
      <c r="B580" s="12"/>
      <c r="D580" s="181"/>
      <c r="E580" s="22"/>
      <c r="F580" s="176"/>
    </row>
    <row r="581" spans="2:6" ht="15.75" customHeight="1">
      <c r="B581" s="12"/>
      <c r="D581" s="181"/>
      <c r="E581" s="22"/>
      <c r="F581" s="176"/>
    </row>
    <row r="582" spans="2:6" ht="15.75" customHeight="1">
      <c r="B582" s="12"/>
      <c r="D582" s="181"/>
      <c r="E582" s="22"/>
      <c r="F582" s="176"/>
    </row>
    <row r="583" spans="2:6" ht="15.75" customHeight="1">
      <c r="B583" s="12"/>
      <c r="D583" s="181"/>
      <c r="E583" s="22"/>
      <c r="F583" s="176"/>
    </row>
    <row r="584" spans="2:6" ht="15.75" customHeight="1">
      <c r="B584" s="12"/>
      <c r="D584" s="181"/>
      <c r="E584" s="22"/>
      <c r="F584" s="176"/>
    </row>
    <row r="585" spans="2:6" ht="15.75" customHeight="1">
      <c r="B585" s="12"/>
      <c r="D585" s="181"/>
      <c r="E585" s="22"/>
      <c r="F585" s="176"/>
    </row>
    <row r="586" spans="2:6" ht="15.75" customHeight="1">
      <c r="B586" s="12"/>
      <c r="D586" s="181"/>
      <c r="E586" s="22"/>
      <c r="F586" s="176"/>
    </row>
    <row r="587" spans="2:6" ht="15.75" customHeight="1">
      <c r="B587" s="12"/>
      <c r="D587" s="181"/>
      <c r="E587" s="22"/>
      <c r="F587" s="176"/>
    </row>
    <row r="588" spans="2:6" ht="15.75" customHeight="1">
      <c r="B588" s="12"/>
      <c r="D588" s="181"/>
      <c r="E588" s="22"/>
      <c r="F588" s="176"/>
    </row>
    <row r="589" spans="2:6" ht="15.75" customHeight="1">
      <c r="B589" s="12"/>
      <c r="D589" s="181"/>
      <c r="E589" s="22"/>
      <c r="F589" s="176"/>
    </row>
    <row r="590" spans="2:6" ht="15.75" customHeight="1">
      <c r="B590" s="12"/>
      <c r="D590" s="181"/>
      <c r="E590" s="22"/>
      <c r="F590" s="176"/>
    </row>
    <row r="591" spans="2:6" ht="15.75" customHeight="1">
      <c r="B591" s="12"/>
      <c r="D591" s="181"/>
      <c r="E591" s="22"/>
      <c r="F591" s="176"/>
    </row>
    <row r="592" spans="2:6" ht="15.75" customHeight="1">
      <c r="B592" s="12"/>
      <c r="D592" s="181"/>
      <c r="E592" s="22"/>
      <c r="F592" s="176"/>
    </row>
    <row r="593" spans="2:6" ht="15.75" customHeight="1">
      <c r="B593" s="12"/>
      <c r="D593" s="181"/>
      <c r="E593" s="22"/>
      <c r="F593" s="176"/>
    </row>
    <row r="594" spans="2:6" ht="15.75" customHeight="1">
      <c r="B594" s="12"/>
      <c r="D594" s="181"/>
      <c r="E594" s="22"/>
      <c r="F594" s="176"/>
    </row>
    <row r="595" spans="2:6" ht="15.75" customHeight="1">
      <c r="B595" s="12"/>
      <c r="D595" s="181"/>
      <c r="E595" s="22"/>
      <c r="F595" s="176"/>
    </row>
    <row r="596" spans="2:6" ht="15.75" customHeight="1">
      <c r="B596" s="12"/>
      <c r="D596" s="181"/>
      <c r="E596" s="22"/>
      <c r="F596" s="176"/>
    </row>
    <row r="597" spans="2:6" ht="15.75" customHeight="1">
      <c r="B597" s="12"/>
      <c r="D597" s="181"/>
      <c r="E597" s="22"/>
      <c r="F597" s="176"/>
    </row>
    <row r="598" spans="2:6" ht="15.75" customHeight="1">
      <c r="B598" s="12"/>
      <c r="D598" s="181"/>
      <c r="E598" s="22"/>
      <c r="F598" s="176"/>
    </row>
    <row r="599" spans="2:6" ht="15.75" customHeight="1">
      <c r="B599" s="12"/>
      <c r="D599" s="181"/>
      <c r="E599" s="22"/>
      <c r="F599" s="176"/>
    </row>
    <row r="600" spans="2:6" ht="15.75" customHeight="1">
      <c r="B600" s="12"/>
      <c r="D600" s="181"/>
      <c r="E600" s="22"/>
      <c r="F600" s="176"/>
    </row>
    <row r="601" spans="2:6" ht="15.75" customHeight="1">
      <c r="B601" s="12"/>
      <c r="D601" s="181"/>
      <c r="E601" s="22"/>
      <c r="F601" s="176"/>
    </row>
    <row r="602" spans="2:6" ht="15.75" customHeight="1">
      <c r="B602" s="12"/>
      <c r="D602" s="181"/>
      <c r="E602" s="22"/>
      <c r="F602" s="176"/>
    </row>
    <row r="603" spans="2:6" ht="15.75" customHeight="1">
      <c r="B603" s="12"/>
      <c r="D603" s="181"/>
      <c r="E603" s="22"/>
      <c r="F603" s="176"/>
    </row>
    <row r="604" spans="2:6" ht="15.75" customHeight="1">
      <c r="B604" s="12"/>
      <c r="D604" s="181"/>
      <c r="E604" s="22"/>
      <c r="F604" s="176"/>
    </row>
    <row r="605" spans="2:6" ht="15.75" customHeight="1">
      <c r="B605" s="12"/>
      <c r="D605" s="181"/>
      <c r="E605" s="22"/>
      <c r="F605" s="176"/>
    </row>
    <row r="606" spans="2:6" ht="15.75" customHeight="1">
      <c r="B606" s="12"/>
      <c r="D606" s="181"/>
      <c r="E606" s="22"/>
      <c r="F606" s="176"/>
    </row>
    <row r="607" spans="2:6" ht="15.75" customHeight="1">
      <c r="B607" s="12"/>
      <c r="D607" s="181"/>
      <c r="E607" s="22"/>
      <c r="F607" s="176"/>
    </row>
    <row r="608" spans="2:6" ht="15.75" customHeight="1">
      <c r="B608" s="12"/>
      <c r="D608" s="181"/>
      <c r="E608" s="22"/>
      <c r="F608" s="176"/>
    </row>
    <row r="609" spans="2:6" ht="15.75" customHeight="1">
      <c r="B609" s="12"/>
      <c r="D609" s="181"/>
      <c r="E609" s="22"/>
      <c r="F609" s="176"/>
    </row>
    <row r="610" spans="2:6" ht="15.75" customHeight="1">
      <c r="B610" s="12"/>
      <c r="D610" s="181"/>
      <c r="E610" s="22"/>
      <c r="F610" s="176"/>
    </row>
    <row r="611" spans="2:6" ht="15.75" customHeight="1">
      <c r="B611" s="12"/>
      <c r="D611" s="181"/>
      <c r="E611" s="22"/>
      <c r="F611" s="176"/>
    </row>
    <row r="612" spans="2:6" ht="15.75" customHeight="1">
      <c r="B612" s="12"/>
      <c r="D612" s="181"/>
      <c r="E612" s="22"/>
      <c r="F612" s="176"/>
    </row>
    <row r="613" spans="2:6" ht="15.75" customHeight="1">
      <c r="B613" s="12"/>
      <c r="D613" s="181"/>
      <c r="E613" s="22"/>
      <c r="F613" s="176"/>
    </row>
    <row r="614" spans="2:6" ht="15.75" customHeight="1">
      <c r="B614" s="12"/>
      <c r="D614" s="181"/>
      <c r="E614" s="22"/>
      <c r="F614" s="176"/>
    </row>
    <row r="615" spans="2:6" ht="15.75" customHeight="1">
      <c r="B615" s="12"/>
      <c r="D615" s="181"/>
      <c r="E615" s="22"/>
      <c r="F615" s="176"/>
    </row>
    <row r="616" spans="2:6" ht="15.75" customHeight="1">
      <c r="B616" s="12"/>
      <c r="D616" s="181"/>
      <c r="E616" s="22"/>
      <c r="F616" s="176"/>
    </row>
    <row r="617" spans="2:6" ht="15.75" customHeight="1">
      <c r="B617" s="12"/>
      <c r="D617" s="181"/>
      <c r="E617" s="22"/>
      <c r="F617" s="176"/>
    </row>
    <row r="618" spans="2:6" ht="15.75" customHeight="1">
      <c r="B618" s="12"/>
      <c r="D618" s="181"/>
      <c r="E618" s="22"/>
      <c r="F618" s="176"/>
    </row>
    <row r="619" spans="2:6" ht="15.75" customHeight="1">
      <c r="B619" s="12"/>
      <c r="D619" s="181"/>
      <c r="E619" s="22"/>
      <c r="F619" s="176"/>
    </row>
    <row r="620" spans="2:6" ht="15.75" customHeight="1">
      <c r="B620" s="12"/>
      <c r="D620" s="181"/>
      <c r="E620" s="22"/>
      <c r="F620" s="176"/>
    </row>
    <row r="621" spans="2:6" ht="15.75" customHeight="1">
      <c r="B621" s="12"/>
      <c r="D621" s="181"/>
      <c r="E621" s="22"/>
      <c r="F621" s="176"/>
    </row>
    <row r="622" spans="2:6" ht="15.75" customHeight="1">
      <c r="B622" s="12"/>
      <c r="D622" s="181"/>
      <c r="E622" s="22"/>
      <c r="F622" s="176"/>
    </row>
    <row r="623" spans="2:6" ht="15.75" customHeight="1">
      <c r="B623" s="12"/>
      <c r="D623" s="181"/>
      <c r="E623" s="22"/>
      <c r="F623" s="176"/>
    </row>
    <row r="624" spans="2:6" ht="15.75" customHeight="1">
      <c r="B624" s="12"/>
      <c r="D624" s="181"/>
      <c r="E624" s="22"/>
      <c r="F624" s="176"/>
    </row>
    <row r="625" spans="2:6" ht="15.75" customHeight="1">
      <c r="B625" s="12"/>
      <c r="D625" s="181"/>
      <c r="E625" s="22"/>
      <c r="F625" s="176"/>
    </row>
    <row r="626" spans="2:6" ht="15.75" customHeight="1">
      <c r="B626" s="12"/>
      <c r="D626" s="181"/>
      <c r="E626" s="22"/>
      <c r="F626" s="176"/>
    </row>
    <row r="627" spans="2:6" ht="15.75" customHeight="1">
      <c r="B627" s="12"/>
      <c r="D627" s="181"/>
      <c r="E627" s="22"/>
      <c r="F627" s="176"/>
    </row>
    <row r="628" spans="2:6" ht="15.75" customHeight="1">
      <c r="B628" s="12"/>
      <c r="D628" s="181"/>
      <c r="E628" s="22"/>
      <c r="F628" s="176"/>
    </row>
    <row r="629" spans="2:6" ht="15.75" customHeight="1">
      <c r="B629" s="12"/>
      <c r="D629" s="181"/>
      <c r="E629" s="22"/>
      <c r="F629" s="176"/>
    </row>
    <row r="630" spans="2:6" ht="15.75" customHeight="1">
      <c r="B630" s="12"/>
      <c r="D630" s="181"/>
      <c r="E630" s="22"/>
      <c r="F630" s="176"/>
    </row>
    <row r="631" spans="2:6" ht="15.75" customHeight="1">
      <c r="B631" s="12"/>
      <c r="D631" s="181"/>
      <c r="E631" s="22"/>
      <c r="F631" s="176"/>
    </row>
    <row r="632" spans="2:6" ht="15.75" customHeight="1">
      <c r="B632" s="12"/>
      <c r="D632" s="181"/>
      <c r="E632" s="22"/>
      <c r="F632" s="176"/>
    </row>
    <row r="633" spans="2:6" ht="15.75" customHeight="1">
      <c r="B633" s="12"/>
      <c r="D633" s="181"/>
      <c r="E633" s="22"/>
      <c r="F633" s="176"/>
    </row>
    <row r="634" spans="2:6" ht="15.75" customHeight="1">
      <c r="B634" s="12"/>
      <c r="D634" s="181"/>
      <c r="E634" s="22"/>
      <c r="F634" s="176"/>
    </row>
    <row r="635" spans="2:6" ht="15.75" customHeight="1">
      <c r="B635" s="12"/>
      <c r="D635" s="181"/>
      <c r="E635" s="22"/>
      <c r="F635" s="176"/>
    </row>
    <row r="636" spans="2:6" ht="15.75" customHeight="1">
      <c r="B636" s="12"/>
      <c r="D636" s="181"/>
      <c r="E636" s="22"/>
      <c r="F636" s="176"/>
    </row>
    <row r="637" spans="2:6" ht="15.75" customHeight="1">
      <c r="B637" s="12"/>
      <c r="D637" s="181"/>
      <c r="E637" s="22"/>
      <c r="F637" s="176"/>
    </row>
    <row r="638" spans="2:6" ht="15.75" customHeight="1">
      <c r="B638" s="12"/>
      <c r="D638" s="181"/>
      <c r="E638" s="22"/>
      <c r="F638" s="176"/>
    </row>
    <row r="639" spans="2:6" ht="15.75" customHeight="1">
      <c r="B639" s="12"/>
      <c r="D639" s="181"/>
      <c r="E639" s="22"/>
      <c r="F639" s="176"/>
    </row>
    <row r="640" spans="2:6" ht="15.75" customHeight="1">
      <c r="B640" s="12"/>
      <c r="D640" s="181"/>
      <c r="E640" s="22"/>
      <c r="F640" s="176"/>
    </row>
    <row r="641" spans="2:6" ht="15.75" customHeight="1">
      <c r="B641" s="12"/>
      <c r="D641" s="181"/>
      <c r="E641" s="22"/>
      <c r="F641" s="176"/>
    </row>
    <row r="642" spans="2:6" ht="15.75" customHeight="1">
      <c r="B642" s="12"/>
      <c r="D642" s="181"/>
      <c r="E642" s="22"/>
      <c r="F642" s="176"/>
    </row>
    <row r="643" spans="2:6" ht="15.75" customHeight="1">
      <c r="B643" s="12"/>
      <c r="D643" s="181"/>
      <c r="E643" s="22"/>
      <c r="F643" s="176"/>
    </row>
    <row r="644" spans="2:6" ht="15.75" customHeight="1">
      <c r="B644" s="12"/>
      <c r="D644" s="181"/>
      <c r="E644" s="22"/>
      <c r="F644" s="176"/>
    </row>
    <row r="645" spans="2:6" ht="15.75" customHeight="1">
      <c r="B645" s="12"/>
      <c r="D645" s="181"/>
      <c r="E645" s="22"/>
      <c r="F645" s="176"/>
    </row>
    <row r="646" spans="2:6" ht="15.75" customHeight="1">
      <c r="B646" s="12"/>
      <c r="D646" s="181"/>
      <c r="E646" s="22"/>
      <c r="F646" s="176"/>
    </row>
    <row r="647" spans="2:6" ht="15.75" customHeight="1">
      <c r="B647" s="12"/>
      <c r="D647" s="181"/>
      <c r="E647" s="22"/>
      <c r="F647" s="176"/>
    </row>
    <row r="648" spans="2:6" ht="15.75" customHeight="1">
      <c r="B648" s="12"/>
      <c r="D648" s="181"/>
      <c r="E648" s="22"/>
      <c r="F648" s="176"/>
    </row>
    <row r="649" spans="2:6" ht="15.75" customHeight="1">
      <c r="B649" s="12"/>
      <c r="D649" s="181"/>
      <c r="E649" s="22"/>
      <c r="F649" s="176"/>
    </row>
    <row r="650" spans="2:6" ht="15.75" customHeight="1">
      <c r="B650" s="12"/>
      <c r="D650" s="181"/>
      <c r="E650" s="22"/>
      <c r="F650" s="176"/>
    </row>
    <row r="651" spans="2:6" ht="15.75" customHeight="1">
      <c r="B651" s="12"/>
      <c r="D651" s="181"/>
      <c r="E651" s="22"/>
      <c r="F651" s="176"/>
    </row>
    <row r="652" spans="2:6" ht="15.75" customHeight="1">
      <c r="B652" s="12"/>
      <c r="D652" s="181"/>
      <c r="E652" s="22"/>
      <c r="F652" s="176"/>
    </row>
    <row r="653" spans="2:6" ht="15.75" customHeight="1">
      <c r="B653" s="12"/>
      <c r="D653" s="181"/>
      <c r="E653" s="22"/>
      <c r="F653" s="176"/>
    </row>
    <row r="654" spans="2:6" ht="15.75" customHeight="1">
      <c r="B654" s="12"/>
      <c r="D654" s="181"/>
      <c r="E654" s="22"/>
      <c r="F654" s="176"/>
    </row>
    <row r="655" spans="2:6" ht="15.75" customHeight="1">
      <c r="B655" s="12"/>
      <c r="D655" s="181"/>
      <c r="E655" s="22"/>
      <c r="F655" s="176"/>
    </row>
    <row r="656" spans="2:6" ht="15.75" customHeight="1">
      <c r="B656" s="12"/>
      <c r="D656" s="181"/>
      <c r="E656" s="22"/>
      <c r="F656" s="176"/>
    </row>
    <row r="657" spans="2:6" ht="15.75" customHeight="1">
      <c r="B657" s="12"/>
      <c r="D657" s="181"/>
      <c r="E657" s="22"/>
      <c r="F657" s="176"/>
    </row>
    <row r="658" spans="2:6" ht="15.75" customHeight="1">
      <c r="B658" s="12"/>
      <c r="D658" s="181"/>
      <c r="E658" s="22"/>
      <c r="F658" s="176"/>
    </row>
    <row r="659" spans="2:6" ht="15.75" customHeight="1">
      <c r="B659" s="12"/>
      <c r="D659" s="181"/>
      <c r="E659" s="22"/>
      <c r="F659" s="176"/>
    </row>
    <row r="660" spans="2:6" ht="15.75" customHeight="1">
      <c r="B660" s="12"/>
      <c r="D660" s="181"/>
      <c r="E660" s="22"/>
      <c r="F660" s="176"/>
    </row>
    <row r="661" spans="2:6" ht="15.75" customHeight="1">
      <c r="B661" s="12"/>
      <c r="D661" s="181"/>
      <c r="E661" s="22"/>
      <c r="F661" s="176"/>
    </row>
    <row r="662" spans="2:6" ht="15.75" customHeight="1">
      <c r="B662" s="12"/>
      <c r="D662" s="181"/>
      <c r="E662" s="22"/>
      <c r="F662" s="176"/>
    </row>
    <row r="663" spans="2:6" ht="15.75" customHeight="1">
      <c r="B663" s="12"/>
      <c r="D663" s="181"/>
      <c r="E663" s="22"/>
      <c r="F663" s="176"/>
    </row>
    <row r="664" spans="2:6" ht="15.75" customHeight="1">
      <c r="B664" s="12"/>
      <c r="D664" s="181"/>
      <c r="E664" s="22"/>
      <c r="F664" s="176"/>
    </row>
    <row r="665" spans="2:6" ht="15.75" customHeight="1">
      <c r="B665" s="12"/>
      <c r="D665" s="181"/>
      <c r="E665" s="22"/>
      <c r="F665" s="176"/>
    </row>
    <row r="666" spans="2:6" ht="15.75" customHeight="1">
      <c r="B666" s="12"/>
      <c r="D666" s="181"/>
      <c r="E666" s="22"/>
      <c r="F666" s="176"/>
    </row>
    <row r="667" spans="2:6" ht="15.75" customHeight="1">
      <c r="B667" s="12"/>
      <c r="D667" s="181"/>
      <c r="E667" s="22"/>
      <c r="F667" s="176"/>
    </row>
    <row r="668" spans="2:6" ht="15.75" customHeight="1">
      <c r="B668" s="12"/>
      <c r="D668" s="181"/>
      <c r="E668" s="22"/>
      <c r="F668" s="176"/>
    </row>
    <row r="669" spans="2:6" ht="15.75" customHeight="1">
      <c r="B669" s="12"/>
      <c r="D669" s="181"/>
      <c r="E669" s="22"/>
      <c r="F669" s="176"/>
    </row>
    <row r="670" spans="2:6" ht="15.75" customHeight="1">
      <c r="B670" s="12"/>
      <c r="D670" s="181"/>
      <c r="E670" s="22"/>
      <c r="F670" s="176"/>
    </row>
    <row r="671" spans="2:6" ht="15.75" customHeight="1">
      <c r="B671" s="12"/>
      <c r="D671" s="181"/>
      <c r="E671" s="22"/>
      <c r="F671" s="176"/>
    </row>
    <row r="672" spans="2:6" ht="15.75" customHeight="1">
      <c r="B672" s="12"/>
      <c r="D672" s="181"/>
      <c r="E672" s="22"/>
      <c r="F672" s="176"/>
    </row>
    <row r="673" spans="2:6" ht="15.75" customHeight="1">
      <c r="B673" s="12"/>
      <c r="D673" s="181"/>
      <c r="E673" s="22"/>
      <c r="F673" s="176"/>
    </row>
    <row r="674" spans="2:6" ht="15.75" customHeight="1">
      <c r="B674" s="12"/>
      <c r="D674" s="181"/>
      <c r="E674" s="22"/>
      <c r="F674" s="176"/>
    </row>
    <row r="675" spans="2:6" ht="15.75" customHeight="1">
      <c r="B675" s="12"/>
      <c r="D675" s="181"/>
      <c r="E675" s="22"/>
      <c r="F675" s="176"/>
    </row>
    <row r="676" spans="2:6" ht="15.75" customHeight="1">
      <c r="B676" s="12"/>
      <c r="D676" s="181"/>
      <c r="E676" s="22"/>
      <c r="F676" s="176"/>
    </row>
    <row r="677" spans="2:6" ht="15.75" customHeight="1">
      <c r="B677" s="12"/>
      <c r="D677" s="181"/>
      <c r="E677" s="22"/>
      <c r="F677" s="176"/>
    </row>
    <row r="678" spans="2:6" ht="15.75" customHeight="1">
      <c r="B678" s="12"/>
      <c r="D678" s="181"/>
      <c r="E678" s="22"/>
      <c r="F678" s="176"/>
    </row>
    <row r="679" spans="2:6" ht="15.75" customHeight="1">
      <c r="B679" s="12"/>
      <c r="D679" s="181"/>
      <c r="E679" s="22"/>
      <c r="F679" s="176"/>
    </row>
    <row r="680" spans="2:6" ht="15.75" customHeight="1">
      <c r="B680" s="12"/>
      <c r="D680" s="181"/>
      <c r="E680" s="22"/>
      <c r="F680" s="176"/>
    </row>
    <row r="681" spans="2:6" ht="15.75" customHeight="1">
      <c r="B681" s="12"/>
      <c r="D681" s="181"/>
      <c r="E681" s="22"/>
      <c r="F681" s="176"/>
    </row>
    <row r="682" spans="2:6" ht="15.75" customHeight="1">
      <c r="B682" s="12"/>
      <c r="D682" s="181"/>
      <c r="E682" s="22"/>
      <c r="F682" s="176"/>
    </row>
    <row r="683" spans="2:6" ht="15.75" customHeight="1">
      <c r="B683" s="12"/>
      <c r="D683" s="181"/>
      <c r="E683" s="22"/>
      <c r="F683" s="176"/>
    </row>
    <row r="684" spans="2:6" ht="15.75" customHeight="1">
      <c r="B684" s="12"/>
      <c r="D684" s="181"/>
      <c r="E684" s="22"/>
      <c r="F684" s="176"/>
    </row>
    <row r="685" spans="2:6" ht="15.75" customHeight="1">
      <c r="B685" s="12"/>
      <c r="D685" s="181"/>
      <c r="E685" s="22"/>
      <c r="F685" s="176"/>
    </row>
    <row r="686" spans="2:6" ht="15.75" customHeight="1">
      <c r="B686" s="12"/>
      <c r="D686" s="181"/>
      <c r="E686" s="22"/>
      <c r="F686" s="176"/>
    </row>
    <row r="687" spans="2:6" ht="15.75" customHeight="1">
      <c r="B687" s="12"/>
      <c r="D687" s="181"/>
      <c r="E687" s="22"/>
      <c r="F687" s="176"/>
    </row>
    <row r="688" spans="2:6" ht="15.75" customHeight="1">
      <c r="B688" s="12"/>
      <c r="D688" s="181"/>
      <c r="E688" s="22"/>
      <c r="F688" s="176"/>
    </row>
    <row r="689" spans="2:6" ht="15.75" customHeight="1">
      <c r="B689" s="12"/>
      <c r="D689" s="181"/>
      <c r="E689" s="22"/>
      <c r="F689" s="176"/>
    </row>
    <row r="690" spans="2:6" ht="15.75" customHeight="1">
      <c r="B690" s="12"/>
      <c r="D690" s="181"/>
      <c r="E690" s="22"/>
      <c r="F690" s="176"/>
    </row>
    <row r="691" spans="2:6" ht="15.75" customHeight="1">
      <c r="B691" s="12"/>
      <c r="D691" s="181"/>
      <c r="E691" s="22"/>
      <c r="F691" s="176"/>
    </row>
    <row r="692" spans="2:6" ht="15.75" customHeight="1">
      <c r="B692" s="12"/>
      <c r="D692" s="181"/>
      <c r="E692" s="22"/>
      <c r="F692" s="176"/>
    </row>
    <row r="693" spans="2:6" ht="15.75" customHeight="1">
      <c r="B693" s="12"/>
      <c r="D693" s="181"/>
      <c r="E693" s="22"/>
      <c r="F693" s="176"/>
    </row>
    <row r="694" spans="2:6" ht="15.75" customHeight="1">
      <c r="B694" s="12"/>
      <c r="D694" s="181"/>
      <c r="E694" s="22"/>
      <c r="F694" s="176"/>
    </row>
    <row r="695" spans="2:6" ht="15.75" customHeight="1">
      <c r="B695" s="12"/>
      <c r="D695" s="181"/>
      <c r="E695" s="22"/>
      <c r="F695" s="176"/>
    </row>
    <row r="696" spans="2:6" ht="15.75" customHeight="1">
      <c r="B696" s="12"/>
      <c r="D696" s="181"/>
      <c r="E696" s="22"/>
      <c r="F696" s="176"/>
    </row>
    <row r="697" spans="2:6" ht="15.75" customHeight="1">
      <c r="B697" s="12"/>
      <c r="D697" s="181"/>
      <c r="E697" s="22"/>
      <c r="F697" s="176"/>
    </row>
    <row r="698" spans="2:6" ht="15.75" customHeight="1">
      <c r="B698" s="12"/>
      <c r="D698" s="181"/>
      <c r="E698" s="22"/>
      <c r="F698" s="176"/>
    </row>
    <row r="699" spans="2:6" ht="15.75" customHeight="1">
      <c r="B699" s="12"/>
      <c r="D699" s="181"/>
      <c r="E699" s="22"/>
      <c r="F699" s="176"/>
    </row>
    <row r="700" spans="2:6" ht="15.75" customHeight="1">
      <c r="B700" s="12"/>
      <c r="D700" s="181"/>
      <c r="E700" s="22"/>
      <c r="F700" s="176"/>
    </row>
    <row r="701" spans="2:6" ht="15.75" customHeight="1">
      <c r="B701" s="12"/>
      <c r="D701" s="181"/>
      <c r="E701" s="22"/>
      <c r="F701" s="176"/>
    </row>
    <row r="702" spans="2:6" ht="15.75" customHeight="1">
      <c r="B702" s="12"/>
      <c r="D702" s="181"/>
      <c r="E702" s="22"/>
      <c r="F702" s="176"/>
    </row>
    <row r="703" spans="2:6" ht="15.75" customHeight="1">
      <c r="B703" s="12"/>
      <c r="D703" s="181"/>
      <c r="E703" s="22"/>
      <c r="F703" s="176"/>
    </row>
    <row r="704" spans="2:6" ht="15.75" customHeight="1">
      <c r="B704" s="12"/>
      <c r="D704" s="181"/>
      <c r="E704" s="22"/>
      <c r="F704" s="176"/>
    </row>
    <row r="705" spans="2:6" ht="15.75" customHeight="1">
      <c r="B705" s="12"/>
      <c r="D705" s="181"/>
      <c r="E705" s="22"/>
      <c r="F705" s="176"/>
    </row>
    <row r="706" spans="2:6" ht="15.75" customHeight="1">
      <c r="B706" s="12"/>
      <c r="D706" s="181"/>
      <c r="E706" s="22"/>
      <c r="F706" s="176"/>
    </row>
    <row r="707" spans="2:6" ht="15.75" customHeight="1">
      <c r="B707" s="12"/>
      <c r="D707" s="181"/>
      <c r="E707" s="22"/>
      <c r="F707" s="176"/>
    </row>
    <row r="708" spans="2:6" ht="15.75" customHeight="1">
      <c r="B708" s="12"/>
      <c r="D708" s="181"/>
      <c r="E708" s="22"/>
      <c r="F708" s="176"/>
    </row>
    <row r="709" spans="2:6" ht="15.75" customHeight="1">
      <c r="B709" s="12"/>
      <c r="D709" s="181"/>
      <c r="E709" s="22"/>
      <c r="F709" s="176"/>
    </row>
    <row r="710" spans="2:6" ht="15.75" customHeight="1">
      <c r="B710" s="12"/>
      <c r="D710" s="181"/>
      <c r="E710" s="22"/>
      <c r="F710" s="176"/>
    </row>
    <row r="711" spans="2:6" ht="15.75" customHeight="1">
      <c r="B711" s="12"/>
      <c r="D711" s="181"/>
      <c r="E711" s="22"/>
      <c r="F711" s="176"/>
    </row>
    <row r="712" spans="2:6" ht="15.75" customHeight="1">
      <c r="B712" s="12"/>
      <c r="D712" s="181"/>
      <c r="E712" s="22"/>
      <c r="F712" s="176"/>
    </row>
    <row r="713" spans="2:6" ht="15.75" customHeight="1">
      <c r="B713" s="12"/>
      <c r="D713" s="181"/>
      <c r="E713" s="22"/>
      <c r="F713" s="176"/>
    </row>
    <row r="714" spans="2:6" ht="15.75" customHeight="1">
      <c r="B714" s="12"/>
      <c r="D714" s="181"/>
      <c r="E714" s="22"/>
      <c r="F714" s="176"/>
    </row>
    <row r="715" spans="2:6" ht="15.75" customHeight="1">
      <c r="B715" s="12"/>
      <c r="D715" s="181"/>
      <c r="E715" s="22"/>
      <c r="F715" s="176"/>
    </row>
    <row r="716" spans="2:6" ht="15.75" customHeight="1">
      <c r="B716" s="12"/>
      <c r="D716" s="181"/>
      <c r="E716" s="22"/>
      <c r="F716" s="176"/>
    </row>
    <row r="717" spans="2:6" ht="15.75" customHeight="1">
      <c r="B717" s="12"/>
      <c r="D717" s="181"/>
      <c r="E717" s="22"/>
      <c r="F717" s="176"/>
    </row>
    <row r="718" spans="2:6" ht="15.75" customHeight="1">
      <c r="B718" s="12"/>
      <c r="D718" s="181"/>
      <c r="E718" s="22"/>
      <c r="F718" s="176"/>
    </row>
    <row r="719" spans="2:6" ht="15.75" customHeight="1">
      <c r="B719" s="12"/>
      <c r="D719" s="181"/>
      <c r="E719" s="22"/>
      <c r="F719" s="176"/>
    </row>
    <row r="720" spans="2:6" ht="15.75" customHeight="1">
      <c r="B720" s="12"/>
      <c r="D720" s="181"/>
      <c r="E720" s="22"/>
      <c r="F720" s="176"/>
    </row>
    <row r="721" spans="2:6" ht="15.75" customHeight="1">
      <c r="B721" s="12"/>
      <c r="D721" s="181"/>
      <c r="E721" s="22"/>
      <c r="F721" s="176"/>
    </row>
    <row r="722" spans="2:6" ht="15.75" customHeight="1">
      <c r="B722" s="12"/>
      <c r="D722" s="181"/>
      <c r="E722" s="22"/>
      <c r="F722" s="176"/>
    </row>
    <row r="723" spans="2:6" ht="15.75" customHeight="1">
      <c r="B723" s="12"/>
      <c r="D723" s="181"/>
      <c r="E723" s="22"/>
      <c r="F723" s="176"/>
    </row>
    <row r="724" spans="2:6" ht="15.75" customHeight="1">
      <c r="B724" s="12"/>
      <c r="D724" s="181"/>
      <c r="E724" s="22"/>
      <c r="F724" s="176"/>
    </row>
    <row r="725" spans="2:6" ht="15.75" customHeight="1">
      <c r="B725" s="12"/>
      <c r="D725" s="181"/>
      <c r="E725" s="22"/>
      <c r="F725" s="176"/>
    </row>
    <row r="726" spans="2:6" ht="15.75" customHeight="1">
      <c r="B726" s="12"/>
      <c r="D726" s="181"/>
      <c r="E726" s="22"/>
      <c r="F726" s="176"/>
    </row>
    <row r="727" spans="2:6" ht="15.75" customHeight="1">
      <c r="B727" s="12"/>
      <c r="D727" s="181"/>
      <c r="E727" s="22"/>
      <c r="F727" s="176"/>
    </row>
    <row r="728" spans="2:6" ht="15.75" customHeight="1">
      <c r="B728" s="12"/>
      <c r="D728" s="181"/>
      <c r="E728" s="22"/>
      <c r="F728" s="176"/>
    </row>
    <row r="729" spans="2:6" ht="15.75" customHeight="1">
      <c r="B729" s="12"/>
      <c r="D729" s="181"/>
      <c r="E729" s="22"/>
      <c r="F729" s="176"/>
    </row>
    <row r="730" spans="2:6" ht="15.75" customHeight="1">
      <c r="B730" s="12"/>
      <c r="D730" s="181"/>
      <c r="E730" s="22"/>
      <c r="F730" s="176"/>
    </row>
    <row r="731" spans="2:6" ht="15.75" customHeight="1">
      <c r="B731" s="12"/>
      <c r="D731" s="181"/>
      <c r="E731" s="22"/>
      <c r="F731" s="176"/>
    </row>
    <row r="732" spans="2:6" ht="15.75" customHeight="1">
      <c r="B732" s="12"/>
      <c r="D732" s="181"/>
      <c r="E732" s="22"/>
      <c r="F732" s="176"/>
    </row>
    <row r="733" spans="2:6" ht="15.75" customHeight="1">
      <c r="B733" s="12"/>
      <c r="D733" s="181"/>
      <c r="E733" s="22"/>
      <c r="F733" s="176"/>
    </row>
    <row r="734" spans="2:6" ht="15.75" customHeight="1">
      <c r="B734" s="12"/>
      <c r="D734" s="181"/>
      <c r="E734" s="22"/>
      <c r="F734" s="176"/>
    </row>
    <row r="735" spans="2:6" ht="15.75" customHeight="1">
      <c r="B735" s="12"/>
      <c r="D735" s="181"/>
      <c r="E735" s="22"/>
      <c r="F735" s="176"/>
    </row>
    <row r="736" spans="2:6" ht="15.75" customHeight="1">
      <c r="B736" s="12"/>
      <c r="D736" s="181"/>
      <c r="E736" s="22"/>
      <c r="F736" s="176"/>
    </row>
    <row r="737" spans="2:6" ht="15.75" customHeight="1">
      <c r="B737" s="12"/>
      <c r="D737" s="181"/>
      <c r="E737" s="22"/>
      <c r="F737" s="176"/>
    </row>
    <row r="738" spans="2:6" ht="15.75" customHeight="1">
      <c r="B738" s="12"/>
      <c r="D738" s="181"/>
      <c r="E738" s="22"/>
      <c r="F738" s="176"/>
    </row>
    <row r="739" spans="2:6" ht="15.75" customHeight="1">
      <c r="B739" s="12"/>
      <c r="D739" s="181"/>
      <c r="E739" s="22"/>
      <c r="F739" s="176"/>
    </row>
    <row r="740" spans="2:6" ht="15.75" customHeight="1">
      <c r="B740" s="12"/>
      <c r="D740" s="181"/>
      <c r="E740" s="22"/>
      <c r="F740" s="176"/>
    </row>
    <row r="741" spans="2:6" ht="15.75" customHeight="1">
      <c r="B741" s="12"/>
      <c r="D741" s="181"/>
      <c r="E741" s="22"/>
      <c r="F741" s="176"/>
    </row>
    <row r="742" spans="2:6" ht="15.75" customHeight="1">
      <c r="B742" s="12"/>
      <c r="D742" s="181"/>
      <c r="E742" s="22"/>
      <c r="F742" s="176"/>
    </row>
    <row r="743" spans="2:6" ht="15.75" customHeight="1">
      <c r="B743" s="12"/>
      <c r="D743" s="181"/>
      <c r="E743" s="22"/>
      <c r="F743" s="176"/>
    </row>
    <row r="744" spans="2:6" ht="15.75" customHeight="1">
      <c r="B744" s="12"/>
      <c r="D744" s="181"/>
      <c r="E744" s="22"/>
      <c r="F744" s="176"/>
    </row>
    <row r="745" spans="2:6" ht="15.75" customHeight="1">
      <c r="B745" s="12"/>
      <c r="D745" s="181"/>
      <c r="E745" s="22"/>
      <c r="F745" s="176"/>
    </row>
    <row r="746" spans="2:6" ht="15.75" customHeight="1">
      <c r="B746" s="12"/>
      <c r="D746" s="181"/>
      <c r="E746" s="22"/>
      <c r="F746" s="176"/>
    </row>
    <row r="747" spans="2:6" ht="15.75" customHeight="1">
      <c r="B747" s="12"/>
      <c r="D747" s="181"/>
      <c r="E747" s="22"/>
      <c r="F747" s="176"/>
    </row>
    <row r="748" spans="2:6" ht="15.75" customHeight="1">
      <c r="B748" s="12"/>
      <c r="D748" s="181"/>
      <c r="E748" s="22"/>
      <c r="F748" s="176"/>
    </row>
    <row r="749" spans="2:6" ht="15.75" customHeight="1">
      <c r="B749" s="12"/>
      <c r="D749" s="181"/>
      <c r="E749" s="22"/>
      <c r="F749" s="176"/>
    </row>
    <row r="750" spans="2:6" ht="15.75" customHeight="1">
      <c r="B750" s="12"/>
      <c r="D750" s="181"/>
      <c r="E750" s="22"/>
      <c r="F750" s="176"/>
    </row>
    <row r="751" spans="2:6" ht="15.75" customHeight="1">
      <c r="B751" s="12"/>
      <c r="D751" s="181"/>
      <c r="E751" s="22"/>
      <c r="F751" s="176"/>
    </row>
    <row r="752" spans="2:6" ht="15.75" customHeight="1">
      <c r="B752" s="12"/>
      <c r="D752" s="181"/>
      <c r="E752" s="22"/>
      <c r="F752" s="176"/>
    </row>
    <row r="753" spans="2:6" ht="15.75" customHeight="1">
      <c r="B753" s="12"/>
      <c r="D753" s="181"/>
      <c r="E753" s="22"/>
      <c r="F753" s="176"/>
    </row>
    <row r="754" spans="2:6" ht="15.75" customHeight="1">
      <c r="B754" s="12"/>
      <c r="D754" s="181"/>
      <c r="E754" s="22"/>
      <c r="F754" s="176"/>
    </row>
    <row r="755" spans="2:6" ht="15.75" customHeight="1">
      <c r="B755" s="12"/>
      <c r="D755" s="181"/>
      <c r="E755" s="22"/>
      <c r="F755" s="176"/>
    </row>
    <row r="756" spans="2:6" ht="15.75" customHeight="1">
      <c r="B756" s="12"/>
      <c r="D756" s="181"/>
      <c r="E756" s="22"/>
      <c r="F756" s="176"/>
    </row>
    <row r="757" spans="2:6" ht="15.75" customHeight="1">
      <c r="B757" s="12"/>
      <c r="D757" s="181"/>
      <c r="E757" s="22"/>
      <c r="F757" s="176"/>
    </row>
    <row r="758" spans="2:6" ht="15.75" customHeight="1">
      <c r="B758" s="12"/>
      <c r="D758" s="181"/>
      <c r="E758" s="22"/>
      <c r="F758" s="176"/>
    </row>
    <row r="759" spans="2:6" ht="15.75" customHeight="1">
      <c r="B759" s="12"/>
      <c r="D759" s="181"/>
      <c r="E759" s="22"/>
      <c r="F759" s="176"/>
    </row>
    <row r="760" spans="2:6" ht="15.75" customHeight="1">
      <c r="B760" s="12"/>
      <c r="D760" s="181"/>
      <c r="E760" s="22"/>
      <c r="F760" s="176"/>
    </row>
    <row r="761" spans="2:6" ht="15.75" customHeight="1">
      <c r="B761" s="12"/>
      <c r="D761" s="181"/>
      <c r="E761" s="22"/>
      <c r="F761" s="176"/>
    </row>
    <row r="762" spans="2:6" ht="15.75" customHeight="1">
      <c r="B762" s="12"/>
      <c r="D762" s="181"/>
      <c r="E762" s="22"/>
      <c r="F762" s="176"/>
    </row>
    <row r="763" spans="2:6" ht="15.75" customHeight="1">
      <c r="B763" s="12"/>
      <c r="D763" s="181"/>
      <c r="E763" s="22"/>
      <c r="F763" s="176"/>
    </row>
    <row r="764" spans="2:6" ht="15.75" customHeight="1">
      <c r="B764" s="12"/>
      <c r="D764" s="181"/>
      <c r="E764" s="22"/>
      <c r="F764" s="176"/>
    </row>
    <row r="765" spans="2:6" ht="15.75" customHeight="1">
      <c r="B765" s="12"/>
      <c r="D765" s="181"/>
      <c r="E765" s="22"/>
      <c r="F765" s="176"/>
    </row>
    <row r="766" spans="2:6" ht="15.75" customHeight="1">
      <c r="B766" s="12"/>
      <c r="D766" s="181"/>
      <c r="E766" s="22"/>
      <c r="F766" s="176"/>
    </row>
    <row r="767" spans="2:6" ht="15.75" customHeight="1">
      <c r="B767" s="12"/>
      <c r="D767" s="181"/>
      <c r="E767" s="22"/>
      <c r="F767" s="176"/>
    </row>
    <row r="768" spans="2:6" ht="15.75" customHeight="1">
      <c r="B768" s="12"/>
      <c r="D768" s="181"/>
      <c r="E768" s="22"/>
      <c r="F768" s="176"/>
    </row>
    <row r="769" spans="2:6" ht="15.75" customHeight="1">
      <c r="B769" s="12"/>
      <c r="D769" s="181"/>
      <c r="E769" s="22"/>
      <c r="F769" s="176"/>
    </row>
    <row r="770" spans="2:6" ht="15.75" customHeight="1">
      <c r="B770" s="12"/>
      <c r="D770" s="181"/>
      <c r="E770" s="22"/>
      <c r="F770" s="176"/>
    </row>
    <row r="771" spans="2:6" ht="15.75" customHeight="1">
      <c r="B771" s="12"/>
      <c r="D771" s="181"/>
      <c r="E771" s="22"/>
      <c r="F771" s="176"/>
    </row>
    <row r="772" spans="2:6" ht="15.75" customHeight="1">
      <c r="B772" s="12"/>
      <c r="D772" s="181"/>
      <c r="E772" s="22"/>
      <c r="F772" s="176"/>
    </row>
    <row r="773" spans="2:6" ht="15.75" customHeight="1">
      <c r="B773" s="12"/>
      <c r="D773" s="181"/>
      <c r="E773" s="22"/>
      <c r="F773" s="176"/>
    </row>
    <row r="774" spans="2:6" ht="15.75" customHeight="1">
      <c r="B774" s="12"/>
      <c r="D774" s="181"/>
      <c r="E774" s="22"/>
      <c r="F774" s="176"/>
    </row>
    <row r="775" spans="2:6" ht="15.75" customHeight="1">
      <c r="B775" s="12"/>
      <c r="D775" s="181"/>
      <c r="E775" s="22"/>
      <c r="F775" s="176"/>
    </row>
    <row r="776" spans="2:6" ht="15.75" customHeight="1">
      <c r="B776" s="12"/>
      <c r="D776" s="181"/>
      <c r="E776" s="22"/>
      <c r="F776" s="176"/>
    </row>
    <row r="777" spans="2:6" ht="15.75" customHeight="1">
      <c r="B777" s="12"/>
      <c r="D777" s="181"/>
      <c r="E777" s="22"/>
      <c r="F777" s="176"/>
    </row>
    <row r="778" spans="2:6" ht="15.75" customHeight="1">
      <c r="B778" s="12"/>
      <c r="D778" s="181"/>
      <c r="E778" s="22"/>
      <c r="F778" s="176"/>
    </row>
    <row r="779" spans="2:6" ht="15.75" customHeight="1">
      <c r="B779" s="12"/>
      <c r="D779" s="181"/>
      <c r="E779" s="22"/>
      <c r="F779" s="176"/>
    </row>
    <row r="780" spans="2:6" ht="15.75" customHeight="1">
      <c r="B780" s="12"/>
      <c r="D780" s="181"/>
      <c r="E780" s="22"/>
      <c r="F780" s="176"/>
    </row>
    <row r="781" spans="2:6" ht="15.75" customHeight="1">
      <c r="B781" s="12"/>
      <c r="D781" s="181"/>
      <c r="E781" s="22"/>
      <c r="F781" s="176"/>
    </row>
    <row r="782" spans="2:6" ht="15.75" customHeight="1">
      <c r="B782" s="12"/>
      <c r="D782" s="181"/>
      <c r="E782" s="22"/>
      <c r="F782" s="176"/>
    </row>
    <row r="783" spans="2:6" ht="15.75" customHeight="1">
      <c r="B783" s="12"/>
      <c r="D783" s="181"/>
      <c r="E783" s="22"/>
      <c r="F783" s="176"/>
    </row>
    <row r="784" spans="2:6" ht="15.75" customHeight="1">
      <c r="B784" s="12"/>
      <c r="D784" s="181"/>
      <c r="E784" s="22"/>
      <c r="F784" s="176"/>
    </row>
    <row r="785" spans="2:6" ht="15.75" customHeight="1">
      <c r="B785" s="12"/>
      <c r="D785" s="181"/>
      <c r="E785" s="22"/>
      <c r="F785" s="176"/>
    </row>
    <row r="786" spans="2:6" ht="15.75" customHeight="1">
      <c r="B786" s="12"/>
      <c r="D786" s="181"/>
      <c r="E786" s="22"/>
      <c r="F786" s="176"/>
    </row>
    <row r="787" spans="2:6" ht="15.75" customHeight="1">
      <c r="B787" s="12"/>
      <c r="D787" s="181"/>
      <c r="E787" s="22"/>
      <c r="F787" s="176"/>
    </row>
    <row r="788" spans="2:6" ht="15.75" customHeight="1">
      <c r="B788" s="12"/>
      <c r="D788" s="181"/>
      <c r="E788" s="22"/>
      <c r="F788" s="176"/>
    </row>
    <row r="789" spans="2:6" ht="15.75" customHeight="1">
      <c r="B789" s="12"/>
      <c r="D789" s="181"/>
      <c r="E789" s="22"/>
      <c r="F789" s="176"/>
    </row>
    <row r="790" spans="2:6" ht="15.75" customHeight="1">
      <c r="B790" s="12"/>
      <c r="D790" s="181"/>
      <c r="E790" s="22"/>
      <c r="F790" s="176"/>
    </row>
    <row r="791" spans="2:6" ht="15.75" customHeight="1">
      <c r="B791" s="12"/>
      <c r="D791" s="181"/>
      <c r="E791" s="22"/>
      <c r="F791" s="176"/>
    </row>
    <row r="792" spans="2:6" ht="15.75" customHeight="1">
      <c r="B792" s="12"/>
      <c r="D792" s="181"/>
      <c r="E792" s="22"/>
      <c r="F792" s="176"/>
    </row>
    <row r="793" spans="2:6" ht="15.75" customHeight="1">
      <c r="B793" s="12"/>
      <c r="D793" s="181"/>
      <c r="E793" s="22"/>
      <c r="F793" s="176"/>
    </row>
    <row r="794" spans="2:6" ht="15.75" customHeight="1">
      <c r="B794" s="12"/>
      <c r="D794" s="181"/>
      <c r="E794" s="22"/>
      <c r="F794" s="176"/>
    </row>
    <row r="795" spans="2:6" ht="15.75" customHeight="1">
      <c r="B795" s="12"/>
      <c r="D795" s="181"/>
      <c r="E795" s="22"/>
      <c r="F795" s="176"/>
    </row>
    <row r="796" spans="2:6" ht="15.75" customHeight="1">
      <c r="B796" s="12"/>
      <c r="D796" s="181"/>
      <c r="E796" s="22"/>
      <c r="F796" s="176"/>
    </row>
    <row r="797" spans="2:6" ht="15.75" customHeight="1">
      <c r="B797" s="12"/>
      <c r="D797" s="181"/>
      <c r="E797" s="22"/>
      <c r="F797" s="176"/>
    </row>
    <row r="798" spans="2:6" ht="15.75" customHeight="1">
      <c r="B798" s="12"/>
      <c r="D798" s="181"/>
      <c r="E798" s="22"/>
      <c r="F798" s="176"/>
    </row>
    <row r="799" spans="2:6" ht="15.75" customHeight="1">
      <c r="B799" s="12"/>
      <c r="D799" s="181"/>
      <c r="E799" s="22"/>
      <c r="F799" s="176"/>
    </row>
    <row r="800" spans="2:6" ht="15.75" customHeight="1">
      <c r="B800" s="12"/>
      <c r="D800" s="181"/>
      <c r="E800" s="22"/>
      <c r="F800" s="176"/>
    </row>
    <row r="801" spans="2:6" ht="15.75" customHeight="1">
      <c r="B801" s="12"/>
      <c r="D801" s="181"/>
      <c r="E801" s="22"/>
      <c r="F801" s="176"/>
    </row>
    <row r="802" spans="2:6" ht="15.75" customHeight="1">
      <c r="B802" s="12"/>
      <c r="D802" s="181"/>
      <c r="E802" s="22"/>
      <c r="F802" s="176"/>
    </row>
    <row r="803" spans="2:6" ht="15.75" customHeight="1">
      <c r="B803" s="12"/>
      <c r="D803" s="181"/>
      <c r="E803" s="22"/>
      <c r="F803" s="176"/>
    </row>
    <row r="804" spans="2:6" ht="15.75" customHeight="1">
      <c r="B804" s="12"/>
      <c r="D804" s="181"/>
      <c r="E804" s="22"/>
      <c r="F804" s="176"/>
    </row>
    <row r="805" spans="2:6" ht="15.75" customHeight="1">
      <c r="B805" s="12"/>
      <c r="D805" s="181"/>
      <c r="E805" s="22"/>
      <c r="F805" s="176"/>
    </row>
    <row r="806" spans="2:6" ht="15.75" customHeight="1">
      <c r="B806" s="12"/>
      <c r="D806" s="181"/>
      <c r="E806" s="22"/>
      <c r="F806" s="176"/>
    </row>
    <row r="807" spans="2:6" ht="15.75" customHeight="1">
      <c r="B807" s="12"/>
      <c r="D807" s="181"/>
      <c r="E807" s="22"/>
      <c r="F807" s="176"/>
    </row>
    <row r="808" spans="2:6" ht="15.75" customHeight="1">
      <c r="B808" s="12"/>
      <c r="D808" s="181"/>
      <c r="E808" s="22"/>
      <c r="F808" s="176"/>
    </row>
    <row r="809" spans="2:6" ht="15.75" customHeight="1">
      <c r="B809" s="12"/>
      <c r="D809" s="181"/>
      <c r="E809" s="22"/>
      <c r="F809" s="176"/>
    </row>
    <row r="810" spans="2:6" ht="15.75" customHeight="1">
      <c r="B810" s="12"/>
      <c r="D810" s="181"/>
      <c r="E810" s="22"/>
      <c r="F810" s="176"/>
    </row>
    <row r="811" spans="2:6" ht="15.75" customHeight="1">
      <c r="B811" s="12"/>
      <c r="D811" s="181"/>
      <c r="E811" s="22"/>
      <c r="F811" s="176"/>
    </row>
    <row r="812" spans="2:6" ht="15.75" customHeight="1">
      <c r="B812" s="12"/>
      <c r="D812" s="181"/>
      <c r="E812" s="22"/>
      <c r="F812" s="176"/>
    </row>
    <row r="813" spans="2:6" ht="15.75" customHeight="1">
      <c r="B813" s="12"/>
      <c r="D813" s="181"/>
      <c r="E813" s="22"/>
      <c r="F813" s="176"/>
    </row>
    <row r="814" spans="2:6" ht="15.75" customHeight="1">
      <c r="B814" s="12"/>
      <c r="D814" s="181"/>
      <c r="E814" s="22"/>
      <c r="F814" s="176"/>
    </row>
    <row r="815" spans="2:6" ht="15.75" customHeight="1">
      <c r="B815" s="12"/>
      <c r="D815" s="181"/>
      <c r="E815" s="22"/>
      <c r="F815" s="176"/>
    </row>
    <row r="816" spans="2:6" ht="15.75" customHeight="1">
      <c r="B816" s="12"/>
      <c r="D816" s="181"/>
      <c r="E816" s="22"/>
      <c r="F816" s="176"/>
    </row>
    <row r="817" spans="2:6" ht="15.75" customHeight="1">
      <c r="B817" s="12"/>
      <c r="D817" s="181"/>
      <c r="E817" s="22"/>
      <c r="F817" s="176"/>
    </row>
    <row r="818" spans="2:6" ht="15.75" customHeight="1">
      <c r="B818" s="12"/>
      <c r="D818" s="181"/>
      <c r="E818" s="22"/>
      <c r="F818" s="176"/>
    </row>
    <row r="819" spans="2:6" ht="15.75" customHeight="1">
      <c r="B819" s="12"/>
      <c r="D819" s="181"/>
      <c r="E819" s="22"/>
      <c r="F819" s="176"/>
    </row>
    <row r="820" spans="2:6" ht="15.75" customHeight="1">
      <c r="B820" s="12"/>
      <c r="D820" s="181"/>
      <c r="E820" s="22"/>
      <c r="F820" s="176"/>
    </row>
    <row r="821" spans="2:6" ht="15.75" customHeight="1">
      <c r="B821" s="12"/>
      <c r="D821" s="181"/>
      <c r="E821" s="22"/>
      <c r="F821" s="176"/>
    </row>
    <row r="822" spans="2:6" ht="15.75" customHeight="1">
      <c r="B822" s="12"/>
      <c r="D822" s="181"/>
      <c r="E822" s="22"/>
      <c r="F822" s="176"/>
    </row>
    <row r="823" spans="2:6" ht="15.75" customHeight="1">
      <c r="B823" s="12"/>
      <c r="D823" s="181"/>
      <c r="E823" s="22"/>
      <c r="F823" s="176"/>
    </row>
    <row r="824" spans="2:6" ht="15.75" customHeight="1">
      <c r="B824" s="12"/>
      <c r="D824" s="181"/>
      <c r="E824" s="22"/>
      <c r="F824" s="176"/>
    </row>
    <row r="825" spans="2:6" ht="15.75" customHeight="1">
      <c r="B825" s="12"/>
      <c r="D825" s="181"/>
      <c r="E825" s="22"/>
      <c r="F825" s="176"/>
    </row>
    <row r="826" spans="2:6" ht="15.75" customHeight="1">
      <c r="B826" s="12"/>
      <c r="D826" s="181"/>
      <c r="E826" s="22"/>
      <c r="F826" s="176"/>
    </row>
    <row r="827" spans="2:6" ht="15.75" customHeight="1">
      <c r="B827" s="12"/>
      <c r="D827" s="181"/>
      <c r="E827" s="22"/>
      <c r="F827" s="176"/>
    </row>
    <row r="828" spans="2:6" ht="15.75" customHeight="1">
      <c r="B828" s="12"/>
      <c r="D828" s="181"/>
      <c r="E828" s="22"/>
      <c r="F828" s="176"/>
    </row>
    <row r="829" spans="2:6" ht="15.75" customHeight="1">
      <c r="B829" s="12"/>
      <c r="D829" s="181"/>
      <c r="E829" s="22"/>
      <c r="F829" s="176"/>
    </row>
    <row r="830" spans="2:6" ht="15.75" customHeight="1">
      <c r="B830" s="12"/>
      <c r="D830" s="181"/>
      <c r="E830" s="22"/>
      <c r="F830" s="176"/>
    </row>
    <row r="831" spans="2:6" ht="15.75" customHeight="1">
      <c r="B831" s="12"/>
      <c r="D831" s="181"/>
      <c r="E831" s="22"/>
      <c r="F831" s="176"/>
    </row>
    <row r="832" spans="2:6" ht="15.75" customHeight="1">
      <c r="B832" s="12"/>
      <c r="D832" s="181"/>
      <c r="E832" s="22"/>
      <c r="F832" s="176"/>
    </row>
    <row r="833" spans="2:6" ht="15.75" customHeight="1">
      <c r="B833" s="12"/>
      <c r="D833" s="181"/>
      <c r="E833" s="22"/>
      <c r="F833" s="176"/>
    </row>
    <row r="834" spans="2:6" ht="15.75" customHeight="1">
      <c r="B834" s="12"/>
      <c r="D834" s="181"/>
      <c r="E834" s="22"/>
      <c r="F834" s="176"/>
    </row>
    <row r="835" spans="2:6" ht="15.75" customHeight="1">
      <c r="B835" s="12"/>
      <c r="D835" s="181"/>
      <c r="E835" s="22"/>
      <c r="F835" s="176"/>
    </row>
    <row r="836" spans="2:6" ht="15.75" customHeight="1">
      <c r="B836" s="12"/>
      <c r="D836" s="181"/>
      <c r="E836" s="22"/>
      <c r="F836" s="176"/>
    </row>
    <row r="837" spans="2:6" ht="15.75" customHeight="1">
      <c r="B837" s="12"/>
      <c r="D837" s="181"/>
      <c r="E837" s="22"/>
      <c r="F837" s="176"/>
    </row>
    <row r="838" spans="2:6" ht="15.75" customHeight="1">
      <c r="B838" s="12"/>
      <c r="D838" s="181"/>
      <c r="E838" s="22"/>
      <c r="F838" s="176"/>
    </row>
    <row r="839" spans="2:6" ht="15.75" customHeight="1">
      <c r="B839" s="12"/>
      <c r="D839" s="181"/>
      <c r="E839" s="22"/>
      <c r="F839" s="176"/>
    </row>
    <row r="840" spans="2:6" ht="15.75" customHeight="1">
      <c r="B840" s="12"/>
      <c r="D840" s="181"/>
      <c r="E840" s="22"/>
      <c r="F840" s="176"/>
    </row>
    <row r="841" spans="2:6" ht="15.75" customHeight="1">
      <c r="B841" s="12"/>
      <c r="D841" s="181"/>
      <c r="E841" s="22"/>
      <c r="F841" s="176"/>
    </row>
    <row r="842" spans="2:6" ht="15.75" customHeight="1">
      <c r="B842" s="12"/>
      <c r="D842" s="181"/>
      <c r="E842" s="22"/>
      <c r="F842" s="176"/>
    </row>
    <row r="843" spans="2:6" ht="15.75" customHeight="1">
      <c r="B843" s="12"/>
      <c r="D843" s="181"/>
      <c r="E843" s="22"/>
      <c r="F843" s="176"/>
    </row>
    <row r="844" spans="2:6" ht="15.75" customHeight="1">
      <c r="B844" s="12"/>
      <c r="D844" s="181"/>
      <c r="E844" s="22"/>
      <c r="F844" s="176"/>
    </row>
    <row r="845" spans="2:6" ht="15.75" customHeight="1">
      <c r="B845" s="12"/>
      <c r="D845" s="181"/>
      <c r="E845" s="22"/>
      <c r="F845" s="176"/>
    </row>
    <row r="846" spans="2:6" ht="15.75" customHeight="1">
      <c r="B846" s="12"/>
      <c r="D846" s="181"/>
      <c r="E846" s="22"/>
      <c r="F846" s="176"/>
    </row>
    <row r="847" spans="2:6" ht="15.75" customHeight="1">
      <c r="B847" s="12"/>
      <c r="D847" s="181"/>
      <c r="E847" s="22"/>
      <c r="F847" s="176"/>
    </row>
    <row r="848" spans="2:6" ht="15.75" customHeight="1">
      <c r="B848" s="12"/>
      <c r="D848" s="181"/>
      <c r="E848" s="22"/>
      <c r="F848" s="176"/>
    </row>
    <row r="849" spans="2:6" ht="15.75" customHeight="1">
      <c r="B849" s="12"/>
      <c r="D849" s="181"/>
      <c r="E849" s="22"/>
      <c r="F849" s="176"/>
    </row>
    <row r="850" spans="2:6" ht="15.75" customHeight="1">
      <c r="B850" s="12"/>
      <c r="D850" s="181"/>
      <c r="E850" s="22"/>
      <c r="F850" s="176"/>
    </row>
    <row r="851" spans="2:6" ht="15.75" customHeight="1">
      <c r="B851" s="12"/>
      <c r="D851" s="181"/>
      <c r="E851" s="22"/>
      <c r="F851" s="176"/>
    </row>
    <row r="852" spans="2:6" ht="15.75" customHeight="1">
      <c r="B852" s="12"/>
      <c r="D852" s="181"/>
      <c r="E852" s="22"/>
      <c r="F852" s="176"/>
    </row>
    <row r="853" spans="2:6" ht="15.75" customHeight="1">
      <c r="B853" s="12"/>
      <c r="D853" s="181"/>
      <c r="E853" s="22"/>
      <c r="F853" s="176"/>
    </row>
    <row r="854" spans="2:6" ht="15.75" customHeight="1">
      <c r="B854" s="12"/>
      <c r="D854" s="181"/>
      <c r="E854" s="22"/>
      <c r="F854" s="176"/>
    </row>
    <row r="855" spans="2:6" ht="15.75" customHeight="1">
      <c r="B855" s="12"/>
      <c r="D855" s="181"/>
      <c r="E855" s="22"/>
      <c r="F855" s="176"/>
    </row>
    <row r="856" spans="2:6" ht="15.75" customHeight="1">
      <c r="B856" s="12"/>
      <c r="D856" s="181"/>
      <c r="E856" s="22"/>
      <c r="F856" s="176"/>
    </row>
    <row r="857" spans="2:6" ht="15.75" customHeight="1">
      <c r="B857" s="12"/>
      <c r="D857" s="181"/>
      <c r="E857" s="22"/>
      <c r="F857" s="176"/>
    </row>
    <row r="858" spans="2:6" ht="15.75" customHeight="1">
      <c r="B858" s="12"/>
      <c r="D858" s="181"/>
      <c r="E858" s="22"/>
      <c r="F858" s="176"/>
    </row>
    <row r="859" spans="2:6" ht="15.75" customHeight="1">
      <c r="B859" s="12"/>
      <c r="D859" s="181"/>
      <c r="E859" s="22"/>
      <c r="F859" s="176"/>
    </row>
    <row r="860" spans="2:6" ht="15.75" customHeight="1">
      <c r="B860" s="12"/>
      <c r="D860" s="181"/>
      <c r="E860" s="22"/>
      <c r="F860" s="176"/>
    </row>
    <row r="861" spans="2:6" ht="15.75" customHeight="1">
      <c r="B861" s="12"/>
      <c r="D861" s="181"/>
      <c r="E861" s="22"/>
      <c r="F861" s="176"/>
    </row>
    <row r="862" spans="2:6" ht="15.75" customHeight="1">
      <c r="B862" s="12"/>
      <c r="D862" s="181"/>
      <c r="E862" s="22"/>
      <c r="F862" s="176"/>
    </row>
    <row r="863" spans="2:6" ht="15.75" customHeight="1">
      <c r="B863" s="12"/>
      <c r="D863" s="181"/>
      <c r="E863" s="22"/>
      <c r="F863" s="176"/>
    </row>
    <row r="864" spans="2:6" ht="15.75" customHeight="1">
      <c r="B864" s="12"/>
      <c r="D864" s="181"/>
      <c r="E864" s="22"/>
      <c r="F864" s="176"/>
    </row>
    <row r="865" spans="2:6" ht="15.75" customHeight="1">
      <c r="B865" s="12"/>
      <c r="D865" s="181"/>
      <c r="E865" s="22"/>
      <c r="F865" s="176"/>
    </row>
    <row r="866" spans="2:6" ht="15.75" customHeight="1">
      <c r="B866" s="12"/>
      <c r="D866" s="181"/>
      <c r="E866" s="22"/>
      <c r="F866" s="176"/>
    </row>
    <row r="867" spans="2:6" ht="15.75" customHeight="1">
      <c r="B867" s="12"/>
      <c r="D867" s="181"/>
      <c r="E867" s="22"/>
      <c r="F867" s="176"/>
    </row>
    <row r="868" spans="2:6" ht="15.75" customHeight="1">
      <c r="B868" s="12"/>
      <c r="D868" s="181"/>
      <c r="E868" s="22"/>
      <c r="F868" s="176"/>
    </row>
    <row r="869" spans="2:6" ht="15.75" customHeight="1">
      <c r="B869" s="12"/>
      <c r="D869" s="181"/>
      <c r="E869" s="22"/>
      <c r="F869" s="176"/>
    </row>
    <row r="870" spans="2:6" ht="15.75" customHeight="1">
      <c r="B870" s="12"/>
      <c r="D870" s="181"/>
      <c r="E870" s="22"/>
      <c r="F870" s="176"/>
    </row>
    <row r="871" spans="2:6" ht="15.75" customHeight="1">
      <c r="B871" s="12"/>
      <c r="D871" s="181"/>
      <c r="E871" s="22"/>
      <c r="F871" s="176"/>
    </row>
    <row r="872" spans="2:6" ht="15.75" customHeight="1">
      <c r="B872" s="12"/>
      <c r="D872" s="181"/>
      <c r="E872" s="22"/>
      <c r="F872" s="176"/>
    </row>
    <row r="873" spans="2:6" ht="15.75" customHeight="1">
      <c r="B873" s="12"/>
      <c r="D873" s="181"/>
      <c r="E873" s="22"/>
      <c r="F873" s="176"/>
    </row>
    <row r="874" spans="2:6" ht="15.75" customHeight="1">
      <c r="B874" s="12"/>
      <c r="D874" s="181"/>
      <c r="E874" s="22"/>
      <c r="F874" s="176"/>
    </row>
    <row r="875" spans="2:6" ht="15.75" customHeight="1">
      <c r="B875" s="12"/>
      <c r="D875" s="181"/>
      <c r="E875" s="22"/>
      <c r="F875" s="176"/>
    </row>
    <row r="876" spans="2:6" ht="15.75" customHeight="1">
      <c r="B876" s="12"/>
      <c r="D876" s="181"/>
      <c r="E876" s="22"/>
      <c r="F876" s="176"/>
    </row>
    <row r="877" spans="2:6" ht="15.75" customHeight="1">
      <c r="B877" s="12"/>
      <c r="D877" s="181"/>
      <c r="E877" s="22"/>
      <c r="F877" s="176"/>
    </row>
    <row r="878" spans="2:6" ht="15.75" customHeight="1">
      <c r="B878" s="12"/>
      <c r="D878" s="181"/>
      <c r="E878" s="22"/>
      <c r="F878" s="176"/>
    </row>
    <row r="879" spans="2:6" ht="15.75" customHeight="1">
      <c r="B879" s="12"/>
      <c r="D879" s="181"/>
      <c r="E879" s="22"/>
      <c r="F879" s="176"/>
    </row>
    <row r="880" spans="2:6" ht="15.75" customHeight="1">
      <c r="B880" s="12"/>
      <c r="D880" s="181"/>
      <c r="E880" s="22"/>
      <c r="F880" s="176"/>
    </row>
    <row r="881" spans="2:6" ht="15.75" customHeight="1">
      <c r="B881" s="12"/>
      <c r="D881" s="181"/>
      <c r="E881" s="22"/>
      <c r="F881" s="176"/>
    </row>
    <row r="882" spans="2:6" ht="15.75" customHeight="1">
      <c r="B882" s="12"/>
      <c r="D882" s="181"/>
      <c r="E882" s="22"/>
      <c r="F882" s="176"/>
    </row>
    <row r="883" spans="2:6" ht="15.75" customHeight="1">
      <c r="B883" s="12"/>
      <c r="D883" s="181"/>
      <c r="E883" s="22"/>
      <c r="F883" s="176"/>
    </row>
    <row r="884" spans="2:6" ht="15.75" customHeight="1">
      <c r="B884" s="12"/>
      <c r="D884" s="181"/>
      <c r="E884" s="22"/>
      <c r="F884" s="176"/>
    </row>
    <row r="885" spans="2:6" ht="15.75" customHeight="1">
      <c r="B885" s="12"/>
      <c r="D885" s="181"/>
      <c r="E885" s="22"/>
      <c r="F885" s="176"/>
    </row>
    <row r="886" spans="2:6" ht="15.75" customHeight="1">
      <c r="B886" s="12"/>
      <c r="D886" s="181"/>
      <c r="E886" s="22"/>
      <c r="F886" s="176"/>
    </row>
    <row r="887" spans="2:6" ht="15.75" customHeight="1">
      <c r="B887" s="12"/>
      <c r="D887" s="181"/>
      <c r="E887" s="22"/>
      <c r="F887" s="176"/>
    </row>
    <row r="888" spans="2:6" ht="15.75" customHeight="1">
      <c r="B888" s="12"/>
      <c r="D888" s="181"/>
      <c r="E888" s="22"/>
      <c r="F888" s="176"/>
    </row>
    <row r="889" spans="2:6" ht="15.75" customHeight="1">
      <c r="B889" s="12"/>
      <c r="D889" s="181"/>
      <c r="E889" s="22"/>
      <c r="F889" s="176"/>
    </row>
    <row r="890" spans="2:6" ht="15.75" customHeight="1">
      <c r="B890" s="12"/>
      <c r="D890" s="181"/>
      <c r="E890" s="22"/>
      <c r="F890" s="176"/>
    </row>
    <row r="891" spans="2:6" ht="15.75" customHeight="1">
      <c r="B891" s="12"/>
      <c r="D891" s="181"/>
      <c r="E891" s="22"/>
      <c r="F891" s="176"/>
    </row>
    <row r="892" spans="2:6" ht="15.75" customHeight="1">
      <c r="B892" s="12"/>
      <c r="D892" s="181"/>
      <c r="E892" s="22"/>
      <c r="F892" s="176"/>
    </row>
    <row r="893" spans="2:6" ht="15.75" customHeight="1">
      <c r="B893" s="12"/>
      <c r="D893" s="181"/>
      <c r="E893" s="22"/>
      <c r="F893" s="176"/>
    </row>
    <row r="894" spans="2:6" ht="15.75" customHeight="1">
      <c r="B894" s="12"/>
      <c r="D894" s="181"/>
      <c r="E894" s="22"/>
      <c r="F894" s="176"/>
    </row>
    <row r="895" spans="2:6" ht="15.75" customHeight="1">
      <c r="B895" s="12"/>
      <c r="D895" s="181"/>
      <c r="E895" s="22"/>
      <c r="F895" s="176"/>
    </row>
    <row r="896" spans="2:6" ht="15.75" customHeight="1">
      <c r="B896" s="12"/>
      <c r="D896" s="181"/>
      <c r="E896" s="22"/>
      <c r="F896" s="176"/>
    </row>
    <row r="897" spans="2:6" ht="15.75" customHeight="1">
      <c r="B897" s="12"/>
      <c r="D897" s="181"/>
      <c r="E897" s="22"/>
      <c r="F897" s="176"/>
    </row>
    <row r="898" spans="2:6" ht="15.75" customHeight="1">
      <c r="B898" s="12"/>
      <c r="D898" s="181"/>
      <c r="E898" s="22"/>
      <c r="F898" s="176"/>
    </row>
    <row r="899" spans="2:6" ht="15.75" customHeight="1">
      <c r="B899" s="12"/>
      <c r="D899" s="181"/>
      <c r="E899" s="22"/>
      <c r="F899" s="176"/>
    </row>
    <row r="900" spans="2:6" ht="15.75" customHeight="1">
      <c r="B900" s="12"/>
      <c r="D900" s="181"/>
      <c r="E900" s="22"/>
      <c r="F900" s="176"/>
    </row>
    <row r="901" spans="2:6" ht="15.75" customHeight="1">
      <c r="B901" s="12"/>
      <c r="D901" s="181"/>
      <c r="E901" s="22"/>
      <c r="F901" s="176"/>
    </row>
    <row r="902" spans="2:6" ht="15.75" customHeight="1">
      <c r="B902" s="12"/>
      <c r="D902" s="181"/>
      <c r="E902" s="22"/>
      <c r="F902" s="176"/>
    </row>
    <row r="903" spans="2:6" ht="15.75" customHeight="1">
      <c r="B903" s="12"/>
      <c r="D903" s="181"/>
      <c r="E903" s="22"/>
      <c r="F903" s="176"/>
    </row>
    <row r="904" spans="2:6" ht="15.75" customHeight="1">
      <c r="B904" s="12"/>
      <c r="D904" s="181"/>
      <c r="E904" s="22"/>
      <c r="F904" s="176"/>
    </row>
    <row r="905" spans="2:6" ht="15.75" customHeight="1">
      <c r="B905" s="12"/>
      <c r="D905" s="181"/>
      <c r="E905" s="22"/>
      <c r="F905" s="176"/>
    </row>
    <row r="906" spans="2:6" ht="15.75" customHeight="1">
      <c r="B906" s="12"/>
      <c r="D906" s="181"/>
      <c r="E906" s="22"/>
      <c r="F906" s="176"/>
    </row>
    <row r="907" spans="2:6" ht="15.75" customHeight="1">
      <c r="B907" s="12"/>
      <c r="D907" s="181"/>
      <c r="E907" s="22"/>
      <c r="F907" s="176"/>
    </row>
    <row r="908" spans="2:6" ht="15.75" customHeight="1">
      <c r="B908" s="12"/>
      <c r="D908" s="181"/>
      <c r="E908" s="22"/>
      <c r="F908" s="176"/>
    </row>
    <row r="909" spans="2:6" ht="15.75" customHeight="1">
      <c r="B909" s="12"/>
      <c r="D909" s="181"/>
      <c r="E909" s="22"/>
      <c r="F909" s="176"/>
    </row>
    <row r="910" spans="2:6" ht="15.75" customHeight="1">
      <c r="B910" s="12"/>
      <c r="D910" s="181"/>
      <c r="E910" s="22"/>
      <c r="F910" s="176"/>
    </row>
    <row r="911" spans="2:6" ht="15.75" customHeight="1">
      <c r="B911" s="12"/>
      <c r="D911" s="181"/>
      <c r="E911" s="22"/>
      <c r="F911" s="176"/>
    </row>
    <row r="912" spans="2:6" ht="15.75" customHeight="1">
      <c r="B912" s="12"/>
      <c r="D912" s="181"/>
      <c r="E912" s="22"/>
      <c r="F912" s="176"/>
    </row>
    <row r="913" spans="2:6" ht="15.75" customHeight="1">
      <c r="B913" s="12"/>
      <c r="D913" s="181"/>
      <c r="E913" s="22"/>
      <c r="F913" s="176"/>
    </row>
    <row r="914" spans="2:6" ht="15.75" customHeight="1">
      <c r="B914" s="12"/>
      <c r="D914" s="181"/>
      <c r="E914" s="22"/>
      <c r="F914" s="176"/>
    </row>
    <row r="915" spans="2:6" ht="15.75" customHeight="1">
      <c r="B915" s="12"/>
      <c r="D915" s="181"/>
      <c r="E915" s="22"/>
      <c r="F915" s="176"/>
    </row>
    <row r="916" spans="2:6" ht="15.75" customHeight="1">
      <c r="B916" s="12"/>
      <c r="D916" s="181"/>
      <c r="E916" s="22"/>
      <c r="F916" s="176"/>
    </row>
    <row r="917" spans="2:6" ht="15.75" customHeight="1">
      <c r="B917" s="12"/>
      <c r="D917" s="181"/>
      <c r="E917" s="22"/>
      <c r="F917" s="176"/>
    </row>
    <row r="918" spans="2:6" ht="15.75" customHeight="1">
      <c r="B918" s="12"/>
      <c r="D918" s="181"/>
      <c r="E918" s="22"/>
      <c r="F918" s="176"/>
    </row>
    <row r="919" spans="2:6" ht="15.75" customHeight="1">
      <c r="B919" s="12"/>
      <c r="D919" s="181"/>
      <c r="E919" s="22"/>
      <c r="F919" s="176"/>
    </row>
    <row r="920" spans="2:6" ht="15.75" customHeight="1">
      <c r="B920" s="12"/>
      <c r="D920" s="181"/>
      <c r="E920" s="22"/>
      <c r="F920" s="176"/>
    </row>
    <row r="921" spans="2:6" ht="15.75" customHeight="1">
      <c r="B921" s="12"/>
      <c r="D921" s="181"/>
      <c r="E921" s="22"/>
      <c r="F921" s="176"/>
    </row>
    <row r="922" spans="2:6" ht="15.75" customHeight="1">
      <c r="B922" s="12"/>
      <c r="D922" s="181"/>
      <c r="E922" s="22"/>
      <c r="F922" s="176"/>
    </row>
    <row r="923" spans="2:6" ht="15.75" customHeight="1">
      <c r="B923" s="12"/>
      <c r="D923" s="181"/>
      <c r="E923" s="22"/>
      <c r="F923" s="176"/>
    </row>
    <row r="924" spans="2:6" ht="15.75" customHeight="1">
      <c r="B924" s="12"/>
      <c r="D924" s="181"/>
      <c r="E924" s="22"/>
      <c r="F924" s="176"/>
    </row>
    <row r="925" spans="2:6" ht="15.75" customHeight="1">
      <c r="B925" s="12"/>
      <c r="D925" s="181"/>
      <c r="E925" s="22"/>
      <c r="F925" s="176"/>
    </row>
    <row r="926" spans="2:6" ht="15.75" customHeight="1">
      <c r="B926" s="12"/>
      <c r="D926" s="181"/>
      <c r="E926" s="22"/>
      <c r="F926" s="176"/>
    </row>
    <row r="927" spans="2:6" ht="15.75" customHeight="1">
      <c r="B927" s="12"/>
      <c r="D927" s="181"/>
      <c r="E927" s="22"/>
      <c r="F927" s="176"/>
    </row>
    <row r="928" spans="2:6" ht="15.75" customHeight="1">
      <c r="B928" s="12"/>
      <c r="D928" s="181"/>
      <c r="E928" s="22"/>
      <c r="F928" s="176"/>
    </row>
    <row r="929" spans="2:6" ht="15.75" customHeight="1">
      <c r="B929" s="12"/>
      <c r="D929" s="181"/>
      <c r="E929" s="22"/>
      <c r="F929" s="176"/>
    </row>
    <row r="930" spans="2:6" ht="15.75" customHeight="1">
      <c r="B930" s="12"/>
      <c r="D930" s="181"/>
      <c r="E930" s="22"/>
      <c r="F930" s="176"/>
    </row>
    <row r="931" spans="2:6" ht="15.75" customHeight="1">
      <c r="B931" s="12"/>
      <c r="D931" s="181"/>
      <c r="E931" s="22"/>
      <c r="F931" s="176"/>
    </row>
    <row r="932" spans="2:6" ht="15.75" customHeight="1">
      <c r="B932" s="12"/>
      <c r="D932" s="181"/>
      <c r="E932" s="22"/>
      <c r="F932" s="176"/>
    </row>
    <row r="933" spans="2:6" ht="15.75" customHeight="1">
      <c r="B933" s="12"/>
      <c r="D933" s="181"/>
      <c r="E933" s="22"/>
      <c r="F933" s="176"/>
    </row>
    <row r="934" spans="2:6" ht="15.75" customHeight="1">
      <c r="B934" s="12"/>
      <c r="D934" s="181"/>
      <c r="E934" s="22"/>
      <c r="F934" s="176"/>
    </row>
    <row r="935" spans="2:6" ht="15.75" customHeight="1">
      <c r="B935" s="12"/>
      <c r="D935" s="181"/>
      <c r="E935" s="22"/>
      <c r="F935" s="176"/>
    </row>
    <row r="936" spans="2:6" ht="15.75" customHeight="1">
      <c r="B936" s="12"/>
      <c r="D936" s="181"/>
      <c r="E936" s="22"/>
      <c r="F936" s="176"/>
    </row>
    <row r="937" spans="2:6" ht="15.75" customHeight="1">
      <c r="B937" s="12"/>
      <c r="D937" s="181"/>
      <c r="E937" s="22"/>
      <c r="F937" s="176"/>
    </row>
    <row r="938" spans="2:6" ht="15.75" customHeight="1">
      <c r="B938" s="12"/>
      <c r="D938" s="181"/>
      <c r="E938" s="22"/>
      <c r="F938" s="176"/>
    </row>
    <row r="939" spans="2:6" ht="15.75" customHeight="1">
      <c r="B939" s="12"/>
      <c r="D939" s="181"/>
      <c r="E939" s="22"/>
      <c r="F939" s="176"/>
    </row>
    <row r="940" spans="2:6" ht="15.75" customHeight="1">
      <c r="B940" s="12"/>
      <c r="D940" s="181"/>
      <c r="E940" s="22"/>
      <c r="F940" s="176"/>
    </row>
    <row r="941" spans="2:6" ht="15.75" customHeight="1">
      <c r="B941" s="12"/>
      <c r="D941" s="181"/>
      <c r="E941" s="22"/>
      <c r="F941" s="176"/>
    </row>
    <row r="942" spans="2:6" ht="15.75" customHeight="1">
      <c r="B942" s="12"/>
      <c r="D942" s="181"/>
      <c r="E942" s="22"/>
      <c r="F942" s="176"/>
    </row>
    <row r="943" spans="2:6" ht="15.75" customHeight="1">
      <c r="B943" s="12"/>
      <c r="D943" s="181"/>
      <c r="E943" s="22"/>
      <c r="F943" s="176"/>
    </row>
    <row r="944" spans="2:6" ht="15.75" customHeight="1">
      <c r="B944" s="12"/>
      <c r="D944" s="181"/>
      <c r="E944" s="22"/>
      <c r="F944" s="176"/>
    </row>
    <row r="945" spans="2:6" ht="15.75" customHeight="1">
      <c r="B945" s="12"/>
      <c r="D945" s="181"/>
      <c r="E945" s="22"/>
      <c r="F945" s="176"/>
    </row>
    <row r="946" spans="2:6" ht="15.75" customHeight="1">
      <c r="B946" s="12"/>
      <c r="D946" s="181"/>
      <c r="E946" s="22"/>
      <c r="F946" s="176"/>
    </row>
    <row r="947" spans="2:6" ht="15.75" customHeight="1">
      <c r="B947" s="12"/>
      <c r="D947" s="181"/>
      <c r="E947" s="22"/>
      <c r="F947" s="176"/>
    </row>
    <row r="948" spans="2:6" ht="15.75" customHeight="1">
      <c r="B948" s="12"/>
      <c r="D948" s="181"/>
      <c r="E948" s="22"/>
      <c r="F948" s="176"/>
    </row>
    <row r="949" spans="2:6" ht="15.75" customHeight="1">
      <c r="B949" s="12"/>
      <c r="D949" s="181"/>
      <c r="E949" s="22"/>
      <c r="F949" s="176"/>
    </row>
    <row r="950" spans="2:6" ht="15.75" customHeight="1">
      <c r="B950" s="12"/>
      <c r="D950" s="181"/>
      <c r="E950" s="22"/>
      <c r="F950" s="176"/>
    </row>
    <row r="951" spans="2:6" ht="15.75" customHeight="1">
      <c r="B951" s="12"/>
      <c r="D951" s="181"/>
      <c r="E951" s="22"/>
      <c r="F951" s="176"/>
    </row>
    <row r="952" spans="2:6" ht="15.75" customHeight="1">
      <c r="B952" s="12"/>
      <c r="D952" s="181"/>
      <c r="E952" s="22"/>
      <c r="F952" s="176"/>
    </row>
    <row r="953" spans="2:6" ht="15.75" customHeight="1">
      <c r="B953" s="12"/>
      <c r="D953" s="181"/>
      <c r="E953" s="22"/>
      <c r="F953" s="176"/>
    </row>
    <row r="954" spans="2:6" ht="15.75" customHeight="1">
      <c r="B954" s="12"/>
      <c r="D954" s="181"/>
      <c r="E954" s="22"/>
      <c r="F954" s="176"/>
    </row>
    <row r="955" spans="2:6" ht="15.75" customHeight="1">
      <c r="B955" s="12"/>
      <c r="D955" s="181"/>
      <c r="E955" s="22"/>
      <c r="F955" s="176"/>
    </row>
    <row r="956" spans="2:6" ht="15.75" customHeight="1">
      <c r="B956" s="12"/>
      <c r="D956" s="181"/>
      <c r="E956" s="22"/>
      <c r="F956" s="176"/>
    </row>
    <row r="957" spans="2:6" ht="15.75" customHeight="1">
      <c r="B957" s="12"/>
      <c r="D957" s="181"/>
      <c r="E957" s="22"/>
      <c r="F957" s="176"/>
    </row>
    <row r="958" spans="2:6" ht="15.75" customHeight="1">
      <c r="B958" s="12"/>
      <c r="D958" s="181"/>
      <c r="E958" s="22"/>
      <c r="F958" s="176"/>
    </row>
    <row r="959" spans="2:6" ht="15.75" customHeight="1">
      <c r="B959" s="12"/>
      <c r="D959" s="181"/>
      <c r="E959" s="22"/>
      <c r="F959" s="176"/>
    </row>
    <row r="960" spans="2:6" ht="15.75" customHeight="1">
      <c r="B960" s="12"/>
      <c r="D960" s="181"/>
      <c r="E960" s="22"/>
      <c r="F960" s="176"/>
    </row>
    <row r="961" spans="2:6" ht="15.75" customHeight="1">
      <c r="B961" s="12"/>
      <c r="D961" s="181"/>
      <c r="E961" s="22"/>
      <c r="F961" s="176"/>
    </row>
    <row r="962" spans="2:6" ht="15.75" customHeight="1">
      <c r="B962" s="12"/>
      <c r="D962" s="181"/>
      <c r="E962" s="22"/>
      <c r="F962" s="176"/>
    </row>
    <row r="963" spans="2:6" ht="15.75" customHeight="1">
      <c r="B963" s="12"/>
      <c r="D963" s="181"/>
      <c r="E963" s="22"/>
      <c r="F963" s="176"/>
    </row>
    <row r="964" spans="2:6" ht="15.75" customHeight="1">
      <c r="B964" s="12"/>
      <c r="D964" s="181"/>
      <c r="E964" s="22"/>
      <c r="F964" s="176"/>
    </row>
    <row r="965" spans="2:6" ht="15.75" customHeight="1">
      <c r="B965" s="12"/>
      <c r="D965" s="181"/>
      <c r="E965" s="22"/>
      <c r="F965" s="176"/>
    </row>
    <row r="966" spans="2:6" ht="15.75" customHeight="1">
      <c r="B966" s="12"/>
      <c r="D966" s="181"/>
      <c r="E966" s="22"/>
      <c r="F966" s="176"/>
    </row>
    <row r="967" spans="2:6" ht="15.75" customHeight="1">
      <c r="B967" s="12"/>
      <c r="D967" s="181"/>
      <c r="E967" s="22"/>
      <c r="F967" s="176"/>
    </row>
    <row r="968" spans="2:6" ht="15.75" customHeight="1">
      <c r="B968" s="12"/>
      <c r="D968" s="181"/>
      <c r="E968" s="22"/>
      <c r="F968" s="176"/>
    </row>
    <row r="969" spans="2:6" ht="15.75" customHeight="1">
      <c r="B969" s="12"/>
      <c r="D969" s="181"/>
      <c r="E969" s="22"/>
      <c r="F969" s="176"/>
    </row>
    <row r="970" spans="2:6" ht="15.75" customHeight="1">
      <c r="B970" s="12"/>
      <c r="D970" s="181"/>
      <c r="E970" s="22"/>
      <c r="F970" s="176"/>
    </row>
    <row r="971" spans="2:6" ht="15.75" customHeight="1">
      <c r="B971" s="12"/>
      <c r="D971" s="181"/>
      <c r="E971" s="22"/>
      <c r="F971" s="176"/>
    </row>
    <row r="972" spans="2:6" ht="15.75" customHeight="1">
      <c r="B972" s="12"/>
      <c r="D972" s="181"/>
      <c r="E972" s="22"/>
      <c r="F972" s="176"/>
    </row>
    <row r="973" spans="2:6" ht="15.75" customHeight="1">
      <c r="B973" s="12"/>
      <c r="D973" s="181"/>
      <c r="E973" s="22"/>
      <c r="F973" s="176"/>
    </row>
    <row r="974" spans="2:6" ht="15.75" customHeight="1">
      <c r="B974" s="12"/>
      <c r="D974" s="181"/>
      <c r="E974" s="22"/>
      <c r="F974" s="176"/>
    </row>
    <row r="975" spans="2:6" ht="15.75" customHeight="1">
      <c r="B975" s="12"/>
      <c r="D975" s="181"/>
      <c r="E975" s="22"/>
      <c r="F975" s="176"/>
    </row>
    <row r="976" spans="2:6" ht="15.75" customHeight="1">
      <c r="B976" s="12"/>
      <c r="D976" s="181"/>
      <c r="E976" s="22"/>
      <c r="F976" s="176"/>
    </row>
    <row r="977" spans="2:6" ht="15.75" customHeight="1">
      <c r="B977" s="12"/>
      <c r="D977" s="181"/>
      <c r="E977" s="22"/>
      <c r="F977" s="176"/>
    </row>
    <row r="978" spans="2:6" ht="15.75" customHeight="1">
      <c r="B978" s="12"/>
      <c r="D978" s="181"/>
      <c r="E978" s="22"/>
      <c r="F978" s="176"/>
    </row>
    <row r="979" spans="2:6" ht="15.75" customHeight="1">
      <c r="B979" s="12"/>
      <c r="D979" s="181"/>
      <c r="E979" s="22"/>
      <c r="F979" s="176"/>
    </row>
    <row r="980" spans="2:6" ht="15.75" customHeight="1">
      <c r="B980" s="12"/>
      <c r="D980" s="181"/>
      <c r="E980" s="22"/>
      <c r="F980" s="176"/>
    </row>
    <row r="981" spans="2:6" ht="15.75" customHeight="1">
      <c r="B981" s="12"/>
      <c r="D981" s="181"/>
      <c r="E981" s="22"/>
      <c r="F981" s="176"/>
    </row>
    <row r="982" spans="2:6" ht="15.75" customHeight="1">
      <c r="B982" s="12"/>
      <c r="D982" s="181"/>
      <c r="E982" s="22"/>
      <c r="F982" s="176"/>
    </row>
    <row r="983" spans="2:6" ht="15.75" customHeight="1">
      <c r="B983" s="12"/>
      <c r="D983" s="181"/>
      <c r="E983" s="22"/>
      <c r="F983" s="176"/>
    </row>
    <row r="984" spans="2:6" ht="15.75" customHeight="1">
      <c r="B984" s="12"/>
      <c r="D984" s="181"/>
      <c r="E984" s="22"/>
      <c r="F984" s="176"/>
    </row>
    <row r="985" spans="2:6" ht="15.75" customHeight="1">
      <c r="B985" s="12"/>
      <c r="D985" s="181"/>
      <c r="E985" s="22"/>
      <c r="F985" s="176"/>
    </row>
    <row r="986" spans="2:6" ht="15.75" customHeight="1">
      <c r="B986" s="12"/>
      <c r="D986" s="181"/>
      <c r="E986" s="22"/>
      <c r="F986" s="176"/>
    </row>
    <row r="987" spans="2:6" ht="15.75" customHeight="1">
      <c r="B987" s="12"/>
      <c r="D987" s="181"/>
      <c r="E987" s="22"/>
      <c r="F987" s="176"/>
    </row>
    <row r="988" spans="2:6" ht="15.75" customHeight="1">
      <c r="B988" s="12"/>
      <c r="D988" s="181"/>
      <c r="E988" s="22"/>
      <c r="F988" s="176"/>
    </row>
    <row r="989" spans="2:6" ht="15.75" customHeight="1">
      <c r="B989" s="12"/>
      <c r="D989" s="181"/>
      <c r="E989" s="22"/>
      <c r="F989" s="176"/>
    </row>
    <row r="990" spans="2:6" ht="15.75" customHeight="1">
      <c r="B990" s="12"/>
      <c r="D990" s="181"/>
      <c r="E990" s="22"/>
      <c r="F990" s="176"/>
    </row>
    <row r="991" spans="2:6" ht="15.75" customHeight="1">
      <c r="B991" s="12"/>
      <c r="D991" s="181"/>
      <c r="E991" s="22"/>
      <c r="F991" s="176"/>
    </row>
    <row r="992" spans="2:6" ht="15.75" customHeight="1">
      <c r="B992" s="12"/>
      <c r="D992" s="181"/>
      <c r="E992" s="22"/>
      <c r="F992" s="176"/>
    </row>
    <row r="993" spans="2:6" ht="15.75" customHeight="1">
      <c r="B993" s="12"/>
      <c r="D993" s="181"/>
      <c r="E993" s="22"/>
      <c r="F993" s="176"/>
    </row>
    <row r="994" spans="2:6" ht="15.75" customHeight="1">
      <c r="B994" s="12"/>
      <c r="D994" s="181"/>
      <c r="E994" s="22"/>
      <c r="F994" s="176"/>
    </row>
    <row r="995" spans="2:6" ht="15.75" customHeight="1">
      <c r="B995" s="12"/>
      <c r="D995" s="181"/>
      <c r="E995" s="22"/>
      <c r="F995" s="176"/>
    </row>
    <row r="996" spans="2:6" ht="14.4">
      <c r="B996" s="12"/>
      <c r="E996" s="22"/>
    </row>
  </sheetData>
  <hyperlinks>
    <hyperlink ref="E4" r:id="rId1" xr:uid="{00000000-0004-0000-0E00-000000000000}"/>
    <hyperlink ref="E6" r:id="rId2" xr:uid="{00000000-0004-0000-0E00-000001000000}"/>
    <hyperlink ref="E7" r:id="rId3" xr:uid="{00000000-0004-0000-0E00-000002000000}"/>
    <hyperlink ref="E8" r:id="rId4" xr:uid="{00000000-0004-0000-0E00-000003000000}"/>
    <hyperlink ref="E9" r:id="rId5" xr:uid="{00000000-0004-0000-0E00-000004000000}"/>
    <hyperlink ref="E11" r:id="rId6" xr:uid="{00000000-0004-0000-0E00-000006000000}"/>
    <hyperlink ref="E12" r:id="rId7" xr:uid="{00000000-0004-0000-0E00-000007000000}"/>
    <hyperlink ref="E14" r:id="rId8" xr:uid="{00000000-0004-0000-0E00-000008000000}"/>
    <hyperlink ref="E15" r:id="rId9" xr:uid="{00000000-0004-0000-0E00-000009000000}"/>
    <hyperlink ref="E18" r:id="rId10" xr:uid="{00000000-0004-0000-0E00-00000A000000}"/>
    <hyperlink ref="E23" r:id="rId11" xr:uid="{00000000-0004-0000-0E00-00000B000000}"/>
    <hyperlink ref="E40" r:id="rId12" xr:uid="{00000000-0004-0000-0E00-00000C000000}"/>
    <hyperlink ref="E43" r:id="rId13" xr:uid="{00000000-0004-0000-0E00-00000D000000}"/>
    <hyperlink ref="E58" r:id="rId14" xr:uid="{00000000-0004-0000-0E00-00000E000000}"/>
  </hyperlink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13"/>
  <sheetViews>
    <sheetView workbookViewId="0">
      <selection activeCell="E102" sqref="E102"/>
    </sheetView>
  </sheetViews>
  <sheetFormatPr defaultColWidth="12.5546875" defaultRowHeight="15" customHeight="1"/>
  <cols>
    <col min="1" max="1" width="15" customWidth="1"/>
    <col min="2" max="2" width="52.33203125" customWidth="1"/>
  </cols>
  <sheetData>
    <row r="1" spans="1:2" ht="15.6">
      <c r="A1" s="189" t="s">
        <v>0</v>
      </c>
      <c r="B1" s="190"/>
    </row>
    <row r="2" spans="1:2" ht="14.4">
      <c r="A2" s="1" t="s">
        <v>1</v>
      </c>
      <c r="B2" s="2" t="s">
        <v>2</v>
      </c>
    </row>
    <row r="3" spans="1:2" ht="14.4">
      <c r="A3" s="1" t="s">
        <v>3</v>
      </c>
      <c r="B3" s="2" t="s">
        <v>4</v>
      </c>
    </row>
    <row r="4" spans="1:2" ht="14.4">
      <c r="A4" s="1" t="s">
        <v>5</v>
      </c>
      <c r="B4" s="2" t="s">
        <v>6</v>
      </c>
    </row>
    <row r="5" spans="1:2" ht="14.4">
      <c r="A5" s="1" t="s">
        <v>7</v>
      </c>
      <c r="B5" s="2" t="s">
        <v>8</v>
      </c>
    </row>
    <row r="6" spans="1:2" ht="14.4">
      <c r="A6" s="1" t="s">
        <v>9</v>
      </c>
      <c r="B6" s="1" t="s">
        <v>10</v>
      </c>
    </row>
    <row r="7" spans="1:2" ht="14.4">
      <c r="A7" s="1" t="s">
        <v>11</v>
      </c>
      <c r="B7" s="1" t="s">
        <v>12</v>
      </c>
    </row>
    <row r="8" spans="1:2" ht="14.4">
      <c r="A8" s="1" t="s">
        <v>13</v>
      </c>
      <c r="B8" s="2" t="s">
        <v>14</v>
      </c>
    </row>
    <row r="9" spans="1:2" ht="14.4">
      <c r="A9" s="1" t="s">
        <v>15</v>
      </c>
      <c r="B9" s="1" t="s">
        <v>16</v>
      </c>
    </row>
    <row r="10" spans="1:2" ht="14.4">
      <c r="A10" s="1" t="s">
        <v>17</v>
      </c>
      <c r="B10" s="1" t="s">
        <v>18</v>
      </c>
    </row>
    <row r="11" spans="1:2" ht="14.4">
      <c r="A11" s="1" t="s">
        <v>19</v>
      </c>
      <c r="B11" s="1" t="s">
        <v>20</v>
      </c>
    </row>
    <row r="12" spans="1:2" ht="14.4">
      <c r="A12" s="1" t="s">
        <v>21</v>
      </c>
      <c r="B12" s="1" t="s">
        <v>22</v>
      </c>
    </row>
    <row r="13" spans="1:2" ht="14.4">
      <c r="A13" s="1" t="s">
        <v>23</v>
      </c>
      <c r="B13" s="2" t="s">
        <v>24</v>
      </c>
    </row>
    <row r="14" spans="1:2" ht="14.4">
      <c r="A14" s="1" t="s">
        <v>25</v>
      </c>
      <c r="B14" s="2" t="s">
        <v>26</v>
      </c>
    </row>
    <row r="15" spans="1:2" ht="14.4">
      <c r="A15" s="1" t="s">
        <v>27</v>
      </c>
      <c r="B15" s="2" t="s">
        <v>28</v>
      </c>
    </row>
    <row r="16" spans="1:2" ht="14.4">
      <c r="A16" s="1" t="s">
        <v>29</v>
      </c>
      <c r="B16" s="2" t="s">
        <v>30</v>
      </c>
    </row>
    <row r="17" spans="1:3" ht="14.4">
      <c r="A17" s="1" t="s">
        <v>31</v>
      </c>
      <c r="B17" s="2" t="s">
        <v>32</v>
      </c>
    </row>
    <row r="18" spans="1:3" ht="14.4">
      <c r="A18" s="1" t="s">
        <v>33</v>
      </c>
      <c r="B18" s="1" t="s">
        <v>34</v>
      </c>
    </row>
    <row r="19" spans="1:3" ht="14.4">
      <c r="A19" s="1" t="s">
        <v>35</v>
      </c>
      <c r="B19" s="1" t="s">
        <v>36</v>
      </c>
    </row>
    <row r="20" spans="1:3" ht="14.4">
      <c r="A20" s="1" t="s">
        <v>37</v>
      </c>
      <c r="B20" s="1" t="s">
        <v>38</v>
      </c>
    </row>
    <row r="21" spans="1:3" ht="14.4">
      <c r="A21" s="1" t="s">
        <v>39</v>
      </c>
      <c r="B21" s="1" t="s">
        <v>40</v>
      </c>
    </row>
    <row r="22" spans="1:3" ht="14.4">
      <c r="A22" s="1" t="s">
        <v>41</v>
      </c>
      <c r="B22" s="1" t="s">
        <v>42</v>
      </c>
    </row>
    <row r="23" spans="1:3" ht="14.4">
      <c r="A23" s="1" t="s">
        <v>43</v>
      </c>
      <c r="B23" s="1" t="s">
        <v>44</v>
      </c>
    </row>
    <row r="24" spans="1:3" ht="14.4">
      <c r="A24" s="1" t="s">
        <v>45</v>
      </c>
      <c r="B24" s="1" t="s">
        <v>46</v>
      </c>
    </row>
    <row r="25" spans="1:3" ht="14.4">
      <c r="A25" s="1" t="s">
        <v>47</v>
      </c>
      <c r="B25" s="1" t="s">
        <v>48</v>
      </c>
    </row>
    <row r="26" spans="1:3" ht="14.4">
      <c r="A26" s="1" t="s">
        <v>49</v>
      </c>
      <c r="B26" s="1" t="s">
        <v>50</v>
      </c>
    </row>
    <row r="27" spans="1:3" ht="14.4">
      <c r="A27" s="1" t="s">
        <v>51</v>
      </c>
      <c r="B27" s="1" t="s">
        <v>52</v>
      </c>
    </row>
    <row r="28" spans="1:3" ht="14.4">
      <c r="A28" s="1" t="s">
        <v>53</v>
      </c>
      <c r="B28" s="1" t="s">
        <v>54</v>
      </c>
    </row>
    <row r="29" spans="1:3" ht="14.4">
      <c r="A29" s="1" t="s">
        <v>55</v>
      </c>
      <c r="B29" s="1" t="s">
        <v>56</v>
      </c>
    </row>
    <row r="30" spans="1:3" ht="14.4">
      <c r="A30" s="1" t="s">
        <v>57</v>
      </c>
      <c r="B30" s="1" t="s">
        <v>58</v>
      </c>
    </row>
    <row r="31" spans="1:3" ht="14.4">
      <c r="A31" s="1" t="s">
        <v>59</v>
      </c>
      <c r="B31" s="1" t="s">
        <v>60</v>
      </c>
    </row>
    <row r="32" spans="1:3" ht="14.4">
      <c r="A32" s="3" t="s">
        <v>61</v>
      </c>
      <c r="B32" s="4" t="s">
        <v>62</v>
      </c>
      <c r="C32" s="5" t="s">
        <v>63</v>
      </c>
    </row>
    <row r="33" spans="1:3" ht="14.4">
      <c r="A33" s="1" t="s">
        <v>64</v>
      </c>
      <c r="B33" s="2" t="s">
        <v>65</v>
      </c>
      <c r="C33" s="6" t="s">
        <v>66</v>
      </c>
    </row>
    <row r="34" spans="1:3" ht="14.4">
      <c r="A34" s="191" t="s">
        <v>67</v>
      </c>
      <c r="B34" s="190" t="s">
        <v>68</v>
      </c>
      <c r="C34" s="7"/>
    </row>
    <row r="35" spans="1:3" ht="14.4">
      <c r="A35" s="1" t="s">
        <v>69</v>
      </c>
      <c r="B35" s="1" t="s">
        <v>70</v>
      </c>
    </row>
    <row r="36" spans="1:3" ht="14.4">
      <c r="A36" s="1" t="s">
        <v>71</v>
      </c>
      <c r="B36" s="1" t="s">
        <v>72</v>
      </c>
    </row>
    <row r="37" spans="1:3" ht="14.4">
      <c r="A37" s="1" t="s">
        <v>73</v>
      </c>
      <c r="B37" s="1" t="s">
        <v>74</v>
      </c>
    </row>
    <row r="38" spans="1:3" ht="14.4">
      <c r="A38" s="1" t="s">
        <v>75</v>
      </c>
      <c r="B38" s="1" t="s">
        <v>76</v>
      </c>
    </row>
    <row r="39" spans="1:3" ht="14.4">
      <c r="A39" s="1" t="s">
        <v>77</v>
      </c>
      <c r="B39" s="1" t="s">
        <v>78</v>
      </c>
    </row>
    <row r="40" spans="1:3" ht="14.4">
      <c r="A40" s="1" t="s">
        <v>79</v>
      </c>
      <c r="B40" s="1" t="s">
        <v>80</v>
      </c>
    </row>
    <row r="41" spans="1:3" ht="14.4">
      <c r="A41" s="1" t="s">
        <v>81</v>
      </c>
      <c r="B41" s="1" t="s">
        <v>82</v>
      </c>
    </row>
    <row r="42" spans="1:3" ht="14.4">
      <c r="A42" s="1" t="s">
        <v>83</v>
      </c>
      <c r="B42" s="1" t="s">
        <v>84</v>
      </c>
    </row>
    <row r="43" spans="1:3" ht="14.4">
      <c r="A43" s="1" t="s">
        <v>85</v>
      </c>
      <c r="B43" s="1" t="s">
        <v>86</v>
      </c>
    </row>
    <row r="44" spans="1:3" ht="14.4">
      <c r="A44" s="1" t="s">
        <v>87</v>
      </c>
      <c r="B44" s="1" t="s">
        <v>88</v>
      </c>
    </row>
    <row r="45" spans="1:3" ht="14.4">
      <c r="A45" s="1" t="s">
        <v>89</v>
      </c>
      <c r="B45" s="1" t="s">
        <v>90</v>
      </c>
      <c r="C45" s="2" t="s">
        <v>91</v>
      </c>
    </row>
    <row r="46" spans="1:3" ht="14.4">
      <c r="A46" s="1" t="s">
        <v>92</v>
      </c>
      <c r="B46" s="1" t="s">
        <v>90</v>
      </c>
      <c r="C46" s="2" t="s">
        <v>93</v>
      </c>
    </row>
    <row r="47" spans="1:3" ht="14.4">
      <c r="A47" s="1" t="s">
        <v>94</v>
      </c>
      <c r="B47" s="1" t="s">
        <v>90</v>
      </c>
      <c r="C47" s="2" t="s">
        <v>95</v>
      </c>
    </row>
    <row r="48" spans="1:3" ht="14.4">
      <c r="A48" s="1" t="s">
        <v>96</v>
      </c>
      <c r="B48" s="1" t="s">
        <v>90</v>
      </c>
      <c r="C48" s="2" t="s">
        <v>97</v>
      </c>
    </row>
    <row r="49" spans="1:3" ht="14.4">
      <c r="A49" s="1" t="s">
        <v>98</v>
      </c>
      <c r="B49" s="1" t="s">
        <v>99</v>
      </c>
      <c r="C49" s="2" t="s">
        <v>91</v>
      </c>
    </row>
    <row r="50" spans="1:3" ht="14.4">
      <c r="A50" s="1" t="s">
        <v>100</v>
      </c>
      <c r="B50" s="1" t="s">
        <v>99</v>
      </c>
      <c r="C50" s="2" t="s">
        <v>93</v>
      </c>
    </row>
    <row r="51" spans="1:3" ht="14.4">
      <c r="A51" s="1" t="s">
        <v>101</v>
      </c>
      <c r="B51" s="1" t="s">
        <v>99</v>
      </c>
      <c r="C51" s="2" t="s">
        <v>95</v>
      </c>
    </row>
    <row r="52" spans="1:3" ht="14.4">
      <c r="A52" s="1" t="s">
        <v>102</v>
      </c>
      <c r="B52" s="1" t="s">
        <v>99</v>
      </c>
      <c r="C52" s="2" t="s">
        <v>97</v>
      </c>
    </row>
    <row r="53" spans="1:3" ht="14.4">
      <c r="A53" s="1" t="s">
        <v>103</v>
      </c>
      <c r="B53" s="1" t="s">
        <v>99</v>
      </c>
    </row>
    <row r="54" spans="1:3" ht="14.4">
      <c r="A54" s="1" t="s">
        <v>104</v>
      </c>
      <c r="B54" s="1" t="s">
        <v>90</v>
      </c>
    </row>
    <row r="55" spans="1:3" ht="14.4">
      <c r="A55" s="1" t="s">
        <v>105</v>
      </c>
      <c r="B55" s="2" t="s">
        <v>106</v>
      </c>
    </row>
    <row r="56" spans="1:3" ht="14.4">
      <c r="A56" s="1" t="s">
        <v>107</v>
      </c>
      <c r="B56" s="2" t="s">
        <v>108</v>
      </c>
    </row>
    <row r="57" spans="1:3" ht="14.4">
      <c r="A57" s="1" t="s">
        <v>109</v>
      </c>
      <c r="B57" s="2" t="s">
        <v>110</v>
      </c>
    </row>
    <row r="58" spans="1:3" ht="14.4">
      <c r="A58" s="1" t="s">
        <v>111</v>
      </c>
      <c r="B58" s="2" t="s">
        <v>112</v>
      </c>
    </row>
    <row r="59" spans="1:3" ht="14.4">
      <c r="A59" s="1" t="s">
        <v>113</v>
      </c>
      <c r="B59" s="2" t="s">
        <v>114</v>
      </c>
    </row>
    <row r="60" spans="1:3" ht="14.4">
      <c r="A60" s="1" t="s">
        <v>115</v>
      </c>
      <c r="B60" s="1" t="s">
        <v>116</v>
      </c>
    </row>
    <row r="61" spans="1:3" ht="14.4">
      <c r="A61" s="1" t="s">
        <v>117</v>
      </c>
      <c r="B61" s="1" t="s">
        <v>118</v>
      </c>
    </row>
    <row r="62" spans="1:3" ht="14.4">
      <c r="A62" s="1" t="s">
        <v>119</v>
      </c>
      <c r="B62" s="1" t="s">
        <v>120</v>
      </c>
    </row>
    <row r="63" spans="1:3" ht="14.4">
      <c r="A63" s="1" t="s">
        <v>121</v>
      </c>
      <c r="B63" s="1" t="s">
        <v>122</v>
      </c>
    </row>
    <row r="64" spans="1:3" ht="14.4">
      <c r="A64" s="1" t="s">
        <v>123</v>
      </c>
      <c r="B64" s="1" t="s">
        <v>124</v>
      </c>
    </row>
    <row r="65" spans="1:2" ht="14.4">
      <c r="A65" s="1" t="s">
        <v>125</v>
      </c>
      <c r="B65" s="1" t="s">
        <v>126</v>
      </c>
    </row>
    <row r="66" spans="1:2" ht="14.4">
      <c r="A66" s="1" t="s">
        <v>127</v>
      </c>
      <c r="B66" s="1" t="s">
        <v>128</v>
      </c>
    </row>
    <row r="67" spans="1:2" ht="14.4">
      <c r="A67" s="1" t="s">
        <v>129</v>
      </c>
      <c r="B67" s="1" t="s">
        <v>130</v>
      </c>
    </row>
    <row r="68" spans="1:2" ht="14.4">
      <c r="A68" s="1" t="s">
        <v>131</v>
      </c>
      <c r="B68" s="1" t="s">
        <v>132</v>
      </c>
    </row>
    <row r="69" spans="1:2" ht="15" customHeight="1">
      <c r="A69" s="8" t="s">
        <v>133</v>
      </c>
      <c r="B69" s="8" t="s">
        <v>134</v>
      </c>
    </row>
    <row r="70" spans="1:2" ht="15" customHeight="1">
      <c r="A70" s="8" t="s">
        <v>135</v>
      </c>
      <c r="B70" s="8" t="s">
        <v>136</v>
      </c>
    </row>
    <row r="71" spans="1:2" ht="15" customHeight="1">
      <c r="A71" s="8" t="s">
        <v>137</v>
      </c>
      <c r="B71" s="8" t="s">
        <v>138</v>
      </c>
    </row>
    <row r="72" spans="1:2" ht="15" customHeight="1">
      <c r="A72" s="8" t="s">
        <v>139</v>
      </c>
      <c r="B72" s="8" t="s">
        <v>140</v>
      </c>
    </row>
    <row r="73" spans="1:2" ht="15" customHeight="1">
      <c r="A73" s="8" t="s">
        <v>141</v>
      </c>
      <c r="B73" s="8" t="s">
        <v>142</v>
      </c>
    </row>
    <row r="74" spans="1:2" ht="15" customHeight="1">
      <c r="A74" s="8" t="s">
        <v>143</v>
      </c>
      <c r="B74" s="8" t="s">
        <v>144</v>
      </c>
    </row>
    <row r="75" spans="1:2" ht="15" customHeight="1">
      <c r="A75" s="1" t="s">
        <v>145</v>
      </c>
      <c r="B75" s="9" t="s">
        <v>146</v>
      </c>
    </row>
    <row r="76" spans="1:2" ht="15" customHeight="1">
      <c r="A76" s="8" t="s">
        <v>147</v>
      </c>
      <c r="B76" s="8" t="s">
        <v>148</v>
      </c>
    </row>
    <row r="77" spans="1:2" ht="15" customHeight="1">
      <c r="A77" s="8" t="s">
        <v>149</v>
      </c>
      <c r="B77" s="8" t="s">
        <v>150</v>
      </c>
    </row>
    <row r="78" spans="1:2" ht="15" customHeight="1">
      <c r="A78" s="10" t="s">
        <v>127</v>
      </c>
      <c r="B78" s="8" t="s">
        <v>151</v>
      </c>
    </row>
    <row r="79" spans="1:2" ht="15" customHeight="1">
      <c r="A79" s="10" t="s">
        <v>152</v>
      </c>
      <c r="B79" s="8" t="s">
        <v>153</v>
      </c>
    </row>
    <row r="80" spans="1:2" ht="15" customHeight="1">
      <c r="A80" s="10" t="s">
        <v>154</v>
      </c>
      <c r="B80" s="8" t="s">
        <v>155</v>
      </c>
    </row>
    <row r="81" spans="1:2" ht="15" customHeight="1">
      <c r="A81" s="8" t="s">
        <v>156</v>
      </c>
      <c r="B81" s="8" t="s">
        <v>157</v>
      </c>
    </row>
    <row r="82" spans="1:2" ht="15" customHeight="1">
      <c r="A82" s="8" t="s">
        <v>158</v>
      </c>
      <c r="B82" s="8" t="s">
        <v>159</v>
      </c>
    </row>
    <row r="83" spans="1:2" ht="15" customHeight="1">
      <c r="A83" s="8" t="s">
        <v>160</v>
      </c>
      <c r="B83" s="8" t="s">
        <v>161</v>
      </c>
    </row>
    <row r="84" spans="1:2" ht="15" customHeight="1">
      <c r="A84" s="8" t="s">
        <v>162</v>
      </c>
      <c r="B84" s="8" t="s">
        <v>163</v>
      </c>
    </row>
    <row r="85" spans="1:2" ht="15" customHeight="1">
      <c r="A85" s="8" t="s">
        <v>164</v>
      </c>
      <c r="B85" s="8" t="s">
        <v>165</v>
      </c>
    </row>
    <row r="86" spans="1:2" ht="15" customHeight="1">
      <c r="A86" s="8" t="s">
        <v>166</v>
      </c>
      <c r="B86" s="8" t="s">
        <v>167</v>
      </c>
    </row>
    <row r="87" spans="1:2" ht="15" customHeight="1">
      <c r="A87" s="8" t="s">
        <v>168</v>
      </c>
      <c r="B87" s="8" t="s">
        <v>169</v>
      </c>
    </row>
    <row r="88" spans="1:2" ht="15" customHeight="1">
      <c r="A88" s="8" t="s">
        <v>170</v>
      </c>
      <c r="B88" s="8" t="s">
        <v>171</v>
      </c>
    </row>
    <row r="89" spans="1:2" ht="15" customHeight="1">
      <c r="A89" s="11" t="s">
        <v>172</v>
      </c>
      <c r="B89" s="8" t="s">
        <v>173</v>
      </c>
    </row>
    <row r="90" spans="1:2" ht="15" customHeight="1">
      <c r="A90" s="11" t="s">
        <v>174</v>
      </c>
      <c r="B90" s="8" t="s">
        <v>175</v>
      </c>
    </row>
    <row r="91" spans="1:2" ht="15" customHeight="1">
      <c r="A91" s="8" t="s">
        <v>176</v>
      </c>
      <c r="B91" s="8" t="s">
        <v>177</v>
      </c>
    </row>
    <row r="92" spans="1:2" ht="15" customHeight="1">
      <c r="A92" s="8" t="s">
        <v>77</v>
      </c>
      <c r="B92" s="8" t="s">
        <v>178</v>
      </c>
    </row>
    <row r="93" spans="1:2" ht="15" customHeight="1">
      <c r="A93" s="8" t="s">
        <v>179</v>
      </c>
      <c r="B93" s="8" t="s">
        <v>180</v>
      </c>
    </row>
    <row r="94" spans="1:2" ht="15" customHeight="1">
      <c r="A94" s="8" t="s">
        <v>77</v>
      </c>
      <c r="B94" s="8" t="s">
        <v>178</v>
      </c>
    </row>
    <row r="95" spans="1:2" ht="15" customHeight="1">
      <c r="A95" s="8" t="s">
        <v>181</v>
      </c>
      <c r="B95" s="8" t="s">
        <v>182</v>
      </c>
    </row>
    <row r="96" spans="1:2" ht="15" customHeight="1">
      <c r="A96" s="8" t="s">
        <v>183</v>
      </c>
      <c r="B96" s="8" t="s">
        <v>184</v>
      </c>
    </row>
    <row r="97" spans="1:2" ht="15" customHeight="1">
      <c r="A97" s="459" t="s">
        <v>185</v>
      </c>
      <c r="B97" s="8" t="s">
        <v>186</v>
      </c>
    </row>
    <row r="98" spans="1:2" ht="15" customHeight="1">
      <c r="A98" s="8" t="s">
        <v>187</v>
      </c>
      <c r="B98" s="8" t="s">
        <v>188</v>
      </c>
    </row>
    <row r="99" spans="1:2" ht="15" customHeight="1">
      <c r="A99" s="8" t="s">
        <v>189</v>
      </c>
      <c r="B99" s="8" t="s">
        <v>190</v>
      </c>
    </row>
    <row r="100" spans="1:2" ht="15" customHeight="1">
      <c r="A100" s="8" t="s">
        <v>191</v>
      </c>
      <c r="B100" s="8" t="s">
        <v>192</v>
      </c>
    </row>
    <row r="101" spans="1:2" ht="15" customHeight="1">
      <c r="A101" s="8" t="s">
        <v>193</v>
      </c>
      <c r="B101" s="13" t="s">
        <v>194</v>
      </c>
    </row>
    <row r="102" spans="1:2" ht="15" customHeight="1">
      <c r="A102" s="8" t="s">
        <v>195</v>
      </c>
      <c r="B102" s="13" t="s">
        <v>196</v>
      </c>
    </row>
    <row r="103" spans="1:2" ht="15" customHeight="1">
      <c r="A103" s="10" t="s">
        <v>197</v>
      </c>
      <c r="B103" s="8" t="s">
        <v>198</v>
      </c>
    </row>
    <row r="104" spans="1:2" ht="15" customHeight="1">
      <c r="A104" s="10" t="s">
        <v>199</v>
      </c>
      <c r="B104" s="11" t="s">
        <v>200</v>
      </c>
    </row>
    <row r="105" spans="1:2" ht="15" customHeight="1">
      <c r="A105" s="10" t="s">
        <v>201</v>
      </c>
      <c r="B105" s="11" t="s">
        <v>202</v>
      </c>
    </row>
    <row r="106" spans="1:2" ht="15" customHeight="1">
      <c r="A106" s="10" t="s">
        <v>203</v>
      </c>
      <c r="B106" s="8" t="s">
        <v>204</v>
      </c>
    </row>
    <row r="107" spans="1:2" ht="15" customHeight="1">
      <c r="A107" s="8" t="s">
        <v>205</v>
      </c>
      <c r="B107" s="8" t="s">
        <v>206</v>
      </c>
    </row>
    <row r="108" spans="1:2" ht="15" customHeight="1">
      <c r="A108" s="10" t="s">
        <v>207</v>
      </c>
      <c r="B108" s="8" t="s">
        <v>208</v>
      </c>
    </row>
    <row r="109" spans="1:2" ht="15" customHeight="1">
      <c r="A109" s="10" t="s">
        <v>209</v>
      </c>
      <c r="B109" s="8" t="s">
        <v>210</v>
      </c>
    </row>
    <row r="110" spans="1:2" ht="15" customHeight="1">
      <c r="A110" s="8" t="s">
        <v>211</v>
      </c>
      <c r="B110" s="8" t="s">
        <v>212</v>
      </c>
    </row>
    <row r="111" spans="1:2" ht="15" customHeight="1">
      <c r="A111" s="8" t="s">
        <v>213</v>
      </c>
      <c r="B111" s="8" t="s">
        <v>214</v>
      </c>
    </row>
    <row r="112" spans="1:2" ht="15" customHeight="1">
      <c r="A112" s="8" t="s">
        <v>215</v>
      </c>
      <c r="B112" s="8" t="s">
        <v>216</v>
      </c>
    </row>
    <row r="113" spans="1:2" ht="15" customHeight="1">
      <c r="A113" s="8" t="s">
        <v>217</v>
      </c>
      <c r="B113" s="8" t="s">
        <v>218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18</vt:i4>
      </vt:variant>
    </vt:vector>
  </HeadingPairs>
  <TitlesOfParts>
    <vt:vector size="18" baseType="lpstr">
      <vt:lpstr>Ang_freq_converted_f2</vt:lpstr>
      <vt:lpstr>Physchem_properties</vt:lpstr>
      <vt:lpstr>Thermal_properties</vt:lpstr>
      <vt:lpstr>Rheological_experimental_detail</vt:lpstr>
      <vt:lpstr>Φύλλο2</vt:lpstr>
      <vt:lpstr>Storage_modulus_G</vt:lpstr>
      <vt:lpstr>converted_MPa_Storage_modulus_G</vt:lpstr>
      <vt:lpstr>Loss_modulus_G</vt:lpstr>
      <vt:lpstr>converted_MPa_Loss_modulus_G</vt:lpstr>
      <vt:lpstr>converted_MPa_Loss_modulus_fill</vt:lpstr>
      <vt:lpstr>converted_MPa_Loss_modulus_f2</vt:lpstr>
      <vt:lpstr>Angular_frequency</vt:lpstr>
      <vt:lpstr>Ang_freq_converted(rad.s-1)</vt:lpstr>
      <vt:lpstr>Temperature</vt:lpstr>
      <vt:lpstr>Complex_viscosity</vt:lpstr>
      <vt:lpstr>Tandelta</vt:lpstr>
      <vt:lpstr>Metadata</vt:lpstr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NIKOLAOS TSIGKAS</dc:creator>
  <cp:keywords/>
  <dc:description/>
  <cp:lastModifiedBy>Leonidas Mindrinos</cp:lastModifiedBy>
  <cp:revision/>
  <dcterms:created xsi:type="dcterms:W3CDTF">2025-01-26T20:45:12Z</dcterms:created>
  <dcterms:modified xsi:type="dcterms:W3CDTF">2026-02-24T21:48:24Z</dcterms:modified>
  <cp:category/>
  <cp:contentStatus/>
</cp:coreProperties>
</file>